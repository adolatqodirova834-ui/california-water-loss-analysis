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lumot" sheetId="1" state="visible" r:id="rId3"/>
    <sheet name="pivot_yillar" sheetId="2" state="visible" r:id="rId4"/>
    <sheet name="pivot_tizimlar" sheetId="3" state="visible" r:id="rId5"/>
    <sheet name="yillar_nazorat" sheetId="4" state="visible" r:id="rId6"/>
    <sheet name="izoh" sheetId="5" state="visible" r:id="rId7"/>
    <sheet name="reyting_farqi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<sst xmlns="http://schemas.openxmlformats.org/spreadsheetml/2006/main" count="15482" uniqueCount="1263">
  <si>
    <t xml:space="preserve">audit_id</t>
  </si>
  <si>
    <t xml:space="preserve">pws_id</t>
  </si>
  <si>
    <t xml:space="preserve">period_start</t>
  </si>
  <si>
    <t xml:space="preserve">service_connections</t>
  </si>
  <si>
    <t xml:space="preserve">mains_miles</t>
  </si>
  <si>
    <t xml:space="preserve">validity_score</t>
  </si>
  <si>
    <t xml:space="preserve">real_losses_af</t>
  </si>
  <si>
    <t xml:space="preserve">real_losses_cost_usd</t>
  </si>
  <si>
    <t xml:space="preserve">nrw_percent</t>
  </si>
  <si>
    <t xml:space="preserve">real_losses_gcd</t>
  </si>
  <si>
    <t xml:space="preserve">supplier_name</t>
  </si>
  <si>
    <t xml:space="preserve">city</t>
  </si>
  <si>
    <t xml:space="preserve">yil</t>
  </si>
  <si>
    <t xml:space="preserve">CA0110001</t>
  </si>
  <si>
    <t xml:space="preserve">2016-01-01</t>
  </si>
  <si>
    <t xml:space="preserve">Alameda County Water District</t>
  </si>
  <si>
    <t xml:space="preserve">Fremont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</si>
  <si>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</si>
  <si>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</si>
  <si>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</si>
  <si>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</si>
  <si>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2021-01-01</t>
  </si>
  <si>
    <t xml:space="preserve">2022-01-01</t>
  </si>
  <si>
    <t xml:space="preserve">2023-01-01</t>
  </si>
  <si>
    <t xml:space="preserve">2024-01-01</t>
  </si>
  <si>
    <t xml:space="preserve">CA0110003</t>
  </si>
  <si>
    <t xml:space="preserve">California Water Service Company Livermore</t>
  </si>
  <si>
    <t xml:space="preserve">LIV Livermore</t>
  </si>
  <si>
    <t xml:space="preserve">CA0110005</t>
  </si>
  <si>
    <t xml:space="preserve">East Bay Municipal Utility District</t>
  </si>
  <si>
    <t xml:space="preserve">Oakland</t>
  </si>
  <si>
    <t xml:space="preserve">CA0110006</t>
  </si>
  <si>
    <t xml:space="preserve">Hayward City Of</t>
  </si>
  <si>
    <t xml:space="preserve">City of Hayward</t>
  </si>
  <si>
    <t xml:space="preserve">CA0110008</t>
  </si>
  <si>
    <t xml:space="preserve">Pleasanton City Of</t>
  </si>
  <si>
    <t xml:space="preserve">Pleasanton</t>
  </si>
  <si>
    <t xml:space="preserve">2025-01-01</t>
  </si>
  <si>
    <t xml:space="preserve">CA0110009</t>
  </si>
  <si>
    <t xml:space="preserve">Dublin San Ramon Services District</t>
  </si>
  <si>
    <t xml:space="preserve">Dublin</t>
  </si>
  <si>
    <t xml:space="preserve">2016-07-01</t>
  </si>
  <si>
    <t xml:space="preserve">2017-07-01</t>
  </si>
  <si>
    <t xml:space="preserve">2018-07-01</t>
  </si>
  <si>
    <t xml:space="preserve">2019-07-01</t>
  </si>
  <si>
    <t xml:space="preserve">2020-07-01</t>
  </si>
  <si>
    <t xml:space="preserve">2021-07-01</t>
  </si>
  <si>
    <t xml:space="preserve">2022-07-01</t>
  </si>
  <si>
    <t xml:space="preserve">2023-07-01</t>
  </si>
  <si>
    <t xml:space="preserve">2024-07-01</t>
  </si>
  <si>
    <t xml:space="preserve">CA0110011</t>
  </si>
  <si>
    <t xml:space="preserve">Livermore City Of</t>
  </si>
  <si>
    <t xml:space="preserve">Livermore</t>
  </si>
  <si>
    <t xml:space="preserve">CA0310012</t>
  </si>
  <si>
    <t xml:space="preserve">Amador Water Agency</t>
  </si>
  <si>
    <t xml:space="preserve">Sutter Creek</t>
  </si>
  <si>
    <t xml:space="preserve">CA0410002</t>
  </si>
  <si>
    <t xml:space="preserve">California Water Service Company Chico District</t>
  </si>
  <si>
    <t xml:space="preserve">CH Chico</t>
  </si>
  <si>
    <t xml:space="preserve">CA0410005</t>
  </si>
  <si>
    <t xml:space="preserve">California Water Service Company Oroville</t>
  </si>
  <si>
    <t xml:space="preserve">ORO Oroville</t>
  </si>
  <si>
    <t xml:space="preserve">CA0410006</t>
  </si>
  <si>
    <t xml:space="preserve">South Feather Water and Power</t>
  </si>
  <si>
    <t xml:space="preserve">Oroville</t>
  </si>
  <si>
    <t xml:space="preserve">CA0410007</t>
  </si>
  <si>
    <t xml:space="preserve">Paradise Irrigation District</t>
  </si>
  <si>
    <t xml:space="preserve">Paradise</t>
  </si>
  <si>
    <t xml:space="preserve">CA0410008</t>
  </si>
  <si>
    <t xml:space="preserve">Thermalito Water and Sewer District</t>
  </si>
  <si>
    <t xml:space="preserve">City of Oroville / Butte County</t>
  </si>
  <si>
    <t xml:space="preserve">CA0410011</t>
  </si>
  <si>
    <t xml:space="preserve">Del Oro Water Company</t>
  </si>
  <si>
    <t xml:space="preserve">Magaila</t>
  </si>
  <si>
    <t xml:space="preserve">CA0510006</t>
  </si>
  <si>
    <t xml:space="preserve">Calaveras County Water District</t>
  </si>
  <si>
    <t xml:space="preserve">San Andreas</t>
  </si>
  <si>
    <t xml:space="preserve">CA0510016</t>
  </si>
  <si>
    <t xml:space="preserve">CA0510017</t>
  </si>
  <si>
    <t xml:space="preserve">CA0710001</t>
  </si>
  <si>
    <t xml:space="preserve">2015-07-01</t>
  </si>
  <si>
    <t xml:space="preserve">Antioch City Of</t>
  </si>
  <si>
    <t xml:space="preserve">Antioch</t>
  </si>
  <si>
    <t xml:space="preserve">CA0710002</t>
  </si>
  <si>
    <t xml:space="preserve">Golden State Water Company - Bay Point</t>
  </si>
  <si>
    <t xml:space="preserve">Rancho Cordova</t>
  </si>
  <si>
    <t xml:space="preserve">CA0710003</t>
  </si>
  <si>
    <t xml:space="preserve">Contra Costa Water District</t>
  </si>
  <si>
    <t xml:space="preserve">Concord</t>
  </si>
  <si>
    <t xml:space="preserve">CA0710004</t>
  </si>
  <si>
    <t xml:space="preserve">Brentwood City Of</t>
  </si>
  <si>
    <t xml:space="preserve">Brentwood</t>
  </si>
  <si>
    <t xml:space="preserve">CA0710006</t>
  </si>
  <si>
    <t xml:space="preserve">Martinez City Of</t>
  </si>
  <si>
    <t xml:space="preserve">City of Martinez</t>
  </si>
  <si>
    <t xml:space="preserve">CA0710007</t>
  </si>
  <si>
    <t xml:space="preserve">Diablo Water District</t>
  </si>
  <si>
    <t xml:space="preserve">Oakley</t>
  </si>
  <si>
    <t xml:space="preserve">CA0710008</t>
  </si>
  <si>
    <t xml:space="preserve">Pittsburg City Of</t>
  </si>
  <si>
    <t xml:space="preserve">City of Pittsburg</t>
  </si>
  <si>
    <t xml:space="preserve">CA0710009</t>
  </si>
  <si>
    <t xml:space="preserve">Discovery Bay Community Services District</t>
  </si>
  <si>
    <t xml:space="preserve">Discovery Bay</t>
  </si>
  <si>
    <t xml:space="preserve">CA0810001</t>
  </si>
  <si>
    <t xml:space="preserve">Crescent City</t>
  </si>
  <si>
    <t xml:space="preserve">City of Crescent City</t>
  </si>
  <si>
    <t xml:space="preserve">CA0910001</t>
  </si>
  <si>
    <t xml:space="preserve">El Dorado Irrigation District</t>
  </si>
  <si>
    <t xml:space="preserve">Placerville</t>
  </si>
  <si>
    <t xml:space="preserve">CA0910002</t>
  </si>
  <si>
    <t xml:space="preserve">South Tahoe Public Utility District</t>
  </si>
  <si>
    <t xml:space="preserve">South Lake Tahoe</t>
  </si>
  <si>
    <t xml:space="preserve">CA1010003</t>
  </si>
  <si>
    <t xml:space="preserve">Clovis City Of</t>
  </si>
  <si>
    <t xml:space="preserve">Clovis</t>
  </si>
  <si>
    <t xml:space="preserve">CA1010004</t>
  </si>
  <si>
    <t xml:space="preserve">Coalinga City Of</t>
  </si>
  <si>
    <t xml:space="preserve">Coalinga</t>
  </si>
  <si>
    <t xml:space="preserve">CA1010007</t>
  </si>
  <si>
    <t xml:space="preserve">Fresno City Of</t>
  </si>
  <si>
    <t xml:space="preserve">Fresno</t>
  </si>
  <si>
    <t xml:space="preserve">CA1010018</t>
  </si>
  <si>
    <t xml:space="preserve">Kerman City Of</t>
  </si>
  <si>
    <t xml:space="preserve">City</t>
  </si>
  <si>
    <t xml:space="preserve">CA1010019</t>
  </si>
  <si>
    <t xml:space="preserve">Kingsburg City Of</t>
  </si>
  <si>
    <t xml:space="preserve">CA1010024</t>
  </si>
  <si>
    <t xml:space="preserve">California Water Service Company Selma</t>
  </si>
  <si>
    <t xml:space="preserve">SEL Selma</t>
  </si>
  <si>
    <t xml:space="preserve">CA1010027</t>
  </si>
  <si>
    <t xml:space="preserve">Reedley City Of</t>
  </si>
  <si>
    <t xml:space="preserve">CA1010029</t>
  </si>
  <si>
    <t xml:space="preserve">Sanger City Of</t>
  </si>
  <si>
    <t xml:space="preserve">City of Sanger</t>
  </si>
  <si>
    <t xml:space="preserve">CA1210001</t>
  </si>
  <si>
    <t xml:space="preserve">Arcata City Of</t>
  </si>
  <si>
    <t xml:space="preserve">Arcata</t>
  </si>
  <si>
    <t xml:space="preserve">CA1210004</t>
  </si>
  <si>
    <t xml:space="preserve">Eureka City Of</t>
  </si>
  <si>
    <t xml:space="preserve">City of Eureka</t>
  </si>
  <si>
    <t xml:space="preserve">CA1210006</t>
  </si>
  <si>
    <t xml:space="preserve">Fortuna City Of</t>
  </si>
  <si>
    <t xml:space="preserve">Fortuna</t>
  </si>
  <si>
    <t xml:space="preserve">CA1210009</t>
  </si>
  <si>
    <t xml:space="preserve">Humboldt Community Services District</t>
  </si>
  <si>
    <t xml:space="preserve">Eureka Area</t>
  </si>
  <si>
    <t xml:space="preserve">CA1210016</t>
  </si>
  <si>
    <t xml:space="preserve">McKinleyville Community Services District</t>
  </si>
  <si>
    <t xml:space="preserve">Mckinleyville</t>
  </si>
  <si>
    <t xml:space="preserve">CA1310001</t>
  </si>
  <si>
    <t xml:space="preserve">Brawley City Of</t>
  </si>
  <si>
    <t xml:space="preserve">Brawley</t>
  </si>
  <si>
    <t xml:space="preserve">CA1310002</t>
  </si>
  <si>
    <t xml:space="preserve">Calexico City Of</t>
  </si>
  <si>
    <t xml:space="preserve">City of Calexico</t>
  </si>
  <si>
    <t xml:space="preserve">CA1310004</t>
  </si>
  <si>
    <t xml:space="preserve">El Centro City Of</t>
  </si>
  <si>
    <t xml:space="preserve">El Centro</t>
  </si>
  <si>
    <t xml:space="preserve">CA1310006</t>
  </si>
  <si>
    <t xml:space="preserve">Imperial City Of</t>
  </si>
  <si>
    <t xml:space="preserve">Imperial</t>
  </si>
  <si>
    <t xml:space="preserve">CA1510001</t>
  </si>
  <si>
    <t xml:space="preserve">Arvin Community Service District</t>
  </si>
  <si>
    <t xml:space="preserve">Arvin</t>
  </si>
  <si>
    <t xml:space="preserve">CA1510003</t>
  </si>
  <si>
    <t xml:space="preserve">California Water Service Company Bakersfield</t>
  </si>
  <si>
    <t xml:space="preserve">BK Bakersfield</t>
  </si>
  <si>
    <t xml:space="preserve">CA1510005</t>
  </si>
  <si>
    <t xml:space="preserve">Delano City Of</t>
  </si>
  <si>
    <t xml:space="preserve">Delano</t>
  </si>
  <si>
    <t xml:space="preserve">2020-10-01</t>
  </si>
  <si>
    <t xml:space="preserve">CA1510006</t>
  </si>
  <si>
    <t xml:space="preserve">East Niles Community Services District</t>
  </si>
  <si>
    <t xml:space="preserve">Bakersfield</t>
  </si>
  <si>
    <t xml:space="preserve">CA1510012</t>
  </si>
  <si>
    <t xml:space="preserve">Lamont Public Utility District</t>
  </si>
  <si>
    <t xml:space="preserve">Lamont</t>
  </si>
  <si>
    <t xml:space="preserve">CA1510015</t>
  </si>
  <si>
    <t xml:space="preserve">Oildale Mutual Water Company</t>
  </si>
  <si>
    <t xml:space="preserve">CA1510017</t>
  </si>
  <si>
    <t xml:space="preserve">Indian Wells Valley Water District</t>
  </si>
  <si>
    <t xml:space="preserve">Ridgecrest</t>
  </si>
  <si>
    <t xml:space="preserve">CA1510018</t>
  </si>
  <si>
    <t xml:space="preserve">Rosamond Community Service District</t>
  </si>
  <si>
    <t xml:space="preserve">Rosamond</t>
  </si>
  <si>
    <t xml:space="preserve">CA1510019</t>
  </si>
  <si>
    <t xml:space="preserve">Shafter City Of</t>
  </si>
  <si>
    <t xml:space="preserve">City of Shafter</t>
  </si>
  <si>
    <t xml:space="preserve">CA1510020</t>
  </si>
  <si>
    <t xml:space="preserve">Tehachapi City Of</t>
  </si>
  <si>
    <t xml:space="preserve">Tehachapi</t>
  </si>
  <si>
    <t xml:space="preserve">CA1510021</t>
  </si>
  <si>
    <t xml:space="preserve">Wasco City Of</t>
  </si>
  <si>
    <t xml:space="preserve">City of Wasco</t>
  </si>
  <si>
    <t xml:space="preserve">CA1510024</t>
  </si>
  <si>
    <t xml:space="preserve">Greenfield County Water District</t>
  </si>
  <si>
    <t xml:space="preserve">CA1510029</t>
  </si>
  <si>
    <t xml:space="preserve">Vaughn Water Company</t>
  </si>
  <si>
    <t xml:space="preserve">CA1510031</t>
  </si>
  <si>
    <t xml:space="preserve">Bakersfield City Of</t>
  </si>
  <si>
    <t xml:space="preserve">City of Bakersfield</t>
  </si>
  <si>
    <t xml:space="preserve">CA1510055</t>
  </si>
  <si>
    <t xml:space="preserve">BK North Garden</t>
  </si>
  <si>
    <t xml:space="preserve">CA1610003</t>
  </si>
  <si>
    <t xml:space="preserve">Hanford City Of</t>
  </si>
  <si>
    <t xml:space="preserve">Hanford</t>
  </si>
  <si>
    <t xml:space="preserve">CA1810001</t>
  </si>
  <si>
    <t xml:space="preserve">Susanville City Of</t>
  </si>
  <si>
    <t xml:space="preserve">Susanville</t>
  </si>
  <si>
    <t xml:space="preserve">CA1910001</t>
  </si>
  <si>
    <t xml:space="preserve">Alhambra City Of</t>
  </si>
  <si>
    <t xml:space="preserve">Alhambra</t>
  </si>
  <si>
    <t xml:space="preserve">CA1910003</t>
  </si>
  <si>
    <t xml:space="preserve">Arcadia City Of</t>
  </si>
  <si>
    <t xml:space="preserve">Arcadia</t>
  </si>
  <si>
    <t xml:space="preserve">CA1910004</t>
  </si>
  <si>
    <t xml:space="preserve">Golden State Water Company - Artesia</t>
  </si>
  <si>
    <t xml:space="preserve">Various Los Angeles County Cities</t>
  </si>
  <si>
    <t xml:space="preserve">CA1910005</t>
  </si>
  <si>
    <t xml:space="preserve">Los Angeles County Waterworks District 40 - Antelope Valley</t>
  </si>
  <si>
    <t xml:space="preserve">Lancaster/Palmdale</t>
  </si>
  <si>
    <t xml:space="preserve">CA1910007</t>
  </si>
  <si>
    <t xml:space="preserve">Azusa Light and Water</t>
  </si>
  <si>
    <t xml:space="preserve">Azusa</t>
  </si>
  <si>
    <t xml:space="preserve">CA1910009</t>
  </si>
  <si>
    <t xml:space="preserve">Valley County Water District</t>
  </si>
  <si>
    <t xml:space="preserve">Baldwin Park</t>
  </si>
  <si>
    <t xml:space="preserve">CA1910011</t>
  </si>
  <si>
    <t xml:space="preserve">Golden State Water Company - Bell-Bell Gardens</t>
  </si>
  <si>
    <t xml:space="preserve">CA1910013</t>
  </si>
  <si>
    <t xml:space="preserve">Bellflower - Somerset Mutual Water Company</t>
  </si>
  <si>
    <t xml:space="preserve">Bellflower</t>
  </si>
  <si>
    <t xml:space="preserve">CA1910017</t>
  </si>
  <si>
    <t xml:space="preserve">Santa Clarita Valley Water Agency</t>
  </si>
  <si>
    <t xml:space="preserve">Santa Clarita</t>
  </si>
  <si>
    <t xml:space="preserve">CA1910019</t>
  </si>
  <si>
    <t xml:space="preserve">Cerritos City Of</t>
  </si>
  <si>
    <t xml:space="preserve">Cerritos</t>
  </si>
  <si>
    <t xml:space="preserve">CA1910020</t>
  </si>
  <si>
    <t xml:space="preserve">California American Water Company - Los Angeles Division</t>
  </si>
  <si>
    <t xml:space="preserve">Arcadia, Pasadena, San Gabriel, Temple City</t>
  </si>
  <si>
    <t xml:space="preserve">CA1910021</t>
  </si>
  <si>
    <t xml:space="preserve">Liberty Utilities (Park Water) Corp</t>
  </si>
  <si>
    <t xml:space="preserve">Compton</t>
  </si>
  <si>
    <t xml:space="preserve">CA1910024</t>
  </si>
  <si>
    <t xml:space="preserve">Golden State Water Company - Claremont</t>
  </si>
  <si>
    <t xml:space="preserve">Various Cities in Los Angeles</t>
  </si>
  <si>
    <t xml:space="preserve">CA1910026</t>
  </si>
  <si>
    <t xml:space="preserve">Compton City Of</t>
  </si>
  <si>
    <t xml:space="preserve">CA1910028</t>
  </si>
  <si>
    <t xml:space="preserve">Crescenta Valley Community Water District</t>
  </si>
  <si>
    <t xml:space="preserve">La Crescenta</t>
  </si>
  <si>
    <t xml:space="preserve">CA1910030</t>
  </si>
  <si>
    <t xml:space="preserve">Golden State Water Company - Culver City</t>
  </si>
  <si>
    <t xml:space="preserve">Culver City</t>
  </si>
  <si>
    <t xml:space="preserve">CA1910033</t>
  </si>
  <si>
    <t xml:space="preserve">California Water Service Company Dominguez</t>
  </si>
  <si>
    <t xml:space="preserve">DOM Dominguez</t>
  </si>
  <si>
    <t xml:space="preserve">CA1910034</t>
  </si>
  <si>
    <t xml:space="preserve">Downey City Of</t>
  </si>
  <si>
    <t xml:space="preserve">City of Downey</t>
  </si>
  <si>
    <t xml:space="preserve">CA1910036</t>
  </si>
  <si>
    <t xml:space="preserve">California Water Service Company East Los Angeles</t>
  </si>
  <si>
    <t xml:space="preserve">ELA East Los Angeles</t>
  </si>
  <si>
    <t xml:space="preserve">CA1910038</t>
  </si>
  <si>
    <t xml:space="preserve">El Monte City Of</t>
  </si>
  <si>
    <t xml:space="preserve">El Monte</t>
  </si>
  <si>
    <t xml:space="preserve">CA1910039</t>
  </si>
  <si>
    <t xml:space="preserve">San Gabriel Valley Water Company</t>
  </si>
  <si>
    <t xml:space="preserve">CA1910040</t>
  </si>
  <si>
    <t xml:space="preserve">El Segundo City Of</t>
  </si>
  <si>
    <t xml:space="preserve">CITY OF EL SEGUNDO</t>
  </si>
  <si>
    <t xml:space="preserve">CA1910042</t>
  </si>
  <si>
    <t xml:space="preserve">Pico Rivera City Of</t>
  </si>
  <si>
    <t xml:space="preserve">Pico Rivera</t>
  </si>
  <si>
    <t xml:space="preserve">CA1910043</t>
  </si>
  <si>
    <t xml:space="preserve">Glendale City Of</t>
  </si>
  <si>
    <t xml:space="preserve">Glendale</t>
  </si>
  <si>
    <t xml:space="preserve">CA1910044</t>
  </si>
  <si>
    <t xml:space="preserve">Glendora City Of</t>
  </si>
  <si>
    <t xml:space="preserve">Glendora</t>
  </si>
  <si>
    <t xml:space="preserve">CA1910047</t>
  </si>
  <si>
    <t xml:space="preserve">Hawthorne City Of</t>
  </si>
  <si>
    <t xml:space="preserve">HAW Hawthorne</t>
  </si>
  <si>
    <t xml:space="preserve">CA1910049</t>
  </si>
  <si>
    <t xml:space="preserve">Huntington Park City Of</t>
  </si>
  <si>
    <t xml:space="preserve">HUNTINGTON PARK</t>
  </si>
  <si>
    <t xml:space="preserve">CA1910051</t>
  </si>
  <si>
    <t xml:space="preserve">Inglewood City Of</t>
  </si>
  <si>
    <t xml:space="preserve">Inglewood</t>
  </si>
  <si>
    <t xml:space="preserve">CA1910052</t>
  </si>
  <si>
    <t xml:space="preserve">Inglewood, Los Angeles, View Park, Windsor Hills</t>
  </si>
  <si>
    <t xml:space="preserve">CA1910059</t>
  </si>
  <si>
    <t xml:space="preserve">Suburban Water Systems - Whittier/La Mirada</t>
  </si>
  <si>
    <t xml:space="preserve">Suburban Water Systems - La Mirada</t>
  </si>
  <si>
    <t xml:space="preserve">CA1910062</t>
  </si>
  <si>
    <t xml:space="preserve">La Verne City Of</t>
  </si>
  <si>
    <t xml:space="preserve">City of La Verne</t>
  </si>
  <si>
    <t xml:space="preserve">CA1910063</t>
  </si>
  <si>
    <t xml:space="preserve">Lincoln Avenue Water Company</t>
  </si>
  <si>
    <t xml:space="preserve">Altadena</t>
  </si>
  <si>
    <t xml:space="preserve">CA1910065</t>
  </si>
  <si>
    <t xml:space="preserve">Long Beach City Of</t>
  </si>
  <si>
    <t xml:space="preserve">City of Long Beach</t>
  </si>
  <si>
    <t xml:space="preserve">CA1910067</t>
  </si>
  <si>
    <t xml:space="preserve">Los Angeles City Department Of Water And Power</t>
  </si>
  <si>
    <t xml:space="preserve">City of Los Angeles</t>
  </si>
  <si>
    <t xml:space="preserve">CA1910070</t>
  </si>
  <si>
    <t xml:space="preserve">Los Angeles County</t>
  </si>
  <si>
    <t xml:space="preserve">CA1910073</t>
  </si>
  <si>
    <t xml:space="preserve">Lomita City Of</t>
  </si>
  <si>
    <t xml:space="preserve">Lomita</t>
  </si>
  <si>
    <t xml:space="preserve">CA1910077</t>
  </si>
  <si>
    <t xml:space="preserve">Golden State Water Company - Florence Graham</t>
  </si>
  <si>
    <t xml:space="preserve">CA1910079</t>
  </si>
  <si>
    <t xml:space="preserve">Lynwood City Of</t>
  </si>
  <si>
    <t xml:space="preserve">City of Lynwood</t>
  </si>
  <si>
    <t xml:space="preserve">CA1910083</t>
  </si>
  <si>
    <t xml:space="preserve">Manhattan Beach City Of</t>
  </si>
  <si>
    <t xml:space="preserve">Manhattan Beach</t>
  </si>
  <si>
    <t xml:space="preserve">CA1910090</t>
  </si>
  <si>
    <t xml:space="preserve">Monrovia City Of</t>
  </si>
  <si>
    <t xml:space="preserve">Monrovia</t>
  </si>
  <si>
    <t xml:space="preserve">CA1910091</t>
  </si>
  <si>
    <t xml:space="preserve">Montebello Land And Water Company</t>
  </si>
  <si>
    <t xml:space="preserve">Montebello</t>
  </si>
  <si>
    <t xml:space="preserve">CA1910092</t>
  </si>
  <si>
    <t xml:space="preserve">Monterey Park City Of</t>
  </si>
  <si>
    <t xml:space="preserve">Monterey Park</t>
  </si>
  <si>
    <t xml:space="preserve">CA1910096</t>
  </si>
  <si>
    <t xml:space="preserve">CA1910098</t>
  </si>
  <si>
    <t xml:space="preserve">Golden State Water Company - Norwalk</t>
  </si>
  <si>
    <t xml:space="preserve">CA1910101</t>
  </si>
  <si>
    <t xml:space="preserve">2016-06-01</t>
  </si>
  <si>
    <t xml:space="preserve">Orchard Dale Water District</t>
  </si>
  <si>
    <t xml:space="preserve">Whittier</t>
  </si>
  <si>
    <t xml:space="preserve">2018-06-01</t>
  </si>
  <si>
    <t xml:space="preserve">2019-06-01</t>
  </si>
  <si>
    <t xml:space="preserve">CA1910102</t>
  </si>
  <si>
    <t xml:space="preserve">Palmdale Water District</t>
  </si>
  <si>
    <t xml:space="preserve">Palmdale</t>
  </si>
  <si>
    <t xml:space="preserve">CA1910104</t>
  </si>
  <si>
    <t xml:space="preserve">California Water Service Company Palos Verdes</t>
  </si>
  <si>
    <t xml:space="preserve">PV Palos Verdes</t>
  </si>
  <si>
    <t xml:space="preserve">CA1910105</t>
  </si>
  <si>
    <t xml:space="preserve">Paramount City Of</t>
  </si>
  <si>
    <t xml:space="preserve">Paramount</t>
  </si>
  <si>
    <t xml:space="preserve">CA1910124</t>
  </si>
  <si>
    <t xml:space="preserve">Pasadena City Of</t>
  </si>
  <si>
    <t xml:space="preserve">Pasadena</t>
  </si>
  <si>
    <t xml:space="preserve">CA1910125</t>
  </si>
  <si>
    <t xml:space="preserve">Pico Water District</t>
  </si>
  <si>
    <t xml:space="preserve">CA1910126</t>
  </si>
  <si>
    <t xml:space="preserve">Pomona City Of</t>
  </si>
  <si>
    <t xml:space="preserve">Pomona</t>
  </si>
  <si>
    <t xml:space="preserve">CA1910127</t>
  </si>
  <si>
    <t xml:space="preserve">Covina City Of</t>
  </si>
  <si>
    <t xml:space="preserve">City of Covina</t>
  </si>
  <si>
    <t xml:space="preserve">CA1910130</t>
  </si>
  <si>
    <t xml:space="preserve">Quartz Hill Water District</t>
  </si>
  <si>
    <t xml:space="preserve">Lancaster</t>
  </si>
  <si>
    <t xml:space="preserve">CA1910134</t>
  </si>
  <si>
    <t xml:space="preserve">California Water Service Company Hermosa/Redondo</t>
  </si>
  <si>
    <t xml:space="preserve">HR Hermosa Redondo</t>
  </si>
  <si>
    <t xml:space="preserve">CA1910139</t>
  </si>
  <si>
    <t xml:space="preserve">Arcadia, Duarte, El Monte, Los Angeles, Pasadena, Rosemead, San Gabriel, San Marino, Temple City</t>
  </si>
  <si>
    <t xml:space="preserve">CA1910140</t>
  </si>
  <si>
    <t xml:space="preserve">Rubio Canyon Land And Water Association</t>
  </si>
  <si>
    <t xml:space="preserve">CA1910142</t>
  </si>
  <si>
    <t xml:space="preserve">Golden State Water Company - San Dimas</t>
  </si>
  <si>
    <t xml:space="preserve">Various Cities in Los Angeles County</t>
  </si>
  <si>
    <t xml:space="preserve">CA1910143</t>
  </si>
  <si>
    <t xml:space="preserve">San Fernando City Of</t>
  </si>
  <si>
    <t xml:space="preserve">San Fernando</t>
  </si>
  <si>
    <t xml:space="preserve">CA1910144</t>
  </si>
  <si>
    <t xml:space="preserve">San Gabriel County Water District</t>
  </si>
  <si>
    <t xml:space="preserve">Rosemead</t>
  </si>
  <si>
    <t xml:space="preserve">CA1910146</t>
  </si>
  <si>
    <t xml:space="preserve">Santa Monica City Of</t>
  </si>
  <si>
    <t xml:space="preserve">Santa Monica</t>
  </si>
  <si>
    <t xml:space="preserve">CA1910148</t>
  </si>
  <si>
    <t xml:space="preserve">Sierra Madre City Of</t>
  </si>
  <si>
    <t xml:space="preserve">Sierra Madre</t>
  </si>
  <si>
    <t xml:space="preserve">CA1910149</t>
  </si>
  <si>
    <t xml:space="preserve">Signal Hill City Of</t>
  </si>
  <si>
    <t xml:space="preserve">Signal Hill</t>
  </si>
  <si>
    <t xml:space="preserve">CA1910152</t>
  </si>
  <si>
    <t xml:space="preserve">South Gate City Of</t>
  </si>
  <si>
    <t xml:space="preserve">South Gate</t>
  </si>
  <si>
    <t xml:space="preserve">CA1910154</t>
  </si>
  <si>
    <t xml:space="preserve">South Pasadena City Of</t>
  </si>
  <si>
    <t xml:space="preserve">South Pasadena</t>
  </si>
  <si>
    <t xml:space="preserve">CA1910155</t>
  </si>
  <si>
    <t xml:space="preserve">Golden State Water Company - Southwest</t>
  </si>
  <si>
    <t xml:space="preserve">Various cities in Los Angeles County</t>
  </si>
  <si>
    <t xml:space="preserve">CA1910156</t>
  </si>
  <si>
    <t xml:space="preserve">Beverly Hills City Of</t>
  </si>
  <si>
    <t xml:space="preserve">City of Beverly Hills</t>
  </si>
  <si>
    <t xml:space="preserve">CA1910157</t>
  </si>
  <si>
    <t xml:space="preserve">Sunny Slope Water Company</t>
  </si>
  <si>
    <t xml:space="preserve">CA1910161</t>
  </si>
  <si>
    <t xml:space="preserve">Lynwood</t>
  </si>
  <si>
    <t xml:space="preserve">CA1910166</t>
  </si>
  <si>
    <t xml:space="preserve">Valley Water Company</t>
  </si>
  <si>
    <t xml:space="preserve">La Canada Flintridge</t>
  </si>
  <si>
    <t xml:space="preserve">CA1910173</t>
  </si>
  <si>
    <t xml:space="preserve">Whittier City Of</t>
  </si>
  <si>
    <t xml:space="preserve">CA1910174</t>
  </si>
  <si>
    <t xml:space="preserve">Suburban Water Systems - Whittier</t>
  </si>
  <si>
    <t xml:space="preserve">CA1910179</t>
  </si>
  <si>
    <t xml:space="preserve">Burbank City Of</t>
  </si>
  <si>
    <t xml:space="preserve">Burbank</t>
  </si>
  <si>
    <t xml:space="preserve">CA1910186</t>
  </si>
  <si>
    <t xml:space="preserve">Bradbury, Duarte, Irwindale, Monrovia, Rosemead</t>
  </si>
  <si>
    <t xml:space="preserve">CA1910191</t>
  </si>
  <si>
    <t xml:space="preserve">Norwalk City Of</t>
  </si>
  <si>
    <t xml:space="preserve">Norwalk</t>
  </si>
  <si>
    <t xml:space="preserve">CA1910194</t>
  </si>
  <si>
    <t xml:space="preserve">Rowland Water District</t>
  </si>
  <si>
    <t xml:space="preserve">Rowland Heights</t>
  </si>
  <si>
    <t xml:space="preserve">CA1910203</t>
  </si>
  <si>
    <t xml:space="preserve">CA1910204</t>
  </si>
  <si>
    <t xml:space="preserve">Los Angeles County Waterworks District 29 - Malibu &amp; Marina Del Rey</t>
  </si>
  <si>
    <t xml:space="preserve">Malibu</t>
  </si>
  <si>
    <t xml:space="preserve">CA1910205</t>
  </si>
  <si>
    <t xml:space="preserve">Suburban Water Systems - San Jose Hills</t>
  </si>
  <si>
    <t xml:space="preserve">CA1910211</t>
  </si>
  <si>
    <t xml:space="preserve">Bellflower - Norwalk</t>
  </si>
  <si>
    <t xml:space="preserve">CA1910212</t>
  </si>
  <si>
    <t xml:space="preserve">Golden State Water Company - South Arcadia</t>
  </si>
  <si>
    <t xml:space="preserve">CA1910213</t>
  </si>
  <si>
    <t xml:space="preserve">Torrance City Of</t>
  </si>
  <si>
    <t xml:space="preserve">Torrance Municipal Water</t>
  </si>
  <si>
    <t xml:space="preserve">CA1910223</t>
  </si>
  <si>
    <t xml:space="preserve">Golden State Water Company - South San Gabriel</t>
  </si>
  <si>
    <t xml:space="preserve">CA1910225</t>
  </si>
  <si>
    <t xml:space="preserve">Las Virgenes Municipal Water District</t>
  </si>
  <si>
    <t xml:space="preserve">Calabasas</t>
  </si>
  <si>
    <t xml:space="preserve">CA1910234</t>
  </si>
  <si>
    <t xml:space="preserve">Walnut Valley Water District</t>
  </si>
  <si>
    <t xml:space="preserve">Walnut</t>
  </si>
  <si>
    <t xml:space="preserve">CA1910239</t>
  </si>
  <si>
    <t xml:space="preserve">Lakewood City Of</t>
  </si>
  <si>
    <t xml:space="preserve">CA1910240</t>
  </si>
  <si>
    <t xml:space="preserve">CA1910245</t>
  </si>
  <si>
    <t xml:space="preserve">Santa Fe Springs City Of</t>
  </si>
  <si>
    <t xml:space="preserve">City of Santa Fe Springs</t>
  </si>
  <si>
    <t xml:space="preserve">CA2010001</t>
  </si>
  <si>
    <t xml:space="preserve">Chowchilla, City of Water Department</t>
  </si>
  <si>
    <t xml:space="preserve">Chowchilla</t>
  </si>
  <si>
    <t xml:space="preserve">CA2010002</t>
  </si>
  <si>
    <t xml:space="preserve">Madera City Of</t>
  </si>
  <si>
    <t xml:space="preserve">City of Madera</t>
  </si>
  <si>
    <t xml:space="preserve">CA2110002</t>
  </si>
  <si>
    <t xml:space="preserve">Marin Municipal Water District</t>
  </si>
  <si>
    <t xml:space="preserve">Corte Madera</t>
  </si>
  <si>
    <t xml:space="preserve">CA2110003</t>
  </si>
  <si>
    <t xml:space="preserve">North Marin Water District</t>
  </si>
  <si>
    <t xml:space="preserve">Novato</t>
  </si>
  <si>
    <t xml:space="preserve">CA2110008</t>
  </si>
  <si>
    <t xml:space="preserve">Greenfield City Of</t>
  </si>
  <si>
    <t xml:space="preserve">Greenfield</t>
  </si>
  <si>
    <t xml:space="preserve">CA2310003</t>
  </si>
  <si>
    <t xml:space="preserve">Ukiah City Of</t>
  </si>
  <si>
    <t xml:space="preserve">Ukiah</t>
  </si>
  <si>
    <t xml:space="preserve">CA2410001</t>
  </si>
  <si>
    <t xml:space="preserve">Atwater City Of</t>
  </si>
  <si>
    <t xml:space="preserve">Atwater</t>
  </si>
  <si>
    <t xml:space="preserve">CA2410004</t>
  </si>
  <si>
    <t xml:space="preserve">Livingston City Of</t>
  </si>
  <si>
    <t xml:space="preserve">Livingston</t>
  </si>
  <si>
    <t xml:space="preserve">CA2410005</t>
  </si>
  <si>
    <t xml:space="preserve">Los Banos City Of</t>
  </si>
  <si>
    <t xml:space="preserve">Los Banos</t>
  </si>
  <si>
    <t xml:space="preserve">CA2410009</t>
  </si>
  <si>
    <t xml:space="preserve">Merced City Of</t>
  </si>
  <si>
    <t xml:space="preserve">Merced</t>
  </si>
  <si>
    <t xml:space="preserve">CA2610001</t>
  </si>
  <si>
    <t xml:space="preserve">Mammoth Community Water District</t>
  </si>
  <si>
    <t xml:space="preserve">Mammoth Lakes</t>
  </si>
  <si>
    <t xml:space="preserve">CA2710001</t>
  </si>
  <si>
    <t xml:space="preserve">Alco Water Service</t>
  </si>
  <si>
    <t xml:space="preserve">Salinas</t>
  </si>
  <si>
    <t xml:space="preserve">CA2710004</t>
  </si>
  <si>
    <t xml:space="preserve">California American Water Company - Monterey District</t>
  </si>
  <si>
    <t xml:space="preserve">Monterey, Pacific Grove, Pebble Beach, Sand City, Seaside, Carmel By The Sea, Carmel Highlands, Carmel Valley, Carmel, Del Rey Oaks, Forest Camel, Presidio Of Monterey,</t>
  </si>
  <si>
    <t xml:space="preserve">CA2710008</t>
  </si>
  <si>
    <t xml:space="preserve">CA2710009</t>
  </si>
  <si>
    <t xml:space="preserve">California Water Service Company King City</t>
  </si>
  <si>
    <t xml:space="preserve">KC King City</t>
  </si>
  <si>
    <t xml:space="preserve">CA2710010</t>
  </si>
  <si>
    <t xml:space="preserve">California Water Service Company Salinas District</t>
  </si>
  <si>
    <t xml:space="preserve">SLN Salinas</t>
  </si>
  <si>
    <t xml:space="preserve">CA2710011</t>
  </si>
  <si>
    <t xml:space="preserve">Soledad City Of</t>
  </si>
  <si>
    <t xml:space="preserve">CA2710017</t>
  </si>
  <si>
    <t xml:space="preserve">Marina Coast Water District</t>
  </si>
  <si>
    <t xml:space="preserve">Marina</t>
  </si>
  <si>
    <t xml:space="preserve">CA2810003</t>
  </si>
  <si>
    <t xml:space="preserve">Napa City Of</t>
  </si>
  <si>
    <t xml:space="preserve">Napa</t>
  </si>
  <si>
    <t xml:space="preserve">CA2810005</t>
  </si>
  <si>
    <t xml:space="preserve">American Canyon City Of</t>
  </si>
  <si>
    <t xml:space="preserve">City of American Canyon</t>
  </si>
  <si>
    <t xml:space="preserve">CA2910003</t>
  </si>
  <si>
    <t xml:space="preserve">Truckee - Donner Public Utilities District</t>
  </si>
  <si>
    <t xml:space="preserve">Truckee</t>
  </si>
  <si>
    <t xml:space="preserve">CA2910004</t>
  </si>
  <si>
    <t xml:space="preserve">Nevada Irrigation District</t>
  </si>
  <si>
    <t xml:space="preserve">Grass Valley</t>
  </si>
  <si>
    <t xml:space="preserve">CA2910006</t>
  </si>
  <si>
    <t xml:space="preserve">CA2910023</t>
  </si>
  <si>
    <t xml:space="preserve">CA3010001</t>
  </si>
  <si>
    <t xml:space="preserve">Anaheim City Of</t>
  </si>
  <si>
    <t xml:space="preserve">Anaheim</t>
  </si>
  <si>
    <t xml:space="preserve">CA3010002</t>
  </si>
  <si>
    <t xml:space="preserve">Brea City Of</t>
  </si>
  <si>
    <t xml:space="preserve">Brea</t>
  </si>
  <si>
    <t xml:space="preserve">CA3010003</t>
  </si>
  <si>
    <t xml:space="preserve">Buena Park City Of</t>
  </si>
  <si>
    <t xml:space="preserve">Buena Park</t>
  </si>
  <si>
    <t xml:space="preserve">CA3010004</t>
  </si>
  <si>
    <t xml:space="preserve">Mesa Water District</t>
  </si>
  <si>
    <t xml:space="preserve">Costa Mesa</t>
  </si>
  <si>
    <t xml:space="preserve">CA3010010</t>
  </si>
  <si>
    <t xml:space="preserve">Fullerton City Of</t>
  </si>
  <si>
    <t xml:space="preserve">Fullerton</t>
  </si>
  <si>
    <t xml:space="preserve">CA3010017</t>
  </si>
  <si>
    <t xml:space="preserve">Laguna Beach County Water District</t>
  </si>
  <si>
    <t xml:space="preserve">Laguna Beach</t>
  </si>
  <si>
    <t xml:space="preserve">CA3010018</t>
  </si>
  <si>
    <t xml:space="preserve">La Habra City Of</t>
  </si>
  <si>
    <t xml:space="preserve">La Habra</t>
  </si>
  <si>
    <t xml:space="preserve">CA3010022</t>
  </si>
  <si>
    <t xml:space="preserve">Golden State Water Company - West Orange</t>
  </si>
  <si>
    <t xml:space="preserve">Various cities in Orange County</t>
  </si>
  <si>
    <t xml:space="preserve">CA3010023</t>
  </si>
  <si>
    <t xml:space="preserve">Newport Beach City Of</t>
  </si>
  <si>
    <t xml:space="preserve">City of Newport Beach</t>
  </si>
  <si>
    <t xml:space="preserve">CA3010027</t>
  </si>
  <si>
    <t xml:space="preserve">Orange City Of</t>
  </si>
  <si>
    <t xml:space="preserve">Orange</t>
  </si>
  <si>
    <t xml:space="preserve">CA3010030</t>
  </si>
  <si>
    <t xml:space="preserve">San Juan Capistrano City Of</t>
  </si>
  <si>
    <t xml:space="preserve">Santa Margarita Water District</t>
  </si>
  <si>
    <t xml:space="preserve">CA3010035</t>
  </si>
  <si>
    <t xml:space="preserve">Golden State Water Company - Placentia</t>
  </si>
  <si>
    <t xml:space="preserve">CA3010036</t>
  </si>
  <si>
    <t xml:space="preserve">San Clemente City Of</t>
  </si>
  <si>
    <t xml:space="preserve">San Clemente</t>
  </si>
  <si>
    <t xml:space="preserve">CA3010037</t>
  </si>
  <si>
    <t xml:space="preserve">Yorba Linda Water District</t>
  </si>
  <si>
    <t xml:space="preserve">Yorba Linda</t>
  </si>
  <si>
    <t xml:space="preserve">CA3010038</t>
  </si>
  <si>
    <t xml:space="preserve">Santa Ana City Of</t>
  </si>
  <si>
    <t xml:space="preserve">City of Santa Ana</t>
  </si>
  <si>
    <t xml:space="preserve">CA3010041</t>
  </si>
  <si>
    <t xml:space="preserve">Seal Beach City Of</t>
  </si>
  <si>
    <t xml:space="preserve">Seal Beach</t>
  </si>
  <si>
    <t xml:space="preserve">CA3010042</t>
  </si>
  <si>
    <t xml:space="preserve">South Coast Water District</t>
  </si>
  <si>
    <t xml:space="preserve">CA3010046</t>
  </si>
  <si>
    <t xml:space="preserve">Tustin City Of</t>
  </si>
  <si>
    <t xml:space="preserve">Tustin</t>
  </si>
  <si>
    <t xml:space="preserve">CA3010053</t>
  </si>
  <si>
    <t xml:space="preserve">Huntington Beach City Of</t>
  </si>
  <si>
    <t xml:space="preserve">Huntington Beach</t>
  </si>
  <si>
    <t xml:space="preserve">CA3010062</t>
  </si>
  <si>
    <t xml:space="preserve">Garden Grove City Of</t>
  </si>
  <si>
    <t xml:space="preserve">Garden Grove</t>
  </si>
  <si>
    <t xml:space="preserve">CA3010064</t>
  </si>
  <si>
    <t xml:space="preserve">Westminster City Of</t>
  </si>
  <si>
    <t xml:space="preserve">Westminster</t>
  </si>
  <si>
    <t xml:space="preserve">CA3010069</t>
  </si>
  <si>
    <t xml:space="preserve">Fountain Valley City Of</t>
  </si>
  <si>
    <t xml:space="preserve">Fountain Valley</t>
  </si>
  <si>
    <t xml:space="preserve">CA3010073</t>
  </si>
  <si>
    <t xml:space="preserve">Moulton Niguel Water District</t>
  </si>
  <si>
    <t xml:space="preserve">Laguna Hills</t>
  </si>
  <si>
    <t xml:space="preserve">CA3010079</t>
  </si>
  <si>
    <t xml:space="preserve">El Toro Water District</t>
  </si>
  <si>
    <t xml:space="preserve">Lake Forest</t>
  </si>
  <si>
    <t xml:space="preserve">CA3010092</t>
  </si>
  <si>
    <t xml:space="preserve">Irvine Ranch Water District</t>
  </si>
  <si>
    <t xml:space="preserve">Irvine</t>
  </si>
  <si>
    <t xml:space="preserve">CA3010094</t>
  </si>
  <si>
    <t xml:space="preserve">Trabuco Canyon Water District</t>
  </si>
  <si>
    <t xml:space="preserve">Trabuco Canyon</t>
  </si>
  <si>
    <t xml:space="preserve">CA3010100</t>
  </si>
  <si>
    <t xml:space="preserve">La Palma City Of</t>
  </si>
  <si>
    <t xml:space="preserve">La Palma</t>
  </si>
  <si>
    <t xml:space="preserve">CA3010101</t>
  </si>
  <si>
    <t xml:space="preserve">CA3110001</t>
  </si>
  <si>
    <t xml:space="preserve">North Tahoe Public Utilities District</t>
  </si>
  <si>
    <t xml:space="preserve">Tahoe Vista</t>
  </si>
  <si>
    <t xml:space="preserve">2021-12-13</t>
  </si>
  <si>
    <t xml:space="preserve">2022-12-13</t>
  </si>
  <si>
    <t xml:space="preserve">CA3110004</t>
  </si>
  <si>
    <t xml:space="preserve">Lincoln City Of</t>
  </si>
  <si>
    <t xml:space="preserve">Lincoln</t>
  </si>
  <si>
    <t xml:space="preserve">CA3110005</t>
  </si>
  <si>
    <t xml:space="preserve">Placer County Water Agency</t>
  </si>
  <si>
    <t xml:space="preserve">Auburn</t>
  </si>
  <si>
    <t xml:space="preserve">CA3110008</t>
  </si>
  <si>
    <t xml:space="preserve">Roseville City Of</t>
  </si>
  <si>
    <t xml:space="preserve">Roseville</t>
  </si>
  <si>
    <t xml:space="preserve">CA3110010</t>
  </si>
  <si>
    <t xml:space="preserve">Tahoe City Public Utilities District</t>
  </si>
  <si>
    <t xml:space="preserve">Tahoe City</t>
  </si>
  <si>
    <t xml:space="preserve">2021-12-21</t>
  </si>
  <si>
    <t xml:space="preserve">2022-12-19</t>
  </si>
  <si>
    <t xml:space="preserve">CA3110025</t>
  </si>
  <si>
    <t xml:space="preserve">CA3110026</t>
  </si>
  <si>
    <t xml:space="preserve">CA3310001</t>
  </si>
  <si>
    <t xml:space="preserve">Coachella Valley Water District</t>
  </si>
  <si>
    <t xml:space="preserve">Palm Desert</t>
  </si>
  <si>
    <t xml:space="preserve">CA3310002</t>
  </si>
  <si>
    <t xml:space="preserve">Beaumont - Cherry Valley Water District</t>
  </si>
  <si>
    <t xml:space="preserve">Beaumont</t>
  </si>
  <si>
    <t xml:space="preserve">CA3310003</t>
  </si>
  <si>
    <t xml:space="preserve">Blythe City Of</t>
  </si>
  <si>
    <t xml:space="preserve">City of Blythe</t>
  </si>
  <si>
    <t xml:space="preserve">CA3310005</t>
  </si>
  <si>
    <t xml:space="preserve">Desert Water Agency</t>
  </si>
  <si>
    <t xml:space="preserve">Palm Springs</t>
  </si>
  <si>
    <t xml:space="preserve">CA3310006</t>
  </si>
  <si>
    <t xml:space="preserve">Banning City Of</t>
  </si>
  <si>
    <t xml:space="preserve">Banning</t>
  </si>
  <si>
    <t xml:space="preserve">CA3310007</t>
  </si>
  <si>
    <t xml:space="preserve">Coachella City Of</t>
  </si>
  <si>
    <t xml:space="preserve">City of Coachella</t>
  </si>
  <si>
    <t xml:space="preserve">CA3310008</t>
  </si>
  <si>
    <t xml:space="preserve">Mission Springs Water District</t>
  </si>
  <si>
    <t xml:space="preserve">Desert Hot Springs</t>
  </si>
  <si>
    <t xml:space="preserve">CA3310009</t>
  </si>
  <si>
    <t xml:space="preserve">Eastern Municipal Water District</t>
  </si>
  <si>
    <t xml:space="preserve">Perris</t>
  </si>
  <si>
    <t xml:space="preserve">CA3310012</t>
  </si>
  <si>
    <t xml:space="preserve">Elsinore Valley Municipal Water District</t>
  </si>
  <si>
    <t xml:space="preserve">City of Lake Elsinore</t>
  </si>
  <si>
    <t xml:space="preserve">CA3310016</t>
  </si>
  <si>
    <t xml:space="preserve">Hemet City Of</t>
  </si>
  <si>
    <t xml:space="preserve">Hemet</t>
  </si>
  <si>
    <t xml:space="preserve">CA3310020</t>
  </si>
  <si>
    <t xml:space="preserve">Indio City Of</t>
  </si>
  <si>
    <t xml:space="preserve">Indio</t>
  </si>
  <si>
    <t xml:space="preserve">CA3310021</t>
  </si>
  <si>
    <t xml:space="preserve">Jurupa Community Service District</t>
  </si>
  <si>
    <t xml:space="preserve">Jurupa Valley</t>
  </si>
  <si>
    <t xml:space="preserve">CA3310022</t>
  </si>
  <si>
    <t xml:space="preserve">Lake Hemet Municipal Water District</t>
  </si>
  <si>
    <t xml:space="preserve">CA3310025</t>
  </si>
  <si>
    <t xml:space="preserve">Norco City Of</t>
  </si>
  <si>
    <t xml:space="preserve">Norco</t>
  </si>
  <si>
    <t xml:space="preserve">CA3310031</t>
  </si>
  <si>
    <t xml:space="preserve">Riverside City Of</t>
  </si>
  <si>
    <t xml:space="preserve">Riverside</t>
  </si>
  <si>
    <t xml:space="preserve">CA3310032</t>
  </si>
  <si>
    <t xml:space="preserve">San Jacinto City Of</t>
  </si>
  <si>
    <t xml:space="preserve">City of San Jacinto</t>
  </si>
  <si>
    <t xml:space="preserve">2021-06-01</t>
  </si>
  <si>
    <t xml:space="preserve">CA3310036</t>
  </si>
  <si>
    <t xml:space="preserve">Western Municipal Water District Of Riverside</t>
  </si>
  <si>
    <t xml:space="preserve">CA3310037</t>
  </si>
  <si>
    <t xml:space="preserve">Corona City Of</t>
  </si>
  <si>
    <t xml:space="preserve">Corona</t>
  </si>
  <si>
    <t xml:space="preserve">CA3310038</t>
  </si>
  <si>
    <t xml:space="preserve">Rancho California Water District</t>
  </si>
  <si>
    <t xml:space="preserve">Temecula</t>
  </si>
  <si>
    <t xml:space="preserve">CA3310044</t>
  </si>
  <si>
    <t xml:space="preserve">Rubidoux Community Service District</t>
  </si>
  <si>
    <t xml:space="preserve">CA3310049</t>
  </si>
  <si>
    <t xml:space="preserve">CA3410001</t>
  </si>
  <si>
    <t xml:space="preserve">Sacramento Suburban Water District</t>
  </si>
  <si>
    <t xml:space="preserve">Sacramento County</t>
  </si>
  <si>
    <t xml:space="preserve">CA3410002</t>
  </si>
  <si>
    <t xml:space="preserve">Sacramento County Water Agency</t>
  </si>
  <si>
    <t xml:space="preserve">Sacramento</t>
  </si>
  <si>
    <t xml:space="preserve">CA3410004</t>
  </si>
  <si>
    <t xml:space="preserve">Carmichael Water District</t>
  </si>
  <si>
    <t xml:space="preserve">Carmichael</t>
  </si>
  <si>
    <t xml:space="preserve">CA3410006</t>
  </si>
  <si>
    <t xml:space="preserve">Citrus Heights Water District</t>
  </si>
  <si>
    <t xml:space="preserve">Citrus Heights</t>
  </si>
  <si>
    <t xml:space="preserve">CA3410008</t>
  </si>
  <si>
    <t xml:space="preserve">Elk Grove Water District</t>
  </si>
  <si>
    <t xml:space="preserve">Elk Grove</t>
  </si>
  <si>
    <t xml:space="preserve">CA3410009</t>
  </si>
  <si>
    <t xml:space="preserve">Fair Oaks Water District</t>
  </si>
  <si>
    <t xml:space="preserve">Fair Oaks</t>
  </si>
  <si>
    <t xml:space="preserve">CA3410010</t>
  </si>
  <si>
    <t xml:space="preserve">California American Water Company - Sacramento District</t>
  </si>
  <si>
    <t xml:space="preserve">Rancho Cordova, Sacramento</t>
  </si>
  <si>
    <t xml:space="preserve">CA3410011</t>
  </si>
  <si>
    <t xml:space="preserve">Galt City Of</t>
  </si>
  <si>
    <t xml:space="preserve">Galt</t>
  </si>
  <si>
    <t xml:space="preserve">CA3410013</t>
  </si>
  <si>
    <t xml:space="preserve">Antelope</t>
  </si>
  <si>
    <t xml:space="preserve">CA3410014</t>
  </si>
  <si>
    <t xml:space="preserve">Folsom City Of</t>
  </si>
  <si>
    <t xml:space="preserve">Folsom</t>
  </si>
  <si>
    <t xml:space="preserve">CA3410015</t>
  </si>
  <si>
    <t xml:space="preserve">Golden State Water Company - Cordova</t>
  </si>
  <si>
    <t xml:space="preserve">Rancho, Cordova</t>
  </si>
  <si>
    <t xml:space="preserve">CA3410016</t>
  </si>
  <si>
    <t xml:space="preserve">Orangevale Water Company</t>
  </si>
  <si>
    <t xml:space="preserve">Orangevale</t>
  </si>
  <si>
    <t xml:space="preserve">CA3410017</t>
  </si>
  <si>
    <t xml:space="preserve">Antelope, Elk Grove, Sacramento</t>
  </si>
  <si>
    <t xml:space="preserve">CA3410018</t>
  </si>
  <si>
    <t xml:space="preserve">Rio Linda - Elverta Community Water District</t>
  </si>
  <si>
    <t xml:space="preserve">Rio Linda</t>
  </si>
  <si>
    <t xml:space="preserve">CA3410020</t>
  </si>
  <si>
    <t xml:space="preserve">Sacramento City Of</t>
  </si>
  <si>
    <t xml:space="preserve">CA3410021</t>
  </si>
  <si>
    <t xml:space="preserve">San Juan Water District</t>
  </si>
  <si>
    <t xml:space="preserve">Granite Bay</t>
  </si>
  <si>
    <t xml:space="preserve">CA3410023</t>
  </si>
  <si>
    <t xml:space="preserve">CA3410029</t>
  </si>
  <si>
    <t xml:space="preserve">CA3410031</t>
  </si>
  <si>
    <t xml:space="preserve">Antelope, Elverta, North Highlands, Roseville, Sacramento</t>
  </si>
  <si>
    <t xml:space="preserve">CA3410034</t>
  </si>
  <si>
    <t xml:space="preserve">Various</t>
  </si>
  <si>
    <t xml:space="preserve">CA3410704</t>
  </si>
  <si>
    <t xml:space="preserve">CA3510001</t>
  </si>
  <si>
    <t xml:space="preserve">Hollister City Of</t>
  </si>
  <si>
    <t xml:space="preserve">Hollister</t>
  </si>
  <si>
    <t xml:space="preserve">CA3510003</t>
  </si>
  <si>
    <t xml:space="preserve">Sunnyslope County Water District</t>
  </si>
  <si>
    <t xml:space="preserve">CA3610001</t>
  </si>
  <si>
    <t xml:space="preserve">Adelanto City Of</t>
  </si>
  <si>
    <t xml:space="preserve">City of Adelanto</t>
  </si>
  <si>
    <t xml:space="preserve">CA3610003</t>
  </si>
  <si>
    <t xml:space="preserve">Apple Valley Ranchos Water Company</t>
  </si>
  <si>
    <t xml:space="preserve">Apple Valley</t>
  </si>
  <si>
    <t xml:space="preserve">CA3610004</t>
  </si>
  <si>
    <t xml:space="preserve">West Valley Water District</t>
  </si>
  <si>
    <t xml:space="preserve">Rialto</t>
  </si>
  <si>
    <t xml:space="preserve">CA3610005</t>
  </si>
  <si>
    <t xml:space="preserve">Lake Arrowhead Community Services District</t>
  </si>
  <si>
    <t xml:space="preserve">Blue Jay</t>
  </si>
  <si>
    <t xml:space="preserve">CA3610008</t>
  </si>
  <si>
    <t xml:space="preserve">Big Bear Community Services District</t>
  </si>
  <si>
    <t xml:space="preserve">Big Bear City CSD</t>
  </si>
  <si>
    <t xml:space="preserve">CA3610012</t>
  </si>
  <si>
    <t xml:space="preserve">Chino City Of</t>
  </si>
  <si>
    <t xml:space="preserve">Chino</t>
  </si>
  <si>
    <t xml:space="preserve">CA3610013</t>
  </si>
  <si>
    <t xml:space="preserve">Loma Linda City Of</t>
  </si>
  <si>
    <t xml:space="preserve">City of Loma Linda</t>
  </si>
  <si>
    <t xml:space="preserve">CA3610014</t>
  </si>
  <si>
    <t xml:space="preserve">Colton City Of</t>
  </si>
  <si>
    <t xml:space="preserve">Colton CA</t>
  </si>
  <si>
    <t xml:space="preserve">CA3610015</t>
  </si>
  <si>
    <t xml:space="preserve">Crestline Village Water District</t>
  </si>
  <si>
    <t xml:space="preserve">CA3610018</t>
  </si>
  <si>
    <t xml:space="preserve">Cucamonga Valley Water District</t>
  </si>
  <si>
    <t xml:space="preserve">Rancho Cucamonga</t>
  </si>
  <si>
    <t xml:space="preserve">CA3610024</t>
  </si>
  <si>
    <t xml:space="preserve">Hesperia Water District</t>
  </si>
  <si>
    <t xml:space="preserve">Hesperia</t>
  </si>
  <si>
    <t xml:space="preserve">CA3610029</t>
  </si>
  <si>
    <t xml:space="preserve">Monte Vista Water District</t>
  </si>
  <si>
    <t xml:space="preserve">Montclair</t>
  </si>
  <si>
    <t xml:space="preserve">CA3610034</t>
  </si>
  <si>
    <t xml:space="preserve">Ontario City Of</t>
  </si>
  <si>
    <t xml:space="preserve">Ontario</t>
  </si>
  <si>
    <t xml:space="preserve">CA3610036</t>
  </si>
  <si>
    <t xml:space="preserve">Chino Hills City Of</t>
  </si>
  <si>
    <t xml:space="preserve">City of Chino Hills</t>
  </si>
  <si>
    <t xml:space="preserve">CA3610037</t>
  </si>
  <si>
    <t xml:space="preserve">Redlands City Of</t>
  </si>
  <si>
    <t xml:space="preserve">Redlands</t>
  </si>
  <si>
    <t xml:space="preserve">CA3610038</t>
  </si>
  <si>
    <t xml:space="preserve">Rialto City Of</t>
  </si>
  <si>
    <t xml:space="preserve">CA3610039</t>
  </si>
  <si>
    <t xml:space="preserve">San Bernardino City Of</t>
  </si>
  <si>
    <t xml:space="preserve">San Bernardino</t>
  </si>
  <si>
    <t xml:space="preserve">CA3610041</t>
  </si>
  <si>
    <t xml:space="preserve">San Gabriel Valley Water Company Fontana Division</t>
  </si>
  <si>
    <t xml:space="preserve">Fontana</t>
  </si>
  <si>
    <t xml:space="preserve">CA3610043</t>
  </si>
  <si>
    <t xml:space="preserve">Golden State Water Company - Barstow</t>
  </si>
  <si>
    <t xml:space="preserve">Various Cities in San Bernardino</t>
  </si>
  <si>
    <t xml:space="preserve">CA3610044</t>
  </si>
  <si>
    <t xml:space="preserve">Big Bear Lake City Of</t>
  </si>
  <si>
    <t xml:space="preserve">CITY OF BIG BEAR LAKE</t>
  </si>
  <si>
    <t xml:space="preserve">CA3610049</t>
  </si>
  <si>
    <t xml:space="preserve">Twentynine Palms Water District</t>
  </si>
  <si>
    <t xml:space="preserve">Twentynine Palms</t>
  </si>
  <si>
    <t xml:space="preserve">CA3610050</t>
  </si>
  <si>
    <t xml:space="preserve">Upland City Of</t>
  </si>
  <si>
    <t xml:space="preserve">Upland</t>
  </si>
  <si>
    <t xml:space="preserve">CA3610052</t>
  </si>
  <si>
    <t xml:space="preserve">Victorville Water District</t>
  </si>
  <si>
    <t xml:space="preserve">Victorville</t>
  </si>
  <si>
    <t xml:space="preserve">CA3610055</t>
  </si>
  <si>
    <t xml:space="preserve">Yucaipa Valley Water District</t>
  </si>
  <si>
    <t xml:space="preserve">Municipality</t>
  </si>
  <si>
    <t xml:space="preserve">CA3610057</t>
  </si>
  <si>
    <t xml:space="preserve">Riverside Highland Water Company</t>
  </si>
  <si>
    <t xml:space="preserve">Grand Terrace</t>
  </si>
  <si>
    <t xml:space="preserve">CA3610062</t>
  </si>
  <si>
    <t xml:space="preserve">Running Springs Water District</t>
  </si>
  <si>
    <t xml:space="preserve">Running Springs</t>
  </si>
  <si>
    <t xml:space="preserve">CA3610064</t>
  </si>
  <si>
    <t xml:space="preserve">East Valley Water District</t>
  </si>
  <si>
    <t xml:space="preserve">Highland</t>
  </si>
  <si>
    <t xml:space="preserve">CA3610073</t>
  </si>
  <si>
    <t xml:space="preserve">Hi Desert Water District</t>
  </si>
  <si>
    <t xml:space="preserve">Yucca Valley</t>
  </si>
  <si>
    <t xml:space="preserve">CA3610121</t>
  </si>
  <si>
    <t xml:space="preserve">San Bernardino County Service Area 64 Spring Valley Lake</t>
  </si>
  <si>
    <t xml:space="preserve">Spring Valley Lake, Victorville</t>
  </si>
  <si>
    <t xml:space="preserve">CA3710001</t>
  </si>
  <si>
    <t xml:space="preserve">California American Water Company - San Diego District</t>
  </si>
  <si>
    <t xml:space="preserve">Coronado, Imperial Beach, Chula Vista, San Diego, San Ysidro</t>
  </si>
  <si>
    <t xml:space="preserve">CA3710002</t>
  </si>
  <si>
    <t xml:space="preserve">Vallecitos Water District</t>
  </si>
  <si>
    <t xml:space="preserve">San Marcos</t>
  </si>
  <si>
    <t xml:space="preserve">CA3710005</t>
  </si>
  <si>
    <t xml:space="preserve">Carlsbad Municipal Water District</t>
  </si>
  <si>
    <t xml:space="preserve">Carlsbad</t>
  </si>
  <si>
    <t xml:space="preserve">CA3710006</t>
  </si>
  <si>
    <t xml:space="preserve">Escondido City Of</t>
  </si>
  <si>
    <t xml:space="preserve">Escondido</t>
  </si>
  <si>
    <t xml:space="preserve">CA3710008</t>
  </si>
  <si>
    <t xml:space="preserve">Fallbrook Public Utility District</t>
  </si>
  <si>
    <t xml:space="preserve">FALLBROOK</t>
  </si>
  <si>
    <t xml:space="preserve">CA3710010</t>
  </si>
  <si>
    <t xml:space="preserve">Helix Water District</t>
  </si>
  <si>
    <t xml:space="preserve">La Mesa</t>
  </si>
  <si>
    <t xml:space="preserve">CA3710013</t>
  </si>
  <si>
    <t xml:space="preserve">Lakeside Water District</t>
  </si>
  <si>
    <t xml:space="preserve">Lakeside</t>
  </si>
  <si>
    <t xml:space="preserve">CA3710014</t>
  </si>
  <si>
    <t xml:space="preserve">Oceanside City Of</t>
  </si>
  <si>
    <t xml:space="preserve">Oceanside</t>
  </si>
  <si>
    <t xml:space="preserve">CA3710015</t>
  </si>
  <si>
    <t xml:space="preserve">Poway City Of</t>
  </si>
  <si>
    <t xml:space="preserve">City of Poway</t>
  </si>
  <si>
    <t xml:space="preserve">CA3710018</t>
  </si>
  <si>
    <t xml:space="preserve">Rincon Del Diablo Municipal Water District</t>
  </si>
  <si>
    <t xml:space="preserve">CA3710019</t>
  </si>
  <si>
    <t xml:space="preserve">Ramona Municipal Water District</t>
  </si>
  <si>
    <t xml:space="preserve">Ramona</t>
  </si>
  <si>
    <t xml:space="preserve">CA3710020</t>
  </si>
  <si>
    <t xml:space="preserve">San Diego City Of</t>
  </si>
  <si>
    <t xml:space="preserve">City of San Diego</t>
  </si>
  <si>
    <t xml:space="preserve">CA3710021</t>
  </si>
  <si>
    <t xml:space="preserve">San Dieguito Water District</t>
  </si>
  <si>
    <t xml:space="preserve">Encinitas</t>
  </si>
  <si>
    <t xml:space="preserve">CA3710023</t>
  </si>
  <si>
    <t xml:space="preserve">Santa Fe Irrigation District</t>
  </si>
  <si>
    <t xml:space="preserve">Rancho Santa Fe</t>
  </si>
  <si>
    <t xml:space="preserve">CA3710025</t>
  </si>
  <si>
    <t xml:space="preserve">Sweetwater Authority</t>
  </si>
  <si>
    <t xml:space="preserve">Chula Vista</t>
  </si>
  <si>
    <t xml:space="preserve">CA3710026</t>
  </si>
  <si>
    <t xml:space="preserve">Valley Center Municipal Water District</t>
  </si>
  <si>
    <t xml:space="preserve">Valley Center</t>
  </si>
  <si>
    <t xml:space="preserve">CA3710027</t>
  </si>
  <si>
    <t xml:space="preserve">Vista Irrigation District</t>
  </si>
  <si>
    <t xml:space="preserve">Vista</t>
  </si>
  <si>
    <t xml:space="preserve">CA3710029</t>
  </si>
  <si>
    <t xml:space="preserve">Olivenhain Municipal Water District</t>
  </si>
  <si>
    <t xml:space="preserve">CA3710034</t>
  </si>
  <si>
    <t xml:space="preserve">Otay Water District</t>
  </si>
  <si>
    <t xml:space="preserve">Spring Valley</t>
  </si>
  <si>
    <t xml:space="preserve">CA3710037</t>
  </si>
  <si>
    <t xml:space="preserve">Padre Dam Municipal Water District</t>
  </si>
  <si>
    <t xml:space="preserve">Santee</t>
  </si>
  <si>
    <t xml:space="preserve">CA3710071</t>
  </si>
  <si>
    <t xml:space="preserve">San Diego</t>
  </si>
  <si>
    <t xml:space="preserve">CA3810011</t>
  </si>
  <si>
    <t xml:space="preserve">San Francisco Public Utilities Commission</t>
  </si>
  <si>
    <t xml:space="preserve">San Francisco</t>
  </si>
  <si>
    <t xml:space="preserve">CA3901111</t>
  </si>
  <si>
    <t xml:space="preserve">CA3910001</t>
  </si>
  <si>
    <t xml:space="preserve">California Water Service Company Stockton</t>
  </si>
  <si>
    <t xml:space="preserve">STK Stockton</t>
  </si>
  <si>
    <t xml:space="preserve">CA3910004</t>
  </si>
  <si>
    <t xml:space="preserve">Lodi City Of</t>
  </si>
  <si>
    <t xml:space="preserve">Lodi</t>
  </si>
  <si>
    <t xml:space="preserve">CA3910005</t>
  </si>
  <si>
    <t xml:space="preserve">Manteca City Of</t>
  </si>
  <si>
    <t xml:space="preserve">City of Manteca</t>
  </si>
  <si>
    <t xml:space="preserve">CA3910006</t>
  </si>
  <si>
    <t xml:space="preserve">Stockton City Of</t>
  </si>
  <si>
    <t xml:space="preserve">City of Stockton</t>
  </si>
  <si>
    <t xml:space="preserve">CA3910007</t>
  </si>
  <si>
    <t xml:space="preserve">Ripon City Of</t>
  </si>
  <si>
    <t xml:space="preserve">Ripon</t>
  </si>
  <si>
    <t xml:space="preserve">CA3910011</t>
  </si>
  <si>
    <t xml:space="preserve">Tracy City Of</t>
  </si>
  <si>
    <t xml:space="preserve">Tracy</t>
  </si>
  <si>
    <t xml:space="preserve">CA3910012</t>
  </si>
  <si>
    <t xml:space="preserve">Stockton</t>
  </si>
  <si>
    <t xml:space="preserve">CA3910015</t>
  </si>
  <si>
    <t xml:space="preserve">Lathrop City Of</t>
  </si>
  <si>
    <t xml:space="preserve">Lathrop</t>
  </si>
  <si>
    <t xml:space="preserve">CA3910027</t>
  </si>
  <si>
    <t xml:space="preserve">Mountain House Community Services District</t>
  </si>
  <si>
    <t xml:space="preserve">CA4010001</t>
  </si>
  <si>
    <t xml:space="preserve">Arroyo Grande City Of</t>
  </si>
  <si>
    <t xml:space="preserve">Arroyo Grande</t>
  </si>
  <si>
    <t xml:space="preserve">CA4010002</t>
  </si>
  <si>
    <t xml:space="preserve">Atascadero Mutual Water Company</t>
  </si>
  <si>
    <t xml:space="preserve">Atascadero</t>
  </si>
  <si>
    <t xml:space="preserve">2022-05-01</t>
  </si>
  <si>
    <t xml:space="preserve">2023-05-01</t>
  </si>
  <si>
    <t xml:space="preserve">CA4010004</t>
  </si>
  <si>
    <t xml:space="preserve">Grover Beach City Of</t>
  </si>
  <si>
    <t xml:space="preserve">Grover Beach</t>
  </si>
  <si>
    <t xml:space="preserve">CA4010007</t>
  </si>
  <si>
    <t xml:space="preserve">Paso Robles City Of</t>
  </si>
  <si>
    <t xml:space="preserve">El Paso de Robles</t>
  </si>
  <si>
    <t xml:space="preserve">CA4010008</t>
  </si>
  <si>
    <t xml:space="preserve">Pismo Beach City Of</t>
  </si>
  <si>
    <t xml:space="preserve">Pismo Beach</t>
  </si>
  <si>
    <t xml:space="preserve">CA4010009</t>
  </si>
  <si>
    <t xml:space="preserve">San Luis Obispo City Of</t>
  </si>
  <si>
    <t xml:space="preserve">San Luis Obispo</t>
  </si>
  <si>
    <t xml:space="preserve">CA4010011</t>
  </si>
  <si>
    <t xml:space="preserve">Morro Bay City Of</t>
  </si>
  <si>
    <t xml:space="preserve">Morro Bay</t>
  </si>
  <si>
    <t xml:space="preserve">CA4010014</t>
  </si>
  <si>
    <t xml:space="preserve">Cambria Community Service District</t>
  </si>
  <si>
    <t xml:space="preserve">Cambria</t>
  </si>
  <si>
    <t xml:space="preserve">CA4010026</t>
  </si>
  <si>
    <t xml:space="preserve">Nipomo Community Service District</t>
  </si>
  <si>
    <t xml:space="preserve">Nipomo</t>
  </si>
  <si>
    <t xml:space="preserve">CA4110000</t>
  </si>
  <si>
    <t xml:space="preserve">Mid-Peninsula Water District</t>
  </si>
  <si>
    <t xml:space="preserve">Belmont</t>
  </si>
  <si>
    <t xml:space="preserve">CA4110001</t>
  </si>
  <si>
    <t xml:space="preserve">CA4110003</t>
  </si>
  <si>
    <t xml:space="preserve">Burlingame City Of</t>
  </si>
  <si>
    <t xml:space="preserve">Burlingame</t>
  </si>
  <si>
    <t xml:space="preserve">CA4110006</t>
  </si>
  <si>
    <t xml:space="preserve">California Water Service Company Bear Gulch</t>
  </si>
  <si>
    <t xml:space="preserve">BG Bear Gulch</t>
  </si>
  <si>
    <t xml:space="preserve">CA4110007</t>
  </si>
  <si>
    <t xml:space="preserve">California Water Service Company Mid Peninsula</t>
  </si>
  <si>
    <t xml:space="preserve">MPS San Carlos</t>
  </si>
  <si>
    <t xml:space="preserve">CA4110008</t>
  </si>
  <si>
    <t xml:space="preserve">MPS San Mateo</t>
  </si>
  <si>
    <t xml:space="preserve">CA4110009</t>
  </si>
  <si>
    <t xml:space="preserve">California Water Service Company South San Francisco</t>
  </si>
  <si>
    <t xml:space="preserve">SSF South San Francisco</t>
  </si>
  <si>
    <t xml:space="preserve">CA4110011</t>
  </si>
  <si>
    <t xml:space="preserve">Coastside County Water District</t>
  </si>
  <si>
    <t xml:space="preserve">Half Moon Bay</t>
  </si>
  <si>
    <t xml:space="preserve">CA4110013</t>
  </si>
  <si>
    <t xml:space="preserve">Daly City</t>
  </si>
  <si>
    <t xml:space="preserve">CA4110016</t>
  </si>
  <si>
    <t xml:space="preserve">Hillsborough Town Of</t>
  </si>
  <si>
    <t xml:space="preserve">Town of Hillsborough</t>
  </si>
  <si>
    <t xml:space="preserve">CA4110017</t>
  </si>
  <si>
    <t xml:space="preserve">Menlo Park City Of</t>
  </si>
  <si>
    <t xml:space="preserve">City of Menlo Park</t>
  </si>
  <si>
    <t xml:space="preserve">CA4110018</t>
  </si>
  <si>
    <t xml:space="preserve">Millbrae City Of</t>
  </si>
  <si>
    <t xml:space="preserve">Millbrae</t>
  </si>
  <si>
    <t xml:space="preserve">CA4110021</t>
  </si>
  <si>
    <t xml:space="preserve">Estero Municipal Improvement District</t>
  </si>
  <si>
    <t xml:space="preserve">Foster City</t>
  </si>
  <si>
    <t xml:space="preserve">CA4110022</t>
  </si>
  <si>
    <t xml:space="preserve">Redwood City</t>
  </si>
  <si>
    <t xml:space="preserve">CA4110023</t>
  </si>
  <si>
    <t xml:space="preserve">San Bruno City Of</t>
  </si>
  <si>
    <t xml:space="preserve">City of San Bruno</t>
  </si>
  <si>
    <t xml:space="preserve">CA4110024</t>
  </si>
  <si>
    <t xml:space="preserve">East Palo Alto City Of</t>
  </si>
  <si>
    <t xml:space="preserve">East Palo Alto</t>
  </si>
  <si>
    <t xml:space="preserve">CA4110025</t>
  </si>
  <si>
    <t xml:space="preserve">North Coast County Water District</t>
  </si>
  <si>
    <t xml:space="preserve">PACIFICA</t>
  </si>
  <si>
    <t xml:space="preserve">CA4110027</t>
  </si>
  <si>
    <t xml:space="preserve">Westborough Water District</t>
  </si>
  <si>
    <t xml:space="preserve">South San Francisco</t>
  </si>
  <si>
    <t xml:space="preserve">CA4210001</t>
  </si>
  <si>
    <t xml:space="preserve">Carpinteria Valley Water District</t>
  </si>
  <si>
    <t xml:space="preserve">Carpinteria</t>
  </si>
  <si>
    <t xml:space="preserve">CA4210004</t>
  </si>
  <si>
    <t xml:space="preserve">Goleta Water District</t>
  </si>
  <si>
    <t xml:space="preserve">Goleta</t>
  </si>
  <si>
    <t xml:space="preserve">CA4210006</t>
  </si>
  <si>
    <t xml:space="preserve">Lompoc City Of</t>
  </si>
  <si>
    <t xml:space="preserve">Lompoc</t>
  </si>
  <si>
    <t xml:space="preserve">CA4210006A</t>
  </si>
  <si>
    <t xml:space="preserve">CA4210007</t>
  </si>
  <si>
    <t xml:space="preserve">Montecito Water District</t>
  </si>
  <si>
    <t xml:space="preserve">Santa Barbara</t>
  </si>
  <si>
    <t xml:space="preserve">CA4210010</t>
  </si>
  <si>
    <t xml:space="preserve">Santa Barbara City Of</t>
  </si>
  <si>
    <t xml:space="preserve">CA4210011</t>
  </si>
  <si>
    <t xml:space="preserve">Santa Maria City Of</t>
  </si>
  <si>
    <t xml:space="preserve">Santa Maria</t>
  </si>
  <si>
    <t xml:space="preserve">CA4210016</t>
  </si>
  <si>
    <t xml:space="preserve">Golden State Water Company - Orcutt</t>
  </si>
  <si>
    <t xml:space="preserve">CA4310001</t>
  </si>
  <si>
    <t xml:space="preserve">California Water Service Company Los Altos/Suburban</t>
  </si>
  <si>
    <t xml:space="preserve">LAS Los Altos</t>
  </si>
  <si>
    <t xml:space="preserve">CA4310004</t>
  </si>
  <si>
    <t xml:space="preserve">Gilroy City Of</t>
  </si>
  <si>
    <t xml:space="preserve">Cilroy, CA 95020</t>
  </si>
  <si>
    <t xml:space="preserve">CA4310005</t>
  </si>
  <si>
    <t xml:space="preserve">Milpitas City Of</t>
  </si>
  <si>
    <t xml:space="preserve">Milpitas</t>
  </si>
  <si>
    <t xml:space="preserve">CA4310006</t>
  </si>
  <si>
    <t xml:space="preserve">Morgan Hill City Of</t>
  </si>
  <si>
    <t xml:space="preserve">City of Morgan Hill</t>
  </si>
  <si>
    <t xml:space="preserve">CA4310007</t>
  </si>
  <si>
    <t xml:space="preserve">Mountain View City Of</t>
  </si>
  <si>
    <t xml:space="preserve">City of Mountain View</t>
  </si>
  <si>
    <t xml:space="preserve">CA4310009</t>
  </si>
  <si>
    <t xml:space="preserve">Palo Alto City Of</t>
  </si>
  <si>
    <t xml:space="preserve">Palo Alto</t>
  </si>
  <si>
    <t xml:space="preserve">CA4310011</t>
  </si>
  <si>
    <t xml:space="preserve">San Jose Water Company</t>
  </si>
  <si>
    <t xml:space="preserve">San Jose</t>
  </si>
  <si>
    <t xml:space="preserve">CA4310012</t>
  </si>
  <si>
    <t xml:space="preserve">Santa Clara City Of</t>
  </si>
  <si>
    <t xml:space="preserve">Santa Clara</t>
  </si>
  <si>
    <t xml:space="preserve">CA4310014</t>
  </si>
  <si>
    <t xml:space="preserve">Sunnyvale City Of</t>
  </si>
  <si>
    <t xml:space="preserve">Sunnyvale</t>
  </si>
  <si>
    <t xml:space="preserve">CA4310018</t>
  </si>
  <si>
    <t xml:space="preserve">Cupertino City Of</t>
  </si>
  <si>
    <t xml:space="preserve">Cupertino</t>
  </si>
  <si>
    <t xml:space="preserve">CA4310019</t>
  </si>
  <si>
    <t xml:space="preserve">San Jose City Of</t>
  </si>
  <si>
    <t xml:space="preserve">San José</t>
  </si>
  <si>
    <t xml:space="preserve">CA4310020</t>
  </si>
  <si>
    <t xml:space="preserve">CA4310022</t>
  </si>
  <si>
    <t xml:space="preserve">Great Oaks Water Company Incorporated</t>
  </si>
  <si>
    <t xml:space="preserve">CA4410010</t>
  </si>
  <si>
    <t xml:space="preserve">Santa Cruz City Of</t>
  </si>
  <si>
    <t xml:space="preserve">Santa Cruz</t>
  </si>
  <si>
    <t xml:space="preserve">CA4410011</t>
  </si>
  <si>
    <t xml:space="preserve">Watsonville City Of</t>
  </si>
  <si>
    <t xml:space="preserve">Watsonville</t>
  </si>
  <si>
    <t xml:space="preserve">CA4410013</t>
  </si>
  <si>
    <t xml:space="preserve">Scotts Valley Water District</t>
  </si>
  <si>
    <t xml:space="preserve">Scotts Valley Water</t>
  </si>
  <si>
    <t xml:space="preserve">CA4410014</t>
  </si>
  <si>
    <t xml:space="preserve">San Lorenzo Valley Water District</t>
  </si>
  <si>
    <t xml:space="preserve">Boulder Creek</t>
  </si>
  <si>
    <t xml:space="preserve">CA4410017</t>
  </si>
  <si>
    <t xml:space="preserve">Soquel Creek Water District</t>
  </si>
  <si>
    <t xml:space="preserve">Soquel</t>
  </si>
  <si>
    <t xml:space="preserve">CA4510001</t>
  </si>
  <si>
    <t xml:space="preserve">Anderson City Of</t>
  </si>
  <si>
    <t xml:space="preserve">City of Anderson</t>
  </si>
  <si>
    <t xml:space="preserve">CA4510005</t>
  </si>
  <si>
    <t xml:space="preserve">Redding City Of</t>
  </si>
  <si>
    <t xml:space="preserve">Redding</t>
  </si>
  <si>
    <t xml:space="preserve">CA4510006</t>
  </si>
  <si>
    <t xml:space="preserve">Shasta Lake City Of</t>
  </si>
  <si>
    <t xml:space="preserve">Shasta Lake</t>
  </si>
  <si>
    <t xml:space="preserve">CA4710011</t>
  </si>
  <si>
    <t xml:space="preserve">Yreka City Of</t>
  </si>
  <si>
    <t xml:space="preserve">Yreka</t>
  </si>
  <si>
    <t xml:space="preserve">CA4810001</t>
  </si>
  <si>
    <t xml:space="preserve">Benicia City Of</t>
  </si>
  <si>
    <t xml:space="preserve">City of Benicia</t>
  </si>
  <si>
    <t xml:space="preserve">CA4810002</t>
  </si>
  <si>
    <t xml:space="preserve">California Water Service Company Dixon, City of</t>
  </si>
  <si>
    <t xml:space="preserve">DIX Dixon</t>
  </si>
  <si>
    <t xml:space="preserve">CA4810003</t>
  </si>
  <si>
    <t xml:space="preserve">Fairfield City Of</t>
  </si>
  <si>
    <t xml:space="preserve">Fairfield</t>
  </si>
  <si>
    <t xml:space="preserve">CA4810004</t>
  </si>
  <si>
    <t xml:space="preserve">Rio Vista City Of</t>
  </si>
  <si>
    <t xml:space="preserve">Rio Vista</t>
  </si>
  <si>
    <t xml:space="preserve">CA4810005</t>
  </si>
  <si>
    <t xml:space="preserve">Suisun - Solano Water Authority</t>
  </si>
  <si>
    <t xml:space="preserve">Suisun City</t>
  </si>
  <si>
    <t xml:space="preserve">CA4810007</t>
  </si>
  <si>
    <t xml:space="preserve">Vallejo City Of</t>
  </si>
  <si>
    <t xml:space="preserve">Vallejo</t>
  </si>
  <si>
    <t xml:space="preserve">CA4810008</t>
  </si>
  <si>
    <t xml:space="preserve">Vacaville City Of</t>
  </si>
  <si>
    <t xml:space="preserve">Vacaville</t>
  </si>
  <si>
    <t xml:space="preserve">CA4810009</t>
  </si>
  <si>
    <t xml:space="preserve">Dixon City Of</t>
  </si>
  <si>
    <t xml:space="preserve">Dixon</t>
  </si>
  <si>
    <t xml:space="preserve">CA4910002</t>
  </si>
  <si>
    <t xml:space="preserve">Cloverdale City of</t>
  </si>
  <si>
    <t xml:space="preserve">City of Cloverdale</t>
  </si>
  <si>
    <t xml:space="preserve">CA4910004</t>
  </si>
  <si>
    <t xml:space="preserve">Sweetwater Springs Water District</t>
  </si>
  <si>
    <t xml:space="preserve">Guerneville Ca</t>
  </si>
  <si>
    <t xml:space="preserve">CA4910005</t>
  </si>
  <si>
    <t xml:space="preserve">Healdsburg City Of</t>
  </si>
  <si>
    <t xml:space="preserve">Healdsburg</t>
  </si>
  <si>
    <t xml:space="preserve">CA4910006</t>
  </si>
  <si>
    <t xml:space="preserve">Petaluma City Of</t>
  </si>
  <si>
    <t xml:space="preserve">City of Petaluma</t>
  </si>
  <si>
    <t xml:space="preserve">CA4910009</t>
  </si>
  <si>
    <t xml:space="preserve">Santa Rosa City Of</t>
  </si>
  <si>
    <t xml:space="preserve">Santa Rosa</t>
  </si>
  <si>
    <t xml:space="preserve">CA4910012</t>
  </si>
  <si>
    <t xml:space="preserve">Sonoma City Of</t>
  </si>
  <si>
    <t xml:space="preserve">Sonoma</t>
  </si>
  <si>
    <t xml:space="preserve">CA4910013</t>
  </si>
  <si>
    <t xml:space="preserve">Valley Of The Moon Water District</t>
  </si>
  <si>
    <t xml:space="preserve">El Verano</t>
  </si>
  <si>
    <t xml:space="preserve">CA4910014</t>
  </si>
  <si>
    <t xml:space="preserve">Rohnert Park City Of</t>
  </si>
  <si>
    <t xml:space="preserve">Rohnert Park</t>
  </si>
  <si>
    <t xml:space="preserve">CA4910017</t>
  </si>
  <si>
    <t xml:space="preserve">Windsor Town Of</t>
  </si>
  <si>
    <t xml:space="preserve">Town of Windsor</t>
  </si>
  <si>
    <t xml:space="preserve">CA4910023</t>
  </si>
  <si>
    <t xml:space="preserve">Fulton, Larkfield, Santa Rosa,</t>
  </si>
  <si>
    <t xml:space="preserve">CA5010005</t>
  </si>
  <si>
    <t xml:space="preserve">Modesto City Of</t>
  </si>
  <si>
    <t xml:space="preserve">City of Modesto</t>
  </si>
  <si>
    <t xml:space="preserve">CA5010010</t>
  </si>
  <si>
    <t xml:space="preserve">Modesto</t>
  </si>
  <si>
    <t xml:space="preserve">CA5010013</t>
  </si>
  <si>
    <t xml:space="preserve">Newman City of</t>
  </si>
  <si>
    <t xml:space="preserve">City of Newman</t>
  </si>
  <si>
    <t xml:space="preserve">CA5010014</t>
  </si>
  <si>
    <t xml:space="preserve">Oakdale City Of</t>
  </si>
  <si>
    <t xml:space="preserve">Oakdale</t>
  </si>
  <si>
    <t xml:space="preserve">CA5010017</t>
  </si>
  <si>
    <t xml:space="preserve">Patterson City Of</t>
  </si>
  <si>
    <t xml:space="preserve">Patterson</t>
  </si>
  <si>
    <t xml:space="preserve">CA5010018</t>
  </si>
  <si>
    <t xml:space="preserve">Riverbank City Of</t>
  </si>
  <si>
    <t xml:space="preserve">City of Riverbank</t>
  </si>
  <si>
    <t xml:space="preserve">CA5010019</t>
  </si>
  <si>
    <t xml:space="preserve">Turlock City Of</t>
  </si>
  <si>
    <t xml:space="preserve">Turlock</t>
  </si>
  <si>
    <t xml:space="preserve">CA5010028</t>
  </si>
  <si>
    <t xml:space="preserve">Ceres City Of</t>
  </si>
  <si>
    <t xml:space="preserve">Ceres</t>
  </si>
  <si>
    <t xml:space="preserve">CA5110002</t>
  </si>
  <si>
    <t xml:space="preserve">Yuba City</t>
  </si>
  <si>
    <t xml:space="preserve">CA5210004</t>
  </si>
  <si>
    <t xml:space="preserve">Red Bluff City Of</t>
  </si>
  <si>
    <t xml:space="preserve">Red Bluff</t>
  </si>
  <si>
    <t xml:space="preserve">CA5410002</t>
  </si>
  <si>
    <t xml:space="preserve">Dinuba City Of</t>
  </si>
  <si>
    <t xml:space="preserve">CA5410003</t>
  </si>
  <si>
    <t xml:space="preserve">Exeter City Of</t>
  </si>
  <si>
    <t xml:space="preserve">Exeter</t>
  </si>
  <si>
    <t xml:space="preserve">CA5410010</t>
  </si>
  <si>
    <t xml:space="preserve">CA5410015</t>
  </si>
  <si>
    <t xml:space="preserve">Tulare City Of</t>
  </si>
  <si>
    <t xml:space="preserve">Tulare</t>
  </si>
  <si>
    <t xml:space="preserve">CA5410016</t>
  </si>
  <si>
    <t xml:space="preserve">California Water Service Company Visalia</t>
  </si>
  <si>
    <t xml:space="preserve">VIS Visalia</t>
  </si>
  <si>
    <t xml:space="preserve">CA5510001</t>
  </si>
  <si>
    <t xml:space="preserve">Tuolumne Utilities District</t>
  </si>
  <si>
    <t xml:space="preserve">Sonora</t>
  </si>
  <si>
    <t xml:space="preserve">CA5510009</t>
  </si>
  <si>
    <t xml:space="preserve">Groveland Community Services District</t>
  </si>
  <si>
    <t xml:space="preserve">Groveland/Big Oak Flat</t>
  </si>
  <si>
    <t xml:space="preserve">CA5510012</t>
  </si>
  <si>
    <t xml:space="preserve">CA5610007</t>
  </si>
  <si>
    <t xml:space="preserve">Oxnard City Of</t>
  </si>
  <si>
    <t xml:space="preserve">Oxnard</t>
  </si>
  <si>
    <t xml:space="preserve">CA5610009</t>
  </si>
  <si>
    <t xml:space="preserve">Port Hueneme City Of</t>
  </si>
  <si>
    <t xml:space="preserve">Port Hueneme</t>
  </si>
  <si>
    <t xml:space="preserve">CA5610011</t>
  </si>
  <si>
    <t xml:space="preserve">Santa Paula City Of</t>
  </si>
  <si>
    <t xml:space="preserve">City of Santa Paula</t>
  </si>
  <si>
    <t xml:space="preserve">CA5610016</t>
  </si>
  <si>
    <t xml:space="preserve">California Water Service Company Westlake</t>
  </si>
  <si>
    <t xml:space="preserve">WLK Westlake</t>
  </si>
  <si>
    <t xml:space="preserve">CA5610017</t>
  </si>
  <si>
    <t xml:space="preserve">San Buenaventura City Of (Ventura)</t>
  </si>
  <si>
    <t xml:space="preserve">Ventura</t>
  </si>
  <si>
    <t xml:space="preserve">CA5610018</t>
  </si>
  <si>
    <t xml:space="preserve">Ventura County Waterworks District No 01 - Moorpark</t>
  </si>
  <si>
    <t xml:space="preserve">Moorpark</t>
  </si>
  <si>
    <t xml:space="preserve">CA5610019</t>
  </si>
  <si>
    <t xml:space="preserve">Camarillo City Of</t>
  </si>
  <si>
    <t xml:space="preserve">Camarillo</t>
  </si>
  <si>
    <t xml:space="preserve">CA5610020</t>
  </si>
  <si>
    <t xml:space="preserve">Thousand Oaks City Of</t>
  </si>
  <si>
    <t xml:space="preserve">Thousand Oaks</t>
  </si>
  <si>
    <t xml:space="preserve">CA5610020A</t>
  </si>
  <si>
    <t xml:space="preserve">CA5610023</t>
  </si>
  <si>
    <t xml:space="preserve">Ventura County Waterworks District No 08 - Simi Valley</t>
  </si>
  <si>
    <t xml:space="preserve">Simi Valley</t>
  </si>
  <si>
    <t xml:space="preserve">CA5610024</t>
  </si>
  <si>
    <t xml:space="preserve">Casitas Municipal Water District</t>
  </si>
  <si>
    <t xml:space="preserve">Oak View</t>
  </si>
  <si>
    <t xml:space="preserve">CA5610040</t>
  </si>
  <si>
    <t xml:space="preserve">California American Water Company - Ventura District</t>
  </si>
  <si>
    <t xml:space="preserve">Newbury Park, Thousand Oaks, Camarillo, Ojai, Dos Vientos Ranch, Hidden Valley, Malibu</t>
  </si>
  <si>
    <t xml:space="preserve">CA5610043</t>
  </si>
  <si>
    <t xml:space="preserve">Triunfo Sanitation District/Oak Park Water Service</t>
  </si>
  <si>
    <t xml:space="preserve">Oak Park</t>
  </si>
  <si>
    <t xml:space="preserve">CA5610059</t>
  </si>
  <si>
    <t xml:space="preserve">Golden State Water Company - Simi Valley</t>
  </si>
  <si>
    <t xml:space="preserve">CA5610063</t>
  </si>
  <si>
    <t xml:space="preserve">Camrosa Water District</t>
  </si>
  <si>
    <t xml:space="preserve">CA5710001</t>
  </si>
  <si>
    <t xml:space="preserve">Davis City Of</t>
  </si>
  <si>
    <t xml:space="preserve">Davis</t>
  </si>
  <si>
    <t xml:space="preserve">CA5710003</t>
  </si>
  <si>
    <t xml:space="preserve">West Sacramento City Of</t>
  </si>
  <si>
    <t xml:space="preserve">West Sacramento</t>
  </si>
  <si>
    <t xml:space="preserve">CA5710006</t>
  </si>
  <si>
    <t xml:space="preserve">Woodland City Of</t>
  </si>
  <si>
    <t xml:space="preserve">Woodland</t>
  </si>
  <si>
    <t xml:space="preserve">CA5805001</t>
  </si>
  <si>
    <t xml:space="preserve">Olivehurst Public Utilities District</t>
  </si>
  <si>
    <t xml:space="preserve">Olivehurst</t>
  </si>
  <si>
    <t xml:space="preserve">CA5810001</t>
  </si>
  <si>
    <t xml:space="preserve">California Water Service Company Marysville</t>
  </si>
  <si>
    <t xml:space="preserve">MRL Marysville</t>
  </si>
  <si>
    <t xml:space="preserve">CA5810002</t>
  </si>
  <si>
    <t xml:space="preserve">Linda County Water District</t>
  </si>
  <si>
    <t xml:space="preserve">Marysville</t>
  </si>
  <si>
    <t xml:space="preserve">CA5810003</t>
  </si>
  <si>
    <t xml:space="preserve">Yillar bo'yicha pivot jadval, 2016-2024</t>
  </si>
  <si>
    <t xml:space="preserve">2015 va 2025 chala yillar bo'lgani uchun chiqarilgan.</t>
  </si>
  <si>
    <t xml:space="preserve">Data</t>
  </si>
  <si>
    <t xml:space="preserve">auditlar</t>
  </si>
  <si>
    <t xml:space="preserve">o'rtacha NRW %</t>
  </si>
  <si>
    <t xml:space="preserve">o'rtacha gal/ulanish/kun</t>
  </si>
  <si>
    <t xml:space="preserve">o'rtacha ishonchlilik balli</t>
  </si>
  <si>
    <t xml:space="preserve">Jami</t>
  </si>
  <si>
    <t xml:space="preserve">Tizimlar bo'yicha pivot jadval</t>
  </si>
  <si>
    <t xml:space="preserve">Guruhlash tizim nomi bo'yicha. Bir tashkilotning bir necha tizimi birlashadi; pws_id darajasidagi taqqoslash reyting_farqi varag'ida.</t>
  </si>
  <si>
    <t xml:space="preserve">Yillar bo'yicha nazorat jadvali (Excel formulalari bilan)</t>
  </si>
  <si>
    <t xml:space="preserve">Yillik ko'rsatkichlar AVERAGEIFS va COUNTIFS formulalari bilan qayta hisoblangan. Python hisobidan mustaqil, tekshirish uchun. 2015 va 2025 chala yillar, chiqarilgan.</t>
  </si>
  <si>
    <t xml:space="preserve">Varaqlar</t>
  </si>
  <si>
    <t xml:space="preserve">Varaq</t>
  </si>
  <si>
    <t xml:space="preserve">Nima</t>
  </si>
  <si>
    <t xml:space="preserve">malumot</t>
  </si>
  <si>
    <t xml:space="preserve">3541 audit, 13 ustun. Pivot jadvallar uchun manba.</t>
  </si>
  <si>
    <t xml:space="preserve">pivot_yillar</t>
  </si>
  <si>
    <t xml:space="preserve">Yillar bo'yicha, 2016-2024.</t>
  </si>
  <si>
    <t xml:space="preserve">pivot_tizimlar</t>
  </si>
  <si>
    <t xml:space="preserve">428 tizim bo'yicha, tizim nomi darajasida.</t>
  </si>
  <si>
    <t xml:space="preserve">yillar_nazorat</t>
  </si>
  <si>
    <t xml:space="preserve">Yillik ko'rsatkichlar formulalar bilan mustaqil hisoblangan.</t>
  </si>
  <si>
    <t xml:space="preserve">reyting_farqi</t>
  </si>
  <si>
    <t xml:space="preserve">Ikki ko'rsatkich bo'yicha o'rinlar farqi, pws_id darajasida.</t>
  </si>
  <si>
    <t xml:space="preserve">Ustunlar</t>
  </si>
  <si>
    <t xml:space="preserve">hisobga olinmagan suv / tizimga berilgan suv x 100</t>
  </si>
  <si>
    <t xml:space="preserve">real yo'qotish, bir ulanishga kuniga, gallon</t>
  </si>
  <si>
    <t xml:space="preserve">audit ishonchliligi balli, 0-100. O'lchov sifatini ko'rsatadi, yo'qotish miqdorini emas</t>
  </si>
  <si>
    <t xml:space="preserve">manbadagi yillik zarar, dollar. 31 auditda bo'sh</t>
  </si>
  <si>
    <t xml:space="preserve">period_start dan olingan</t>
  </si>
  <si>
    <t xml:space="preserve">Manba: CA DWR, tasdiqlangan suv yo'qotish auditlari, 2026-09-04. Chegaralar: zichlik &gt;= 30, ulanishlar &gt;= 3000.</t>
  </si>
  <si>
    <t xml:space="preserve">Ikki ko'rsatkich, ikki xil reyting</t>
  </si>
  <si>
    <t xml:space="preserve">Har bir tizim uchun ikkala ko'rsatkichning yillar bo'yicha o'rtachasi olindi va 428 tizim ichida o'rni belgilandi. Ro'yxat o'rinlar farqi bo'yicha kamayish tartibida.</t>
  </si>
  <si>
    <t xml:space="preserve">tizim nomi</t>
  </si>
  <si>
    <t xml:space="preserve">o'rin (foiz)</t>
  </si>
  <si>
    <t xml:space="preserve">o'rin (gallon)</t>
  </si>
  <si>
    <t xml:space="preserve">o'rinlar farqi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</si>
</sst>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#,##0"/>
    <numFmt numFmtId="167" formatCode="#,##0.0"/>
    <numFmt numFmtId="168" formatCode="0"/>
    <numFmt numFmtId="169" formatCode="\$#,##0"/>
    <numFmt numFmtId="170" formatCode="0.00"/>
    <numFmt numFmtId="171" formatCode="[$-409]#,##0"/>
    <numFmt numFmtId="172" formatCode="[$-409]0.0"/>
    <numFmt numFmtId="173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i val="true"/>
      <sz val="9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8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8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8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8" fillId="0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8" fillId="0" borderId="1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1" fontId="10" fillId="0" borderId="17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8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9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8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0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41" createdVersion="3">
  <cacheSource type="worksheet">
    <worksheetSource ref="A1:M3542" sheet="malumot"/>
  </cacheSource>
  <cacheFields count="13">
    <cacheField name="audit_id" numFmtId="0">
      <sharedItems containsSemiMixedTypes="0" containsString="0" containsNumber="1" containsInteger="1" minValue="1" maxValue="4917" count="354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103"/>
        <n v="104"/>
        <n v="105"/>
        <n v="106"/>
        <n v="109"/>
        <n v="110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7"/>
        <n v="508"/>
        <n v="509"/>
        <n v="510"/>
        <n v="511"/>
        <n v="512"/>
        <n v="513"/>
        <n v="514"/>
        <n v="515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703"/>
        <n v="704"/>
        <n v="705"/>
        <n v="706"/>
        <n v="707"/>
        <n v="708"/>
        <n v="709"/>
        <n v="710"/>
        <n v="711"/>
        <n v="712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79"/>
        <n v="780"/>
        <n v="781"/>
        <n v="782"/>
        <n v="783"/>
        <n v="784"/>
        <n v="785"/>
        <n v="786"/>
        <n v="787"/>
        <n v="797"/>
        <n v="798"/>
        <n v="799"/>
        <n v="800"/>
        <n v="801"/>
        <n v="802"/>
        <n v="803"/>
        <n v="804"/>
        <n v="805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7"/>
        <n v="918"/>
        <n v="919"/>
        <n v="920"/>
        <n v="921"/>
        <n v="922"/>
        <n v="923"/>
        <n v="924"/>
        <n v="925"/>
        <n v="926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7"/>
        <n v="1048"/>
        <n v="1049"/>
        <n v="1050"/>
        <n v="1051"/>
        <n v="1052"/>
        <n v="1053"/>
        <n v="1054"/>
        <n v="1055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510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33"/>
        <n v="1634"/>
        <n v="1635"/>
        <n v="1636"/>
        <n v="1637"/>
        <n v="1638"/>
        <n v="1639"/>
        <n v="1640"/>
        <n v="1641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8"/>
        <n v="1719"/>
        <n v="1720"/>
        <n v="1721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62"/>
        <n v="1863"/>
        <n v="1864"/>
        <n v="1865"/>
        <n v="1866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912"/>
        <n v="1913"/>
        <n v="1914"/>
        <n v="1915"/>
        <n v="1916"/>
        <n v="1917"/>
        <n v="1918"/>
        <n v="1919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66"/>
        <n v="2367"/>
        <n v="2368"/>
        <n v="2369"/>
        <n v="2370"/>
        <n v="2371"/>
        <n v="2372"/>
        <n v="2373"/>
        <n v="2374"/>
        <n v="2378"/>
        <n v="2379"/>
        <n v="2380"/>
        <n v="2381"/>
        <n v="2454"/>
        <n v="2455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32"/>
        <n v="2633"/>
        <n v="2634"/>
        <n v="2635"/>
        <n v="2636"/>
        <n v="2637"/>
        <n v="2638"/>
        <n v="2639"/>
        <n v="2640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9"/>
        <n v="2860"/>
        <n v="2861"/>
        <n v="2862"/>
        <n v="2863"/>
        <n v="2864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9"/>
        <n v="3070"/>
        <n v="3071"/>
        <n v="3072"/>
        <n v="3073"/>
        <n v="3074"/>
        <n v="3075"/>
        <n v="3076"/>
        <n v="3077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85"/>
        <n v="3186"/>
        <n v="3187"/>
        <n v="3188"/>
        <n v="3189"/>
        <n v="3190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306"/>
        <n v="3307"/>
        <n v="3308"/>
        <n v="3309"/>
        <n v="3310"/>
        <n v="3311"/>
        <n v="3312"/>
        <n v="3313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724"/>
        <n v="3725"/>
        <n v="3726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91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79"/>
        <n v="4280"/>
        <n v="4281"/>
        <n v="4282"/>
        <n v="4283"/>
        <n v="4284"/>
        <n v="4285"/>
        <n v="4289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7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56"/>
        <n v="4457"/>
        <n v="4458"/>
        <n v="4459"/>
        <n v="4460"/>
        <n v="4461"/>
        <n v="4462"/>
        <n v="4463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95"/>
        <n v="4596"/>
        <n v="4597"/>
        <n v="4598"/>
        <n v="4599"/>
        <n v="4600"/>
        <n v="4601"/>
        <n v="4602"/>
        <n v="4603"/>
        <n v="4620"/>
        <n v="4621"/>
        <n v="4622"/>
        <n v="4623"/>
        <n v="4624"/>
        <n v="4625"/>
        <n v="4626"/>
        <n v="4627"/>
        <n v="4628"/>
        <n v="4630"/>
        <n v="4631"/>
        <n v="4632"/>
        <n v="4633"/>
        <n v="4634"/>
        <n v="4635"/>
        <n v="4636"/>
        <n v="4637"/>
        <n v="4638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6"/>
        <n v="4717"/>
        <n v="4718"/>
        <n v="4719"/>
        <n v="4720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9"/>
        <n v="4780"/>
        <n v="4781"/>
        <n v="4782"/>
        <n v="4783"/>
        <n v="4784"/>
        <n v="4785"/>
        <n v="4786"/>
        <n v="4787"/>
        <n v="4788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</sharedItems>
    </cacheField>
    <cacheField name="pws_id" numFmtId="0">
      <sharedItems count="428">
        <s v="CA0110001"/>
        <s v="CA0110003"/>
        <s v="CA0110005"/>
        <s v="CA0110006"/>
        <s v="CA0110008"/>
        <s v="CA0110009"/>
        <s v="CA0110011"/>
        <s v="CA0310012"/>
        <s v="CA0410002"/>
        <s v="CA0410005"/>
        <s v="CA0410006"/>
        <s v="CA0410007"/>
        <s v="CA0410008"/>
        <s v="CA0410011"/>
        <s v="CA0510006"/>
        <s v="CA0510016"/>
        <s v="CA0510017"/>
        <s v="CA0710001"/>
        <s v="CA0710002"/>
        <s v="CA0710003"/>
        <s v="CA0710004"/>
        <s v="CA0710006"/>
        <s v="CA0710007"/>
        <s v="CA0710008"/>
        <s v="CA0710009"/>
        <s v="CA0810001"/>
        <s v="CA0910001"/>
        <s v="CA0910002"/>
        <s v="CA1010003"/>
        <s v="CA1010004"/>
        <s v="CA1010007"/>
        <s v="CA1010018"/>
        <s v="CA1010019"/>
        <s v="CA1010024"/>
        <s v="CA1010027"/>
        <s v="CA1010029"/>
        <s v="CA1210001"/>
        <s v="CA1210004"/>
        <s v="CA1210006"/>
        <s v="CA1210009"/>
        <s v="CA1210016"/>
        <s v="CA1310001"/>
        <s v="CA1310002"/>
        <s v="CA1310004"/>
        <s v="CA1310006"/>
        <s v="CA1510001"/>
        <s v="CA1510003"/>
        <s v="CA1510005"/>
        <s v="CA1510006"/>
        <s v="CA1510012"/>
        <s v="CA1510015"/>
        <s v="CA1510017"/>
        <s v="CA1510018"/>
        <s v="CA1510019"/>
        <s v="CA1510020"/>
        <s v="CA1510021"/>
        <s v="CA1510024"/>
        <s v="CA1510029"/>
        <s v="CA1510031"/>
        <s v="CA1510055"/>
        <s v="CA1610003"/>
        <s v="CA1810001"/>
        <s v="CA1910001"/>
        <s v="CA1910003"/>
        <s v="CA1910004"/>
        <s v="CA1910005"/>
        <s v="CA1910007"/>
        <s v="CA1910009"/>
        <s v="CA1910011"/>
        <s v="CA1910013"/>
        <s v="CA1910017"/>
        <s v="CA1910019"/>
        <s v="CA1910020"/>
        <s v="CA1910021"/>
        <s v="CA1910024"/>
        <s v="CA1910026"/>
        <s v="CA1910028"/>
        <s v="CA1910030"/>
        <s v="CA1910033"/>
        <s v="CA1910034"/>
        <s v="CA1910036"/>
        <s v="CA1910038"/>
        <s v="CA1910039"/>
        <s v="CA1910040"/>
        <s v="CA1910042"/>
        <s v="CA1910043"/>
        <s v="CA1910044"/>
        <s v="CA1910047"/>
        <s v="CA1910049"/>
        <s v="CA1910051"/>
        <s v="CA1910052"/>
        <s v="CA1910059"/>
        <s v="CA1910062"/>
        <s v="CA1910063"/>
        <s v="CA1910065"/>
        <s v="CA1910067"/>
        <s v="CA1910070"/>
        <s v="CA1910073"/>
        <s v="CA1910077"/>
        <s v="CA1910079"/>
        <s v="CA1910083"/>
        <s v="CA1910090"/>
        <s v="CA1910091"/>
        <s v="CA1910092"/>
        <s v="CA1910096"/>
        <s v="CA1910098"/>
        <s v="CA1910101"/>
        <s v="CA1910102"/>
        <s v="CA1910104"/>
        <s v="CA1910105"/>
        <s v="CA1910124"/>
        <s v="CA1910125"/>
        <s v="CA1910126"/>
        <s v="CA1910127"/>
        <s v="CA1910130"/>
        <s v="CA1910134"/>
        <s v="CA1910139"/>
        <s v="CA1910140"/>
        <s v="CA1910142"/>
        <s v="CA1910143"/>
        <s v="CA1910144"/>
        <s v="CA1910146"/>
        <s v="CA1910148"/>
        <s v="CA1910149"/>
        <s v="CA1910152"/>
        <s v="CA1910154"/>
        <s v="CA1910155"/>
        <s v="CA1910156"/>
        <s v="CA1910157"/>
        <s v="CA1910161"/>
        <s v="CA1910166"/>
        <s v="CA1910173"/>
        <s v="CA1910174"/>
        <s v="CA1910179"/>
        <s v="CA1910186"/>
        <s v="CA1910191"/>
        <s v="CA1910194"/>
        <s v="CA1910203"/>
        <s v="CA1910204"/>
        <s v="CA1910205"/>
        <s v="CA1910211"/>
        <s v="CA1910212"/>
        <s v="CA1910213"/>
        <s v="CA1910223"/>
        <s v="CA1910225"/>
        <s v="CA1910234"/>
        <s v="CA1910239"/>
        <s v="CA1910240"/>
        <s v="CA1910245"/>
        <s v="CA2010001"/>
        <s v="CA2010002"/>
        <s v="CA2110002"/>
        <s v="CA2110003"/>
        <s v="CA2110008"/>
        <s v="CA2310003"/>
        <s v="CA2410001"/>
        <s v="CA2410004"/>
        <s v="CA2410005"/>
        <s v="CA2410009"/>
        <s v="CA2610001"/>
        <s v="CA2710001"/>
        <s v="CA2710004"/>
        <s v="CA2710008"/>
        <s v="CA2710009"/>
        <s v="CA2710010"/>
        <s v="CA2710011"/>
        <s v="CA2710017"/>
        <s v="CA2810003"/>
        <s v="CA2810005"/>
        <s v="CA2910003"/>
        <s v="CA2910004"/>
        <s v="CA2910006"/>
        <s v="CA2910023"/>
        <s v="CA3010001"/>
        <s v="CA3010002"/>
        <s v="CA3010003"/>
        <s v="CA3010004"/>
        <s v="CA3010010"/>
        <s v="CA3010017"/>
        <s v="CA3010018"/>
        <s v="CA3010022"/>
        <s v="CA3010023"/>
        <s v="CA3010027"/>
        <s v="CA3010030"/>
        <s v="CA3010035"/>
        <s v="CA3010036"/>
        <s v="CA3010037"/>
        <s v="CA3010038"/>
        <s v="CA3010041"/>
        <s v="CA3010042"/>
        <s v="CA3010046"/>
        <s v="CA3010053"/>
        <s v="CA3010062"/>
        <s v="CA3010064"/>
        <s v="CA3010069"/>
        <s v="CA3010073"/>
        <s v="CA3010079"/>
        <s v="CA3010092"/>
        <s v="CA3010094"/>
        <s v="CA3010100"/>
        <s v="CA3010101"/>
        <s v="CA3110001"/>
        <s v="CA3110004"/>
        <s v="CA3110005"/>
        <s v="CA3110008"/>
        <s v="CA3110010"/>
        <s v="CA3110025"/>
        <s v="CA3110026"/>
        <s v="CA3310001"/>
        <s v="CA3310002"/>
        <s v="CA3310003"/>
        <s v="CA3310005"/>
        <s v="CA3310006"/>
        <s v="CA3310007"/>
        <s v="CA3310008"/>
        <s v="CA3310009"/>
        <s v="CA3310012"/>
        <s v="CA3310016"/>
        <s v="CA3310020"/>
        <s v="CA3310021"/>
        <s v="CA3310022"/>
        <s v="CA3310025"/>
        <s v="CA3310031"/>
        <s v="CA3310032"/>
        <s v="CA3310036"/>
        <s v="CA3310037"/>
        <s v="CA3310038"/>
        <s v="CA3310044"/>
        <s v="CA3310049"/>
        <s v="CA3410001"/>
        <s v="CA3410002"/>
        <s v="CA3410004"/>
        <s v="CA3410006"/>
        <s v="CA3410008"/>
        <s v="CA3410009"/>
        <s v="CA3410010"/>
        <s v="CA3410011"/>
        <s v="CA3410013"/>
        <s v="CA3410014"/>
        <s v="CA3410015"/>
        <s v="CA3410016"/>
        <s v="CA3410017"/>
        <s v="CA3410018"/>
        <s v="CA3410020"/>
        <s v="CA3410021"/>
        <s v="CA3410023"/>
        <s v="CA3410029"/>
        <s v="CA3410031"/>
        <s v="CA3410034"/>
        <s v="CA3410704"/>
        <s v="CA3510001"/>
        <s v="CA3510003"/>
        <s v="CA3610001"/>
        <s v="CA3610003"/>
        <s v="CA3610004"/>
        <s v="CA3610005"/>
        <s v="CA3610008"/>
        <s v="CA3610012"/>
        <s v="CA3610013"/>
        <s v="CA3610014"/>
        <s v="CA3610015"/>
        <s v="CA3610018"/>
        <s v="CA3610024"/>
        <s v="CA3610029"/>
        <s v="CA3610034"/>
        <s v="CA3610036"/>
        <s v="CA3610037"/>
        <s v="CA3610038"/>
        <s v="CA3610039"/>
        <s v="CA3610041"/>
        <s v="CA3610043"/>
        <s v="CA3610044"/>
        <s v="CA3610049"/>
        <s v="CA3610050"/>
        <s v="CA3610052"/>
        <s v="CA3610055"/>
        <s v="CA3610057"/>
        <s v="CA3610062"/>
        <s v="CA3610064"/>
        <s v="CA3610073"/>
        <s v="CA3610121"/>
        <s v="CA3710001"/>
        <s v="CA3710002"/>
        <s v="CA3710005"/>
        <s v="CA3710006"/>
        <s v="CA3710008"/>
        <s v="CA3710010"/>
        <s v="CA3710013"/>
        <s v="CA3710014"/>
        <s v="CA3710015"/>
        <s v="CA3710018"/>
        <s v="CA3710019"/>
        <s v="CA3710020"/>
        <s v="CA3710021"/>
        <s v="CA3710023"/>
        <s v="CA3710025"/>
        <s v="CA3710026"/>
        <s v="CA3710027"/>
        <s v="CA3710029"/>
        <s v="CA3710034"/>
        <s v="CA3710037"/>
        <s v="CA3710071"/>
        <s v="CA3810011"/>
        <s v="CA3901111"/>
        <s v="CA3910001"/>
        <s v="CA3910004"/>
        <s v="CA3910005"/>
        <s v="CA3910006"/>
        <s v="CA3910007"/>
        <s v="CA3910011"/>
        <s v="CA3910012"/>
        <s v="CA3910015"/>
        <s v="CA3910027"/>
        <s v="CA4010001"/>
        <s v="CA4010002"/>
        <s v="CA4010004"/>
        <s v="CA4010007"/>
        <s v="CA4010008"/>
        <s v="CA4010009"/>
        <s v="CA4010011"/>
        <s v="CA4010014"/>
        <s v="CA4010026"/>
        <s v="CA4110000"/>
        <s v="CA4110001"/>
        <s v="CA4110003"/>
        <s v="CA4110006"/>
        <s v="CA4110007"/>
        <s v="CA4110008"/>
        <s v="CA4110009"/>
        <s v="CA4110011"/>
        <s v="CA4110013"/>
        <s v="CA4110016"/>
        <s v="CA4110017"/>
        <s v="CA4110018"/>
        <s v="CA4110021"/>
        <s v="CA4110022"/>
        <s v="CA4110023"/>
        <s v="CA4110024"/>
        <s v="CA4110025"/>
        <s v="CA4110027"/>
        <s v="CA4210001"/>
        <s v="CA4210004"/>
        <s v="CA4210006"/>
        <s v="CA4210006A"/>
        <s v="CA4210007"/>
        <s v="CA4210010"/>
        <s v="CA4210011"/>
        <s v="CA4210016"/>
        <s v="CA4310001"/>
        <s v="CA4310004"/>
        <s v="CA4310005"/>
        <s v="CA4310006"/>
        <s v="CA4310007"/>
        <s v="CA4310009"/>
        <s v="CA4310011"/>
        <s v="CA4310012"/>
        <s v="CA4310014"/>
        <s v="CA4310018"/>
        <s v="CA4310019"/>
        <s v="CA4310020"/>
        <s v="CA4310022"/>
        <s v="CA4410010"/>
        <s v="CA4410011"/>
        <s v="CA4410013"/>
        <s v="CA4410014"/>
        <s v="CA4410017"/>
        <s v="CA4510001"/>
        <s v="CA4510005"/>
        <s v="CA4510006"/>
        <s v="CA4710011"/>
        <s v="CA4810001"/>
        <s v="CA4810002"/>
        <s v="CA4810003"/>
        <s v="CA4810004"/>
        <s v="CA4810005"/>
        <s v="CA4810007"/>
        <s v="CA4810008"/>
        <s v="CA4810009"/>
        <s v="CA4910002"/>
        <s v="CA4910004"/>
        <s v="CA4910005"/>
        <s v="CA4910006"/>
        <s v="CA4910009"/>
        <s v="CA4910012"/>
        <s v="CA4910013"/>
        <s v="CA4910014"/>
        <s v="CA4910017"/>
        <s v="CA4910023"/>
        <s v="CA5010005"/>
        <s v="CA5010010"/>
        <s v="CA5010013"/>
        <s v="CA5010014"/>
        <s v="CA5010017"/>
        <s v="CA5010018"/>
        <s v="CA5010019"/>
        <s v="CA5010028"/>
        <s v="CA5110002"/>
        <s v="CA5210004"/>
        <s v="CA5410002"/>
        <s v="CA5410003"/>
        <s v="CA5410010"/>
        <s v="CA5410015"/>
        <s v="CA5410016"/>
        <s v="CA5510001"/>
        <s v="CA5510009"/>
        <s v="CA5510012"/>
        <s v="CA5610007"/>
        <s v="CA5610009"/>
        <s v="CA5610011"/>
        <s v="CA5610016"/>
        <s v="CA5610017"/>
        <s v="CA5610018"/>
        <s v="CA5610019"/>
        <s v="CA5610020"/>
        <s v="CA5610020A"/>
        <s v="CA5610023"/>
        <s v="CA5610024"/>
        <s v="CA5610040"/>
        <s v="CA5610043"/>
        <s v="CA5610059"/>
        <s v="CA5610063"/>
        <s v="CA5710001"/>
        <s v="CA5710003"/>
        <s v="CA5710006"/>
        <s v="CA5805001"/>
        <s v="CA5810001"/>
        <s v="CA5810002"/>
        <s v="CA5810003"/>
      </sharedItems>
    </cacheField>
    <cacheField name="period_start" numFmtId="0">
      <sharedItems count="31">
        <s v="2015-07-01"/>
        <s v="2016-01-01"/>
        <s v="2016-06-01"/>
        <s v="2016-07-01"/>
        <s v="2017-01-01"/>
        <s v="2017-07-01"/>
        <s v="2018-01-01"/>
        <s v="2018-06-01"/>
        <s v="2018-07-01"/>
        <s v="2019-01-01"/>
        <s v="2019-06-01"/>
        <s v="2019-07-01"/>
        <s v="2020-01-01"/>
        <s v="2020-07-01"/>
        <s v="2020-10-01"/>
        <s v="2021-01-01"/>
        <s v="2021-06-01"/>
        <s v="2021-07-01"/>
        <s v="2021-12-13"/>
        <s v="2021-12-21"/>
        <s v="2022-01-01"/>
        <s v="2022-05-01"/>
        <s v="2022-07-01"/>
        <s v="2022-12-13"/>
        <s v="2022-12-19"/>
        <s v="2023-01-01"/>
        <s v="2023-05-01"/>
        <s v="2023-07-01"/>
        <s v="2024-01-01"/>
        <s v="2024-07-01"/>
        <s v="2025-01-01"/>
      </sharedItems>
    </cacheField>
    <cacheField name="service_connections" numFmtId="0">
      <sharedItems containsSemiMixedTypes="0" containsString="0" containsNumber="1" minValue="3010" maxValue="755768" count="2971">
        <n v="3010"/>
        <n v="3011"/>
        <n v="3014"/>
        <n v="3021"/>
        <n v="3027"/>
        <n v="3029.66666666667"/>
        <n v="3042"/>
        <n v="3044"/>
        <n v="3047"/>
        <n v="3049"/>
        <n v="3055"/>
        <n v="3061"/>
        <n v="3064"/>
        <n v="3065"/>
        <n v="3085"/>
        <n v="3088"/>
        <n v="3089"/>
        <n v="3091"/>
        <n v="3092.58333333333"/>
        <n v="3100"/>
        <n v="3106"/>
        <n v="3112"/>
        <n v="3116"/>
        <n v="3128"/>
        <n v="3129"/>
        <n v="3130"/>
        <n v="3131"/>
        <n v="3133"/>
        <n v="3136"/>
        <n v="3138"/>
        <n v="3138.91666666666"/>
        <n v="3139"/>
        <n v="3140"/>
        <n v="3141"/>
        <n v="3143.75"/>
        <n v="3146"/>
        <n v="3149.41666666667"/>
        <n v="3152"/>
        <n v="3153"/>
        <n v="3159"/>
        <n v="3160"/>
        <n v="3163"/>
        <n v="3168"/>
        <n v="3197"/>
        <n v="3203"/>
        <n v="3207"/>
        <n v="3208"/>
        <n v="3215"/>
        <n v="3217"/>
        <n v="3225"/>
        <n v="3230"/>
        <n v="3247"/>
        <n v="3253"/>
        <n v="3254"/>
        <n v="3255"/>
        <n v="3256"/>
        <n v="3258"/>
        <n v="3266"/>
        <n v="3268"/>
        <n v="3274"/>
        <n v="3277"/>
        <n v="3282"/>
        <n v="3287"/>
        <n v="3297"/>
        <n v="3298"/>
        <n v="3305"/>
        <n v="3309"/>
        <n v="3313"/>
        <n v="3329"/>
        <n v="3336"/>
        <n v="3340"/>
        <n v="3382"/>
        <n v="3386"/>
        <n v="3387"/>
        <n v="3388"/>
        <n v="3390"/>
        <n v="3392"/>
        <n v="3395"/>
        <n v="3396"/>
        <n v="3397"/>
        <n v="3399"/>
        <n v="3404"/>
        <n v="3409"/>
        <n v="3423"/>
        <n v="3424"/>
        <n v="3427"/>
        <n v="3431"/>
        <n v="3434"/>
        <n v="3446"/>
        <n v="3455"/>
        <n v="3459"/>
        <n v="3464"/>
        <n v="3467"/>
        <n v="3488"/>
        <n v="3490"/>
        <n v="3500"/>
        <n v="3512"/>
        <n v="3513"/>
        <n v="3524"/>
        <n v="3529"/>
        <n v="3543"/>
        <n v="3545"/>
        <n v="3550"/>
        <n v="3551"/>
        <n v="3552"/>
        <n v="3555"/>
        <n v="3557"/>
        <n v="3569"/>
        <n v="3572"/>
        <n v="3578"/>
        <n v="3584"/>
        <n v="3586"/>
        <n v="3587"/>
        <n v="3588"/>
        <n v="3594"/>
        <n v="3600"/>
        <n v="3602"/>
        <n v="3606"/>
        <n v="3607"/>
        <n v="3610"/>
        <n v="3611"/>
        <n v="3616"/>
        <n v="3628"/>
        <n v="3643"/>
        <n v="3644"/>
        <n v="3650"/>
        <n v="3655"/>
        <n v="3657"/>
        <n v="3662"/>
        <n v="3666"/>
        <n v="3673"/>
        <n v="3679"/>
        <n v="3680"/>
        <n v="3686"/>
        <n v="3694"/>
        <n v="3700"/>
        <n v="3701"/>
        <n v="3715"/>
        <n v="3717"/>
        <n v="3722"/>
        <n v="3730"/>
        <n v="3731"/>
        <n v="3732"/>
        <n v="3744"/>
        <n v="3745"/>
        <n v="3746"/>
        <n v="3750"/>
        <n v="3752"/>
        <n v="3757"/>
        <n v="3758"/>
        <n v="3764"/>
        <n v="3765"/>
        <n v="3775"/>
        <n v="3779"/>
        <n v="3788"/>
        <n v="3791"/>
        <n v="3792"/>
        <n v="3794"/>
        <n v="3800"/>
        <n v="3803"/>
        <n v="3805"/>
        <n v="3807"/>
        <n v="3810"/>
        <n v="3811"/>
        <n v="3812"/>
        <n v="3815"/>
        <n v="3818"/>
        <n v="3819"/>
        <n v="3820.75"/>
        <n v="3822"/>
        <n v="3824"/>
        <n v="3826"/>
        <n v="3826.91666666667"/>
        <n v="3829.08333333333"/>
        <n v="3834"/>
        <n v="3841"/>
        <n v="3847.41666666667"/>
        <n v="3851"/>
        <n v="3852"/>
        <n v="3858"/>
        <n v="3863"/>
        <n v="3864"/>
        <n v="3865"/>
        <n v="3869"/>
        <n v="3870"/>
        <n v="3875"/>
        <n v="3878"/>
        <n v="3880"/>
        <n v="3883"/>
        <n v="3883.41666666667"/>
        <n v="3886"/>
        <n v="3887"/>
        <n v="3888"/>
        <n v="3890"/>
        <n v="3894"/>
        <n v="3897.83333333333"/>
        <n v="3900.91666666667"/>
        <n v="3907.41666666666"/>
        <n v="3911"/>
        <n v="3914.08333333333"/>
        <n v="3921"/>
        <n v="3922"/>
        <n v="3925"/>
        <n v="3933"/>
        <n v="3934"/>
        <n v="3936"/>
        <n v="3938"/>
        <n v="3939"/>
        <n v="3941"/>
        <n v="3942"/>
        <n v="3942.41666666667"/>
        <n v="3944"/>
        <n v="3948"/>
        <n v="3950"/>
        <n v="3952"/>
        <n v="3953"/>
        <n v="3955"/>
        <n v="3956"/>
        <n v="3957"/>
        <n v="3960"/>
        <n v="3962"/>
        <n v="3964"/>
        <n v="3968"/>
        <n v="3971"/>
        <n v="3972"/>
        <n v="3976"/>
        <n v="3984"/>
        <n v="3988"/>
        <n v="3989"/>
        <n v="3993"/>
        <n v="3997"/>
        <n v="3999"/>
        <n v="4000"/>
        <n v="4003"/>
        <n v="4010"/>
        <n v="4011"/>
        <n v="4013"/>
        <n v="4017"/>
        <n v="4027"/>
        <n v="4028"/>
        <n v="4029"/>
        <n v="4031"/>
        <n v="4032"/>
        <n v="4033"/>
        <n v="4034"/>
        <n v="4039"/>
        <n v="4044"/>
        <n v="4053"/>
        <n v="4055"/>
        <n v="4060"/>
        <n v="4061"/>
        <n v="4068"/>
        <n v="4073"/>
        <n v="4077"/>
        <n v="4078"/>
        <n v="4085"/>
        <n v="4099"/>
        <n v="4102"/>
        <n v="4110"/>
        <n v="4114"/>
        <n v="4116"/>
        <n v="4118"/>
        <n v="4119"/>
        <n v="4132"/>
        <n v="4135"/>
        <n v="4158"/>
        <n v="4160"/>
        <n v="4166"/>
        <n v="4167"/>
        <n v="4179"/>
        <n v="4185"/>
        <n v="4192"/>
        <n v="4200"/>
        <n v="4209"/>
        <n v="4241"/>
        <n v="4250"/>
        <n v="4252"/>
        <n v="4255"/>
        <n v="4267"/>
        <n v="4273"/>
        <n v="4290"/>
        <n v="4295"/>
        <n v="4296"/>
        <n v="4297"/>
        <n v="4298"/>
        <n v="4303"/>
        <n v="4305"/>
        <n v="4309"/>
        <n v="4311"/>
        <n v="4319"/>
        <n v="4321"/>
        <n v="4323"/>
        <n v="4327"/>
        <n v="4330"/>
        <n v="4336"/>
        <n v="4342"/>
        <n v="4343"/>
        <n v="4345"/>
        <n v="4348"/>
        <n v="4351"/>
        <n v="4352"/>
        <n v="4357"/>
        <n v="4358"/>
        <n v="4362"/>
        <n v="4368"/>
        <n v="4372"/>
        <n v="4375"/>
        <n v="4382"/>
        <n v="4387"/>
        <n v="4390"/>
        <n v="4391"/>
        <n v="4400"/>
        <n v="4401"/>
        <n v="4408"/>
        <n v="4412"/>
        <n v="4414"/>
        <n v="4418"/>
        <n v="4421"/>
        <n v="4426"/>
        <n v="4427"/>
        <n v="4440"/>
        <n v="4450"/>
        <n v="4452"/>
        <n v="4456"/>
        <n v="4460"/>
        <n v="4464"/>
        <n v="4474"/>
        <n v="4482"/>
        <n v="4484"/>
        <n v="4485"/>
        <n v="4499"/>
        <n v="4503"/>
        <n v="4505"/>
        <n v="4506"/>
        <n v="4508"/>
        <n v="4510"/>
        <n v="4513"/>
        <n v="4514"/>
        <n v="4520"/>
        <n v="4522"/>
        <n v="4527"/>
        <n v="4528"/>
        <n v="4532"/>
        <n v="4535"/>
        <n v="4538"/>
        <n v="4549"/>
        <n v="4550"/>
        <n v="4556"/>
        <n v="4558"/>
        <n v="4566"/>
        <n v="4581"/>
        <n v="4582"/>
        <n v="4600"/>
        <n v="4601"/>
        <n v="4602"/>
        <n v="4603"/>
        <n v="4605"/>
        <n v="4606"/>
        <n v="4614"/>
        <n v="4615"/>
        <n v="4617"/>
        <n v="4618.49979726011"/>
        <n v="4619"/>
        <n v="4627"/>
        <n v="4630"/>
        <n v="4631"/>
        <n v="4632"/>
        <n v="4636"/>
        <n v="4637"/>
        <n v="4639"/>
        <n v="4640"/>
        <n v="4642"/>
        <n v="4644"/>
        <n v="4648"/>
        <n v="4660"/>
        <n v="4668"/>
        <n v="4671"/>
        <n v="4677"/>
        <n v="4680"/>
        <n v="4683"/>
        <n v="4695"/>
        <n v="4697"/>
        <n v="4700"/>
        <n v="4704"/>
        <n v="4713"/>
        <n v="4721"/>
        <n v="4722"/>
        <n v="4725"/>
        <n v="4728"/>
        <n v="4733"/>
        <n v="4738"/>
        <n v="4743"/>
        <n v="4760"/>
        <n v="4767"/>
        <n v="4776"/>
        <n v="4779"/>
        <n v="4782"/>
        <n v="4787"/>
        <n v="4798"/>
        <n v="4807"/>
        <n v="4815"/>
        <n v="4819"/>
        <n v="4828"/>
        <n v="4829"/>
        <n v="4832"/>
        <n v="4834"/>
        <n v="4836"/>
        <n v="4841"/>
        <n v="4842"/>
        <n v="4846"/>
        <n v="4847"/>
        <n v="4848"/>
        <n v="4849"/>
        <n v="4852"/>
        <n v="4857"/>
        <n v="4858"/>
        <n v="4865"/>
        <n v="4868"/>
        <n v="4870"/>
        <n v="4884"/>
        <n v="4885"/>
        <n v="4889"/>
        <n v="4899"/>
        <n v="4921"/>
        <n v="4922"/>
        <n v="4928"/>
        <n v="4930"/>
        <n v="4941"/>
        <n v="4943"/>
        <n v="4945"/>
        <n v="4947"/>
        <n v="4957"/>
        <n v="4973"/>
        <n v="4975"/>
        <n v="4976"/>
        <n v="4977"/>
        <n v="4990"/>
        <n v="4991"/>
        <n v="4994"/>
        <n v="4998"/>
        <n v="5008"/>
        <n v="5010"/>
        <n v="5011"/>
        <n v="5012"/>
        <n v="5013"/>
        <n v="5022"/>
        <n v="5029"/>
        <n v="5030"/>
        <n v="5031"/>
        <n v="5034"/>
        <n v="5038"/>
        <n v="5041"/>
        <n v="5049"/>
        <n v="5057"/>
        <n v="5060"/>
        <n v="5065"/>
        <n v="5068"/>
        <n v="5071"/>
        <n v="5076"/>
        <n v="5088"/>
        <n v="5090"/>
        <n v="5095"/>
        <n v="5103"/>
        <n v="5106"/>
        <n v="5109"/>
        <n v="5112"/>
        <n v="5116"/>
        <n v="5119"/>
        <n v="5120"/>
        <n v="5122"/>
        <n v="5123"/>
        <n v="5126"/>
        <n v="5129"/>
        <n v="5131"/>
        <n v="5134"/>
        <n v="5135"/>
        <n v="5136"/>
        <n v="5137"/>
        <n v="5144"/>
        <n v="5147"/>
        <n v="5149"/>
        <n v="5150"/>
        <n v="5156"/>
        <n v="5157"/>
        <n v="5160"/>
        <n v="5170"/>
        <n v="5191"/>
        <n v="5233"/>
        <n v="5242"/>
        <n v="5248"/>
        <n v="5258"/>
        <n v="5273"/>
        <n v="5278"/>
        <n v="5285"/>
        <n v="5314"/>
        <n v="5315"/>
        <n v="5320"/>
        <n v="5336"/>
        <n v="5343"/>
        <n v="5346"/>
        <n v="5367"/>
        <n v="5369"/>
        <n v="5373"/>
        <n v="5374"/>
        <n v="5386"/>
        <n v="5389"/>
        <n v="5390"/>
        <n v="5391"/>
        <n v="5394"/>
        <n v="5397"/>
        <n v="5398"/>
        <n v="5404"/>
        <n v="5409"/>
        <n v="5410"/>
        <n v="5412"/>
        <n v="5423"/>
        <n v="5424"/>
        <n v="5428"/>
        <n v="5436"/>
        <n v="5442"/>
        <n v="5445"/>
        <n v="5447"/>
        <n v="5465"/>
        <n v="5468"/>
        <n v="5470"/>
        <n v="5473"/>
        <n v="5476"/>
        <n v="5478"/>
        <n v="5491"/>
        <n v="5498"/>
        <n v="5502"/>
        <n v="5506"/>
        <n v="5510"/>
        <n v="5515"/>
        <n v="5530"/>
        <n v="5531"/>
        <n v="5532"/>
        <n v="5533"/>
        <n v="5542"/>
        <n v="5546"/>
        <n v="5547"/>
        <n v="5560"/>
        <n v="5561"/>
        <n v="5562"/>
        <n v="5567"/>
        <n v="5569"/>
        <n v="5572"/>
        <n v="5577"/>
        <n v="5589"/>
        <n v="5592"/>
        <n v="5600"/>
        <n v="5608"/>
        <n v="5610"/>
        <n v="5619"/>
        <n v="5621"/>
        <n v="5623"/>
        <n v="5624"/>
        <n v="5646"/>
        <n v="5657"/>
        <n v="5676"/>
        <n v="5680"/>
        <n v="5686"/>
        <n v="5689"/>
        <n v="5704"/>
        <n v="5721"/>
        <n v="5728"/>
        <n v="5731"/>
        <n v="5734"/>
        <n v="5748"/>
        <n v="5759"/>
        <n v="5762"/>
        <n v="5763"/>
        <n v="5769"/>
        <n v="5789"/>
        <n v="5791"/>
        <n v="5793"/>
        <n v="5794"/>
        <n v="5809"/>
        <n v="5819"/>
        <n v="5827"/>
        <n v="5830"/>
        <n v="5832"/>
        <n v="5838"/>
        <n v="5846"/>
        <n v="5848"/>
        <n v="5858"/>
        <n v="5871"/>
        <n v="5877"/>
        <n v="5880"/>
        <n v="5892"/>
        <n v="5896"/>
        <n v="5901"/>
        <n v="5917"/>
        <n v="5944"/>
        <n v="5978"/>
        <n v="5989"/>
        <n v="5991"/>
        <n v="5998"/>
        <n v="5999"/>
        <n v="6001"/>
        <n v="6009"/>
        <n v="6013"/>
        <n v="6019"/>
        <n v="6025"/>
        <n v="6030"/>
        <n v="6031"/>
        <n v="6048"/>
        <n v="6072"/>
        <n v="6092"/>
        <n v="6113"/>
        <n v="6116"/>
        <n v="6129"/>
        <n v="6131"/>
        <n v="6133"/>
        <n v="6134"/>
        <n v="6142"/>
        <n v="6151"/>
        <n v="6153"/>
        <n v="6161"/>
        <n v="6162"/>
        <n v="6166"/>
        <n v="6174"/>
        <n v="6178"/>
        <n v="6187"/>
        <n v="6188"/>
        <n v="6189"/>
        <n v="6190"/>
        <n v="6195"/>
        <n v="6200"/>
        <n v="6206"/>
        <n v="6218"/>
        <n v="6220"/>
        <n v="6221"/>
        <n v="6224"/>
        <n v="6226"/>
        <n v="6228"/>
        <n v="6239"/>
        <n v="6244"/>
        <n v="6254"/>
        <n v="6270"/>
        <n v="6278"/>
        <n v="6279"/>
        <n v="6285"/>
        <n v="6288"/>
        <n v="6292"/>
        <n v="6293"/>
        <n v="6308"/>
        <n v="6312"/>
        <n v="6313"/>
        <n v="6322"/>
        <n v="6326"/>
        <n v="6330"/>
        <n v="6332"/>
        <n v="6342"/>
        <n v="6343"/>
        <n v="6355"/>
        <n v="6362"/>
        <n v="6364"/>
        <n v="6370"/>
        <n v="6375"/>
        <n v="6379"/>
        <n v="6385"/>
        <n v="6389"/>
        <n v="6393"/>
        <n v="6400"/>
        <n v="6419"/>
        <n v="6421"/>
        <n v="6430"/>
        <n v="6434"/>
        <n v="6435"/>
        <n v="6440"/>
        <n v="6454"/>
        <n v="6457"/>
        <n v="6463"/>
        <n v="6469"/>
        <n v="6481"/>
        <n v="6484"/>
        <n v="6485"/>
        <n v="6487"/>
        <n v="6491.58333333333"/>
        <n v="6499.75"/>
        <n v="6503"/>
        <n v="6504.75"/>
        <n v="6509.41666666667"/>
        <n v="6511.53735152336"/>
        <n v="6512"/>
        <n v="6522"/>
        <n v="6528"/>
        <n v="6533.25"/>
        <n v="6535"/>
        <n v="6543"/>
        <n v="6544"/>
        <n v="6555"/>
        <n v="6558"/>
        <n v="6570"/>
        <n v="6578"/>
        <n v="6582"/>
        <n v="6583"/>
        <n v="6588"/>
        <n v="6591"/>
        <n v="6593"/>
        <n v="6596"/>
        <n v="6602"/>
        <n v="6605"/>
        <n v="6611"/>
        <n v="6613"/>
        <n v="6621"/>
        <n v="6637.25"/>
        <n v="6650"/>
        <n v="6660"/>
        <n v="6660.83333333333"/>
        <n v="6668"/>
        <n v="6669"/>
        <n v="6674"/>
        <n v="6694"/>
        <n v="6697.5"/>
        <n v="6704"/>
        <n v="6724"/>
        <n v="6728.16666666667"/>
        <n v="6755"/>
        <n v="6767"/>
        <n v="6786"/>
        <n v="6788"/>
        <n v="6789"/>
        <n v="6790"/>
        <n v="6796.58333333333"/>
        <n v="6799"/>
        <n v="6804"/>
        <n v="6836"/>
        <n v="6843"/>
        <n v="6846"/>
        <n v="6852"/>
        <n v="6853"/>
        <n v="6862"/>
        <n v="6863"/>
        <n v="6872"/>
        <n v="6878"/>
        <n v="6881"/>
        <n v="6884.66666666667"/>
        <n v="6885.66666666667"/>
        <n v="6886"/>
        <n v="6888"/>
        <n v="6891"/>
        <n v="6894"/>
        <n v="6909"/>
        <n v="6957"/>
        <n v="6959"/>
        <n v="6960"/>
        <n v="6965"/>
        <n v="6973"/>
        <n v="6980"/>
        <n v="6983"/>
        <n v="7000"/>
        <n v="7003"/>
        <n v="7016"/>
        <n v="7019"/>
        <n v="7020"/>
        <n v="7035"/>
        <n v="7037"/>
        <n v="7053"/>
        <n v="7059"/>
        <n v="7062"/>
        <n v="7066"/>
        <n v="7067"/>
        <n v="7071"/>
        <n v="7074"/>
        <n v="7084"/>
        <n v="7088"/>
        <n v="7093"/>
        <n v="7096"/>
        <n v="7100"/>
        <n v="7102"/>
        <n v="7109"/>
        <n v="7116"/>
        <n v="7118"/>
        <n v="7126"/>
        <n v="7127"/>
        <n v="7138"/>
        <n v="7139"/>
        <n v="7140.91666666667"/>
        <n v="7142"/>
        <n v="7147.25"/>
        <n v="7156"/>
        <n v="7158.75"/>
        <n v="7163"/>
        <n v="7166.83333333333"/>
        <n v="7167"/>
        <n v="7178"/>
        <n v="7179"/>
        <n v="7181"/>
        <n v="7184"/>
        <n v="7187"/>
        <n v="7189"/>
        <n v="7191.25"/>
        <n v="7193"/>
        <n v="7226"/>
        <n v="7243"/>
        <n v="7251"/>
        <n v="7259"/>
        <n v="7271"/>
        <n v="7272"/>
        <n v="7316"/>
        <n v="7318"/>
        <n v="7319"/>
        <n v="7322"/>
        <n v="7328"/>
        <n v="7334"/>
        <n v="7354"/>
        <n v="7367"/>
        <n v="7378"/>
        <n v="7397"/>
        <n v="7398"/>
        <n v="7400"/>
        <n v="7406"/>
        <n v="7419"/>
        <n v="7436"/>
        <n v="7445"/>
        <n v="7447"/>
        <n v="7452"/>
        <n v="7454"/>
        <n v="7460"/>
        <n v="7466"/>
        <n v="7468"/>
        <n v="7477"/>
        <n v="7485"/>
        <n v="7486"/>
        <n v="7488"/>
        <n v="7495"/>
        <n v="7496"/>
        <n v="7500"/>
        <n v="7507"/>
        <n v="7509"/>
        <n v="7514"/>
        <n v="7516"/>
        <n v="7518"/>
        <n v="7525"/>
        <n v="7528"/>
        <n v="7536"/>
        <n v="7540"/>
        <n v="7542"/>
        <n v="7543"/>
        <n v="7547"/>
        <n v="7553"/>
        <n v="7554"/>
        <n v="7556"/>
        <n v="7565"/>
        <n v="7568"/>
        <n v="7570"/>
        <n v="7574"/>
        <n v="7582"/>
        <n v="7586"/>
        <n v="7593"/>
        <n v="7597"/>
        <n v="7598"/>
        <n v="7601"/>
        <n v="7604"/>
        <n v="7630"/>
        <n v="7632"/>
        <n v="7639"/>
        <n v="7642"/>
        <n v="7652"/>
        <n v="7662"/>
        <n v="7664"/>
        <n v="7674"/>
        <n v="7690"/>
        <n v="7693"/>
        <n v="7716"/>
        <n v="7718"/>
        <n v="7719"/>
        <n v="7731"/>
        <n v="7739"/>
        <n v="7742"/>
        <n v="7749"/>
        <n v="7761"/>
        <n v="7763"/>
        <n v="7766"/>
        <n v="7767"/>
        <n v="7772"/>
        <n v="7779"/>
        <n v="7781"/>
        <n v="7794"/>
        <n v="7805"/>
        <n v="7809"/>
        <n v="7813"/>
        <n v="7821.34131510129"/>
        <n v="7831"/>
        <n v="7843"/>
        <n v="7847"/>
        <n v="7849"/>
        <n v="7861"/>
        <n v="7862"/>
        <n v="7881"/>
        <n v="7885"/>
        <n v="7893"/>
        <n v="7900"/>
        <n v="7908"/>
        <n v="7915"/>
        <n v="7919"/>
        <n v="7930"/>
        <n v="7939"/>
        <n v="7941"/>
        <n v="7942"/>
        <n v="7943"/>
        <n v="7950"/>
        <n v="7957"/>
        <n v="7963"/>
        <n v="7969"/>
        <n v="7973"/>
        <n v="7987"/>
        <n v="7989"/>
        <n v="7990"/>
        <n v="7991"/>
        <n v="7992"/>
        <n v="7994"/>
        <n v="7996"/>
        <n v="7998"/>
        <n v="7999"/>
        <n v="8006"/>
        <n v="8025"/>
        <n v="8027"/>
        <n v="8028"/>
        <n v="8042"/>
        <n v="8053"/>
        <n v="8066"/>
        <n v="8067"/>
        <n v="8082"/>
        <n v="8090"/>
        <n v="8106"/>
        <n v="8116"/>
        <n v="8117"/>
        <n v="8119"/>
        <n v="8126"/>
        <n v="8146"/>
        <n v="8151"/>
        <n v="8163"/>
        <n v="8164"/>
        <n v="8206"/>
        <n v="8210"/>
        <n v="8226"/>
        <n v="8228"/>
        <n v="8235"/>
        <n v="8241"/>
        <n v="8250"/>
        <n v="8262"/>
        <n v="8265"/>
        <n v="8291"/>
        <n v="8297"/>
        <n v="8299"/>
        <n v="8315.91666666666"/>
        <n v="8318"/>
        <n v="8320"/>
        <n v="8333"/>
        <n v="8344"/>
        <n v="8354"/>
        <n v="8356"/>
        <n v="8381"/>
        <n v="8397"/>
        <n v="8414"/>
        <n v="8420"/>
        <n v="8431"/>
        <n v="8436"/>
        <n v="8440"/>
        <n v="8442.25"/>
        <n v="8450"/>
        <n v="8451.16666666667"/>
        <n v="8455.41666666667"/>
        <n v="8457"/>
        <n v="8464"/>
        <n v="8479"/>
        <n v="8481"/>
        <n v="8487"/>
        <n v="8504"/>
        <n v="8520"/>
        <n v="8542"/>
        <n v="8543"/>
        <n v="8550"/>
        <n v="8553"/>
        <n v="8557"/>
        <n v="8559"/>
        <n v="8573"/>
        <n v="8576"/>
        <n v="8592"/>
        <n v="8616"/>
        <n v="8618"/>
        <n v="8620"/>
        <n v="8632"/>
        <n v="8633"/>
        <n v="8638"/>
        <n v="8639"/>
        <n v="8647"/>
        <n v="8649"/>
        <n v="8660"/>
        <n v="8664"/>
        <n v="8665"/>
        <n v="8666"/>
        <n v="8670"/>
        <n v="8684"/>
        <n v="8711"/>
        <n v="8712"/>
        <n v="8713"/>
        <n v="8718"/>
        <n v="8761"/>
        <n v="8765"/>
        <n v="8768"/>
        <n v="8789"/>
        <n v="8793"/>
        <n v="8847"/>
        <n v="8851"/>
        <n v="8862"/>
        <n v="8868"/>
        <n v="8869"/>
        <n v="8876"/>
        <n v="8881"/>
        <n v="8892"/>
        <n v="8893"/>
        <n v="8900"/>
        <n v="8901"/>
        <n v="8934"/>
        <n v="8948"/>
        <n v="8971"/>
        <n v="8975"/>
        <n v="8994"/>
        <n v="9021"/>
        <n v="9031"/>
        <n v="9055"/>
        <n v="9081"/>
        <n v="9089"/>
        <n v="9093"/>
        <n v="9112"/>
        <n v="9139"/>
        <n v="9154"/>
        <n v="9174"/>
        <n v="9182"/>
        <n v="9193"/>
        <n v="9194"/>
        <n v="9198"/>
        <n v="9201"/>
        <n v="9210"/>
        <n v="9216"/>
        <n v="9222"/>
        <n v="9223"/>
        <n v="9225"/>
        <n v="9228"/>
        <n v="9233"/>
        <n v="9238"/>
        <n v="9250"/>
        <n v="9255"/>
        <n v="9259"/>
        <n v="9262"/>
        <n v="9264"/>
        <n v="9266"/>
        <n v="9275"/>
        <n v="9277"/>
        <n v="9284"/>
        <n v="9285"/>
        <n v="9286"/>
        <n v="9287"/>
        <n v="9296"/>
        <n v="9304"/>
        <n v="9305"/>
        <n v="9308"/>
        <n v="9309"/>
        <n v="9311"/>
        <n v="9320"/>
        <n v="9325"/>
        <n v="9326"/>
        <n v="9345"/>
        <n v="9349"/>
        <n v="9351"/>
        <n v="9376"/>
        <n v="9384"/>
        <n v="9397"/>
        <n v="9402"/>
        <n v="9403"/>
        <n v="9412"/>
        <n v="9450"/>
        <n v="9457"/>
        <n v="9467"/>
        <n v="9484"/>
        <n v="9495"/>
        <n v="9509"/>
        <n v="9512"/>
        <n v="9518"/>
        <n v="9520"/>
        <n v="9524"/>
        <n v="9543"/>
        <n v="9545"/>
        <n v="9572"/>
        <n v="9577"/>
        <n v="9579"/>
        <n v="9592"/>
        <n v="9629"/>
        <n v="9633"/>
        <n v="9638"/>
        <n v="9654"/>
        <n v="9662"/>
        <n v="9664"/>
        <n v="9673"/>
        <n v="9675"/>
        <n v="9684"/>
        <n v="9685"/>
        <n v="9693"/>
        <n v="9719"/>
        <n v="9720"/>
        <n v="9721"/>
        <n v="9739"/>
        <n v="9746"/>
        <n v="9755"/>
        <n v="9762"/>
        <n v="9764"/>
        <n v="9772"/>
        <n v="9773"/>
        <n v="9790"/>
        <n v="9795"/>
        <n v="9798"/>
        <n v="9814"/>
        <n v="9822"/>
        <n v="9830"/>
        <n v="9831"/>
        <n v="9833"/>
        <n v="9841"/>
        <n v="9864"/>
        <n v="9865"/>
        <n v="9868"/>
        <n v="9876"/>
        <n v="9899"/>
        <n v="9918"/>
        <n v="9920"/>
        <n v="9935"/>
        <n v="9947"/>
        <n v="9957"/>
        <n v="9962"/>
        <n v="9971"/>
        <n v="9974"/>
        <n v="9985"/>
        <n v="10001"/>
        <n v="10012"/>
        <n v="10015"/>
        <n v="10019"/>
        <n v="10022"/>
        <n v="10028"/>
        <n v="10033"/>
        <n v="10048"/>
        <n v="10049"/>
        <n v="10051"/>
        <n v="10052"/>
        <n v="10054"/>
        <n v="10056"/>
        <n v="10060"/>
        <n v="10082"/>
        <n v="10115"/>
        <n v="10126"/>
        <n v="10128"/>
        <n v="10167"/>
        <n v="10177"/>
        <n v="10195"/>
        <n v="10199"/>
        <n v="10202"/>
        <n v="10203"/>
        <n v="10204"/>
        <n v="10224"/>
        <n v="10225"/>
        <n v="10227"/>
        <n v="10230"/>
        <n v="10237"/>
        <n v="10249"/>
        <n v="10265"/>
        <n v="10301"/>
        <n v="10305"/>
        <n v="10309"/>
        <n v="10334"/>
        <n v="10351"/>
        <n v="10353"/>
        <n v="10362"/>
        <n v="10372"/>
        <n v="10394"/>
        <n v="10402"/>
        <n v="10404"/>
        <n v="10411"/>
        <n v="10412"/>
        <n v="10415"/>
        <n v="10426"/>
        <n v="10430"/>
        <n v="10445"/>
        <n v="10455"/>
        <n v="10456"/>
        <n v="10459"/>
        <n v="10489"/>
        <n v="10501"/>
        <n v="10504"/>
        <n v="10511.9166666667"/>
        <n v="10526"/>
        <n v="10536"/>
        <n v="10546"/>
        <n v="10550"/>
        <n v="10562"/>
        <n v="10563"/>
        <n v="10566.1925449648"/>
        <n v="10581"/>
        <n v="10590"/>
        <n v="10594"/>
        <n v="10597"/>
        <n v="10621"/>
        <n v="10626"/>
        <n v="10637"/>
        <n v="10648"/>
        <n v="10665"/>
        <n v="10667"/>
        <n v="10687"/>
        <n v="10696"/>
        <n v="10708"/>
        <n v="10710"/>
        <n v="10730"/>
        <n v="10736"/>
        <n v="10738"/>
        <n v="10741"/>
        <n v="10761"/>
        <n v="10763"/>
        <n v="10766"/>
        <n v="10768"/>
        <n v="10769"/>
        <n v="10793"/>
        <n v="10803"/>
        <n v="10807"/>
        <n v="10821"/>
        <n v="10825"/>
        <n v="10835.5833333333"/>
        <n v="10836"/>
        <n v="10846"/>
        <n v="10855"/>
        <n v="10856.9166666667"/>
        <n v="10857"/>
        <n v="10867"/>
        <n v="10873"/>
        <n v="10874.1666666667"/>
        <n v="10876"/>
        <n v="10892"/>
        <n v="10895"/>
        <n v="10896"/>
        <n v="10900"/>
        <n v="10901"/>
        <n v="10910.4166666667"/>
        <n v="10913"/>
        <n v="10921"/>
        <n v="10931"/>
        <n v="10940"/>
        <n v="10941"/>
        <n v="10954"/>
        <n v="10957"/>
        <n v="10959"/>
        <n v="10983"/>
        <n v="10998"/>
        <n v="11000"/>
        <n v="11005"/>
        <n v="11006"/>
        <n v="11009"/>
        <n v="11011"/>
        <n v="11016"/>
        <n v="11021"/>
        <n v="11033"/>
        <n v="11037"/>
        <n v="11039"/>
        <n v="11076"/>
        <n v="11084"/>
        <n v="11095"/>
        <n v="11100"/>
        <n v="11127"/>
        <n v="11129"/>
        <n v="11149"/>
        <n v="11163"/>
        <n v="11167"/>
        <n v="11210"/>
        <n v="11241"/>
        <n v="11246"/>
        <n v="11253"/>
        <n v="11256"/>
        <n v="11278"/>
        <n v="11290"/>
        <n v="11291"/>
        <n v="11308"/>
        <n v="11310"/>
        <n v="11316"/>
        <n v="11318"/>
        <n v="11323"/>
        <n v="11373"/>
        <n v="11398"/>
        <n v="11416"/>
        <n v="11426"/>
        <n v="11432"/>
        <n v="11434"/>
        <n v="11440"/>
        <n v="11456"/>
        <n v="11463"/>
        <n v="11466"/>
        <n v="11474"/>
        <n v="11492"/>
        <n v="11505"/>
        <n v="11516"/>
        <n v="11517"/>
        <n v="11518"/>
        <n v="11531"/>
        <n v="11579"/>
        <n v="11583"/>
        <n v="11626"/>
        <n v="11648"/>
        <n v="11659"/>
        <n v="11663"/>
        <n v="11668"/>
        <n v="11672"/>
        <n v="11677"/>
        <n v="11689"/>
        <n v="11696"/>
        <n v="11710"/>
        <n v="11718"/>
        <n v="11726"/>
        <n v="11740"/>
        <n v="11780"/>
        <n v="11783"/>
        <n v="11789"/>
        <n v="11798"/>
        <n v="11800"/>
        <n v="11809"/>
        <n v="11813"/>
        <n v="11826"/>
        <n v="11831"/>
        <n v="11839"/>
        <n v="11844"/>
        <n v="11847"/>
        <n v="11856"/>
        <n v="11878"/>
        <n v="11880"/>
        <n v="11882"/>
        <n v="11886"/>
        <n v="11910"/>
        <n v="11919"/>
        <n v="11925"/>
        <n v="11954"/>
        <n v="11956"/>
        <n v="11965"/>
        <n v="11970"/>
        <n v="11996"/>
        <n v="11999"/>
        <n v="12021"/>
        <n v="12049"/>
        <n v="12058"/>
        <n v="12066"/>
        <n v="12069"/>
        <n v="12072"/>
        <n v="12079"/>
        <n v="12086"/>
        <n v="12091"/>
        <n v="12096"/>
        <n v="12117"/>
        <n v="12127"/>
        <n v="12132"/>
        <n v="12143"/>
        <n v="12145"/>
        <n v="12165"/>
        <n v="12170"/>
        <n v="12218"/>
        <n v="12221"/>
        <n v="12244"/>
        <n v="12256"/>
        <n v="12259"/>
        <n v="12261"/>
        <n v="12270"/>
        <n v="12277"/>
        <n v="12283"/>
        <n v="12293"/>
        <n v="12295"/>
        <n v="12305"/>
        <n v="12322"/>
        <n v="12331"/>
        <n v="12358"/>
        <n v="12385"/>
        <n v="12420"/>
        <n v="12424"/>
        <n v="12425"/>
        <n v="12430"/>
        <n v="12449"/>
        <n v="12451"/>
        <n v="12500"/>
        <n v="12553"/>
        <n v="12555"/>
        <n v="12572"/>
        <n v="12586"/>
        <n v="12616"/>
        <n v="12642"/>
        <n v="12664"/>
        <n v="12676"/>
        <n v="12686"/>
        <n v="12698"/>
        <n v="12713"/>
        <n v="12714"/>
        <n v="12721"/>
        <n v="12731"/>
        <n v="12747"/>
        <n v="12765"/>
        <n v="12773"/>
        <n v="12775"/>
        <n v="12777"/>
        <n v="12780"/>
        <n v="12783"/>
        <n v="12792"/>
        <n v="12795"/>
        <n v="12868"/>
        <n v="12950"/>
        <n v="12972"/>
        <n v="12983"/>
        <n v="12985"/>
        <n v="13049"/>
        <n v="13082"/>
        <n v="13088"/>
        <n v="13096"/>
        <n v="13098"/>
        <n v="13101"/>
        <n v="13102"/>
        <n v="13107"/>
        <n v="13115"/>
        <n v="13121"/>
        <n v="13129"/>
        <n v="13143"/>
        <n v="13153"/>
        <n v="13196"/>
        <n v="13215"/>
        <n v="13238"/>
        <n v="13271"/>
        <n v="13274"/>
        <n v="13315"/>
        <n v="13380"/>
        <n v="13383"/>
        <n v="13399"/>
        <n v="13425"/>
        <n v="13478"/>
        <n v="13479"/>
        <n v="13480"/>
        <n v="13482"/>
        <n v="13485"/>
        <n v="13490"/>
        <n v="13491"/>
        <n v="13498"/>
        <n v="13525"/>
        <n v="13528"/>
        <n v="13532"/>
        <n v="13544"/>
        <n v="13556"/>
        <n v="13569"/>
        <n v="13582"/>
        <n v="13586"/>
        <n v="13602"/>
        <n v="13603"/>
        <n v="13604"/>
        <n v="13605"/>
        <n v="13606"/>
        <n v="13609"/>
        <n v="13617"/>
        <n v="13620"/>
        <n v="13626"/>
        <n v="13630"/>
        <n v="13631"/>
        <n v="13636"/>
        <n v="13647"/>
        <n v="13666"/>
        <n v="13668"/>
        <n v="13681"/>
        <n v="13684"/>
        <n v="13688"/>
        <n v="13691"/>
        <n v="13697"/>
        <n v="13704"/>
        <n v="13705"/>
        <n v="13707"/>
        <n v="13710"/>
        <n v="13715"/>
        <n v="13733"/>
        <n v="13737"/>
        <n v="13766"/>
        <n v="13795"/>
        <n v="13797"/>
        <n v="13800"/>
        <n v="13810"/>
        <n v="13816"/>
        <n v="13821"/>
        <n v="13847"/>
        <n v="13851"/>
        <n v="13855"/>
        <n v="13882"/>
        <n v="13894"/>
        <n v="13898"/>
        <n v="13900"/>
        <n v="13907"/>
        <n v="13912"/>
        <n v="13913"/>
        <n v="13930"/>
        <n v="13936"/>
        <n v="13940"/>
        <n v="13942"/>
        <n v="13947"/>
        <n v="13953"/>
        <n v="13957"/>
        <n v="13977"/>
        <n v="13983"/>
        <n v="13986"/>
        <n v="13998"/>
        <n v="14000"/>
        <n v="14031"/>
        <n v="14050"/>
        <n v="14090"/>
        <n v="14114"/>
        <n v="14116"/>
        <n v="14119"/>
        <n v="14132"/>
        <n v="14135"/>
        <n v="14146"/>
        <n v="14159"/>
        <n v="14165"/>
        <n v="14168"/>
        <n v="14209"/>
        <n v="14218"/>
        <n v="14219"/>
        <n v="14221"/>
        <n v="14232"/>
        <n v="14238"/>
        <n v="14241"/>
        <n v="14243"/>
        <n v="14269"/>
        <n v="14272"/>
        <n v="14275"/>
        <n v="14310"/>
        <n v="14325"/>
        <n v="14337"/>
        <n v="14341"/>
        <n v="14342"/>
        <n v="14371"/>
        <n v="14372"/>
        <n v="14380"/>
        <n v="14382"/>
        <n v="14385"/>
        <n v="14390"/>
        <n v="14392"/>
        <n v="14395"/>
        <n v="14399"/>
        <n v="14414"/>
        <n v="14415.1074521389"/>
        <n v="14419"/>
        <n v="14422"/>
        <n v="14443"/>
        <n v="14470"/>
        <n v="14487"/>
        <n v="14511"/>
        <n v="14532"/>
        <n v="14535"/>
        <n v="14568"/>
        <n v="14593"/>
        <n v="14600"/>
        <n v="14605"/>
        <n v="14610"/>
        <n v="14611"/>
        <n v="14632"/>
        <n v="14634"/>
        <n v="14644"/>
        <n v="14646"/>
        <n v="14667"/>
        <n v="14701"/>
        <n v="14766"/>
        <n v="14767"/>
        <n v="14772"/>
        <n v="14814"/>
        <n v="14821"/>
        <n v="14832"/>
        <n v="14855"/>
        <n v="14869"/>
        <n v="14877"/>
        <n v="14884"/>
        <n v="14899"/>
        <n v="14909"/>
        <n v="14910"/>
        <n v="14940"/>
        <n v="14942"/>
        <n v="14957"/>
        <n v="14958"/>
        <n v="14971"/>
        <n v="14986"/>
        <n v="14998"/>
        <n v="15005.4196715613"/>
        <n v="15016"/>
        <n v="15017"/>
        <n v="15033"/>
        <n v="15044.004347963"/>
        <n v="15045"/>
        <n v="15050"/>
        <n v="15055"/>
        <n v="15070"/>
        <n v="15101"/>
        <n v="15107"/>
        <n v="15126"/>
        <n v="15167"/>
        <n v="15171"/>
        <n v="15172"/>
        <n v="15174"/>
        <n v="15175"/>
        <n v="15177"/>
        <n v="15184"/>
        <n v="15215"/>
        <n v="15240"/>
        <n v="15247"/>
        <n v="15271"/>
        <n v="15281"/>
        <n v="15291"/>
        <n v="15318"/>
        <n v="15325"/>
        <n v="15333"/>
        <n v="15338"/>
        <n v="15341"/>
        <n v="15358"/>
        <n v="15362"/>
        <n v="15366"/>
        <n v="15380"/>
        <n v="15385"/>
        <n v="15415"/>
        <n v="15428"/>
        <n v="15437"/>
        <n v="15451"/>
        <n v="15477"/>
        <n v="15479"/>
        <n v="15499"/>
        <n v="15500"/>
        <n v="15525"/>
        <n v="15544"/>
        <n v="15568"/>
        <n v="15577"/>
        <n v="15582"/>
        <n v="15639"/>
        <n v="15664"/>
        <n v="15683"/>
        <n v="15696"/>
        <n v="15721"/>
        <n v="15760"/>
        <n v="15776"/>
        <n v="15795"/>
        <n v="15819"/>
        <n v="15821"/>
        <n v="15837"/>
        <n v="15841"/>
        <n v="15843"/>
        <n v="15847"/>
        <n v="15854"/>
        <n v="15865"/>
        <n v="15868"/>
        <n v="15899"/>
        <n v="15919"/>
        <n v="15935"/>
        <n v="15942"/>
        <n v="15944"/>
        <n v="15958"/>
        <n v="15961"/>
        <n v="15993"/>
        <n v="15998"/>
        <n v="16004"/>
        <n v="16011"/>
        <n v="16034"/>
        <n v="16047"/>
        <n v="16053"/>
        <n v="16058"/>
        <n v="16078"/>
        <n v="16145"/>
        <n v="16149"/>
        <n v="16157"/>
        <n v="16161"/>
        <n v="16188"/>
        <n v="16206"/>
        <n v="16240"/>
        <n v="16274"/>
        <n v="16275"/>
        <n v="16318"/>
        <n v="16329"/>
        <n v="16353"/>
        <n v="16360"/>
        <n v="16361"/>
        <n v="16374"/>
        <n v="16391"/>
        <n v="16392"/>
        <n v="16394"/>
        <n v="16450"/>
        <n v="16463"/>
        <n v="16472.2861094216"/>
        <n v="16533"/>
        <n v="16592.8333333333"/>
        <n v="16604"/>
        <n v="16607"/>
        <n v="16638"/>
        <n v="16687"/>
        <n v="16689"/>
        <n v="16721"/>
        <n v="16723"/>
        <n v="16735"/>
        <n v="16743"/>
        <n v="16750"/>
        <n v="16751"/>
        <n v="16753"/>
        <n v="16765"/>
        <n v="16767"/>
        <n v="16803"/>
        <n v="16840"/>
        <n v="16852"/>
        <n v="16856"/>
        <n v="16863"/>
        <n v="16880"/>
        <n v="16886"/>
        <n v="16895"/>
        <n v="16932"/>
        <n v="16936"/>
        <n v="16977"/>
        <n v="16979"/>
        <n v="17039"/>
        <n v="17063"/>
        <n v="17067"/>
        <n v="17085"/>
        <n v="17086"/>
        <n v="17101"/>
        <n v="17123"/>
        <n v="17154"/>
        <n v="17156"/>
        <n v="17157"/>
        <n v="17161"/>
        <n v="17171"/>
        <n v="17186"/>
        <n v="17189"/>
        <n v="17201"/>
        <n v="17220"/>
        <n v="17221"/>
        <n v="17233"/>
        <n v="17243"/>
        <n v="17247"/>
        <n v="17253"/>
        <n v="17261"/>
        <n v="17264"/>
        <n v="17273"/>
        <n v="17276"/>
        <n v="17279"/>
        <n v="17296"/>
        <n v="17320"/>
        <n v="17326"/>
        <n v="17327"/>
        <n v="17331"/>
        <n v="17342"/>
        <n v="17351"/>
        <n v="17354"/>
        <n v="17357.4166666667"/>
        <n v="17367"/>
        <n v="17372"/>
        <n v="17391"/>
        <n v="17405.25"/>
        <n v="17421"/>
        <n v="17436.5833333333"/>
        <n v="17461.9166666667"/>
        <n v="17520.4166666667"/>
        <n v="17568"/>
        <n v="17641"/>
        <n v="17652"/>
        <n v="17653"/>
        <n v="17663"/>
        <n v="17794"/>
        <n v="17800"/>
        <n v="17849"/>
        <n v="17867"/>
        <n v="17923"/>
        <n v="17957"/>
        <n v="17967"/>
        <n v="17981"/>
        <n v="17997"/>
        <n v="18106"/>
        <n v="18117"/>
        <n v="18126"/>
        <n v="18156"/>
        <n v="18164"/>
        <n v="18187"/>
        <n v="18190"/>
        <n v="18192"/>
        <n v="18199"/>
        <n v="18205"/>
        <n v="18273"/>
        <n v="18293"/>
        <n v="18341"/>
        <n v="18348"/>
        <n v="18364"/>
        <n v="18365"/>
        <n v="18438"/>
        <n v="18452"/>
        <n v="18453"/>
        <n v="18456"/>
        <n v="18483"/>
        <n v="18517.4166666667"/>
        <n v="18538"/>
        <n v="18545"/>
        <n v="18588"/>
        <n v="18630"/>
        <n v="18640"/>
        <n v="18648"/>
        <n v="18651"/>
        <n v="18652"/>
        <n v="18693"/>
        <n v="18712"/>
        <n v="18719.25"/>
        <n v="18749"/>
        <n v="18757"/>
        <n v="18758"/>
        <n v="18785"/>
        <n v="18834"/>
        <n v="18862"/>
        <n v="18881"/>
        <n v="18886"/>
        <n v="18896"/>
        <n v="18905"/>
        <n v="18906"/>
        <n v="18920"/>
        <n v="18924"/>
        <n v="18952"/>
        <n v="18982"/>
        <n v="18984"/>
        <n v="19018.3333333333"/>
        <n v="19029"/>
        <n v="19068"/>
        <n v="19070"/>
        <n v="19078.1666666666"/>
        <n v="19107"/>
        <n v="19108"/>
        <n v="19115"/>
        <n v="19117"/>
        <n v="19123.6666666667"/>
        <n v="19127.5"/>
        <n v="19136"/>
        <n v="19173.9166666667"/>
        <n v="19177"/>
        <n v="19180.8333333333"/>
        <n v="19183.6666666667"/>
        <n v="19188.3333333333"/>
        <n v="19201.4166666667"/>
        <n v="19207"/>
        <n v="19210.75"/>
        <n v="19231.9166666666"/>
        <n v="19261.9166666667"/>
        <n v="19277.5"/>
        <n v="19286.3333333333"/>
        <n v="19308"/>
        <n v="19349"/>
        <n v="19376"/>
        <n v="19395"/>
        <n v="19396"/>
        <n v="19468"/>
        <n v="19472"/>
        <n v="19500"/>
        <n v="19523"/>
        <n v="19547"/>
        <n v="19557"/>
        <n v="19604"/>
        <n v="19605"/>
        <n v="19625"/>
        <n v="19635"/>
        <n v="19643"/>
        <n v="19690"/>
        <n v="19789"/>
        <n v="19847"/>
        <n v="19858"/>
        <n v="19864"/>
        <n v="19895"/>
        <n v="19902"/>
        <n v="19908"/>
        <n v="19931"/>
        <n v="19958"/>
        <n v="19966"/>
        <n v="19982"/>
        <n v="20002"/>
        <n v="20053"/>
        <n v="20059"/>
        <n v="20067"/>
        <n v="20094"/>
        <n v="20108"/>
        <n v="20139"/>
        <n v="20146"/>
        <n v="20159"/>
        <n v="20166"/>
        <n v="20176"/>
        <n v="20199"/>
        <n v="20214"/>
        <n v="20267"/>
        <n v="20270"/>
        <n v="20435"/>
        <n v="20471"/>
        <n v="20479"/>
        <n v="20530"/>
        <n v="20533"/>
        <n v="20540"/>
        <n v="20544"/>
        <n v="20570"/>
        <n v="20616"/>
        <n v="20640"/>
        <n v="20643"/>
        <n v="20654"/>
        <n v="20655"/>
        <n v="20689"/>
        <n v="20712"/>
        <n v="20718"/>
        <n v="20726"/>
        <n v="20728"/>
        <n v="20752"/>
        <n v="20760"/>
        <n v="20766.1192015478"/>
        <n v="20769"/>
        <n v="20777"/>
        <n v="20781"/>
        <n v="20787"/>
        <n v="20808"/>
        <n v="20826"/>
        <n v="20840"/>
        <n v="20853"/>
        <n v="20876"/>
        <n v="20886"/>
        <n v="20896"/>
        <n v="20924"/>
        <n v="20954"/>
        <n v="20982"/>
        <n v="21000"/>
        <n v="21006"/>
        <n v="21011"/>
        <n v="21012"/>
        <n v="21014"/>
        <n v="21025"/>
        <n v="21058"/>
        <n v="21086"/>
        <n v="21103"/>
        <n v="21120"/>
        <n v="21123"/>
        <n v="21192"/>
        <n v="21199"/>
        <n v="21223"/>
        <n v="21279"/>
        <n v="21307"/>
        <n v="21350"/>
        <n v="21375"/>
        <n v="21415"/>
        <n v="21417"/>
        <n v="21418"/>
        <n v="21465"/>
        <n v="21466"/>
        <n v="21473"/>
        <n v="21485"/>
        <n v="21486"/>
        <n v="21526"/>
        <n v="21532"/>
        <n v="21535"/>
        <n v="21609"/>
        <n v="21700"/>
        <n v="21713"/>
        <n v="21763"/>
        <n v="21786"/>
        <n v="21789"/>
        <n v="21827"/>
        <n v="21842"/>
        <n v="21844"/>
        <n v="21855"/>
        <n v="21873"/>
        <n v="21883"/>
        <n v="21901"/>
        <n v="21905"/>
        <n v="21930"/>
        <n v="21934"/>
        <n v="21963"/>
        <n v="21980"/>
        <n v="21984"/>
        <n v="21988"/>
        <n v="21992"/>
        <n v="22000"/>
        <n v="22016"/>
        <n v="22026"/>
        <n v="22028"/>
        <n v="22038"/>
        <n v="22040"/>
        <n v="22073"/>
        <n v="22087"/>
        <n v="22097"/>
        <n v="22134"/>
        <n v="22137"/>
        <n v="22154"/>
        <n v="22174"/>
        <n v="22207"/>
        <n v="22210"/>
        <n v="22211"/>
        <n v="22229"/>
        <n v="22250"/>
        <n v="22291"/>
        <n v="22300"/>
        <n v="22315"/>
        <n v="22332"/>
        <n v="22346"/>
        <n v="22358"/>
        <n v="22364"/>
        <n v="22372"/>
        <n v="22374"/>
        <n v="22380"/>
        <n v="22381"/>
        <n v="22397"/>
        <n v="22415"/>
        <n v="22428"/>
        <n v="22473"/>
        <n v="22508"/>
        <n v="22520"/>
        <n v="22529"/>
        <n v="22535"/>
        <n v="22553"/>
        <n v="22596"/>
        <n v="22630"/>
        <n v="22632"/>
        <n v="22634"/>
        <n v="22693"/>
        <n v="22732"/>
        <n v="22746"/>
        <n v="22756"/>
        <n v="22777"/>
        <n v="22796"/>
        <n v="22817"/>
        <n v="22831"/>
        <n v="22839"/>
        <n v="22851"/>
        <n v="22859"/>
        <n v="22878"/>
        <n v="22880"/>
        <n v="22888"/>
        <n v="22890"/>
        <n v="22892"/>
        <n v="22926"/>
        <n v="22934"/>
        <n v="23032"/>
        <n v="23052"/>
        <n v="23064"/>
        <n v="23090"/>
        <n v="23094"/>
        <n v="23107"/>
        <n v="23108"/>
        <n v="23120"/>
        <n v="23133"/>
        <n v="23135"/>
        <n v="23136"/>
        <n v="23138"/>
        <n v="23140"/>
        <n v="23166"/>
        <n v="23200"/>
        <n v="23235"/>
        <n v="23240"/>
        <n v="23314"/>
        <n v="23336"/>
        <n v="23343"/>
        <n v="23377"/>
        <n v="23381"/>
        <n v="23385"/>
        <n v="23395"/>
        <n v="23408"/>
        <n v="23414"/>
        <n v="23415"/>
        <n v="23429"/>
        <n v="23436"/>
        <n v="23439"/>
        <n v="23440"/>
        <n v="23442"/>
        <n v="23500"/>
        <n v="23507"/>
        <n v="23577"/>
        <n v="23593"/>
        <n v="23623"/>
        <n v="23663"/>
        <n v="23664"/>
        <n v="23705"/>
        <n v="23715"/>
        <n v="23723"/>
        <n v="23728"/>
        <n v="23739"/>
        <n v="23751"/>
        <n v="23757"/>
        <n v="23787"/>
        <n v="23799"/>
        <n v="23825"/>
        <n v="23827"/>
        <n v="23835"/>
        <n v="23849"/>
        <n v="23865"/>
        <n v="23926"/>
        <n v="23928"/>
        <n v="24002"/>
        <n v="24023"/>
        <n v="24034"/>
        <n v="24098"/>
        <n v="24117"/>
        <n v="24122"/>
        <n v="24144"/>
        <n v="24164"/>
        <n v="24175"/>
        <n v="24176"/>
        <n v="24193"/>
        <n v="24194"/>
        <n v="24198"/>
        <n v="24218"/>
        <n v="24245"/>
        <n v="24254"/>
        <n v="24280"/>
        <n v="24291"/>
        <n v="24302"/>
        <n v="24310"/>
        <n v="24339"/>
        <n v="24345"/>
        <n v="24353"/>
        <n v="24377"/>
        <n v="24383"/>
        <n v="24387"/>
        <n v="24430"/>
        <n v="24434"/>
        <n v="24445"/>
        <n v="24455.0833333333"/>
        <n v="24457"/>
        <n v="24480"/>
        <n v="24486"/>
        <n v="24487"/>
        <n v="24505.0833333333"/>
        <n v="24523"/>
        <n v="24540"/>
        <n v="24553"/>
        <n v="24569"/>
        <n v="24597"/>
        <n v="24648.1666666667"/>
        <n v="24656"/>
        <n v="24671"/>
        <n v="24692"/>
        <n v="24745"/>
        <n v="24749"/>
        <n v="24758.3333333333"/>
        <n v="24800"/>
        <n v="24812"/>
        <n v="24816"/>
        <n v="24846"/>
        <n v="24864"/>
        <n v="24889"/>
        <n v="24895.3333333333"/>
        <n v="24901"/>
        <n v="24902.25"/>
        <n v="24905"/>
        <n v="24928"/>
        <n v="24935"/>
        <n v="24980.5833333333"/>
        <n v="25000"/>
        <n v="25013"/>
        <n v="25016"/>
        <n v="25021"/>
        <n v="25041"/>
        <n v="25045"/>
        <n v="25065.75"/>
        <n v="25093"/>
        <n v="25166"/>
        <n v="25197"/>
        <n v="25203"/>
        <n v="25290"/>
        <n v="25300"/>
        <n v="25338"/>
        <n v="25385"/>
        <n v="25437"/>
        <n v="25471"/>
        <n v="25496"/>
        <n v="25497"/>
        <n v="25508"/>
        <n v="25517"/>
        <n v="25521"/>
        <n v="25527"/>
        <n v="25543"/>
        <n v="25554"/>
        <n v="25563"/>
        <n v="25568"/>
        <n v="25575"/>
        <n v="25613"/>
        <n v="25629"/>
        <n v="25641"/>
        <n v="25644"/>
        <n v="25664.1666666667"/>
        <n v="25664.3333333333"/>
        <n v="25672"/>
        <n v="25680"/>
        <n v="25688"/>
        <n v="25734"/>
        <n v="25747"/>
        <n v="25751"/>
        <n v="25759"/>
        <n v="25796"/>
        <n v="25807"/>
        <n v="25828"/>
        <n v="25829"/>
        <n v="25847"/>
        <n v="25878"/>
        <n v="25887"/>
        <n v="25891"/>
        <n v="25892"/>
        <n v="25978"/>
        <n v="26020"/>
        <n v="26026"/>
        <n v="26090"/>
        <n v="26097"/>
        <n v="26114"/>
        <n v="26212"/>
        <n v="26230"/>
        <n v="26238"/>
        <n v="26260"/>
        <n v="26273"/>
        <n v="26286"/>
        <n v="26303"/>
        <n v="26344.3333333333"/>
        <n v="26349"/>
        <n v="26353"/>
        <n v="26362"/>
        <n v="26365.8333333333"/>
        <n v="26384.3333333333"/>
        <n v="26404"/>
        <n v="26412.9166666667"/>
        <n v="26418.8333333333"/>
        <n v="26428"/>
        <n v="26473.1666666667"/>
        <n v="26515"/>
        <n v="26539"/>
        <n v="26577"/>
        <n v="26587"/>
        <n v="26618"/>
        <n v="26643"/>
        <n v="26648"/>
        <n v="26656"/>
        <n v="26661"/>
        <n v="26684"/>
        <n v="26721"/>
        <n v="26747"/>
        <n v="26764"/>
        <n v="26769"/>
        <n v="26799"/>
        <n v="26806"/>
        <n v="26817"/>
        <n v="26820"/>
        <n v="26868"/>
        <n v="26877"/>
        <n v="26888"/>
        <n v="26935"/>
        <n v="26966"/>
        <n v="26974"/>
        <n v="26990"/>
        <n v="27010"/>
        <n v="27023"/>
        <n v="27025"/>
        <n v="27051"/>
        <n v="27053"/>
        <n v="27057"/>
        <n v="27091"/>
        <n v="27101"/>
        <n v="27140"/>
        <n v="27141"/>
        <n v="27142"/>
        <n v="27153"/>
        <n v="27156"/>
        <n v="27162"/>
        <n v="27162.9166666667"/>
        <n v="27165"/>
        <n v="27167"/>
        <n v="27191"/>
        <n v="27212"/>
        <n v="27215.6666666666"/>
        <n v="27224"/>
        <n v="27249"/>
        <n v="27257.5833333333"/>
        <n v="27261"/>
        <n v="27265.6666666667"/>
        <n v="27287"/>
        <n v="27288"/>
        <n v="27311"/>
        <n v="27323"/>
        <n v="27361.25"/>
        <n v="27395"/>
        <n v="27420"/>
        <n v="27439"/>
        <n v="27454"/>
        <n v="27458"/>
        <n v="27465"/>
        <n v="27467.4166666667"/>
        <n v="27480"/>
        <n v="27511"/>
        <n v="27521"/>
        <n v="27530.25"/>
        <n v="27569.0833333333"/>
        <n v="27571"/>
        <n v="27591.3333333333"/>
        <n v="27599"/>
        <n v="27604"/>
        <n v="27607"/>
        <n v="27632"/>
        <n v="27635"/>
        <n v="27646"/>
        <n v="27656"/>
        <n v="27666"/>
        <n v="27667"/>
        <n v="27688"/>
        <n v="27701"/>
        <n v="27708"/>
        <n v="27724"/>
        <n v="27764"/>
        <n v="27773.5833333333"/>
        <n v="27774"/>
        <n v="27810"/>
        <n v="27833"/>
        <n v="27842"/>
        <n v="27875"/>
        <n v="27911"/>
        <n v="27929"/>
        <n v="27934"/>
        <n v="27948"/>
        <n v="28038"/>
        <n v="28073"/>
        <n v="28117"/>
        <n v="28128"/>
        <n v="28218"/>
        <n v="28254"/>
        <n v="28266"/>
        <n v="28269"/>
        <n v="28280"/>
        <n v="28295"/>
        <n v="28311"/>
        <n v="28335"/>
        <n v="28395"/>
        <n v="28456"/>
        <n v="28496"/>
        <n v="28550"/>
        <n v="28671"/>
        <n v="28704"/>
        <n v="28731"/>
        <n v="28735"/>
        <n v="28745"/>
        <n v="28763"/>
        <n v="28766"/>
        <n v="28778"/>
        <n v="28811"/>
        <n v="28857"/>
        <n v="28900"/>
        <n v="28950"/>
        <n v="28970"/>
        <n v="28978"/>
        <n v="29001"/>
        <n v="29013"/>
        <n v="29014"/>
        <n v="29030"/>
        <n v="29081"/>
        <n v="29087"/>
        <n v="29104"/>
        <n v="29170"/>
        <n v="29210"/>
        <n v="29220"/>
        <n v="29231"/>
        <n v="29235"/>
        <n v="29296"/>
        <n v="29401"/>
        <n v="29460"/>
        <n v="29469"/>
        <n v="29487"/>
        <n v="29506"/>
        <n v="29509"/>
        <n v="29511"/>
        <n v="29531"/>
        <n v="29535"/>
        <n v="29557"/>
        <n v="29607"/>
        <n v="29616"/>
        <n v="29705"/>
        <n v="29717"/>
        <n v="29748"/>
        <n v="29756"/>
        <n v="29761"/>
        <n v="29792"/>
        <n v="29815"/>
        <n v="29843"/>
        <n v="29872"/>
        <n v="29929"/>
        <n v="29939"/>
        <n v="30004"/>
        <n v="30009"/>
        <n v="30073"/>
        <n v="30154"/>
        <n v="30297"/>
        <n v="30361.5"/>
        <n v="30377"/>
        <n v="30444"/>
        <n v="30491"/>
        <n v="30512"/>
        <n v="30571"/>
        <n v="30580"/>
        <n v="30613.8333333333"/>
        <n v="30631"/>
        <n v="30663"/>
        <n v="30698"/>
        <n v="30775"/>
        <n v="30796"/>
        <n v="30893.6666666667"/>
        <n v="30930"/>
        <n v="30935"/>
        <n v="31054.75"/>
        <n v="31076"/>
        <n v="31080"/>
        <n v="31168"/>
        <n v="31170"/>
        <n v="31278"/>
        <n v="31296"/>
        <n v="31361.25"/>
        <n v="31485"/>
        <n v="31493"/>
        <n v="31534"/>
        <n v="31550"/>
        <n v="31695"/>
        <n v="31711"/>
        <n v="31820"/>
        <n v="31826"/>
        <n v="31853"/>
        <n v="31911"/>
        <n v="31915"/>
        <n v="31931"/>
        <n v="31965"/>
        <n v="31982"/>
        <n v="32010"/>
        <n v="32048"/>
        <n v="32059"/>
        <n v="32082"/>
        <n v="32116"/>
        <n v="32138"/>
        <n v="32203"/>
        <n v="32269"/>
        <n v="32277"/>
        <n v="32291"/>
        <n v="32301"/>
        <n v="32368"/>
        <n v="32412"/>
        <n v="32500"/>
        <n v="32542"/>
        <n v="32563"/>
        <n v="32647"/>
        <n v="32693"/>
        <n v="32798"/>
        <n v="32850"/>
        <n v="32916"/>
        <n v="32924"/>
        <n v="32928"/>
        <n v="33014"/>
        <n v="33015"/>
        <n v="33049"/>
        <n v="33096"/>
        <n v="33176"/>
        <n v="33224"/>
        <n v="33241"/>
        <n v="33271.75"/>
        <n v="33333"/>
        <n v="33468"/>
        <n v="33469"/>
        <n v="33503"/>
        <n v="33551"/>
        <n v="33595"/>
        <n v="33631"/>
        <n v="33632"/>
        <n v="33639"/>
        <n v="33729"/>
        <n v="33835"/>
        <n v="33895"/>
        <n v="33926"/>
        <n v="33944"/>
        <n v="34010"/>
        <n v="34028"/>
        <n v="34058"/>
        <n v="34063"/>
        <n v="34068"/>
        <n v="34094"/>
        <n v="34103"/>
        <n v="34132"/>
        <n v="34135"/>
        <n v="34141"/>
        <n v="34216"/>
        <n v="34385"/>
        <n v="34400"/>
        <n v="34458"/>
        <n v="34476"/>
        <n v="34485"/>
        <n v="34566.3333333333"/>
        <n v="34569"/>
        <n v="34577"/>
        <n v="34595"/>
        <n v="34599"/>
        <n v="34668"/>
        <n v="34674"/>
        <n v="34691.3333333333"/>
        <n v="34692"/>
        <n v="34693"/>
        <n v="34757.0833333333"/>
        <n v="34762"/>
        <n v="34836"/>
        <n v="34873"/>
        <n v="34890.6666666667"/>
        <n v="34910"/>
        <n v="34966"/>
        <n v="35086.0833333333"/>
        <n v="35122"/>
        <n v="35129"/>
        <n v="35291"/>
        <n v="35306"/>
        <n v="35526"/>
        <n v="35710"/>
        <n v="35788"/>
        <n v="36063"/>
        <n v="36070"/>
        <n v="36327"/>
        <n v="36386"/>
        <n v="36400"/>
        <n v="36410"/>
        <n v="36444"/>
        <n v="36513"/>
        <n v="36570"/>
        <n v="36699"/>
        <n v="36700"/>
        <n v="36937"/>
        <n v="37163"/>
        <n v="37202"/>
        <n v="37526"/>
        <n v="37555"/>
        <n v="37700"/>
        <n v="37764"/>
        <n v="37934"/>
        <n v="37954"/>
        <n v="38073"/>
        <n v="38085"/>
        <n v="38236"/>
        <n v="38292"/>
        <n v="38298"/>
        <n v="38338"/>
        <n v="38339"/>
        <n v="38347"/>
        <n v="38358"/>
        <n v="38371"/>
        <n v="38374"/>
        <n v="38382"/>
        <n v="38447"/>
        <n v="38517"/>
        <n v="38532"/>
        <n v="38542"/>
        <n v="38605.9807301486"/>
        <n v="38628"/>
        <n v="38637"/>
        <n v="38854"/>
        <n v="39090"/>
        <n v="39156"/>
        <n v="39162"/>
        <n v="39183"/>
        <n v="39256"/>
        <n v="39314"/>
        <n v="39346"/>
        <n v="39476"/>
        <n v="39808"/>
        <n v="40001"/>
        <n v="40106"/>
        <n v="40172"/>
        <n v="40392"/>
        <n v="40420"/>
        <n v="40454"/>
        <n v="40622"/>
        <n v="40649"/>
        <n v="40660"/>
        <n v="40693"/>
        <n v="40721"/>
        <n v="40788"/>
        <n v="40805"/>
        <n v="40897"/>
        <n v="40909"/>
        <n v="40910"/>
        <n v="41063"/>
        <n v="41208"/>
        <n v="41717"/>
        <n v="41814"/>
        <n v="41954"/>
        <n v="42108"/>
        <n v="42125"/>
        <n v="42216"/>
        <n v="42346"/>
        <n v="42414"/>
        <n v="42655"/>
        <n v="42706"/>
        <n v="42733"/>
        <n v="42861"/>
        <n v="43085"/>
        <n v="43167"/>
        <n v="43177"/>
        <n v="43180"/>
        <n v="43223"/>
        <n v="43236"/>
        <n v="43397"/>
        <n v="43510"/>
        <n v="43618"/>
        <n v="43909"/>
        <n v="43914"/>
        <n v="44043"/>
        <n v="44227"/>
        <n v="44339"/>
        <n v="44390"/>
        <n v="44450"/>
        <n v="44467"/>
        <n v="44488"/>
        <n v="44500"/>
        <n v="44511.3333333333"/>
        <n v="44553"/>
        <n v="44566"/>
        <n v="44598"/>
        <n v="44609"/>
        <n v="44612"/>
        <n v="44646"/>
        <n v="44715"/>
        <n v="44758"/>
        <n v="44803"/>
        <n v="44826"/>
        <n v="44837"/>
        <n v="44878"/>
        <n v="44884"/>
        <n v="44915"/>
        <n v="44942"/>
        <n v="45026.8333333333"/>
        <n v="45051"/>
        <n v="45092"/>
        <n v="45170"/>
        <n v="45172"/>
        <n v="45291"/>
        <n v="45292"/>
        <n v="45374"/>
        <n v="45377"/>
        <n v="45395"/>
        <n v="45435"/>
        <n v="45465"/>
        <n v="45543"/>
        <n v="45681"/>
        <n v="45750.25"/>
        <n v="45810"/>
        <n v="45831"/>
        <n v="45851"/>
        <n v="45870"/>
        <n v="45985.6666666667"/>
        <n v="46003"/>
        <n v="46087"/>
        <n v="46131"/>
        <n v="46183"/>
        <n v="46237"/>
        <n v="46256"/>
        <n v="46272"/>
        <n v="46286"/>
        <n v="46396.9166666667"/>
        <n v="46397"/>
        <n v="46414"/>
        <n v="46426"/>
        <n v="46503.9166666667"/>
        <n v="46569"/>
        <n v="46579"/>
        <n v="46609"/>
        <n v="46680"/>
        <n v="46693"/>
        <n v="46743"/>
        <n v="46748"/>
        <n v="46776"/>
        <n v="46800"/>
        <n v="46821"/>
        <n v="46996"/>
        <n v="47047"/>
        <n v="47083"/>
        <n v="47102"/>
        <n v="47167"/>
        <n v="47182"/>
        <n v="47198"/>
        <n v="47216.5"/>
        <n v="47376"/>
        <n v="47384"/>
        <n v="47446"/>
        <n v="47649"/>
        <n v="47707"/>
        <n v="47930"/>
        <n v="47935"/>
        <n v="47974"/>
        <n v="47991.3333333333"/>
        <n v="48080"/>
        <n v="48120"/>
        <n v="48140"/>
        <n v="48162"/>
        <n v="48315"/>
        <n v="48376"/>
        <n v="48413"/>
        <n v="48539.5"/>
        <n v="48568"/>
        <n v="48690"/>
        <n v="48701"/>
        <n v="48887"/>
        <n v="48919"/>
        <n v="49043"/>
        <n v="49144.3333333333"/>
        <n v="49247"/>
        <n v="49253"/>
        <n v="49308"/>
        <n v="49334"/>
        <n v="49431"/>
        <n v="49482"/>
        <n v="49596"/>
        <n v="49689"/>
        <n v="49700"/>
        <n v="49770"/>
        <n v="49775"/>
        <n v="49861"/>
        <n v="49890"/>
        <n v="49910"/>
        <n v="49945"/>
        <n v="49968"/>
        <n v="49991"/>
        <n v="50029"/>
        <n v="50101"/>
        <n v="50132"/>
        <n v="50273"/>
        <n v="50309"/>
        <n v="50384"/>
        <n v="50440"/>
        <n v="50469"/>
        <n v="50615"/>
        <n v="50723"/>
        <n v="50757"/>
        <n v="50838"/>
        <n v="50920"/>
        <n v="51202"/>
        <n v="51274"/>
        <n v="51357"/>
        <n v="51516"/>
        <n v="51664"/>
        <n v="51730"/>
        <n v="51858"/>
        <n v="51927"/>
        <n v="51959"/>
        <n v="52022"/>
        <n v="52102"/>
        <n v="52341"/>
        <n v="52428"/>
        <n v="52466"/>
        <n v="52680"/>
        <n v="52738"/>
        <n v="52749"/>
        <n v="52952"/>
        <n v="52959"/>
        <n v="52963"/>
        <n v="53091"/>
        <n v="53180"/>
        <n v="53251"/>
        <n v="53404"/>
        <n v="53408"/>
        <n v="53426"/>
        <n v="53476"/>
        <n v="53520"/>
        <n v="53600"/>
        <n v="53681"/>
        <n v="53688"/>
        <n v="53734"/>
        <n v="53743"/>
        <n v="53917"/>
        <n v="53931"/>
        <n v="53984"/>
        <n v="54006"/>
        <n v="54007"/>
        <n v="54020"/>
        <n v="54043"/>
        <n v="54089"/>
        <n v="54125"/>
        <n v="54208"/>
        <n v="54214"/>
        <n v="54223"/>
        <n v="54249"/>
        <n v="54327"/>
        <n v="54363"/>
        <n v="54526"/>
        <n v="54605"/>
        <n v="54624"/>
        <n v="54664"/>
        <n v="54713"/>
        <n v="54924"/>
        <n v="55035"/>
        <n v="55088"/>
        <n v="55158"/>
        <n v="55433"/>
        <n v="55456"/>
        <n v="55605"/>
        <n v="55862"/>
        <n v="55876"/>
        <n v="56046"/>
        <n v="56160"/>
        <n v="56545"/>
        <n v="56817"/>
        <n v="57105"/>
        <n v="57311"/>
        <n v="57383"/>
        <n v="57455"/>
        <n v="57577"/>
        <n v="57650"/>
        <n v="57785"/>
        <n v="57807"/>
        <n v="59153"/>
        <n v="59330"/>
        <n v="59362"/>
        <n v="59376"/>
        <n v="59435"/>
        <n v="59504"/>
        <n v="59779"/>
        <n v="59861"/>
        <n v="61602"/>
        <n v="61625"/>
        <n v="62253"/>
        <n v="62671"/>
        <n v="62881"/>
        <n v="62890"/>
        <n v="63021"/>
        <n v="63031"/>
        <n v="63136"/>
        <n v="63197"/>
        <n v="63390"/>
        <n v="63585"/>
        <n v="63665"/>
        <n v="63704"/>
        <n v="63725"/>
        <n v="63797"/>
        <n v="63853"/>
        <n v="63863"/>
        <n v="63871"/>
        <n v="63930"/>
        <n v="64096"/>
        <n v="64304"/>
        <n v="64503"/>
        <n v="64655"/>
        <n v="64668"/>
        <n v="64721"/>
        <n v="64784"/>
        <n v="64850"/>
        <n v="66373"/>
        <n v="66766"/>
        <n v="66847"/>
        <n v="67039.75"/>
        <n v="67041.5833333333"/>
        <n v="67120"/>
        <n v="67698.5833333333"/>
        <n v="67916.25"/>
        <n v="68553"/>
        <n v="69144"/>
        <n v="69169"/>
        <n v="69173"/>
        <n v="69334"/>
        <n v="70086"/>
        <n v="70118"/>
        <n v="70320"/>
        <n v="71029"/>
        <n v="72015"/>
        <n v="73539"/>
        <n v="73705"/>
        <n v="73928"/>
        <n v="74323"/>
        <n v="74643"/>
        <n v="74887"/>
        <n v="75123"/>
        <n v="75205"/>
        <n v="77112"/>
        <n v="84189"/>
        <n v="84955"/>
        <n v="85825"/>
        <n v="86250"/>
        <n v="86437"/>
        <n v="86852"/>
        <n v="87366"/>
        <n v="88391"/>
        <n v="88634"/>
        <n v="92563"/>
        <n v="93429"/>
        <n v="93664"/>
        <n v="93964"/>
        <n v="94102"/>
        <n v="94170"/>
        <n v="94254"/>
        <n v="94581"/>
        <n v="94898"/>
        <n v="103352"/>
        <n v="104053"/>
        <n v="105612"/>
        <n v="109691"/>
        <n v="110863"/>
        <n v="110966"/>
        <n v="112084"/>
        <n v="112724"/>
        <n v="113163"/>
        <n v="114680"/>
        <n v="117461"/>
        <n v="119272"/>
        <n v="121588"/>
        <n v="123526"/>
        <n v="124836"/>
        <n v="125867"/>
        <n v="125929"/>
        <n v="141623"/>
        <n v="143716"/>
        <n v="143767"/>
        <n v="143916"/>
        <n v="144502"/>
        <n v="145166"/>
        <n v="145211"/>
        <n v="145222"/>
        <n v="146212"/>
        <n v="146416"/>
        <n v="146608"/>
        <n v="149001"/>
        <n v="149919"/>
        <n v="154049"/>
        <n v="154929"/>
        <n v="154989"/>
        <n v="157519"/>
        <n v="158063"/>
        <n v="159347"/>
        <n v="160017"/>
        <n v="162904"/>
        <n v="165627"/>
        <n v="167050"/>
        <n v="168009"/>
        <n v="169161"/>
        <n v="171747"/>
        <n v="177720"/>
        <n v="178149"/>
        <n v="178629"/>
        <n v="179156"/>
        <n v="179605"/>
        <n v="179959"/>
        <n v="180129"/>
        <n v="180400"/>
        <n v="180637"/>
        <n v="180895"/>
        <n v="233749"/>
        <n v="234537"/>
        <n v="234832"/>
        <n v="234852"/>
        <n v="234873"/>
        <n v="235861"/>
        <n v="235950"/>
        <n v="236316"/>
        <n v="236388"/>
        <n v="284161"/>
        <n v="284637"/>
        <n v="319503"/>
        <n v="323236"/>
        <n v="354532"/>
        <n v="366323"/>
        <n v="372378"/>
        <n v="375620"/>
        <n v="376064"/>
        <n v="376776"/>
        <n v="377701"/>
        <n v="378433"/>
        <n v="378983"/>
        <n v="379585"/>
        <n v="380501"/>
        <n v="380556"/>
        <n v="396847"/>
        <n v="737583"/>
        <n v="740356"/>
        <n v="743533"/>
        <n v="745489"/>
        <n v="748092"/>
        <n v="749812"/>
        <n v="751947"/>
        <n v="754001"/>
        <n v="755768"/>
      </sharedItems>
    </cacheField>
    <cacheField name="mains_miles" numFmtId="0">
      <sharedItems containsSemiMixedTypes="0" containsString="0" containsNumber="1" minValue="5" maxValue="7400.375" count="1860">
        <n v="5"/>
        <n v="24"/>
        <n v="24.5"/>
        <n v="25"/>
        <n v="26.0926136363636"/>
        <n v="26.1"/>
        <n v="28"/>
        <n v="28.5"/>
        <n v="29.3"/>
        <n v="29.67"/>
        <n v="30"/>
        <n v="31.2"/>
        <n v="32.3"/>
        <n v="33"/>
        <n v="33.75"/>
        <n v="34.9"/>
        <n v="35"/>
        <n v="35.0297319486116"/>
        <n v="36"/>
        <n v="36.3194444"/>
        <n v="37"/>
        <n v="37.07159187"/>
        <n v="37.07160846"/>
        <n v="37.0785910140429"/>
        <n v="38.0425"/>
        <n v="38.076555766489"/>
        <n v="38.1"/>
        <n v="38.148823863447"/>
        <n v="38.2"/>
        <n v="38.6"/>
        <n v="39.152"/>
        <n v="39.4"/>
        <n v="39.4325757575758"/>
        <n v="39.68"/>
        <n v="40"/>
        <n v="40.4"/>
        <n v="40.5"/>
        <n v="40.6"/>
        <n v="40.68"/>
        <n v="40.7"/>
        <n v="40.83"/>
        <n v="41"/>
        <n v="41.17"/>
        <n v="41.33"/>
        <n v="41.4"/>
        <n v="41.492"/>
        <n v="41.5"/>
        <n v="42.6145833333333"/>
        <n v="42.8"/>
        <n v="43"/>
        <n v="43.5"/>
        <n v="43.6"/>
        <n v="43.712"/>
        <n v="43.83"/>
        <n v="43.8822624248106"/>
        <n v="44.01"/>
        <n v="44.1"/>
        <n v="44.11"/>
        <n v="44.16"/>
        <n v="44.4"/>
        <n v="44.89"/>
        <n v="44.96"/>
        <n v="45"/>
        <n v="45.3"/>
        <n v="45.82"/>
        <n v="45.9"/>
        <n v="45.928"/>
        <n v="46"/>
        <n v="46.3"/>
        <n v="46.4"/>
        <n v="47"/>
        <n v="47.17"/>
        <n v="47.3"/>
        <n v="47.3497080193182"/>
        <n v="47.58"/>
        <n v="47.6"/>
        <n v="47.65"/>
        <n v="47.67"/>
        <n v="47.7"/>
        <n v="47.8"/>
        <n v="48"/>
        <n v="49"/>
        <n v="49.16"/>
        <n v="49.29"/>
        <n v="50"/>
        <n v="50.03"/>
        <n v="50.3"/>
        <n v="50.4"/>
        <n v="50.7"/>
        <n v="50.7212372113409"/>
        <n v="50.8"/>
        <n v="50.8587642336648"/>
        <n v="51.3"/>
        <n v="51.34"/>
        <n v="51.6"/>
        <n v="51.68"/>
        <n v="52"/>
        <n v="52.5"/>
        <n v="52.7683991850379"/>
        <n v="52.8"/>
        <n v="53"/>
        <n v="53.8806818181818"/>
        <n v="54.25"/>
        <n v="54.3"/>
        <n v="55"/>
        <n v="55.01144991"/>
        <n v="55.01996145"/>
        <n v="55.0221384221868"/>
        <n v="55.21"/>
        <n v="55.2423585317049"/>
        <n v="55.25386413"/>
        <n v="55.4"/>
        <n v="55.41"/>
        <n v="56.1"/>
        <n v="56.11"/>
        <n v="56.2644651506722"/>
        <n v="56.5"/>
        <n v="56.52"/>
        <n v="56.7671697356061"/>
        <n v="57"/>
        <n v="57.2"/>
        <n v="57.3"/>
        <n v="57.5"/>
        <n v="57.8"/>
        <n v="58"/>
        <n v="58.1"/>
        <n v="58.3"/>
        <n v="59.1"/>
        <n v="59.29"/>
        <n v="59.49"/>
        <n v="59.6"/>
        <n v="59.638"/>
        <n v="59.77"/>
        <n v="59.8"/>
        <n v="59.9"/>
        <n v="59.99676668"/>
        <n v="60"/>
        <n v="60.1"/>
        <n v="60.297"/>
        <n v="60.4"/>
        <n v="60.46"/>
        <n v="60.79"/>
        <n v="60.8"/>
        <n v="60.86348795"/>
        <n v="60.8742826750595"/>
        <n v="60.8764503682554"/>
        <n v="60.87940146"/>
        <n v="61"/>
        <n v="61.17160072"/>
        <n v="61.1716008763462"/>
        <n v="61.7"/>
        <n v="61.8806818181818"/>
        <n v="61.9"/>
        <n v="62"/>
        <n v="62.01517841"/>
        <n v="62.14075242"/>
        <n v="62.19"/>
        <n v="62.3"/>
        <n v="62.34400072"/>
        <n v="62.39"/>
        <n v="62.4"/>
        <n v="62.42"/>
        <n v="62.4258080381807"/>
        <n v="62.44"/>
        <n v="62.47"/>
        <n v="62.5"/>
        <n v="62.5713889877121"/>
        <n v="62.61"/>
        <n v="62.75"/>
        <n v="62.78"/>
        <n v="62.84"/>
        <n v="63"/>
        <n v="63.05"/>
        <n v="63.0988750925889"/>
        <n v="63.1"/>
        <n v="63.4"/>
        <n v="63.84"/>
        <n v="63.9"/>
        <n v="64"/>
        <n v="64.08"/>
        <n v="64.26"/>
        <n v="64.3"/>
        <n v="64.4"/>
        <n v="64.569696969697"/>
        <n v="64.66"/>
        <n v="64.7891666666667"/>
        <n v="64.8"/>
        <n v="64.830303030303"/>
        <n v="64.837348"/>
        <n v="65"/>
        <n v="65.1"/>
        <n v="65.2894458432823"/>
        <n v="65.3"/>
        <n v="65.41174"/>
        <n v="65.55"/>
        <n v="65.6"/>
        <n v="65.8"/>
        <n v="65.88"/>
        <n v="65.99"/>
        <n v="66"/>
        <n v="66.04"/>
        <n v="66.1"/>
        <n v="66.1247727272727"/>
        <n v="66.34"/>
        <n v="66.39"/>
        <n v="66.4"/>
        <n v="66.4521193181818"/>
        <n v="66.7"/>
        <n v="66.946"/>
        <n v="66.95"/>
        <n v="67"/>
        <n v="67.13"/>
        <n v="67.3"/>
        <n v="67.6"/>
        <n v="67.77"/>
        <n v="68"/>
        <n v="68.0257575757576"/>
        <n v="68.45"/>
        <n v="68.5"/>
        <n v="68.6"/>
        <n v="68.6049324368843"/>
        <n v="68.7"/>
        <n v="68.8"/>
        <n v="68.9"/>
        <n v="69"/>
        <n v="69.35"/>
        <n v="69.72"/>
        <n v="69.738446969697"/>
        <n v="69.77"/>
        <n v="69.86"/>
        <n v="70"/>
        <n v="70.12"/>
        <n v="70.35"/>
        <n v="70.3501027282139"/>
        <n v="70.4"/>
        <n v="70.9848484848485"/>
        <n v="71"/>
        <n v="71.76"/>
        <n v="71.9"/>
        <n v="72"/>
        <n v="72.3939393939394"/>
        <n v="72.4"/>
        <n v="72.73"/>
        <n v="72.75"/>
        <n v="72.8"/>
        <n v="73.3"/>
        <n v="74"/>
        <n v="74.1261857875"/>
        <n v="74.7"/>
        <n v="74.79"/>
        <n v="74.8"/>
        <n v="75"/>
        <n v="75.1"/>
        <n v="75.4707039901515"/>
        <n v="76"/>
        <n v="76.1"/>
        <n v="76.9"/>
        <n v="77"/>
        <n v="77.2"/>
        <n v="77.4"/>
        <n v="77.43"/>
        <n v="77.5"/>
        <n v="77.8"/>
        <n v="78.2"/>
        <n v="78.5"/>
        <n v="78.9"/>
        <n v="79.4"/>
        <n v="80"/>
        <n v="80.25"/>
        <n v="81"/>
        <n v="82"/>
        <n v="82.09"/>
        <n v="82.1"/>
        <n v="82.32"/>
        <n v="82.5"/>
        <n v="82.82"/>
        <n v="82.9"/>
        <n v="83.18"/>
        <n v="83.19"/>
        <n v="83.4"/>
        <n v="83.45"/>
        <n v="84"/>
        <n v="84.5"/>
        <n v="84.78"/>
        <n v="85"/>
        <n v="85.5"/>
        <n v="85.9"/>
        <n v="85.9482954545455"/>
        <n v="86.1195375148692"/>
        <n v="86.2"/>
        <n v="86.29"/>
        <n v="86.3"/>
        <n v="87"/>
        <n v="87.5"/>
        <n v="87.58"/>
        <n v="87.8"/>
        <n v="88"/>
        <n v="88.1"/>
        <n v="88.4"/>
        <n v="88.45"/>
        <n v="88.4787878787879"/>
        <n v="88.5"/>
        <n v="88.5219678525549"/>
        <n v="88.78"/>
        <n v="88.8"/>
        <n v="89"/>
        <n v="89.18"/>
        <n v="89.46"/>
        <n v="89.5"/>
        <n v="89.5225757575758"/>
        <n v="89.58"/>
        <n v="89.9"/>
        <n v="90"/>
        <n v="90.9"/>
        <n v="90.95"/>
        <n v="90.97"/>
        <n v="91"/>
        <n v="91.02"/>
        <n v="91.024"/>
        <n v="91.76"/>
        <n v="91.9"/>
        <n v="92"/>
        <n v="92.024"/>
        <n v="92.2"/>
        <n v="92.3"/>
        <n v="92.44"/>
        <n v="92.5097680619802"/>
        <n v="92.5612304744481"/>
        <n v="92.67026827"/>
        <n v="92.74"/>
        <n v="92.9"/>
        <n v="92.94"/>
        <n v="93"/>
        <n v="93.19"/>
        <n v="93.2"/>
        <n v="93.26093598"/>
        <n v="93.29590469"/>
        <n v="93.5"/>
        <n v="93.52017058873"/>
        <n v="93.68"/>
        <n v="93.7"/>
        <n v="94"/>
        <n v="94.3"/>
        <n v="94.32"/>
        <n v="94.7"/>
        <n v="95"/>
        <n v="95.4877495143728"/>
        <n v="95.5"/>
        <n v="95.56"/>
        <n v="95.57"/>
        <n v="95.6"/>
        <n v="95.8"/>
        <n v="95.95"/>
        <n v="96"/>
        <n v="96.39"/>
        <n v="96.6"/>
        <n v="96.6659"/>
        <n v="96.7"/>
        <n v="96.7795816035187"/>
        <n v="96.92"/>
        <n v="96.96"/>
        <n v="96.97"/>
        <n v="97"/>
        <n v="97.25"/>
        <n v="97.3"/>
        <n v="97.6"/>
        <n v="97.6416666666667"/>
        <n v="97.8"/>
        <n v="97.8465909090909"/>
        <n v="97.9857954545455"/>
        <n v="98"/>
        <n v="98.4752272727273"/>
        <n v="98.5"/>
        <n v="98.525"/>
        <n v="98.8265694056818"/>
        <n v="98.9"/>
        <n v="99.3596823849884"/>
        <n v="99.6"/>
        <n v="99.7497007084129"/>
        <n v="99.8"/>
        <n v="100"/>
        <n v="100.06"/>
        <n v="100.4"/>
        <n v="100.48"/>
        <n v="100.5"/>
        <n v="100.54"/>
        <n v="100.56"/>
        <n v="100.58"/>
        <n v="100.6"/>
        <n v="100.7"/>
        <n v="100.8"/>
        <n v="100.86"/>
        <n v="100.9"/>
        <n v="100.96"/>
        <n v="101"/>
        <n v="101.1"/>
        <n v="101.227272727273"/>
        <n v="101.236040706629"/>
        <n v="101.8"/>
        <n v="101.855303030303"/>
        <n v="101.9"/>
        <n v="102"/>
        <n v="102.28"/>
        <n v="102.3"/>
        <n v="102.4"/>
        <n v="102.5"/>
        <n v="102.7"/>
        <n v="102.75"/>
        <n v="102.8"/>
        <n v="102.92"/>
        <n v="103"/>
        <n v="103.1"/>
        <n v="103.181818181818"/>
        <n v="103.2"/>
        <n v="103.41"/>
        <n v="103.5"/>
        <n v="103.6"/>
        <n v="103.7"/>
        <n v="104"/>
        <n v="104.083333333333"/>
        <n v="104.1"/>
        <n v="104.15625"/>
        <n v="104.16"/>
        <n v="104.185416666667"/>
        <n v="104.2"/>
        <n v="104.39"/>
        <n v="105"/>
        <n v="105.3"/>
        <n v="105.6"/>
        <n v="105.8"/>
        <n v="105.9"/>
        <n v="105.91875"/>
        <n v="106"/>
        <n v="106.02"/>
        <n v="106.5"/>
        <n v="106.9"/>
        <n v="107"/>
        <n v="108"/>
        <n v="108.1"/>
        <n v="108.6"/>
        <n v="108.9"/>
        <n v="109"/>
        <n v="109.27"/>
        <n v="109.7"/>
        <n v="110"/>
        <n v="110.407669294886"/>
        <n v="111"/>
        <n v="111.21"/>
        <n v="112"/>
        <n v="112.918664382765"/>
        <n v="113"/>
        <n v="113.9"/>
        <n v="114"/>
        <n v="114.15"/>
        <n v="114.4"/>
        <n v="114.52"/>
        <n v="114.56"/>
        <n v="114.6"/>
        <n v="115"/>
        <n v="115.2"/>
        <n v="115.3"/>
        <n v="115.5"/>
        <n v="115.97"/>
        <n v="116"/>
        <n v="116.884223260767"/>
        <n v="117"/>
        <n v="117.0985"/>
        <n v="117.14"/>
        <n v="117.19"/>
        <n v="117.33"/>
        <n v="117.47"/>
        <n v="117.6"/>
        <n v="117.7"/>
        <n v="117.855784973132"/>
        <n v="118"/>
        <n v="118.14783616"/>
        <n v="118.37"/>
        <n v="118.4"/>
        <n v="118.52950774"/>
        <n v="118.55"/>
        <n v="118.56784968"/>
        <n v="118.6"/>
        <n v="118.73"/>
        <n v="119"/>
        <n v="119.01"/>
        <n v="119.032267867542"/>
        <n v="119.032637677388"/>
        <n v="119.03282817"/>
        <n v="119.37"/>
        <n v="119.56429662"/>
        <n v="119.6"/>
        <n v="119.7"/>
        <n v="119.95"/>
        <n v="120"/>
        <n v="120.24"/>
        <n v="120.6"/>
        <n v="120.647"/>
        <n v="121.106569077332"/>
        <n v="121.10656912"/>
        <n v="121.3"/>
        <n v="121.6"/>
        <n v="121.67"/>
        <n v="121.71"/>
        <n v="121.899621212121"/>
        <n v="122"/>
        <n v="123.5"/>
        <n v="124.244426184024"/>
        <n v="124.602695169189"/>
        <n v="125"/>
        <n v="125.58524119"/>
        <n v="125.59"/>
        <n v="125.663636363636"/>
        <n v="126"/>
        <n v="126.26"/>
        <n v="126.7"/>
        <n v="126.704545454545"/>
        <n v="126.87826619"/>
        <n v="128"/>
        <n v="129"/>
        <n v="129.5"/>
        <n v="129.54147478"/>
        <n v="129.6"/>
        <n v="130"/>
        <n v="130.609848484849"/>
        <n v="131"/>
        <n v="131.090517324647"/>
        <n v="131.2"/>
        <n v="131.76"/>
        <n v="132"/>
        <n v="132.3"/>
        <n v="132.4"/>
        <n v="133"/>
        <n v="133.5"/>
        <n v="133.52"/>
        <n v="133.893939393939"/>
        <n v="134"/>
        <n v="134.96"/>
        <n v="135"/>
        <n v="135.1"/>
        <n v="135.2"/>
        <n v="135.66"/>
        <n v="135.7"/>
        <n v="136.6"/>
        <n v="136.7"/>
        <n v="136.8"/>
        <n v="137.6"/>
        <n v="137.9"/>
        <n v="138"/>
        <n v="138.018247215654"/>
        <n v="138.1"/>
        <n v="138.2"/>
        <n v="138.3"/>
        <n v="138.5"/>
        <n v="139"/>
        <n v="139.067773242822"/>
        <n v="139.92"/>
        <n v="140"/>
        <n v="140.65"/>
        <n v="141"/>
        <n v="142.2"/>
        <n v="143"/>
        <n v="143.05"/>
        <n v="143.2"/>
        <n v="143.297737044769"/>
        <n v="143.397949388825"/>
        <n v="143.45"/>
        <n v="143.49"/>
        <n v="143.69"/>
        <n v="143.92"/>
        <n v="145.5"/>
        <n v="145.67"/>
        <n v="145.7"/>
        <n v="147.46"/>
        <n v="147.6"/>
        <n v="147.7"/>
        <n v="148.2"/>
        <n v="148.6"/>
        <n v="148.711162640152"/>
        <n v="148.9"/>
        <n v="149"/>
        <n v="149.033"/>
        <n v="149.2"/>
        <n v="149.9"/>
        <n v="150"/>
        <n v="150.3"/>
        <n v="150.514879589015"/>
        <n v="150.543"/>
        <n v="150.9"/>
        <n v="151.371"/>
        <n v="151.4"/>
        <n v="151.441680019161"/>
        <n v="151.6"/>
        <n v="152"/>
        <n v="152.17"/>
        <n v="152.32"/>
        <n v="152.8"/>
        <n v="153.2"/>
        <n v="153.38"/>
        <n v="153.753"/>
        <n v="154"/>
        <n v="155"/>
        <n v="155.38"/>
        <n v="155.4"/>
        <n v="155.46553030303"/>
        <n v="155.9"/>
        <n v="155.93"/>
        <n v="156"/>
        <n v="156.05"/>
        <n v="156.29"/>
        <n v="156.585386363636"/>
        <n v="156.66571969697"/>
        <n v="156.7"/>
        <n v="156.92"/>
        <n v="158"/>
        <n v="158.2"/>
        <n v="158.503720680492"/>
        <n v="159"/>
        <n v="159.611931818182"/>
        <n v="159.825"/>
        <n v="159.871183274621"/>
        <n v="159.94"/>
        <n v="160"/>
        <n v="160.4"/>
        <n v="160.6"/>
        <n v="160.8"/>
        <n v="160.88"/>
        <n v="160.9"/>
        <n v="160.901515151515"/>
        <n v="161"/>
        <n v="161.0378"/>
        <n v="161.2"/>
        <n v="161.45"/>
        <n v="161.558"/>
        <n v="161.9"/>
        <n v="162.18"/>
        <n v="162.2"/>
        <n v="162.210748555744"/>
        <n v="162.61"/>
        <n v="163.2"/>
        <n v="163.69"/>
        <n v="163.84"/>
        <n v="163.87"/>
        <n v="164.0653"/>
        <n v="164.24"/>
        <n v="164.31"/>
        <n v="164.34"/>
        <n v="164.46"/>
        <n v="164.6"/>
        <n v="164.69"/>
        <n v="165"/>
        <n v="165.4"/>
        <n v="165.6"/>
        <n v="165.79"/>
        <n v="166"/>
        <n v="166.3"/>
        <n v="166.59"/>
        <n v="166.97"/>
        <n v="167"/>
        <n v="167.3"/>
        <n v="167.98"/>
        <n v="168"/>
        <n v="168.399662964925"/>
        <n v="168.4"/>
        <n v="168.51"/>
        <n v="168.511446320455"/>
        <n v="168.52"/>
        <n v="168.7"/>
        <n v="168.83"/>
        <n v="169"/>
        <n v="169.196376170649"/>
        <n v="169.19775598"/>
        <n v="169.3"/>
        <n v="169.450315929552"/>
        <n v="169.519046585227"/>
        <n v="169.8"/>
        <n v="169.83"/>
        <n v="170"/>
        <n v="170.54324694"/>
        <n v="170.57977876"/>
        <n v="170.605538644896"/>
        <n v="170.72"/>
        <n v="171"/>
        <n v="171.1"/>
        <n v="171.2"/>
        <n v="171.4"/>
        <n v="172"/>
        <n v="172.15"/>
        <n v="172.2"/>
        <n v="172.89"/>
        <n v="173.03"/>
        <n v="173.09"/>
        <n v="173.1"/>
        <n v="173.142"/>
        <n v="173.5"/>
        <n v="173.73"/>
        <n v="173.86"/>
        <n v="173.9"/>
        <n v="173.92"/>
        <n v="173.926"/>
        <n v="174"/>
        <n v="174.1"/>
        <n v="174.654910169818"/>
        <n v="174.7"/>
        <n v="175"/>
        <n v="175.42"/>
        <n v="175.82"/>
        <n v="176.06"/>
        <n v="176.45"/>
        <n v="176.5"/>
        <n v="176.69"/>
        <n v="176.798003633478"/>
        <n v="176.8"/>
        <n v="176.85"/>
        <n v="177"/>
        <n v="177.592727272727"/>
        <n v="177.6"/>
        <n v="177.9"/>
        <n v="177.91"/>
        <n v="177.934"/>
        <n v="177.955"/>
        <n v="178"/>
        <n v="178.03"/>
        <n v="178.4"/>
        <n v="178.5"/>
        <n v="178.6"/>
        <n v="178.92"/>
        <n v="179.57"/>
        <n v="179.7"/>
        <n v="179.9"/>
        <n v="179.973002181408"/>
        <n v="180"/>
        <n v="180.4"/>
        <n v="180.6"/>
        <n v="180.62"/>
        <n v="180.65"/>
        <n v="180.7"/>
        <n v="181"/>
        <n v="181.23"/>
        <n v="181.27"/>
        <n v="181.351718299102"/>
        <n v="181.66"/>
        <n v="182"/>
        <n v="182.5"/>
        <n v="182.67"/>
        <n v="182.7"/>
        <n v="183"/>
        <n v="183.2"/>
        <n v="183.6"/>
        <n v="183.628759866856"/>
        <n v="183.75"/>
        <n v="183.791"/>
        <n v="184.409090909091"/>
        <n v="184.55"/>
        <n v="184.8"/>
        <n v="184.9"/>
        <n v="184.919184255556"/>
        <n v="184.93"/>
        <n v="184.94"/>
        <n v="185"/>
        <n v="185.08"/>
        <n v="185.2"/>
        <n v="185.3"/>
        <n v="185.5"/>
        <n v="185.59"/>
        <n v="185.6"/>
        <n v="186.4"/>
        <n v="186.42"/>
        <n v="186.5"/>
        <n v="186.6"/>
        <n v="186.64"/>
        <n v="186.78"/>
        <n v="186.9"/>
        <n v="186.903885012265"/>
        <n v="187"/>
        <n v="187.2"/>
        <n v="187.23"/>
        <n v="187.32"/>
        <n v="188"/>
        <n v="188.6"/>
        <n v="189"/>
        <n v="189.35"/>
        <n v="189.41"/>
        <n v="189.421"/>
        <n v="189.6"/>
        <n v="189.66"/>
        <n v="190"/>
        <n v="190.3105"/>
        <n v="190.6"/>
        <n v="190.738"/>
        <n v="190.86"/>
        <n v="191.73"/>
        <n v="192"/>
        <n v="192.37"/>
        <n v="192.4"/>
        <n v="193"/>
        <n v="193.6"/>
        <n v="193.8"/>
        <n v="193.82"/>
        <n v="193.880545885772"/>
        <n v="194"/>
        <n v="194.32"/>
        <n v="194.5"/>
        <n v="194.8"/>
        <n v="195"/>
        <n v="195.33"/>
        <n v="195.9"/>
        <n v="196"/>
        <n v="197"/>
        <n v="197.981"/>
        <n v="199"/>
        <n v="200"/>
        <n v="200.2"/>
        <n v="200.442538006273"/>
        <n v="200.8"/>
        <n v="201.63"/>
        <n v="201.74"/>
        <n v="202.35"/>
        <n v="202.36"/>
        <n v="202.380807715577"/>
        <n v="202.4"/>
        <n v="202.6"/>
        <n v="202.8"/>
        <n v="203"/>
        <n v="203.7"/>
        <n v="204"/>
        <n v="204.5"/>
        <n v="205"/>
        <n v="206.1"/>
        <n v="206.68"/>
        <n v="207.7"/>
        <n v="208.1"/>
        <n v="208.12"/>
        <n v="208.9"/>
        <n v="209.44"/>
        <n v="209.51"/>
        <n v="209.7"/>
        <n v="209.88"/>
        <n v="209.96"/>
        <n v="210"/>
        <n v="210.02"/>
        <n v="210.07"/>
        <n v="210.29"/>
        <n v="210.575757575758"/>
        <n v="210.581939929167"/>
        <n v="211.1"/>
        <n v="211.119318181818"/>
        <n v="211.3"/>
        <n v="212.6"/>
        <n v="212.61"/>
        <n v="212.66"/>
        <n v="212.7"/>
        <n v="212.71"/>
        <n v="212.736"/>
        <n v="212.8"/>
        <n v="212.954545454545"/>
        <n v="213"/>
        <n v="213.8"/>
        <n v="213.919934963258"/>
        <n v="214.1"/>
        <n v="214.2"/>
        <n v="215.1"/>
        <n v="215.3"/>
        <n v="216.084359957197"/>
        <n v="216.57"/>
        <n v="217"/>
        <n v="217.4"/>
        <n v="217.89"/>
        <n v="217.931309598256"/>
        <n v="218"/>
        <n v="218.36758609189"/>
        <n v="218.5"/>
        <n v="219"/>
        <n v="219.17"/>
        <n v="219.19"/>
        <n v="219.5"/>
        <n v="220"/>
        <n v="220.01036332"/>
        <n v="220.06714518"/>
        <n v="220.14547"/>
        <n v="220.184522159346"/>
        <n v="220.20618274"/>
        <n v="220.41"/>
        <n v="220.59"/>
        <n v="221"/>
        <n v="222.56"/>
        <n v="223.5"/>
        <n v="223.93"/>
        <n v="224.41"/>
        <n v="224.51"/>
        <n v="224.8"/>
        <n v="224.834"/>
        <n v="225"/>
        <n v="225.28"/>
        <n v="225.7"/>
        <n v="227"/>
        <n v="227.8"/>
        <n v="228.31"/>
        <n v="228.41"/>
        <n v="228.8"/>
        <n v="228.968620335227"/>
        <n v="229.26794219356"/>
        <n v="229.29"/>
        <n v="231.65"/>
        <n v="231.7"/>
        <n v="232.1"/>
        <n v="232.4"/>
        <n v="232.6"/>
        <n v="233.02"/>
        <n v="234"/>
        <n v="234.057399587931"/>
        <n v="234.2006404"/>
        <n v="234.39287424"/>
        <n v="234.665641809999"/>
        <n v="234.66564181"/>
        <n v="234.86"/>
        <n v="235"/>
        <n v="235.2"/>
        <n v="236"/>
        <n v="236.2"/>
        <n v="236.2453"/>
        <n v="236.42"/>
        <n v="236.83"/>
        <n v="237"/>
        <n v="237.33"/>
        <n v="237.5"/>
        <n v="237.66"/>
        <n v="237.9"/>
        <n v="237.92"/>
        <n v="238.58"/>
        <n v="238.79"/>
        <n v="239"/>
        <n v="239.27"/>
        <n v="239.3"/>
        <n v="240"/>
        <n v="240.4"/>
        <n v="241"/>
        <n v="241.46"/>
        <n v="241.74"/>
        <n v="241.77"/>
        <n v="242.4"/>
        <n v="242.5"/>
        <n v="242.69"/>
        <n v="242.81"/>
        <n v="242.85"/>
        <n v="243"/>
        <n v="243.5"/>
        <n v="243.8"/>
        <n v="244"/>
        <n v="244.6"/>
        <n v="245"/>
        <n v="245.22"/>
        <n v="245.64"/>
        <n v="245.8"/>
        <n v="246"/>
        <n v="247"/>
        <n v="247.24"/>
        <n v="247.74"/>
        <n v="248"/>
        <n v="248.245"/>
        <n v="248.487332504469"/>
        <n v="248.5"/>
        <n v="248.55"/>
        <n v="249.191"/>
        <n v="249.55"/>
        <n v="249.764"/>
        <n v="249.837441629499"/>
        <n v="249.9"/>
        <n v="249.96"/>
        <n v="250"/>
        <n v="250.23"/>
        <n v="250.9"/>
        <n v="251"/>
        <n v="251.17"/>
        <n v="251.5"/>
        <n v="252"/>
        <n v="253"/>
        <n v="253.17"/>
        <n v="253.7"/>
        <n v="254.18"/>
        <n v="254.74"/>
        <n v="254.9"/>
        <n v="255"/>
        <n v="255.2"/>
        <n v="255.577727272727"/>
        <n v="256.5"/>
        <n v="256.84"/>
        <n v="257.96"/>
        <n v="258"/>
        <n v="258.19"/>
        <n v="258.25"/>
        <n v="258.5"/>
        <n v="258.6"/>
        <n v="258.62"/>
        <n v="258.72"/>
        <n v="261.2"/>
        <n v="261.8"/>
        <n v="262.269249825417"/>
        <n v="263.902"/>
        <n v="264.6"/>
        <n v="264.606060606061"/>
        <n v="264.68"/>
        <n v="265"/>
        <n v="265.057110946697"/>
        <n v="265.164629942943"/>
        <n v="265.59547036"/>
        <n v="265.6245579"/>
        <n v="266.080542119787"/>
        <n v="266.83"/>
        <n v="266.99"/>
        <n v="267.17580273"/>
        <n v="267.35"/>
        <n v="267.39"/>
        <n v="268"/>
        <n v="269"/>
        <n v="269.267919468032"/>
        <n v="269.5"/>
        <n v="269.8"/>
        <n v="269.95"/>
        <n v="269.96"/>
        <n v="270"/>
        <n v="270.23"/>
        <n v="270.28"/>
        <n v="270.6"/>
        <n v="270.69"/>
        <n v="270.7"/>
        <n v="271"/>
        <n v="271.3"/>
        <n v="271.4"/>
        <n v="271.77"/>
        <n v="271.8"/>
        <n v="271.9"/>
        <n v="272"/>
        <n v="272.1"/>
        <n v="272.2"/>
        <n v="272.6"/>
        <n v="273.4"/>
        <n v="274.25"/>
        <n v="275"/>
        <n v="275.83"/>
        <n v="276"/>
        <n v="277"/>
        <n v="277.71"/>
        <n v="277.77"/>
        <n v="278.06"/>
        <n v="278.09843234664"/>
        <n v="278.1"/>
        <n v="278.105831059999"/>
        <n v="278.10583106"/>
        <n v="278.562"/>
        <n v="278.6"/>
        <n v="278.68444509"/>
        <n v="278.787878787879"/>
        <n v="280"/>
        <n v="280.111319586548"/>
        <n v="280.14599281"/>
        <n v="280.4"/>
        <n v="281.2"/>
        <n v="281.9"/>
        <n v="282.4"/>
        <n v="283.3"/>
        <n v="283.6"/>
        <n v="284.03"/>
        <n v="284.2"/>
        <n v="284.30500077"/>
        <n v="284.5"/>
        <n v="284.74725446"/>
        <n v="285"/>
        <n v="285.3"/>
        <n v="285.53733685"/>
        <n v="286"/>
        <n v="286.3"/>
        <n v="286.5"/>
        <n v="287"/>
        <n v="287.399114680878"/>
        <n v="287.6"/>
        <n v="288"/>
        <n v="288.6"/>
        <n v="288.7"/>
        <n v="288.848"/>
        <n v="289"/>
        <n v="289.3"/>
        <n v="289.5"/>
        <n v="289.6"/>
        <n v="290"/>
        <n v="290.6"/>
        <n v="290.666450568182"/>
        <n v="290.6675"/>
        <n v="291"/>
        <n v="291.3"/>
        <n v="293"/>
        <n v="298"/>
        <n v="298.52"/>
        <n v="299"/>
        <n v="299.26"/>
        <n v="299.3"/>
        <n v="300.2"/>
        <n v="300.200144733009"/>
        <n v="300.556742424242"/>
        <n v="300.563826490952"/>
        <n v="300.7"/>
        <n v="300.8"/>
        <n v="301.1"/>
        <n v="301.22"/>
        <n v="301.29351769"/>
        <n v="301.4"/>
        <n v="301.5"/>
        <n v="301.78"/>
        <n v="301.87486294916"/>
        <n v="302.2889799"/>
        <n v="302.3585841"/>
        <n v="303"/>
        <n v="303.248015151515"/>
        <n v="303.44"/>
        <n v="303.991358964015"/>
        <n v="305"/>
        <n v="305.018939393939"/>
        <n v="305.2"/>
        <n v="306"/>
        <n v="307"/>
        <n v="308"/>
        <n v="310"/>
        <n v="310.5"/>
        <n v="310.707196969697"/>
        <n v="311"/>
        <n v="312.5"/>
        <n v="313"/>
        <n v="315"/>
        <n v="315.7"/>
        <n v="316"/>
        <n v="317"/>
        <n v="317.6"/>
        <n v="317.68"/>
        <n v="317.7"/>
        <n v="317.77"/>
        <n v="317.8"/>
        <n v="319"/>
        <n v="319.01"/>
        <n v="319.27328"/>
        <n v="319.5"/>
        <n v="319.96"/>
        <n v="320"/>
        <n v="320.52"/>
        <n v="320.8"/>
        <n v="321.5"/>
        <n v="321.9"/>
        <n v="322"/>
        <n v="322.24"/>
        <n v="322.9"/>
        <n v="324.07"/>
        <n v="324.56"/>
        <n v="325"/>
        <n v="325.36"/>
        <n v="326"/>
        <n v="327"/>
        <n v="327.075"/>
        <n v="327.3"/>
        <n v="328.4"/>
        <n v="328.910530299999"/>
        <n v="329.31"/>
        <n v="329.69"/>
        <n v="330"/>
        <n v="330.15"/>
        <n v="330.25"/>
        <n v="330.507"/>
        <n v="331"/>
        <n v="331.3"/>
        <n v="333"/>
        <n v="334"/>
        <n v="334.5"/>
        <n v="335"/>
        <n v="337"/>
        <n v="337.5"/>
        <n v="338"/>
        <n v="338.01"/>
        <n v="338.39"/>
        <n v="338.4"/>
        <n v="339"/>
        <n v="342"/>
        <n v="343"/>
        <n v="343.5"/>
        <n v="343.8"/>
        <n v="344"/>
        <n v="344.18"/>
        <n v="345"/>
        <n v="345.35"/>
        <n v="346"/>
        <n v="346.1"/>
        <n v="346.2"/>
        <n v="346.6"/>
        <n v="346.7"/>
        <n v="346.95"/>
        <n v="347"/>
        <n v="347.29"/>
        <n v="347.401826425568"/>
        <n v="347.421264148888"/>
        <n v="347.5"/>
        <n v="347.7"/>
        <n v="349.36358536"/>
        <n v="349.669140501051"/>
        <n v="349.9"/>
        <n v="350"/>
        <n v="350.559601361504"/>
        <n v="351"/>
        <n v="351.80681465"/>
        <n v="352"/>
        <n v="352.327"/>
        <n v="352.93041507"/>
        <n v="353"/>
        <n v="354"/>
        <n v="354.68737687"/>
        <n v="355"/>
        <n v="355.42"/>
        <n v="356"/>
        <n v="357.71537885"/>
        <n v="357.8"/>
        <n v="358.1"/>
        <n v="358.8"/>
        <n v="358.9"/>
        <n v="359"/>
        <n v="359.04898867"/>
        <n v="359.208330942676"/>
        <n v="359.5682327702"/>
        <n v="359.7"/>
        <n v="359.9"/>
        <n v="360.2"/>
        <n v="360.3"/>
        <n v="360.8"/>
        <n v="361"/>
        <n v="361.1"/>
        <n v="362"/>
        <n v="362.54"/>
        <n v="363.19"/>
        <n v="363.5"/>
        <n v="363.66"/>
        <n v="363.78"/>
        <n v="364.13"/>
        <n v="364.46"/>
        <n v="365.81"/>
        <n v="366.04"/>
        <n v="367.1"/>
        <n v="367.193"/>
        <n v="367.5"/>
        <n v="367.77136"/>
        <n v="368"/>
        <n v="368.264513257576"/>
        <n v="369.5"/>
        <n v="371"/>
        <n v="372"/>
        <n v="373"/>
        <n v="373.21"/>
        <n v="373.7"/>
        <n v="373.9"/>
        <n v="374.3"/>
        <n v="374.5"/>
        <n v="375"/>
        <n v="376.28"/>
        <n v="378"/>
        <n v="378.04"/>
        <n v="378.09"/>
        <n v="378.8"/>
        <n v="378.98"/>
        <n v="379.3"/>
        <n v="379.5"/>
        <n v="379.53"/>
        <n v="380"/>
        <n v="380.393039501804"/>
        <n v="381.33"/>
        <n v="381.5"/>
        <n v="382"/>
        <n v="382.89"/>
        <n v="383.7"/>
        <n v="383.9"/>
        <n v="384.88"/>
        <n v="385"/>
        <n v="385.1"/>
        <n v="385.3"/>
        <n v="385.6493318"/>
        <n v="385.8"/>
        <n v="385.91"/>
        <n v="387.4"/>
        <n v="388"/>
        <n v="389.3"/>
        <n v="389.57"/>
        <n v="389.788290098714"/>
        <n v="389.8872454203"/>
        <n v="390"/>
        <n v="390.11072178"/>
        <n v="390.3"/>
        <n v="391"/>
        <n v="391.20706974"/>
        <n v="391.443142570003"/>
        <n v="391.47625235"/>
        <n v="391.5"/>
        <n v="391.91"/>
        <n v="392"/>
        <n v="393.6"/>
        <n v="393.72"/>
        <n v="394"/>
        <n v="394.4"/>
        <n v="394.5"/>
        <n v="394.6"/>
        <n v="394.87"/>
        <n v="394.9"/>
        <n v="395"/>
        <n v="395.328"/>
        <n v="395.5784"/>
        <n v="395.8"/>
        <n v="396.6"/>
        <n v="397.067"/>
        <n v="397.416"/>
        <n v="397.75"/>
        <n v="405.05"/>
        <n v="405.2"/>
        <n v="405.4124116"/>
        <n v="405.6"/>
        <n v="405.641"/>
        <n v="405.67"/>
        <n v="405.78"/>
        <n v="406.25"/>
        <n v="406.27"/>
        <n v="406.5"/>
        <n v="406.94"/>
        <n v="407.75"/>
        <n v="408"/>
        <n v="408.0284"/>
        <n v="408.0875"/>
        <n v="408.5141"/>
        <n v="409"/>
        <n v="409.8"/>
        <n v="409.906"/>
        <n v="409.93"/>
        <n v="409.96"/>
        <n v="410"/>
        <n v="410.2"/>
        <n v="411.16"/>
        <n v="411.39"/>
        <n v="411.917"/>
        <n v="412.108"/>
        <n v="413.01"/>
        <n v="413.554"/>
        <n v="413.6"/>
        <n v="414"/>
        <n v="414.105871"/>
        <n v="414.502"/>
        <n v="414.9"/>
        <n v="416.134145026323"/>
        <n v="417.64"/>
        <n v="418.875"/>
        <n v="419.04"/>
        <n v="420"/>
        <n v="420.167"/>
        <n v="420.595265639176"/>
        <n v="422"/>
        <n v="422.78"/>
        <n v="423.75"/>
        <n v="423.857197"/>
        <n v="424.571"/>
        <n v="424.719"/>
        <n v="425.292"/>
        <n v="425.82312726"/>
        <n v="426.65"/>
        <n v="427.4"/>
        <n v="428.26"/>
        <n v="429.887"/>
        <n v="431.07038319"/>
        <n v="431.2"/>
        <n v="431.480297710748"/>
        <n v="431.5"/>
        <n v="431.7"/>
        <n v="431.783143939394"/>
        <n v="431.9"/>
        <n v="431.91210693"/>
        <n v="432.31"/>
        <n v="432.7"/>
        <n v="433"/>
        <n v="434.5"/>
        <n v="434.535"/>
        <n v="434.7"/>
        <n v="434.871605867408"/>
        <n v="436"/>
        <n v="440"/>
        <n v="440.44"/>
        <n v="440.8"/>
        <n v="441.007"/>
        <n v="441.545"/>
        <n v="443.02"/>
        <n v="443.2"/>
        <n v="443.6"/>
        <n v="445"/>
        <n v="445.98"/>
        <n v="450"/>
        <n v="451.92"/>
        <n v="452"/>
        <n v="452.2"/>
        <n v="452.4"/>
        <n v="453"/>
        <n v="453.59"/>
        <n v="457.727083333333"/>
        <n v="457.89"/>
        <n v="458.086672530026"/>
        <n v="459.75"/>
        <n v="459.948579545455"/>
        <n v="459.96"/>
        <n v="460.1"/>
        <n v="460.3"/>
        <n v="460.743712121212"/>
        <n v="461.12"/>
        <n v="462"/>
        <n v="462.58"/>
        <n v="463.4"/>
        <n v="464.84"/>
        <n v="464.93"/>
        <n v="465"/>
        <n v="466"/>
        <n v="466.12"/>
        <n v="466.19"/>
        <n v="466.2"/>
        <n v="466.5"/>
        <n v="466.6"/>
        <n v="469.711666666667"/>
        <n v="470"/>
        <n v="470.98"/>
        <n v="471.4"/>
        <n v="473.9"/>
        <n v="474"/>
        <n v="474.7"/>
        <n v="474.783941688362"/>
        <n v="475"/>
        <n v="476"/>
        <n v="477.278409090909"/>
        <n v="477.4"/>
        <n v="480.72"/>
        <n v="481.24"/>
        <n v="482.6"/>
        <n v="482.8"/>
        <n v="482.885504794124"/>
        <n v="483"/>
        <n v="483.5"/>
        <n v="484.22"/>
        <n v="484.92"/>
        <n v="484.998737674879"/>
        <n v="486"/>
        <n v="486.7"/>
        <n v="487.94"/>
        <n v="488"/>
        <n v="488.4"/>
        <n v="488.8"/>
        <n v="488.81"/>
        <n v="489.56"/>
        <n v="490"/>
        <n v="493.9"/>
        <n v="494.5"/>
        <n v="495"/>
        <n v="496.251355628406"/>
        <n v="497.6"/>
        <n v="499.2"/>
        <n v="499.68"/>
        <n v="500.429"/>
        <n v="501.2"/>
        <n v="501.79"/>
        <n v="502.4"/>
        <n v="502.5"/>
        <n v="503.85"/>
        <n v="504.58"/>
        <n v="504.7"/>
        <n v="504.83"/>
        <n v="505"/>
        <n v="505.2"/>
        <n v="506"/>
        <n v="506.052151371067"/>
        <n v="506.43"/>
        <n v="507"/>
        <n v="507.4"/>
        <n v="508.4"/>
        <n v="508.8"/>
        <n v="510.1"/>
        <n v="512.9896"/>
        <n v="514.42"/>
        <n v="515.2"/>
        <n v="517.5"/>
        <n v="518"/>
        <n v="518.9"/>
        <n v="520"/>
        <n v="521.2"/>
        <n v="523.56"/>
        <n v="525"/>
        <n v="526.9"/>
        <n v="531.1"/>
        <n v="531.2"/>
        <n v="532.04"/>
        <n v="532.26"/>
        <n v="532.3"/>
        <n v="532.44"/>
        <n v="532.65"/>
        <n v="533.8"/>
        <n v="535"/>
        <n v="535.5"/>
        <n v="541.149861081439"/>
        <n v="543.975817633527"/>
        <n v="544.52060483"/>
        <n v="544.5687279"/>
        <n v="544.70632057"/>
        <n v="544.97"/>
        <n v="545.79"/>
        <n v="546"/>
        <n v="555"/>
        <n v="555.46"/>
        <n v="558"/>
        <n v="558.51"/>
        <n v="559"/>
        <n v="560.043560606061"/>
        <n v="561.17"/>
        <n v="564"/>
        <n v="564.01"/>
        <n v="564.69"/>
        <n v="565"/>
        <n v="567"/>
        <n v="567.5"/>
        <n v="569.89"/>
        <n v="570"/>
        <n v="570.9"/>
        <n v="571"/>
        <n v="573"/>
        <n v="575"/>
        <n v="579.77"/>
        <n v="585"/>
        <n v="586.98"/>
        <n v="587.12"/>
        <n v="587.127"/>
        <n v="587.6"/>
        <n v="587.703"/>
        <n v="589"/>
        <n v="590"/>
        <n v="591"/>
        <n v="591.5"/>
        <n v="592"/>
        <n v="592.177753484878"/>
        <n v="594"/>
        <n v="594.1"/>
        <n v="594.71"/>
        <n v="595.4"/>
        <n v="598"/>
        <n v="600"/>
        <n v="600.159017045455"/>
        <n v="601.32"/>
        <n v="603"/>
        <n v="603.803396205357"/>
        <n v="607.12"/>
        <n v="607.2"/>
        <n v="607.22"/>
        <n v="607.38"/>
        <n v="611.6"/>
        <n v="612.27946989"/>
        <n v="613"/>
        <n v="615"/>
        <n v="615.45"/>
        <n v="616.33"/>
        <n v="618"/>
        <n v="619.53"/>
        <n v="620"/>
        <n v="624"/>
        <n v="626.7"/>
        <n v="627.44173802"/>
        <n v="627.46"/>
        <n v="627.53"/>
        <n v="630.68"/>
        <n v="632.38333397"/>
        <n v="633.43"/>
        <n v="633.6"/>
        <n v="635.728228413639"/>
        <n v="636"/>
        <n v="638.1"/>
        <n v="640.19"/>
        <n v="643"/>
        <n v="644"/>
        <n v="645.5"/>
        <n v="646"/>
        <n v="646.4"/>
        <n v="647"/>
        <n v="649"/>
        <n v="649.547270558523"/>
        <n v="651"/>
        <n v="652"/>
        <n v="655"/>
        <n v="656.6"/>
        <n v="658"/>
        <n v="658.1"/>
        <n v="660.76"/>
        <n v="661"/>
        <n v="662"/>
        <n v="663"/>
        <n v="665.75"/>
        <n v="668"/>
        <n v="672"/>
        <n v="675"/>
        <n v="676"/>
        <n v="676.1"/>
        <n v="679.7"/>
        <n v="679.94"/>
        <n v="681"/>
        <n v="683"/>
        <n v="686"/>
        <n v="689"/>
        <n v="689.98"/>
        <n v="690"/>
        <n v="691.4"/>
        <n v="692.42"/>
        <n v="692.907"/>
        <n v="693.876"/>
        <n v="694"/>
        <n v="694.81"/>
        <n v="696.6"/>
        <n v="698"/>
        <n v="699"/>
        <n v="702.8"/>
        <n v="704"/>
        <n v="705"/>
        <n v="705.0068"/>
        <n v="706.23"/>
        <n v="706.3"/>
        <n v="709"/>
        <n v="709.19"/>
        <n v="709.2"/>
        <n v="710"/>
        <n v="712.6"/>
        <n v="713.527811726768"/>
        <n v="715"/>
        <n v="715.143645693821"/>
        <n v="717"/>
        <n v="719"/>
        <n v="721.55"/>
        <n v="721.95"/>
        <n v="722"/>
        <n v="723"/>
        <n v="727"/>
        <n v="727.82"/>
        <n v="728"/>
        <n v="732.6"/>
        <n v="733.444"/>
        <n v="734.95"/>
        <n v="735"/>
        <n v="735.6"/>
        <n v="735.846"/>
        <n v="737"/>
        <n v="738.5"/>
        <n v="741.1"/>
        <n v="743.79"/>
        <n v="744.5"/>
        <n v="745"/>
        <n v="745.3"/>
        <n v="746"/>
        <n v="747.9"/>
        <n v="749.3"/>
        <n v="750"/>
        <n v="750.2"/>
        <n v="750.4"/>
        <n v="752"/>
        <n v="752.9"/>
        <n v="753.1"/>
        <n v="753.5"/>
        <n v="755"/>
        <n v="757.64"/>
        <n v="758.91"/>
        <n v="759.3"/>
        <n v="770.969"/>
        <n v="772"/>
        <n v="773.33"/>
        <n v="775.5"/>
        <n v="778.0845561"/>
        <n v="781.2"/>
        <n v="783.06"/>
        <n v="783.19"/>
        <n v="785.09"/>
        <n v="790.14"/>
        <n v="793"/>
        <n v="796.68"/>
        <n v="797.5"/>
        <n v="798.6"/>
        <n v="798.716"/>
        <n v="802"/>
        <n v="802.1"/>
        <n v="802.4"/>
        <n v="802.56"/>
        <n v="802.6"/>
        <n v="803.86"/>
        <n v="805.95"/>
        <n v="809.74"/>
        <n v="810.93"/>
        <n v="811.025014091939"/>
        <n v="811.1065"/>
        <n v="811.39"/>
        <n v="811.9"/>
        <n v="813"/>
        <n v="813.6"/>
        <n v="814.2"/>
        <n v="814.35"/>
        <n v="815.21"/>
        <n v="816.44"/>
        <n v="818.94"/>
        <n v="830.54"/>
        <n v="830.69"/>
        <n v="841"/>
        <n v="842"/>
        <n v="845"/>
        <n v="850.96"/>
        <n v="852.67"/>
        <n v="852.95"/>
        <n v="853.107830184862"/>
        <n v="853.4"/>
        <n v="868"/>
        <n v="873.664238307561"/>
        <n v="873.83"/>
        <n v="874.13"/>
        <n v="880.439213824518"/>
        <n v="883.900092928076"/>
        <n v="885.611138519999"/>
        <n v="886.01421202"/>
        <n v="886.79"/>
        <n v="888.73437131"/>
        <n v="891.4"/>
        <n v="894.87"/>
        <n v="895.320537847087"/>
        <n v="898.32"/>
        <n v="900.42"/>
        <n v="904.2"/>
        <n v="906.0587"/>
        <n v="906.1"/>
        <n v="909.6"/>
        <n v="911.710571166228"/>
        <n v="918.1518"/>
        <n v="918.2"/>
        <n v="922"/>
        <n v="923"/>
        <n v="923.57"/>
        <n v="924"/>
        <n v="925"/>
        <n v="926"/>
        <n v="930.5"/>
        <n v="936"/>
        <n v="941.09"/>
        <n v="942.354"/>
        <n v="943.1"/>
        <n v="944"/>
        <n v="946.84"/>
        <n v="947.7"/>
        <n v="948.5"/>
        <n v="950.35"/>
        <n v="951.863"/>
        <n v="952.37"/>
        <n v="955.7955"/>
        <n v="956.2665"/>
        <n v="956.3836"/>
        <n v="960.69"/>
        <n v="960.72"/>
        <n v="962.81"/>
        <n v="963.63"/>
        <n v="965.71"/>
        <n v="966.59"/>
        <n v="967.69"/>
        <n v="992.77"/>
        <n v="993.59"/>
        <n v="994"/>
        <n v="1005.33"/>
        <n v="1009.5"/>
        <n v="1009.7"/>
        <n v="1010"/>
        <n v="1028.8"/>
        <n v="1090.14"/>
        <n v="1093"/>
        <n v="1127"/>
        <n v="1143.3"/>
        <n v="1148.5"/>
        <n v="1153.6"/>
        <n v="1154.2"/>
        <n v="1242.4"/>
        <n v="1253.68294982384"/>
        <n v="1275.2"/>
        <n v="1276.74363525983"/>
        <n v="1281.65233271642"/>
        <n v="1282.26619947345"/>
        <n v="1287.29"/>
        <n v="1292.16679532198"/>
        <n v="1298.27696334402"/>
        <n v="1314"/>
        <n v="1657.44"/>
        <n v="1662.41"/>
        <n v="1673.35"/>
        <n v="1686"/>
        <n v="1695.3"/>
        <n v="1701.02"/>
        <n v="1710.58"/>
        <n v="1715.52"/>
        <n v="1718.1"/>
        <n v="1723.2"/>
        <n v="1727"/>
        <n v="1728.7"/>
        <n v="1740.92046956826"/>
        <n v="1743.54"/>
        <n v="1747.3"/>
        <n v="1766.77960933513"/>
        <n v="1769.3"/>
        <n v="1787.5"/>
        <n v="1810.39"/>
        <n v="1823.28"/>
        <n v="1833.8"/>
        <n v="1854.4"/>
        <n v="1854.7"/>
        <n v="1872.9"/>
        <n v="1882.33"/>
        <n v="1893"/>
        <n v="1903.07"/>
        <n v="1913"/>
        <n v="1973.1"/>
        <n v="2007.62"/>
        <n v="2008.94"/>
        <n v="2012.8"/>
        <n v="2012.82"/>
        <n v="2281.1"/>
        <n v="2314"/>
        <n v="2338.61"/>
        <n v="2350.35"/>
        <n v="2362.97"/>
        <n v="2404.05"/>
        <n v="2451.63"/>
        <n v="2465.15"/>
        <n v="2477"/>
        <n v="2478"/>
        <n v="2478.233"/>
        <n v="2478.5"/>
        <n v="2484.2"/>
        <n v="2485.1"/>
        <n v="2485.9"/>
        <n v="2487.5"/>
        <n v="2576"/>
        <n v="3305"/>
        <n v="3390.7"/>
        <n v="3414.9"/>
        <n v="3471.41813384"/>
        <n v="3667.149"/>
        <n v="3677.7"/>
        <n v="3715.18"/>
        <n v="3719.03"/>
        <n v="4150.9"/>
        <n v="4232.5"/>
        <n v="4234.4"/>
        <n v="4262.2"/>
        <n v="4270"/>
        <n v="4272"/>
        <n v="4277"/>
        <n v="4281"/>
        <n v="4282"/>
        <n v="7372.24166666667"/>
        <n v="7386.35814393939"/>
        <n v="7395.76"/>
        <n v="7400.14772727273"/>
        <n v="7400.23"/>
        <n v="7400.25189393939"/>
        <n v="7400.31439393939"/>
        <n v="7400.36742424242"/>
        <n v="7400.375"/>
      </sharedItems>
    </cacheField>
    <cacheField name="validity_score" numFmtId="0">
      <sharedItems containsSemiMixedTypes="0" containsString="0" containsNumber="1" containsInteger="1" minValue="26" maxValue="94" count="57">
        <n v="26"/>
        <n v="29"/>
        <n v="34"/>
        <n v="35"/>
        <n v="36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4"/>
      </sharedItems>
    </cacheField>
    <cacheField name="real_losses_af" numFmtId="0">
      <sharedItems containsSemiMixedTypes="0" containsString="0" containsNumber="1" minValue="-2530.60171979949" maxValue="33035.7113351026" count="3512">
        <n v="-2530.60171979949"/>
        <n v="-2276.49273390718"/>
        <n v="-2004.93871343061"/>
        <n v="-1335.49232551547"/>
        <n v="-815.457130560179"/>
        <n v="-724.973159898477"/>
        <n v="-414.022724999999"/>
        <n v="-361.788257001104"/>
        <n v="-351.771742424241"/>
        <n v="-286.575157734571"/>
        <n v="-240.374555837564"/>
        <n v="-234.2585"/>
        <n v="-230.005854166952"/>
        <n v="-195.795002889527"/>
        <n v="-162.773510248673"/>
        <n v="-134.013769419539"/>
        <n v="-131.465400008823"/>
        <n v="-125.252959160069"/>
        <n v="-103.626854156403"/>
        <n v="-101.548360353533"/>
        <n v="-94.8917825757581"/>
        <n v="-86.1756751053362"/>
        <n v="-85.1251227633545"/>
        <n v="-84.584071668708"/>
        <n v="-66.2828588124455"/>
        <n v="-61.2243650000001"/>
        <n v="-58.2516343915975"/>
        <n v="-57.673737373738"/>
        <n v="-50.2701748377225"/>
        <n v="-48.3771428571431"/>
        <n v="-47.3748268011598"/>
        <n v="-41.5124569267311"/>
        <n v="-35.3352565727518"/>
        <n v="-30.2386195742218"/>
        <n v="-25.6757575757583"/>
        <n v="-18.2698342964818"/>
        <n v="-14.4970750000001"/>
        <n v="-7.60075065740299"/>
        <n v="-0.960034130982248"/>
        <n v="0.0003037875783107"/>
        <n v="0.178885554212858"/>
        <n v="0.403824623115657"/>
        <n v="0.542638782050801"/>
        <n v="0.594792313800888"/>
        <n v="0.671203088737161"/>
        <n v="0.722750000000035"/>
        <n v="1.35560807003903"/>
        <n v="1.53342161616217"/>
        <n v="1.55793087926384"/>
        <n v="1.77761128645115"/>
        <n v="1.80812734346326"/>
        <n v="2.0517602272727"/>
        <n v="2.28206793620799"/>
        <n v="2.37689784615364"/>
        <n v="2.39291832826441"/>
        <n v="2.634464858375"/>
        <n v="2.63882278860677"/>
        <n v="3.07920174506842"/>
        <n v="3.51735081981756"/>
        <n v="3.81616451776638"/>
        <n v="4.10319417988305"/>
        <n v="4.73112846455253"/>
        <n v="4.82149808163924"/>
        <n v="4.8275271964344"/>
        <n v="4.92336952171418"/>
        <n v="5.05096262626225"/>
        <n v="5.09784973350247"/>
        <n v="5.40493536523444"/>
        <n v="5.90883185929638"/>
        <n v="5.9166824699938"/>
        <n v="6.12874312072199"/>
        <n v="6.32597035892478"/>
        <n v="6.43877150317742"/>
        <n v="6.61050969387756"/>
        <n v="6.89041156641737"/>
        <n v="6.97583390800017"/>
        <n v="7.05965073145947"/>
        <n v="7.48476905980014"/>
        <n v="7.61948153312225"/>
        <n v="7.71491938279591"/>
        <n v="8.38486613636371"/>
        <n v="8.5884854501237"/>
        <n v="8.72138590980803"/>
        <n v="8.78575584614688"/>
        <n v="9.07759589320176"/>
        <n v="9.2947311714318"/>
        <n v="9.58474835711016"/>
        <n v="9.70151788888885"/>
        <n v="9.78653429573004"/>
        <n v="10.2118650000015"/>
        <n v="10.2919918637518"/>
        <n v="10.314836716792"/>
        <n v="10.3272448979589"/>
        <n v="10.4667489012101"/>
        <n v="10.6516957858942"/>
        <n v="10.6690016224489"/>
        <n v="10.7254808184245"/>
        <n v="10.7288598098096"/>
        <n v="10.7569122474279"/>
        <n v="10.7783487373735"/>
        <n v="11.0464249999998"/>
        <n v="11.0964137661016"/>
        <n v="11.3023417904802"/>
        <n v="11.6659901121603"/>
        <n v="11.8782191259508"/>
        <n v="12.2390701178722"/>
        <n v="12.3868107486257"/>
        <n v="12.4022916666663"/>
        <n v="12.5377749495041"/>
        <n v="12.5545417787591"/>
        <n v="12.7478843104873"/>
        <n v="12.7743411503713"/>
        <n v="12.8042268647026"/>
        <n v="12.9032395675549"/>
        <n v="13.0091388326439"/>
        <n v="13.1214780573862"/>
        <n v="13.3838635902587"/>
        <n v="13.5049231231235"/>
        <n v="13.6159924566986"/>
        <n v="13.7584221859287"/>
        <n v="13.9006137542439"/>
        <n v="14.1834130295783"/>
        <n v="14.5227899795912"/>
        <n v="14.7046324999999"/>
        <n v="15.0677435897437"/>
        <n v="15.1023923454065"/>
        <n v="15.2845342092087"/>
        <n v="15.4264321608043"/>
        <n v="15.7049939338647"/>
        <n v="16.0479999999998"/>
        <n v="16.2106054081631"/>
        <n v="16.309294193235"/>
        <n v="16.4482327637067"/>
        <n v="16.6603078947371"/>
        <n v="16.7942237803659"/>
        <n v="16.8265833587539"/>
        <n v="17.0464525"/>
        <n v="17.0544548684204"/>
        <n v="17.3245648712189"/>
        <n v="17.3461886522628"/>
        <n v="17.6660649999998"/>
        <n v="17.8020311175646"/>
        <n v="18.062507788945"/>
        <n v="18.1037939698494"/>
        <n v="18.2346134020617"/>
        <n v="18.3065677574514"/>
        <n v="18.4592940158938"/>
        <n v="18.4741281504547"/>
        <n v="18.5197825946277"/>
        <n v="18.5271935600011"/>
        <n v="19.040067189534"/>
        <n v="19.3420015306121"/>
        <n v="19.9243024755204"/>
        <n v="19.9265033515627"/>
        <n v="20.2037640450978"/>
        <n v="20.3104484536083"/>
        <n v="20.3513717945665"/>
        <n v="20.3605257642343"/>
        <n v="20.3676203100291"/>
        <n v="20.5624324949494"/>
        <n v="20.9149233587077"/>
        <n v="21.3121418415119"/>
        <n v="21.4605369696964"/>
        <n v="21.6588996641024"/>
        <n v="21.7377575757576"/>
        <n v="21.9992929292928"/>
        <n v="22.4869602469588"/>
        <n v="22.5259228656385"/>
        <n v="22.6994971926949"/>
        <n v="22.7445601087129"/>
        <n v="22.9121971652278"/>
        <n v="23.0615530861845"/>
        <n v="23.360464195616"/>
        <n v="23.6107338642652"/>
        <n v="23.6412506592294"/>
        <n v="23.6909206232773"/>
        <n v="24.2569591551053"/>
        <n v="24.4976532198078"/>
        <n v="24.9254835714286"/>
        <n v="25.203902076893"/>
        <n v="25.2771358585861"/>
        <n v="25.4923726008835"/>
        <n v="25.6495592053079"/>
        <n v="25.9317766010841"/>
        <n v="26.1362500000003"/>
        <n v="26.1450925"/>
        <n v="26.18704"/>
        <n v="26.3474664116162"/>
        <n v="26.3957744676908"/>
        <n v="26.4711690767647"/>
        <n v="26.6712378446118"/>
        <n v="26.8536500000002"/>
        <n v="27.1353473404251"/>
        <n v="27.2018220716514"/>
        <n v="27.2583559358117"/>
        <n v="27.7870833333333"/>
        <n v="28.1083347614056"/>
        <n v="28.3043032306209"/>
        <n v="28.4080457208403"/>
        <n v="28.8117795295495"/>
        <n v="29.4394621058457"/>
        <n v="29.9596748656516"/>
        <n v="30.2024680321739"/>
        <n v="30.2461388024736"/>
        <n v="30.3741480131601"/>
        <n v="30.6744962311562"/>
        <n v="30.7501027351112"/>
        <n v="31.231864257352"/>
        <n v="31.6395550505049"/>
        <n v="31.6431465942749"/>
        <n v="31.6540605329949"/>
        <n v="32.2473537397274"/>
        <n v="32.3360826692359"/>
        <n v="32.4161827273551"/>
        <n v="32.9720116424529"/>
        <n v="33.056262796429"/>
        <n v="33.3179031865989"/>
        <n v="33.5534016683405"/>
        <n v="33.611119544088"/>
        <n v="33.9251374485597"/>
        <n v="34.0601641414115"/>
        <n v="34.0673005168579"/>
        <n v="34.2329618792722"/>
        <n v="34.2493080148569"/>
        <n v="34.503585756889"/>
        <n v="34.8327076834287"/>
        <n v="34.8374185101011"/>
        <n v="34.8454336734697"/>
        <n v="34.9295431472079"/>
        <n v="34.9584948979589"/>
        <n v="34.97795"/>
        <n v="35.1162898461307"/>
        <n v="35.6058014743586"/>
        <n v="36.0147494226006"/>
        <n v="36.2541211756893"/>
        <n v="36.2828617346936"/>
        <n v="36.5061489898989"/>
        <n v="36.520487124635"/>
        <n v="37.2157676036966"/>
        <n v="37.3012813986573"/>
        <n v="37.4499561906204"/>
        <n v="37.6996121508138"/>
        <n v="37.7308118077399"/>
        <n v="37.9461148112828"/>
        <n v="38.2267755375317"/>
        <n v="38.3284806122454"/>
        <n v="38.3694670408167"/>
        <n v="38.5539953147174"/>
        <n v="38.6269445538537"/>
        <n v="38.635332064365"/>
        <n v="38.8169480387079"/>
        <n v="38.8363415829149"/>
        <n v="38.9188524073377"/>
        <n v="39.0094369941837"/>
        <n v="39.1274932453555"/>
        <n v="39.1364932602266"/>
        <n v="39.1873470092842"/>
        <n v="39.4982735727828"/>
        <n v="39.9188520013214"/>
        <n v="39.9451870940531"/>
        <n v="39.9741828199999"/>
        <n v="40.1756189334121"/>
        <n v="40.2068093055123"/>
        <n v="40.3475500865973"/>
        <n v="40.602"/>
        <n v="40.9676506243782"/>
        <n v="41.1147850000001"/>
        <n v="41.4290715549006"/>
        <n v="41.4575858333318"/>
        <n v="41.4685668301708"/>
        <n v="41.5867370887342"/>
        <n v="42.0799897435865"/>
        <n v="42.3563129702038"/>
        <n v="42.5570967617848"/>
        <n v="43.2581583238437"/>
        <n v="43.4167762508366"/>
        <n v="43.641250692697"/>
        <n v="43.7632616648035"/>
        <n v="44.0152432323235"/>
        <n v="44.0572731635945"/>
        <n v="44.1004721134048"/>
        <n v="44.1339360868618"/>
        <n v="44.1668672582747"/>
        <n v="44.2691974774185"/>
        <n v="44.3072625667924"/>
        <n v="44.435602347205"/>
        <n v="44.4699249999998"/>
        <n v="44.7863988219912"/>
        <n v="45.1440324956011"/>
        <n v="45.1488992999072"/>
        <n v="45.6860349004672"/>
        <n v="45.8544310699202"/>
        <n v="46.0734075011186"/>
        <n v="46.432683181818"/>
        <n v="46.4672567774936"/>
        <n v="46.5456358226906"/>
        <n v="46.8020171103232"/>
        <n v="46.9498894644654"/>
        <n v="47.5245738445998"/>
        <n v="47.6461560606059"/>
        <n v="47.8356902635751"/>
        <n v="47.8424953924878"/>
        <n v="47.8809431537222"/>
        <n v="47.9751356128521"/>
        <n v="48.2113827843933"/>
        <n v="48.3134118484121"/>
        <n v="48.7585621969697"/>
        <n v="48.8986362817596"/>
        <n v="49.3339301256294"/>
        <n v="49.4747206949905"/>
        <n v="49.5794853538695"/>
        <n v="49.5993075873536"/>
        <n v="49.7404416636844"/>
        <n v="50.0098983241789"/>
        <n v="50.5126841489388"/>
        <n v="50.6319459893869"/>
        <n v="50.6439957726549"/>
        <n v="50.7610581752557"/>
        <n v="50.7786111111112"/>
        <n v="50.9976719949493"/>
        <n v="51.2240551546395"/>
        <n v="51.2414960204226"/>
        <n v="51.4042122586763"/>
        <n v="51.6362777751578"/>
        <n v="51.8490804974289"/>
        <n v="51.9875242385786"/>
        <n v="52.4020092581526"/>
        <n v="52.6193265000015"/>
        <n v="52.9870371750811"/>
        <n v="53.2253069676051"/>
        <n v="53.2954457516609"/>
        <n v="53.3652821068498"/>
        <n v="53.3983228936812"/>
        <n v="53.4390888757856"/>
        <n v="53.5070654104106"/>
        <n v="53.5460679964135"/>
        <n v="53.6420250000002"/>
        <n v="54.0626266851625"/>
        <n v="54.0851718331863"/>
        <n v="54.1987124838679"/>
        <n v="54.3417593726462"/>
        <n v="54.9285866746624"/>
        <n v="55.0463487121211"/>
        <n v="55.0464541876573"/>
        <n v="55.1320868754145"/>
        <n v="55.3180183320752"/>
        <n v="55.7555603118319"/>
        <n v="55.7807443716303"/>
        <n v="55.7845135338353"/>
        <n v="55.9384495889394"/>
        <n v="56.2457398419708"/>
        <n v="56.528625"/>
        <n v="56.7504848484849"/>
        <n v="56.8442361498824"/>
        <n v="57.0706768686869"/>
        <n v="57.3318880637302"/>
        <n v="57.3821441803692"/>
        <n v="57.4756955266753"/>
        <n v="57.8139995271417"/>
        <n v="58.0821389191351"/>
        <n v="58.189772007574"/>
        <n v="58.2550467781881"/>
        <n v="58.320503003003"/>
        <n v="58.3264647208127"/>
        <n v="58.8679387999209"/>
        <n v="58.9593301566595"/>
        <n v="59.030479797978"/>
        <n v="59.0335655490624"/>
        <n v="59.1642699438188"/>
        <n v="59.3035430329949"/>
        <n v="59.3559189698488"/>
        <n v="59.3688793647849"/>
        <n v="59.3924250000003"/>
        <n v="59.5124486036724"/>
        <n v="59.6827777020153"/>
        <n v="59.9171287878789"/>
        <n v="60.2607142405062"/>
        <n v="60.3544265442378"/>
        <n v="60.3912238683914"/>
        <n v="60.7535288164709"/>
        <n v="60.7737673737373"/>
        <n v="61.2849231425372"/>
        <n v="62.0313486842092"/>
        <n v="62.2350606767668"/>
        <n v="62.4414999999999"/>
        <n v="62.4858612244903"/>
        <n v="62.6771725000017"/>
        <n v="63.0721666666652"/>
        <n v="63.1582649160033"/>
        <n v="63.5864313069874"/>
        <n v="63.6237697950001"/>
        <n v="64.2387571428571"/>
        <n v="64.3664513800299"/>
        <n v="64.4483036148039"/>
        <n v="64.7279089832008"/>
        <n v="64.7630293629865"/>
        <n v="64.8411868653047"/>
        <n v="64.9469243691118"/>
        <n v="64.9828968198656"/>
        <n v="65.0465698526061"/>
        <n v="65.0718227120591"/>
        <n v="65.2178184584181"/>
        <n v="65.2873734536082"/>
        <n v="65.5932952684676"/>
        <n v="65.6279496192893"/>
        <n v="65.8569162436546"/>
        <n v="65.879346673345"/>
        <n v="66.0461112244895"/>
        <n v="66.163194772727"/>
        <n v="66.334900656567"/>
        <n v="66.4675248537808"/>
        <n v="66.9134909090908"/>
        <n v="67.0744444444444"/>
        <n v="67.1859349999998"/>
        <n v="67.3308308079023"/>
        <n v="67.3777724662667"/>
        <n v="67.5921154765524"/>
        <n v="67.7289479381438"/>
        <n v="67.8920759051087"/>
        <n v="67.9388500377811"/>
        <n v="68.03251320737"/>
        <n v="68.0438025993997"/>
        <n v="68.3365519029062"/>
        <n v="68.4525270381949"/>
        <n v="68.6306726956198"/>
        <n v="69.182268266331"/>
        <n v="69.3147696192894"/>
        <n v="69.5912632148157"/>
        <n v="69.8109639427366"/>
        <n v="70.0445185502778"/>
        <n v="70.1153992301016"/>
        <n v="70.318286595648"/>
        <n v="70.7602824120595"/>
        <n v="70.9589817219679"/>
        <n v="71.0954831329493"/>
        <n v="71.1583303219361"/>
        <n v="71.3858987737662"/>
        <n v="71.5760976906707"/>
        <n v="71.6446991565143"/>
        <n v="72.1611799927093"/>
        <n v="72.246339000797"/>
        <n v="72.2473567950633"/>
        <n v="72.4720353989973"/>
        <n v="72.6324073737373"/>
        <n v="72.8290408762885"/>
        <n v="73.0581467219868"/>
        <n v="73.1715693877549"/>
        <n v="73.2348166666658"/>
        <n v="73.5411867363349"/>
        <n v="73.68"/>
        <n v="73.7853801697489"/>
        <n v="74.2145750000009"/>
        <n v="74.6465330653271"/>
        <n v="74.6744590000003"/>
        <n v="74.7223853899958"/>
        <n v="74.8198131220707"/>
        <n v="74.9316463203966"/>
        <n v="75.0415423417724"/>
        <n v="75.092944985847"/>
        <n v="75.3155253744923"/>
        <n v="75.5818721794855"/>
        <n v="75.7824629308618"/>
        <n v="76.0223645183765"/>
        <n v="76.7516309715026"/>
        <n v="76.793590911054"/>
        <n v="76.8591565656566"/>
        <n v="77.2700231887808"/>
        <n v="77.2832464266546"/>
        <n v="77.3388753628041"/>
        <n v="77.4733222088787"/>
        <n v="77.7538066582907"/>
        <n v="77.9167888233235"/>
        <n v="78.0891076021489"/>
        <n v="78.1590072493577"/>
        <n v="78.2114474960906"/>
        <n v="78.4730767238686"/>
        <n v="78.475700140279"/>
        <n v="78.511194582412"/>
        <n v="78.5920667000996"/>
        <n v="78.6603188016043"/>
        <n v="78.7462058080807"/>
        <n v="78.7573983830315"/>
        <n v="78.7752884024576"/>
        <n v="78.8940942147632"/>
        <n v="79.0059127546688"/>
        <n v="79.1398659846133"/>
        <n v="79.1832083333334"/>
        <n v="79.436113712121"/>
        <n v="79.457601378447"/>
        <n v="79.4852362316544"/>
        <n v="79.4916478586223"/>
        <n v="79.568765808544"/>
        <n v="79.6521632192501"/>
        <n v="79.6803453608247"/>
        <n v="79.748137371134"/>
        <n v="79.7929077996384"/>
        <n v="80.1067394772729"/>
        <n v="80.1205930683639"/>
        <n v="80.2566666045127"/>
        <n v="80.2805705386848"/>
        <n v="80.4637"/>
        <n v="80.7704168367351"/>
        <n v="80.9674845994077"/>
        <n v="81.1111761363646"/>
        <n v="81.1878368046888"/>
        <n v="81.3060279619811"/>
        <n v="81.5586409410198"/>
        <n v="81.567304748744"/>
        <n v="81.92046075764"/>
        <n v="82.1446137244453"/>
        <n v="82.1751282051268"/>
        <n v="82.2875240018893"/>
        <n v="82.7660078535349"/>
        <n v="83.3311862126092"/>
        <n v="83.7197613283052"/>
        <n v="83.8129383496217"/>
        <n v="84.0333688700052"/>
        <n v="84.2414991162649"/>
        <n v="84.2973279238425"/>
        <n v="84.6609795294767"/>
        <n v="84.7648951179552"/>
        <n v="84.8336624078322"/>
        <n v="84.8634217300402"/>
        <n v="84.9012999999997"/>
        <n v="85.0634832474232"/>
        <n v="85.1991195099362"/>
        <n v="85.2153481598976"/>
        <n v="85.2566265664162"/>
        <n v="85.2972555833828"/>
        <n v="85.8125498730964"/>
        <n v="85.8488138888886"/>
        <n v="85.9721888493276"/>
        <n v="86.0099179332351"/>
        <n v="86.065809772727"/>
        <n v="86.2106867758638"/>
        <n v="86.2158600796521"/>
        <n v="86.408729454277"/>
        <n v="86.9469530767649"/>
        <n v="87.1494346212114"/>
        <n v="87.2765705206874"/>
        <n v="87.300320292194"/>
        <n v="87.3392746380495"/>
        <n v="87.3719558333338"/>
        <n v="87.6394413865347"/>
        <n v="87.7212531645572"/>
        <n v="87.7726144872451"/>
        <n v="87.9889573178168"/>
        <n v="88.2410488184475"/>
        <n v="88.3570193742189"/>
        <n v="88.531535858586"/>
        <n v="88.8402376260135"/>
        <n v="88.9027492424238"/>
        <n v="88.9962688007517"/>
        <n v="89.0475672740811"/>
        <n v="89.3261633585857"/>
        <n v="89.5856779448632"/>
        <n v="89.6959909628723"/>
        <n v="89.930589566148"/>
        <n v="90.0980232626265"/>
        <n v="90.2220823320837"/>
        <n v="90.4020131818184"/>
        <n v="90.5164972222223"/>
        <n v="90.821840101523"/>
        <n v="90.8706886123762"/>
        <n v="91.1513256098314"/>
        <n v="91.2800795440455"/>
        <n v="91.2815247474746"/>
        <n v="91.7060185677096"/>
        <n v="91.7310602446633"/>
        <n v="91.8918394329897"/>
        <n v="91.8990000000005"/>
        <n v="92.0030229591839"/>
        <n v="92.036636758252"/>
        <n v="92.2993678391954"/>
        <n v="92.4474781021912"/>
        <n v="92.5781999999997"/>
        <n v="92.6062462701755"/>
        <n v="92.6658716943444"/>
        <n v="92.8141369346733"/>
        <n v="92.8436968027966"/>
        <n v="92.9623151515151"/>
        <n v="92.9904738929415"/>
        <n v="93.2330521942542"/>
        <n v="93.4215708680023"/>
        <n v="93.5500897222222"/>
        <n v="93.6028425000003"/>
        <n v="93.68994871134"/>
        <n v="93.746866040404"/>
        <n v="94.0840114067506"/>
        <n v="94.110657360406"/>
        <n v="94.1384478873084"/>
        <n v="94.2584843514103"/>
        <n v="94.318517519661"/>
        <n v="94.7054475693231"/>
        <n v="94.9655117142384"/>
        <n v="95.6519368686868"/>
        <n v="95.8510040201016"/>
        <n v="95.9116746688125"/>
        <n v="95.965751133413"/>
        <n v="96.0638121212124"/>
        <n v="96.2475655513272"/>
        <n v="96.2620513256195"/>
        <n v="96.4891770292604"/>
        <n v="96.4913901898749"/>
        <n v="97.0408665842387"/>
        <n v="97.1887144829758"/>
        <n v="97.3379925194903"/>
        <n v="97.3614734848482"/>
        <n v="97.4440103092784"/>
        <n v="98.0391122445614"/>
        <n v="98.0698603518105"/>
        <n v="98.2060805664944"/>
        <n v="98.3344472361809"/>
        <n v="98.6666213045337"/>
        <n v="98.7737745151574"/>
        <n v="99.1703905102041"/>
        <n v="99.2896057575758"/>
        <n v="99.3259999999998"/>
        <n v="99.4214585611533"/>
        <n v="99.750137371134"/>
        <n v="99.9227947637907"/>
        <n v="100.116560301508"/>
        <n v="100.246075371006"/>
        <n v="100.263398801387"/>
        <n v="100.743514881313"/>
        <n v="101.290488263328"/>
        <n v="101.465578207739"/>
        <n v="101.467743362944"/>
        <n v="101.528975867256"/>
        <n v="101.643139110453"/>
        <n v="101.815215"/>
        <n v="102.037519387755"/>
        <n v="102.380159090909"/>
        <n v="102.61014"/>
        <n v="102.663049666208"/>
        <n v="102.671702982233"/>
        <n v="103.105107668861"/>
        <n v="103.634894893617"/>
        <n v="103.665465306122"/>
        <n v="104.236080102586"/>
        <n v="104.565263825071"/>
        <n v="104.692862997337"/>
        <n v="104.795410797872"/>
        <n v="104.803025076142"/>
        <n v="104.93936510101"/>
        <n v="105.173208960922"/>
        <n v="105.206909358974"/>
        <n v="106.011544923858"/>
        <n v="106.078742106008"/>
        <n v="106.312182731959"/>
        <n v="106.332377894075"/>
        <n v="106.452551020406"/>
        <n v="106.511789496615"/>
        <n v="106.554441919192"/>
        <n v="106.665733146603"/>
        <n v="106.980728364616"/>
        <n v="107.039128286445"/>
        <n v="107.571069949495"/>
        <n v="107.623700891962"/>
        <n v="107.80517579085"/>
        <n v="107.884204770619"/>
        <n v="108.042871081439"/>
        <n v="108.285446433364"/>
        <n v="108.314535680215"/>
        <n v="108.404537509517"/>
        <n v="108.585676515152"/>
        <n v="108.759212954443"/>
        <n v="108.937640892528"/>
        <n v="109.019681914765"/>
        <n v="109.2768567209"/>
        <n v="109.608181475254"/>
        <n v="110.24337731206"/>
        <n v="110.736733796007"/>
        <n v="110.915612029685"/>
        <n v="111.040325801721"/>
        <n v="111.263801670512"/>
        <n v="111.341186885409"/>
        <n v="111.428156313131"/>
        <n v="111.454240945415"/>
        <n v="111.537556894143"/>
        <n v="111.682519897959"/>
        <n v="111.691284826414"/>
        <n v="111.921790720095"/>
        <n v="111.998685274101"/>
        <n v="112.024721448197"/>
        <n v="112.246896143227"/>
        <n v="112.484608911327"/>
        <n v="112.724835648948"/>
        <n v="112.771237852434"/>
        <n v="112.968907994924"/>
        <n v="113.506217528526"/>
        <n v="113.592083068783"/>
        <n v="114.058259984848"/>
        <n v="114.4792663025"/>
        <n v="114.631478228228"/>
        <n v="114.643633727559"/>
        <n v="114.662164521773"/>
        <n v="114.718972361808"/>
        <n v="114.748603442703"/>
        <n v="114.764076333063"/>
        <n v="115.011236180905"/>
        <n v="115.093575149297"/>
        <n v="115.230467175827"/>
        <n v="115.251"/>
        <n v="115.25141632653"/>
        <n v="115.287064770418"/>
        <n v="115.427533680362"/>
        <n v="115.587871207591"/>
        <n v="115.735577657005"/>
        <n v="115.943107968053"/>
        <n v="116.092428267666"/>
        <n v="116.106173172519"/>
        <n v="116.529433883249"/>
        <n v="116.673913307482"/>
        <n v="116.828334993916"/>
        <n v="116.938792712924"/>
        <n v="116.968427786839"/>
        <n v="117.13748989899"/>
        <n v="117.420763604061"/>
        <n v="117.581159579779"/>
        <n v="117.637750324997"/>
        <n v="117.701458206244"/>
        <n v="117.736485982821"/>
        <n v="117.7957785533"/>
        <n v="118.065685620948"/>
        <n v="118.208134517767"/>
        <n v="118.274242785092"/>
        <n v="118.306062849058"/>
        <n v="118.343927040817"/>
        <n v="118.430002090719"/>
        <n v="118.55047573386"/>
        <n v="118.615914900186"/>
        <n v="119.184645684466"/>
        <n v="119.355748726462"/>
        <n v="119.488578643216"/>
        <n v="119.541111544498"/>
        <n v="119.84342713568"/>
        <n v="119.960962803163"/>
        <n v="120.056058341224"/>
        <n v="120.099977215575"/>
        <n v="120.29971630905"/>
        <n v="120.328201954819"/>
        <n v="120.505733265305"/>
        <n v="120.638696154848"/>
        <n v="121.064989813131"/>
        <n v="121.136175337851"/>
        <n v="121.664728388325"/>
        <n v="121.790880815765"/>
        <n v="121.859750926327"/>
        <n v="121.86412431806"/>
        <n v="122.063207943614"/>
        <n v="122.089880032155"/>
        <n v="122.126416232932"/>
        <n v="122.24060255102"/>
        <n v="122.363415553718"/>
        <n v="122.554785816326"/>
        <n v="122.597618945146"/>
        <n v="122.607278616228"/>
        <n v="122.641203787676"/>
        <n v="122.773807070708"/>
        <n v="123.476892906091"/>
        <n v="123.616384788727"/>
        <n v="123.923212474747"/>
        <n v="123.9375251229"/>
        <n v="124.050968903658"/>
        <n v="124.274388324873"/>
        <n v="124.522547246836"/>
        <n v="124.585151178404"/>
        <n v="124.775359522211"/>
        <n v="124.903191935765"/>
        <n v="125.176374334978"/>
        <n v="125.345446661026"/>
        <n v="125.802915059677"/>
        <n v="125.961362913809"/>
        <n v="126.091628414831"/>
        <n v="126.098883179304"/>
        <n v="126.254162073935"/>
        <n v="126.261288402062"/>
        <n v="126.318667142858"/>
        <n v="126.425795"/>
        <n v="126.46932377551"/>
        <n v="126.523821520964"/>
        <n v="126.532778571429"/>
        <n v="126.830364222258"/>
        <n v="127.082535"/>
        <n v="127.107310234536"/>
        <n v="127.232495876289"/>
        <n v="127.363078983044"/>
        <n v="127.621464696969"/>
        <n v="127.695774634969"/>
        <n v="127.735013058376"/>
        <n v="127.92250381356"/>
        <n v="128.167491747783"/>
        <n v="128.293174305364"/>
        <n v="128.339816919192"/>
        <n v="128.543734081633"/>
        <n v="128.549887124182"/>
        <n v="128.571838969946"/>
        <n v="128.572397959184"/>
        <n v="128.730228063955"/>
        <n v="128.735987161792"/>
        <n v="129.144248003934"/>
        <n v="129.155185475105"/>
        <n v="129.249888738738"/>
        <n v="129.256546282585"/>
        <n v="129.547513636364"/>
        <n v="129.571550958496"/>
        <n v="129.957764139651"/>
        <n v="129.987787819576"/>
        <n v="130.128172200957"/>
        <n v="130.180967755385"/>
        <n v="130.386004646511"/>
        <n v="130.38981377551"/>
        <n v="130.557807395354"/>
        <n v="130.604940176768"/>
        <n v="130.818958191106"/>
        <n v="130.851053509814"/>
        <n v="130.888245103093"/>
        <n v="131.020083174332"/>
        <n v="131.042454945437"/>
        <n v="131.138462311558"/>
        <n v="131.23827632374"/>
        <n v="131.244861074495"/>
        <n v="131.294379999999"/>
        <n v="131.627410597057"/>
        <n v="131.743785418759"/>
        <n v="131.790934015151"/>
        <n v="132.441855808081"/>
        <n v="132.459273407212"/>
        <n v="132.602724380068"/>
        <n v="132.658453401596"/>
        <n v="132.803237625529"/>
        <n v="132.821594961429"/>
        <n v="132.994001292188"/>
        <n v="133.141690213036"/>
        <n v="133.278949132654"/>
        <n v="133.481200313551"/>
        <n v="133.814272146286"/>
        <n v="133.853458375635"/>
        <n v="133.970536401241"/>
        <n v="133.976965422204"/>
        <n v="134.158799532065"/>
        <n v="134.431005852285"/>
        <n v="134.527641438891"/>
        <n v="134.65756540404"/>
        <n v="134.724476030928"/>
        <n v="134.863005050505"/>
        <n v="134.983346899053"/>
        <n v="135.063808527155"/>
        <n v="135.092192635543"/>
        <n v="135.110496220188"/>
        <n v="135.235637333333"/>
        <n v="135.784137464596"/>
        <n v="135.823934258208"/>
        <n v="135.946337095959"/>
        <n v="136.212226800668"/>
        <n v="136.443529625849"/>
        <n v="136.467847066712"/>
        <n v="136.578287076412"/>
        <n v="136.734026468643"/>
        <n v="136.779840452444"/>
        <n v="137.090384020619"/>
        <n v="137.33561025883"/>
        <n v="137.387644230752"/>
        <n v="137.464482324124"/>
        <n v="137.868691724834"/>
        <n v="138.086253953843"/>
        <n v="138.129690219837"/>
        <n v="138.338326044861"/>
        <n v="138.343615646388"/>
        <n v="138.41575754169"/>
        <n v="138.627857518207"/>
        <n v="138.711626010101"/>
        <n v="138.915259121818"/>
        <n v="139.054231578945"/>
        <n v="139.452790875641"/>
        <n v="139.531664761843"/>
        <n v="139.561430612245"/>
        <n v="139.602130904522"/>
        <n v="139.615780353535"/>
        <n v="139.62636230359"/>
        <n v="139.79040888579"/>
        <n v="139.82463264411"/>
        <n v="139.864699984792"/>
        <n v="139.894428739808"/>
        <n v="140.049152039433"/>
        <n v="140.076030673365"/>
        <n v="140.43983023196"/>
        <n v="140.580688551262"/>
        <n v="140.623571428571"/>
        <n v="140.776422741117"/>
        <n v="140.961970424108"/>
        <n v="140.965606792032"/>
        <n v="141.593571952976"/>
        <n v="141.642492320803"/>
        <n v="141.73658535225"/>
        <n v="141.897701964375"/>
        <n v="142.43639279597"/>
        <n v="142.698446907217"/>
        <n v="142.898310373737"/>
        <n v="142.931033494418"/>
        <n v="143.410061281803"/>
        <n v="143.427186923096"/>
        <n v="143.813879694509"/>
        <n v="143.838515586328"/>
        <n v="143.965532474227"/>
        <n v="143.975482631579"/>
        <n v="143.98224489796"/>
        <n v="144.058013017572"/>
        <n v="144.172609206294"/>
        <n v="144.269662889447"/>
        <n v="144.274721770881"/>
        <n v="144.397674747475"/>
        <n v="144.553575"/>
        <n v="144.663113532893"/>
        <n v="144.741423559892"/>
        <n v="144.885596227281"/>
        <n v="145.179234533422"/>
        <n v="145.274118709243"/>
        <n v="145.309979007552"/>
        <n v="145.349583071604"/>
        <n v="145.360880369562"/>
        <n v="145.523039629371"/>
        <n v="145.64294535693"/>
        <n v="145.859999329936"/>
        <n v="145.862025765453"/>
        <n v="146.160650678396"/>
        <n v="146.235957040815"/>
        <n v="146.356032360407"/>
        <n v="146.466357709082"/>
        <n v="147.090729887218"/>
        <n v="147.241868686869"/>
        <n v="147.91181326175"/>
        <n v="147.958105095515"/>
        <n v="147.958838390095"/>
        <n v="148.676153647913"/>
        <n v="149.016644974875"/>
        <n v="149.396486476104"/>
        <n v="149.399565476345"/>
        <n v="149.499999246232"/>
        <n v="150.451168418206"/>
        <n v="150.472602763819"/>
        <n v="150.547679333017"/>
        <n v="150.680564501837"/>
        <n v="150.936357753665"/>
        <n v="150.970612395309"/>
        <n v="150.998248160449"/>
        <n v="151.02561304732"/>
        <n v="151.050322399337"/>
        <n v="151.30687594344"/>
        <n v="151.337223689163"/>
        <n v="151.492661354421"/>
        <n v="151.844601748704"/>
        <n v="152.536983807106"/>
        <n v="152.58506482412"/>
        <n v="152.589679197996"/>
        <n v="152.63069834542"/>
        <n v="152.905098484849"/>
        <n v="153.014745217231"/>
        <n v="153.281173768469"/>
        <n v="153.461443973569"/>
        <n v="153.531758550696"/>
        <n v="153.651090319082"/>
        <n v="153.65824253869"/>
        <n v="154.189483505154"/>
        <n v="154.207981012659"/>
        <n v="154.321549304205"/>
        <n v="154.563568157895"/>
        <n v="154.632277015114"/>
        <n v="154.636152035194"/>
        <n v="155.157227378915"/>
        <n v="155.573819893246"/>
        <n v="155.7939483824"/>
        <n v="155.939523867462"/>
        <n v="156.082901713225"/>
        <n v="156.138180185229"/>
        <n v="156.401277846801"/>
        <n v="156.526985276498"/>
        <n v="157.706241585833"/>
        <n v="157.708179300049"/>
        <n v="157.727795089489"/>
        <n v="157.790553081471"/>
        <n v="157.952531403746"/>
        <n v="158.161900144414"/>
        <n v="158.234912429053"/>
        <n v="158.284744855333"/>
        <n v="158.444654902036"/>
        <n v="158.458327534074"/>
        <n v="158.655335176768"/>
        <n v="159.458232828281"/>
        <n v="159.636955545685"/>
        <n v="159.670707571742"/>
        <n v="159.721694246644"/>
        <n v="159.730099593354"/>
        <n v="159.944544248258"/>
        <n v="160.335966862371"/>
        <n v="160.411644791761"/>
        <n v="160.697682110603"/>
        <n v="161.019154247155"/>
        <n v="161.188633033033"/>
        <n v="161.34166788187"/>
        <n v="161.493172336415"/>
        <n v="161.810075348287"/>
        <n v="161.846326233194"/>
        <n v="162.36035665081"/>
        <n v="163.298781061813"/>
        <n v="163.386365829145"/>
        <n v="163.813559869671"/>
        <n v="163.934210568724"/>
        <n v="164.315897110108"/>
        <n v="165.019663037346"/>
        <n v="165.075102463389"/>
        <n v="165.801627681542"/>
        <n v="165.874871264572"/>
        <n v="165.97580495099"/>
        <n v="166.217238945396"/>
        <n v="166.306071496883"/>
        <n v="166.602690583422"/>
        <n v="166.621012538683"/>
        <n v="166.882183061516"/>
        <n v="166.947042130659"/>
        <n v="167.12981122449"/>
        <n v="167.439993732508"/>
        <n v="167.684411055277"/>
        <n v="167.823620022874"/>
        <n v="168.641460159757"/>
        <n v="169.05935550692"/>
        <n v="169.148889790382"/>
        <n v="169.190423474795"/>
        <n v="169.357137113402"/>
        <n v="169.501566414141"/>
        <n v="169.651274085594"/>
        <n v="169.8240465371"/>
        <n v="169.953776005448"/>
        <n v="170.043411579037"/>
        <n v="170.247352251522"/>
        <n v="170.284258297396"/>
        <n v="170.299422814395"/>
        <n v="170.550730998437"/>
        <n v="170.566382179458"/>
        <n v="170.603906030151"/>
        <n v="170.872501767677"/>
        <n v="170.934384898477"/>
        <n v="171.011899960399"/>
        <n v="171.077238390171"/>
        <n v="171.205583694536"/>
        <n v="171.425532135076"/>
        <n v="171.537756207809"/>
        <n v="171.8352956493"/>
        <n v="171.991198197214"/>
        <n v="172.165553411714"/>
        <n v="172.185932323233"/>
        <n v="172.278326180857"/>
        <n v="172.355339300659"/>
        <n v="172.865043393256"/>
        <n v="172.971972880226"/>
        <n v="173.024257562445"/>
        <n v="173.0375"/>
        <n v="173.18732070707"/>
        <n v="173.418440141988"/>
        <n v="173.430543412234"/>
        <n v="173.754269136725"/>
        <n v="174.125187929293"/>
        <n v="174.130507653061"/>
        <n v="174.405903329956"/>
        <n v="174.477424742169"/>
        <n v="175.031459770342"/>
        <n v="175.34335410014"/>
        <n v="175.363071045623"/>
        <n v="175.396955053021"/>
        <n v="175.414682894736"/>
        <n v="175.494681450177"/>
        <n v="175.601237375631"/>
        <n v="175.636482611872"/>
        <n v="176.073303643216"/>
        <n v="176.088810623234"/>
        <n v="176.335704355704"/>
        <n v="176.35216605374"/>
        <n v="176.363776298496"/>
        <n v="176.448910694706"/>
        <n v="176.452279545457"/>
        <n v="176.471734693878"/>
        <n v="176.904262850668"/>
        <n v="176.946786235545"/>
        <n v="177.097974357683"/>
        <n v="177.318901230328"/>
        <n v="177.321813832486"/>
        <n v="177.692949106253"/>
        <n v="177.747582803876"/>
        <n v="178.040288865748"/>
        <n v="178.11179"/>
        <n v="178.138873740352"/>
        <n v="178.161121574223"/>
        <n v="178.616058326355"/>
        <n v="178.653943939395"/>
        <n v="178.734381060606"/>
        <n v="178.849169269413"/>
        <n v="178.986881313131"/>
        <n v="179.541589181495"/>
        <n v="179.635512531328"/>
        <n v="179.707765306123"/>
        <n v="180.451830207963"/>
        <n v="180.840890907001"/>
        <n v="180.864465971005"/>
        <n v="181.000816505202"/>
        <n v="181.023364799649"/>
        <n v="181.38995821425"/>
        <n v="181.443997994925"/>
        <n v="181.540418028694"/>
        <n v="181.6050880085"/>
        <n v="181.727824607293"/>
        <n v="181.770626167512"/>
        <n v="182.151525153302"/>
        <n v="182.170583304818"/>
        <n v="182.175735444162"/>
        <n v="182.202093165284"/>
        <n v="182.466917395928"/>
        <n v="182.675692015706"/>
        <n v="182.811257496044"/>
        <n v="182.878975672954"/>
        <n v="183.230652991498"/>
        <n v="183.513785479299"/>
        <n v="183.597706185567"/>
        <n v="183.726715979382"/>
        <n v="184.767587544195"/>
        <n v="184.909208232084"/>
        <n v="185.054260901045"/>
        <n v="185.299250580744"/>
        <n v="185.476901537619"/>
        <n v="185.695741939143"/>
        <n v="185.697395453706"/>
        <n v="186.083152472981"/>
        <n v="186.224591939547"/>
        <n v="186.241936024298"/>
        <n v="186.303297117795"/>
        <n v="186.720397458651"/>
        <n v="186.885262933202"/>
        <n v="187.125657525189"/>
        <n v="187.236308443607"/>
        <n v="187.577975975976"/>
        <n v="188.119582831041"/>
        <n v="188.12481080669"/>
        <n v="188.261567851222"/>
        <n v="188.402705000001"/>
        <n v="188.446258282828"/>
        <n v="188.846112374057"/>
        <n v="189.050568913481"/>
        <n v="189.111358262265"/>
        <n v="189.19696357249"/>
        <n v="189.21430964467"/>
        <n v="189.472802717732"/>
        <n v="189.54578254087"/>
        <n v="189.551126977687"/>
        <n v="189.820832500001"/>
        <n v="189.907138013194"/>
        <n v="189.929108207193"/>
        <n v="190.042084937913"/>
        <n v="190.051634321739"/>
        <n v="190.162975102041"/>
        <n v="190.322820965511"/>
        <n v="190.556974489794"/>
        <n v="190.589420287279"/>
        <n v="190.681102272727"/>
        <n v="190.890614106138"/>
        <n v="191.379163946607"/>
        <n v="191.490024626532"/>
        <n v="191.600307422462"/>
        <n v="191.89318819797"/>
        <n v="192.331207714095"/>
        <n v="192.602028921567"/>
        <n v="192.650266510152"/>
        <n v="192.688774242424"/>
        <n v="192.813954949495"/>
        <n v="192.917757479766"/>
        <n v="193.138201546392"/>
        <n v="193.168080962207"/>
        <n v="193.922322763873"/>
        <n v="194.032917929293"/>
        <n v="194.848987651732"/>
        <n v="195.034709828716"/>
        <n v="195.050459597852"/>
        <n v="195.170856174804"/>
        <n v="195.213764081633"/>
        <n v="195.2914075"/>
        <n v="195.608164175258"/>
        <n v="196.03121445886"/>
        <n v="196.12015361584"/>
        <n v="196.382327455651"/>
        <n v="196.606334782071"/>
        <n v="196.783857412061"/>
        <n v="196.89396461816"/>
        <n v="197.089490538847"/>
        <n v="197.35902194622"/>
        <n v="197.371635"/>
        <n v="197.3958624167"/>
        <n v="197.462498107124"/>
        <n v="197.769005329948"/>
        <n v="197.802581709805"/>
        <n v="198.001385033805"/>
        <n v="198.141212849067"/>
        <n v="198.299306332036"/>
        <n v="198.577960714286"/>
        <n v="198.91831540673"/>
        <n v="198.953104921466"/>
        <n v="199.00938261965"/>
        <n v="199.084266301557"/>
        <n v="199.209191513791"/>
        <n v="199.20985317775"/>
        <n v="199.42070015306"/>
        <n v="199.488315736041"/>
        <n v="199.659800000001"/>
        <n v="199.99685574873"/>
        <n v="200.031905362392"/>
        <n v="200.305577446018"/>
        <n v="200.400705290872"/>
        <n v="200.510575216922"/>
        <n v="200.729949238579"/>
        <n v="200.972192346939"/>
        <n v="201.154881177699"/>
        <n v="201.235791704849"/>
        <n v="201.332930286029"/>
        <n v="201.743868181818"/>
        <n v="202.050353924226"/>
        <n v="202.079345206702"/>
        <n v="202.190800000001"/>
        <n v="202.412819381031"/>
        <n v="202.63728788071"/>
        <n v="202.639965811966"/>
        <n v="202.857724999999"/>
        <n v="203.059392643018"/>
        <n v="203.211821935158"/>
        <n v="203.300080050505"/>
        <n v="203.357427687102"/>
        <n v="203.531401816424"/>
        <n v="203.551583056116"/>
        <n v="203.787"/>
        <n v="203.816683673469"/>
        <n v="204.578961406443"/>
        <n v="205.005932309533"/>
        <n v="205.199404042099"/>
        <n v="205.218755209374"/>
        <n v="205.505666218274"/>
        <n v="205.552463026856"/>
        <n v="205.600760309278"/>
        <n v="205.662104567651"/>
        <n v="206.206453030303"/>
        <n v="206.841124035533"/>
        <n v="206.86806137572"/>
        <n v="207.712503855537"/>
        <n v="207.813730316955"/>
        <n v="207.88231956416"/>
        <n v="207.88475790109"/>
        <n v="208.106947171718"/>
        <n v="208.1259"/>
        <n v="208.317288915411"/>
        <n v="208.5517"/>
        <n v="208.612962861639"/>
        <n v="208.694374226804"/>
        <n v="208.888874019121"/>
        <n v="209.178061913571"/>
        <n v="209.220000731716"/>
        <n v="209.442208208309"/>
        <n v="209.540934536083"/>
        <n v="209.618818835143"/>
        <n v="209.969796804609"/>
        <n v="210.006521934695"/>
        <n v="210.098796295918"/>
        <n v="210.186871228785"/>
        <n v="210.243737373737"/>
        <n v="210.506718131313"/>
        <n v="210.543160346963"/>
        <n v="210.623426911324"/>
        <n v="210.763348887405"/>
        <n v="211.096269179253"/>
        <n v="211.170818367347"/>
        <n v="211.341562672703"/>
        <n v="211.516054435354"/>
        <n v="212.349990795815"/>
        <n v="212.470426211339"/>
        <n v="212.471953614022"/>
        <n v="212.844218821285"/>
        <n v="213.031078030303"/>
        <n v="213.174719431486"/>
        <n v="213.357164312735"/>
        <n v="213.532986436411"/>
        <n v="213.77635562814"/>
        <n v="214.060723032995"/>
        <n v="214.394987254436"/>
        <n v="214.453309276452"/>
        <n v="214.583300259096"/>
        <n v="214.604425529147"/>
        <n v="214.857125"/>
        <n v="215.362385412424"/>
        <n v="215.507568432642"/>
        <n v="215.520687161478"/>
        <n v="215.734430000001"/>
        <n v="215.93465621935"/>
        <n v="216.02729768918"/>
        <n v="216.051857854848"/>
        <n v="216.08808917369"/>
        <n v="216.118429314513"/>
        <n v="216.207919786062"/>
        <n v="216.261706701031"/>
        <n v="216.749012901186"/>
        <n v="216.789378064239"/>
        <n v="217.241884585493"/>
        <n v="217.601131021075"/>
        <n v="217.652795913509"/>
        <n v="217.801819048223"/>
        <n v="218.007808532693"/>
        <n v="218.083698820116"/>
        <n v="218.400746128946"/>
        <n v="218.493573697145"/>
        <n v="218.709179557951"/>
        <n v="219.9283679645"/>
        <n v="220.185763265305"/>
        <n v="220.556496374258"/>
        <n v="220.834351121057"/>
        <n v="221.01926214658"/>
        <n v="221.133103422344"/>
        <n v="221.15514326072"/>
        <n v="221.372722348706"/>
        <n v="221.58301940427"/>
        <n v="222.660512828284"/>
        <n v="222.800217932801"/>
        <n v="223.009749306273"/>
        <n v="223.04704575"/>
        <n v="223.3688475"/>
        <n v="223.62012979798"/>
        <n v="224.472973080808"/>
        <n v="224.728491160569"/>
        <n v="224.80217435396"/>
        <n v="224.845123737374"/>
        <n v="225.063229797983"/>
        <n v="225.687377989099"/>
        <n v="225.846936686998"/>
        <n v="226.612375047762"/>
        <n v="226.693994924813"/>
        <n v="226.987614569239"/>
        <n v="227.203649673914"/>
        <n v="227.254784696363"/>
        <n v="227.396867884551"/>
        <n v="228.28301185929"/>
        <n v="228.401060747279"/>
        <n v="228.453730262397"/>
        <n v="228.472883446306"/>
        <n v="228.474347318169"/>
        <n v="228.475463172843"/>
        <n v="228.476363134995"/>
        <n v="228.477523008664"/>
        <n v="228.479901576912"/>
        <n v="228.917181396297"/>
        <n v="229.10850824424"/>
        <n v="229.301588316583"/>
        <n v="229.359821428571"/>
        <n v="229.369000151521"/>
        <n v="229.49915068579"/>
        <n v="229.713785290864"/>
        <n v="230.16587527252"/>
        <n v="230.184792512691"/>
        <n v="231.034292857143"/>
        <n v="231.164164924531"/>
        <n v="231.237936771357"/>
        <n v="231.357749385314"/>
        <n v="231.553066709958"/>
        <n v="231.749362334668"/>
        <n v="231.954358928573"/>
        <n v="232.119529238885"/>
        <n v="232.232770876289"/>
        <n v="232.301469650021"/>
        <n v="232.396412129562"/>
        <n v="232.465246972413"/>
        <n v="232.790950419598"/>
        <n v="232.800115082853"/>
        <n v="232.813254042929"/>
        <n v="232.882820828283"/>
        <n v="233.043391066229"/>
        <n v="233.117611361051"/>
        <n v="233.209936619094"/>
        <n v="233.403967171717"/>
        <n v="233.556721946714"/>
        <n v="233.604226491836"/>
        <n v="233.78381397067"/>
        <n v="233.840864187599"/>
        <n v="234.046306741998"/>
        <n v="234.526323409655"/>
        <n v="234.727724183138"/>
        <n v="235.077580778894"/>
        <n v="235.133713040045"/>
        <n v="235.977742964824"/>
        <n v="236.042762562814"/>
        <n v="236.113911023716"/>
        <n v="236.134295918366"/>
        <n v="236.160123604065"/>
        <n v="236.19527319097"/>
        <n v="236.612965236007"/>
        <n v="237.317348954546"/>
        <n v="237.525646782332"/>
        <n v="237.747121006562"/>
        <n v="237.856788778379"/>
        <n v="237.879384615385"/>
        <n v="238.245530342753"/>
        <n v="238.676752858003"/>
        <n v="238.9103681815"/>
        <n v="239.166575170331"/>
        <n v="239.176951973635"/>
        <n v="239.329491617218"/>
        <n v="239.531309412166"/>
        <n v="239.679003919191"/>
        <n v="239.915356325641"/>
        <n v="239.949764743589"/>
        <n v="240.11428606599"/>
        <n v="240.205486868688"/>
        <n v="240.219366564417"/>
        <n v="240.307300000001"/>
        <n v="240.411330303033"/>
        <n v="240.614441700715"/>
        <n v="242.011834000001"/>
        <n v="242.621179144666"/>
        <n v="243.040832155641"/>
        <n v="243.255277425063"/>
        <n v="243.642389860355"/>
        <n v="243.769953997233"/>
        <n v="243.988720714285"/>
        <n v="243.994421830633"/>
        <n v="244.060549619288"/>
        <n v="244.206557907061"/>
        <n v="244.47833419379"/>
        <n v="244.557312830591"/>
        <n v="244.619838501687"/>
        <n v="244.6546535533"/>
        <n v="244.675530955057"/>
        <n v="245.002462266949"/>
        <n v="245.282516624366"/>
        <n v="245.365258384532"/>
        <n v="245.714717681327"/>
        <n v="246.181742680413"/>
        <n v="246.266864388578"/>
        <n v="247.027373005051"/>
        <n v="247.177152626262"/>
        <n v="247.686053030303"/>
        <n v="247.694952950954"/>
        <n v="247.906085714286"/>
        <n v="247.925646428569"/>
        <n v="247.994799225071"/>
        <n v="248.059447586031"/>
        <n v="248.118887367909"/>
        <n v="248.24011210271"/>
        <n v="248.27078617347"/>
        <n v="248.272435976233"/>
        <n v="248.415827465872"/>
        <n v="248.419241598794"/>
        <n v="248.874783156484"/>
        <n v="249.038363511869"/>
        <n v="249.290742370565"/>
        <n v="249.668234452214"/>
        <n v="250.11588994975"/>
        <n v="250.1991175"/>
        <n v="250.207331184066"/>
        <n v="250.237428021072"/>
        <n v="250.558042460214"/>
        <n v="251.141154841836"/>
        <n v="251.397457866375"/>
        <n v="251.508944708291"/>
        <n v="251.52808210708"/>
        <n v="251.712980454078"/>
        <n v="251.79722504518"/>
        <n v="252.252898928832"/>
        <n v="252.910840639535"/>
        <n v="253.147229449687"/>
        <n v="253.492110858586"/>
        <n v="253.704682470352"/>
        <n v="253.808136804546"/>
        <n v="253.997970546616"/>
        <n v="254.060404344801"/>
        <n v="254.218871531758"/>
        <n v="254.55979822002"/>
        <n v="254.776085596445"/>
        <n v="255.268435726231"/>
        <n v="255.654156683616"/>
        <n v="255.985914832476"/>
        <n v="256.535925877534"/>
        <n v="256.681681215486"/>
        <n v="257.126927002518"/>
        <n v="257.380987122038"/>
        <n v="257.628793216081"/>
        <n v="257.839111557808"/>
        <n v="257.962677346938"/>
        <n v="258.212995883838"/>
        <n v="258.265688528001"/>
        <n v="258.344310851974"/>
        <n v="258.518297931321"/>
        <n v="258.604483355641"/>
        <n v="258.889018010076"/>
        <n v="259.80666122449"/>
        <n v="260.240962055838"/>
        <n v="260.287256433328"/>
        <n v="260.338972081218"/>
        <n v="260.438735531765"/>
        <n v="260.494860552764"/>
        <n v="260.516503706029"/>
        <n v="260.945415172542"/>
        <n v="261.06424724801"/>
        <n v="261.455266814722"/>
        <n v="261.794197305765"/>
        <n v="261.847669862237"/>
        <n v="262.154305831673"/>
        <n v="262.535095326635"/>
        <n v="262.953657103942"/>
        <n v="263.047275385381"/>
        <n v="263.054862449898"/>
        <n v="263.099519160079"/>
        <n v="263.236337892151"/>
        <n v="263.292820742974"/>
        <n v="263.410513959392"/>
        <n v="263.659690902761"/>
        <n v="263.780412764734"/>
        <n v="263.794154243075"/>
        <n v="263.916405240472"/>
        <n v="263.992166450041"/>
        <n v="264.204008273452"/>
        <n v="264.505455631313"/>
        <n v="264.64239524385"/>
        <n v="264.649978158377"/>
        <n v="264.767348838204"/>
        <n v="264.809342654486"/>
        <n v="264.973861363636"/>
        <n v="265.188857936121"/>
        <n v="265.61005102041"/>
        <n v="266.222886392407"/>
        <n v="266.232667252518"/>
        <n v="266.293876632653"/>
        <n v="266.387289029092"/>
        <n v="266.449370567379"/>
        <n v="267.588447682864"/>
        <n v="268.201527488638"/>
        <n v="268.208270845846"/>
        <n v="268.210765001231"/>
        <n v="268.255601205213"/>
        <n v="268.330268181818"/>
        <n v="268.37459926396"/>
        <n v="268.387220201005"/>
        <n v="269.006039893293"/>
        <n v="269.21456609137"/>
        <n v="269.365105138115"/>
        <n v="269.425583592966"/>
        <n v="269.460508333333"/>
        <n v="269.46059089003"/>
        <n v="269.513528348229"/>
        <n v="270.499625687995"/>
        <n v="270.650239607779"/>
        <n v="270.844832978187"/>
        <n v="271.163263105019"/>
        <n v="271.742974430379"/>
        <n v="272.108943680203"/>
        <n v="272.168503824318"/>
        <n v="272.273399934088"/>
        <n v="272.363950131892"/>
        <n v="272.880466310179"/>
        <n v="274.268931287875"/>
        <n v="274.46383758271"/>
        <n v="274.60316702381"/>
        <n v="274.67283180382"/>
        <n v="274.818997111451"/>
        <n v="275.107431832092"/>
        <n v="275.149339630571"/>
        <n v="275.259292373975"/>
        <n v="275.596536691918"/>
        <n v="275.85515869939"/>
        <n v="276.003271613497"/>
        <n v="276.098312541514"/>
        <n v="276.118637339303"/>
        <n v="276.398540266091"/>
        <n v="276.560560408164"/>
        <n v="276.581563537406"/>
        <n v="276.650305009936"/>
        <n v="276.699579187818"/>
        <n v="276.741203026878"/>
        <n v="276.861168004623"/>
        <n v="277.067763091891"/>
        <n v="277.139517322336"/>
        <n v="277.183710650181"/>
        <n v="277.529144871795"/>
        <n v="277.53373458494"/>
        <n v="277.571797213783"/>
        <n v="278.216517585033"/>
        <n v="278.281241480857"/>
        <n v="278.414802437074"/>
        <n v="278.88129175613"/>
        <n v="279.761652276959"/>
        <n v="279.78499871134"/>
        <n v="279.896904198021"/>
        <n v="280.389849999998"/>
        <n v="280.510993739251"/>
        <n v="280.880974798467"/>
        <n v="280.914307079643"/>
        <n v="281.477777336684"/>
        <n v="281.582532251038"/>
        <n v="282.043870673715"/>
        <n v="282.399636313131"/>
        <n v="282.512630643767"/>
        <n v="282.610936075949"/>
        <n v="282.758563646216"/>
        <n v="282.797746878172"/>
        <n v="282.974480290055"/>
        <n v="283.201058464668"/>
        <n v="283.292225653682"/>
        <n v="283.351042929292"/>
        <n v="283.518217594013"/>
        <n v="283.840035431208"/>
        <n v="284.028013884587"/>
        <n v="284.256970731941"/>
        <n v="284.802748722372"/>
        <n v="284.808046288886"/>
        <n v="284.877673469388"/>
        <n v="285.457850841708"/>
        <n v="285.574591659786"/>
        <n v="285.984457246194"/>
        <n v="285.992860152285"/>
        <n v="286.044083391961"/>
        <n v="286.091142023156"/>
        <n v="286.187324627577"/>
        <n v="286.371719320787"/>
        <n v="286.662959693877"/>
        <n v="286.672988800629"/>
        <n v="286.700835"/>
        <n v="286.874103985893"/>
        <n v="287.006282967586"/>
        <n v="287.320194864932"/>
        <n v="287.896478699853"/>
        <n v="287.922555615032"/>
        <n v="288.017937343032"/>
        <n v="288.110033966853"/>
        <n v="288.881628651617"/>
        <n v="288.971307864321"/>
        <n v="288.998847866375"/>
        <n v="290.357530238559"/>
        <n v="290.508666803762"/>
        <n v="291.324828365391"/>
        <n v="291.83384"/>
        <n v="292.044965055278"/>
        <n v="292.111835706281"/>
        <n v="292.136137140966"/>
        <n v="292.462501701702"/>
        <n v="292.880715038072"/>
        <n v="292.899309693877"/>
        <n v="293.30530649708"/>
        <n v="293.447904602004"/>
        <n v="293.581896931474"/>
        <n v="293.63395"/>
        <n v="293.891627647602"/>
        <n v="294.283836325624"/>
        <n v="294.349835993241"/>
        <n v="294.461591715676"/>
        <n v="294.508722040815"/>
        <n v="294.541698151859"/>
        <n v="295.040580364876"/>
        <n v="295.163430746044"/>
        <n v="295.189637139928"/>
        <n v="295.205432726834"/>
        <n v="295.247354787657"/>
        <n v="295.514490040739"/>
        <n v="295.823090204811"/>
        <n v="295.903749454152"/>
        <n v="296.176249235726"/>
        <n v="296.815368434344"/>
        <n v="297.465281118272"/>
        <n v="297.773207078911"/>
        <n v="297.998644722763"/>
        <n v="298.446937163878"/>
        <n v="298.569883619557"/>
        <n v="298.974271060521"/>
        <n v="299.424232673267"/>
        <n v="299.475707142857"/>
        <n v="299.50697635455"/>
        <n v="299.698093407952"/>
        <n v="299.746948441046"/>
        <n v="300.121005624511"/>
        <n v="300.204219879831"/>
        <n v="300.353230077742"/>
        <n v="300.750840117721"/>
        <n v="300.989514243512"/>
        <n v="301.333307383183"/>
        <n v="301.434514651398"/>
        <n v="301.744656122449"/>
        <n v="301.845445131578"/>
        <n v="302.045577627863"/>
        <n v="302.206660508464"/>
        <n v="302.464451130653"/>
        <n v="303.66096969697"/>
        <n v="303.688757316359"/>
        <n v="303.744306043081"/>
        <n v="303.781985958703"/>
        <n v="304.213816776059"/>
        <n v="304.942644372382"/>
        <n v="305.022080324959"/>
        <n v="305.116798321346"/>
        <n v="305.309448682878"/>
        <n v="305.339283297774"/>
        <n v="305.796314141412"/>
        <n v="305.880727309643"/>
        <n v="306.135392577321"/>
        <n v="306.255113514847"/>
        <n v="306.291158893286"/>
        <n v="306.353832361608"/>
        <n v="307.007471827201"/>
        <n v="307.262788978158"/>
        <n v="307.387118413841"/>
        <n v="307.438538324723"/>
        <n v="307.773111409689"/>
        <n v="308.140844897959"/>
        <n v="308.456008491175"/>
        <n v="309.733357338216"/>
        <n v="310.312514917752"/>
        <n v="310.442934845217"/>
        <n v="310.948549489796"/>
        <n v="311.122664456044"/>
        <n v="311.563156788748"/>
        <n v="311.766819613013"/>
        <n v="312.11294151359"/>
        <n v="312.593170516936"/>
        <n v="312.750116928934"/>
        <n v="313.096402108037"/>
        <n v="313.230856101529"/>
        <n v="314.129190684602"/>
        <n v="314.150813408523"/>
        <n v="314.336549655023"/>
        <n v="314.379077008324"/>
        <n v="314.759740433032"/>
        <n v="314.760722081218"/>
        <n v="316.042105572045"/>
        <n v="316.167641843432"/>
        <n v="316.262702472842"/>
        <n v="316.365274999999"/>
        <n v="316.554249500265"/>
        <n v="316.558114857237"/>
        <n v="317.046833315763"/>
        <n v="317.228469135686"/>
        <n v="317.293294696969"/>
        <n v="317.832847314178"/>
        <n v="318.16045530303"/>
        <n v="318.681443204747"/>
        <n v="318.776500709501"/>
        <n v="318.902323280997"/>
        <n v="319.966761451907"/>
        <n v="320.562195609138"/>
        <n v="320.85542099069"/>
        <n v="320.947842577953"/>
        <n v="321.208549893023"/>
        <n v="321.300027582131"/>
        <n v="321.873829658605"/>
        <n v="322.346749582756"/>
        <n v="322.522257005931"/>
        <n v="322.831581407035"/>
        <n v="322.84721571608"/>
        <n v="322.858025252525"/>
        <n v="322.943303265306"/>
        <n v="323.463770864685"/>
        <n v="323.646075118519"/>
        <n v="323.774014418081"/>
        <n v="324.418430360127"/>
        <n v="324.681445186765"/>
        <n v="324.752941417412"/>
        <n v="325.180949375957"/>
        <n v="325.278957964296"/>
        <n v="325.592380389845"/>
        <n v="325.945995663265"/>
        <n v="326.179824202535"/>
        <n v="326.629031557377"/>
        <n v="327.026290822784"/>
        <n v="327.221377551021"/>
        <n v="327.347385813594"/>
        <n v="327.815933649684"/>
        <n v="327.896806272727"/>
        <n v="327.921433895774"/>
        <n v="328.107518754705"/>
        <n v="328.375582926907"/>
        <n v="328.3899"/>
        <n v="328.57344867172"/>
        <n v="329.475866843435"/>
        <n v="329.781583468278"/>
        <n v="329.849359949543"/>
        <n v="330.527590909091"/>
        <n v="330.546133712533"/>
        <n v="330.563160670103"/>
        <n v="330.636829896907"/>
        <n v="330.92833102747"/>
        <n v="331.20701479798"/>
        <n v="331.6778125869"/>
        <n v="331.868461177414"/>
        <n v="333.23320580808"/>
        <n v="333.901275195607"/>
        <n v="334.55519414449"/>
        <n v="335.688348075343"/>
        <n v="335.938013131313"/>
        <n v="335.971682474226"/>
        <n v="335.981827192983"/>
        <n v="336.379"/>
        <n v="336.483434827793"/>
        <n v="337.318359350571"/>
        <n v="338.359609626468"/>
        <n v="338.545755440681"/>
        <n v="338.550726155221"/>
        <n v="338.792193093909"/>
        <n v="338.905819999999"/>
        <n v="339.020985571066"/>
        <n v="339.350186737579"/>
        <n v="339.450077694235"/>
        <n v="339.975739847715"/>
        <n v="340.628398878367"/>
        <n v="340.827852099512"/>
        <n v="340.833524604234"/>
        <n v="340.960066356783"/>
        <n v="341.092316162773"/>
        <n v="341.202470219832"/>
        <n v="341.648844411284"/>
        <n v="342.381746260557"/>
        <n v="342.774249580006"/>
        <n v="343.299141182475"/>
        <n v="343.316109657298"/>
        <n v="344.016544924813"/>
        <n v="344.018194983012"/>
        <n v="344.040637000912"/>
        <n v="344.509904924094"/>
        <n v="344.933689495214"/>
        <n v="345.225581489899"/>
        <n v="346.066000170602"/>
        <n v="346.330898109961"/>
        <n v="346.488191582914"/>
        <n v="346.863458040201"/>
        <n v="346.866617762726"/>
        <n v="347.120439368687"/>
        <n v="347.318273232323"/>
        <n v="347.553956140349"/>
        <n v="347.720043481538"/>
        <n v="347.768558080809"/>
        <n v="347.865236021119"/>
        <n v="347.966205082987"/>
        <n v="348.109394699404"/>
        <n v="348.33823877551"/>
        <n v="348.634558620902"/>
        <n v="349.769104725846"/>
        <n v="349.941832746998"/>
        <n v="350.072586420374"/>
        <n v="350.333994615871"/>
        <n v="350.758499999999"/>
        <n v="351.291907718509"/>
        <n v="351.564772757732"/>
        <n v="351.822024489923"/>
        <n v="352.620736999284"/>
        <n v="352.805086056279"/>
        <n v="353.099311561926"/>
        <n v="353.776234473551"/>
        <n v="354.047645887946"/>
        <n v="354.10861469239"/>
        <n v="354.236917690237"/>
        <n v="354.310521313131"/>
        <n v="354.353881565655"/>
        <n v="354.406140155949"/>
        <n v="354.468696969696"/>
        <n v="355.027991972881"/>
        <n v="355.651743970421"/>
        <n v="355.810289786745"/>
        <n v="356.748139868098"/>
        <n v="357.191978516329"/>
        <n v="358.17756107153"/>
        <n v="358.29518108948"/>
        <n v="358.400151800049"/>
        <n v="359.442885353534"/>
        <n v="359.549386675127"/>
        <n v="359.830603676975"/>
        <n v="360.903592105263"/>
        <n v="361.139636260139"/>
        <n v="361.408707715735"/>
        <n v="361.409152143391"/>
        <n v="361.456536026106"/>
        <n v="361.896941271856"/>
        <n v="362.140251276815"/>
        <n v="362.142206924231"/>
        <n v="362.987911405622"/>
        <n v="363.014338860103"/>
        <n v="363.533243718592"/>
        <n v="363.567045608255"/>
        <n v="363.567741666669"/>
        <n v="363.690057741575"/>
        <n v="363.975413618108"/>
        <n v="364.330259103845"/>
        <n v="364.334940482897"/>
        <n v="364.417499721681"/>
        <n v="364.454757933511"/>
        <n v="364.497245460247"/>
        <n v="364.945519192404"/>
        <n v="365.16326734694"/>
        <n v="365.464767723037"/>
        <n v="365.568557823827"/>
        <n v="365.646306520664"/>
        <n v="365.820974367169"/>
        <n v="366.047054086295"/>
        <n v="367.577996398653"/>
        <n v="368.34099390863"/>
        <n v="368.470436868686"/>
        <n v="369.067415257229"/>
        <n v="369.261383226237"/>
        <n v="369.415550607631"/>
        <n v="369.565700058077"/>
        <n v="370.433383738359"/>
        <n v="370.717236151773"/>
        <n v="370.872843353273"/>
        <n v="371.008162020202"/>
        <n v="371.328599348046"/>
        <n v="372.247776515298"/>
        <n v="372.538203720613"/>
        <n v="372.848032367107"/>
        <n v="373.201236940604"/>
        <n v="373.439846082504"/>
        <n v="374.848377551024"/>
        <n v="374.868183818391"/>
        <n v="375.827099750278"/>
        <n v="376.050528157382"/>
        <n v="376.248413649017"/>
        <n v="376.341729285899"/>
        <n v="376.525003565991"/>
        <n v="377.146599160563"/>
        <n v="377.288840609137"/>
        <n v="377.582165341158"/>
        <n v="377.706794414737"/>
        <n v="378.237172631447"/>
        <n v="378.4096591596"/>
        <n v="378.435291050828"/>
        <n v="378.495424002103"/>
        <n v="379.122537755103"/>
        <n v="379.512658303064"/>
        <n v="380.310415329429"/>
        <n v="380.990618970316"/>
        <n v="381.29194170984"/>
        <n v="381.437134541452"/>
        <n v="381.598588374242"/>
        <n v="382.730745360823"/>
        <n v="382.885294562337"/>
        <n v="383.566653041885"/>
        <n v="383.977726356783"/>
        <n v="384.289000329847"/>
        <n v="384.808461289072"/>
        <n v="384.841479983191"/>
        <n v="385.182374584714"/>
        <n v="385.233643026316"/>
        <n v="385.334256778037"/>
        <n v="385.704601123688"/>
        <n v="386.092439210895"/>
        <n v="386.355549032012"/>
        <n v="386.664534175803"/>
        <n v="386.851628940675"/>
        <n v="387.696608040201"/>
        <n v="388.142318785412"/>
        <n v="388.70558238351"/>
        <n v="388.889933335008"/>
        <n v="389.311479591836"/>
        <n v="390.635469829093"/>
        <n v="390.699772579554"/>
        <n v="391.651021861785"/>
        <n v="391.893632260557"/>
        <n v="393.246141414141"/>
        <n v="394.218255573748"/>
        <n v="394.336368750789"/>
        <n v="394.351623741993"/>
        <n v="394.477812463537"/>
        <n v="394.712914067655"/>
        <n v="394.817140606"/>
        <n v="395.270309316586"/>
        <n v="395.468237244898"/>
        <n v="395.828277486387"/>
        <n v="396.62885713666"/>
        <n v="396.672581943604"/>
        <n v="396.701266834169"/>
        <n v="396.710412484331"/>
        <n v="396.745446088144"/>
        <n v="396.905085677812"/>
        <n v="397.557541641415"/>
        <n v="398.043795185656"/>
        <n v="398.166081600679"/>
        <n v="398.348137385625"/>
        <n v="398.409071908937"/>
        <n v="398.531137997558"/>
        <n v="398.680092997439"/>
        <n v="398.742489978054"/>
        <n v="399.077986867192"/>
        <n v="399.09512979798"/>
        <n v="399.240715996358"/>
        <n v="399.774891836734"/>
        <n v="399.903369500879"/>
        <n v="400.964468772371"/>
        <n v="401.837762542017"/>
        <n v="402.06386111111"/>
        <n v="402.348863917525"/>
        <n v="402.666475586165"/>
        <n v="402.721176058539"/>
        <n v="403.148338345865"/>
        <n v="403.390434654278"/>
        <n v="404.053522606158"/>
        <n v="404.281028065587"/>
        <n v="404.441075348937"/>
        <n v="404.962037833424"/>
        <n v="405.183297267356"/>
        <n v="405.278735176481"/>
        <n v="405.629436351234"/>
        <n v="405.651547619048"/>
        <n v="406.134754070138"/>
        <n v="406.146330378796"/>
        <n v="406.832815418825"/>
        <n v="407.025720925673"/>
        <n v="407.959394191919"/>
        <n v="408.122889879239"/>
        <n v="408.130336161615"/>
        <n v="409.339336010789"/>
        <n v="409.646320969774"/>
        <n v="410.152087277907"/>
        <n v="411.135279356918"/>
        <n v="411.215272727272"/>
        <n v="411.665783165113"/>
        <n v="411.687828430835"/>
        <n v="412.043648142953"/>
        <n v="412.573490770202"/>
        <n v="412.922613583163"/>
        <n v="414.247885499357"/>
        <n v="414.351308080807"/>
        <n v="414.562762626263"/>
        <n v="414.588333190234"/>
        <n v="415.037059006276"/>
        <n v="415.432946849757"/>
        <n v="416.015527056542"/>
        <n v="416.098879385889"/>
        <n v="416.627277510036"/>
        <n v="416.850972821181"/>
        <n v="417.284232819229"/>
        <n v="417.6525"/>
        <n v="417.853411057637"/>
        <n v="417.881688476972"/>
        <n v="418.619988888889"/>
        <n v="419.767401722672"/>
        <n v="422.092061104466"/>
        <n v="422.659403458774"/>
        <n v="423.338194801428"/>
        <n v="423.447253030304"/>
        <n v="424.312466101498"/>
        <n v="424.727614593907"/>
        <n v="424.94364658228"/>
        <n v="425.277605350477"/>
        <n v="425.931213229187"/>
        <n v="426.051342168806"/>
        <n v="426.941981649438"/>
        <n v="427.425956881696"/>
        <n v="427.974984917745"/>
        <n v="428.425168433477"/>
        <n v="429.598963854238"/>
        <n v="429.979593371477"/>
        <n v="430.541535251349"/>
        <n v="430.744183673466"/>
        <n v="430.751631122449"/>
        <n v="431.088484848485"/>
        <n v="431.119788297347"/>
        <n v="431.368977340447"/>
        <n v="431.818651989797"/>
        <n v="432.032704081633"/>
        <n v="432.05013183399"/>
        <n v="432.222569360215"/>
        <n v="432.456175665983"/>
        <n v="432.539881673965"/>
        <n v="432.848554235282"/>
        <n v="433.174915611114"/>
        <n v="433.670408982874"/>
        <n v="433.92448084326"/>
        <n v="433.996098469388"/>
        <n v="435.192749999998"/>
        <n v="435.346752028511"/>
        <n v="436.095697785512"/>
        <n v="436.313760417537"/>
        <n v="436.566953088136"/>
        <n v="436.835053364755"/>
        <n v="437.11226312814"/>
        <n v="438.802032828281"/>
        <n v="440.89298276851"/>
        <n v="440.991929234693"/>
        <n v="441.797850665857"/>
        <n v="441.811980948094"/>
        <n v="442.030141666667"/>
        <n v="442.067804882024"/>
        <n v="442.70542167322"/>
        <n v="442.836062105213"/>
        <n v="442.924088794357"/>
        <n v="443.008112244898"/>
        <n v="443.292496652241"/>
        <n v="443.667579545457"/>
        <n v="443.901697463793"/>
        <n v="444.202144191919"/>
        <n v="444.306759580548"/>
        <n v="444.680987439758"/>
        <n v="445.300216267677"/>
        <n v="445.42501348102"/>
        <n v="445.785020685278"/>
        <n v="446.409491854638"/>
        <n v="446.438278887414"/>
        <n v="446.576887712375"/>
        <n v="448.510691464647"/>
        <n v="448.847590511145"/>
        <n v="449.658156021998"/>
        <n v="449.658718403865"/>
        <n v="450.450650841364"/>
        <n v="450.61759387755"/>
        <n v="451.742673100871"/>
        <n v="452.010228936287"/>
        <n v="453.472442830769"/>
        <n v="453.981254805827"/>
        <n v="454.277905023288"/>
        <n v="454.94596938775"/>
        <n v="455.084794361703"/>
        <n v="455.315404023918"/>
        <n v="455.633973345925"/>
        <n v="456.265375699967"/>
        <n v="456.64589960356"/>
        <n v="458.01968864456"/>
        <n v="458.572147573485"/>
        <n v="458.769123467822"/>
        <n v="459.293763196566"/>
        <n v="459.895200507615"/>
        <n v="460.302146656566"/>
        <n v="461.437223469389"/>
        <n v="461.494037180234"/>
        <n v="461.816374265666"/>
        <n v="461.895429852102"/>
        <n v="465.002840883468"/>
        <n v="466.259629736182"/>
        <n v="466.392076282052"/>
        <n v="466.587309809816"/>
        <n v="466.899654290682"/>
        <n v="467.366504710314"/>
        <n v="467.64284340093"/>
        <n v="467.810502222222"/>
        <n v="467.942011965825"/>
        <n v="468.323850388395"/>
        <n v="468.530427468808"/>
        <n v="470.814934742715"/>
        <n v="471.401885343112"/>
        <n v="472.03937059416"/>
        <n v="472.217000000001"/>
        <n v="472.472798260255"/>
        <n v="474.16904040404"/>
        <n v="474.342383152028"/>
        <n v="474.364434598259"/>
        <n v="474.793261239971"/>
        <n v="474.912665816327"/>
        <n v="475.139188048937"/>
        <n v="475.424970557749"/>
        <n v="475.493805048493"/>
        <n v="476.368005050505"/>
        <n v="477.250815776476"/>
        <n v="477.313826530611"/>
        <n v="477.433320603621"/>
        <n v="477.433548261019"/>
        <n v="478.536415806207"/>
        <n v="478.849963917523"/>
        <n v="480.081906085343"/>
        <n v="480.111697769301"/>
        <n v="480.652511929377"/>
        <n v="481.539675893336"/>
        <n v="481.987070773725"/>
        <n v="483.114048737374"/>
        <n v="483.59894082477"/>
        <n v="484.790744711055"/>
        <n v="485.089956356105"/>
        <n v="485.228242929297"/>
        <n v="485.681263819095"/>
        <n v="486.038517462225"/>
        <n v="486.652877297981"/>
        <n v="487.041347499998"/>
        <n v="488.474896307849"/>
        <n v="489.119889484349"/>
        <n v="489.637321104006"/>
        <n v="489.746649999999"/>
        <n v="490.094145379862"/>
        <n v="490.116251538191"/>
        <n v="490.508102040819"/>
        <n v="490.619824154234"/>
        <n v="490.677104772735"/>
        <n v="490.711325695885"/>
        <n v="491.279478964645"/>
        <n v="492.256052782097"/>
        <n v="492.36509289218"/>
        <n v="493.177842653062"/>
        <n v="493.335571052631"/>
        <n v="493.651169125909"/>
        <n v="494.627549050633"/>
        <n v="494.760280397303"/>
        <n v="495.36240001364"/>
        <n v="496.238951998726"/>
        <n v="497.857285197852"/>
        <n v="497.8605906473"/>
        <n v="498.432508798048"/>
        <n v="498.749328838125"/>
        <n v="499.014129763692"/>
        <n v="499.606752283233"/>
        <n v="500.297048569304"/>
        <n v="501.497689494168"/>
        <n v="501.855060499104"/>
        <n v="502.102904321699"/>
        <n v="502.328371717171"/>
        <n v="502.457826130653"/>
        <n v="502.463864813444"/>
        <n v="503.124974637554"/>
        <n v="505.059581915703"/>
        <n v="505.284711747476"/>
        <n v="505.558290124573"/>
        <n v="505.912602040816"/>
        <n v="506.091914285713"/>
        <n v="506.420807660782"/>
        <n v="506.582867451876"/>
        <n v="507.03741231194"/>
        <n v="507.107813293832"/>
        <n v="507.256716455093"/>
        <n v="507.356793705009"/>
        <n v="508.060522901012"/>
        <n v="508.427675413354"/>
        <n v="509.34174155773"/>
        <n v="509.364261624075"/>
        <n v="510.184842900301"/>
        <n v="510.449064331589"/>
        <n v="510.476682724164"/>
        <n v="511.013805994404"/>
        <n v="511.19013888889"/>
        <n v="511.335625125628"/>
        <n v="512.814698350582"/>
        <n v="513.000624999998"/>
        <n v="513.991233408523"/>
        <n v="515.338824999999"/>
        <n v="515.863868367984"/>
        <n v="515.959224116558"/>
        <n v="516.451766947277"/>
        <n v="516.805726714588"/>
        <n v="517.319812911392"/>
        <n v="519.084611836735"/>
        <n v="519.506647857725"/>
        <n v="519.935947714357"/>
        <n v="520.17610832659"/>
        <n v="520.289116633165"/>
        <n v="520.453898489848"/>
        <n v="520.553911275288"/>
        <n v="521.136628552127"/>
        <n v="521.484365934517"/>
        <n v="521.496667500003"/>
        <n v="521.626900242923"/>
        <n v="523.230415003008"/>
        <n v="523.243776216292"/>
        <n v="523.294953175125"/>
        <n v="523.469836882348"/>
        <n v="525.154023625122"/>
        <n v="525.206740296669"/>
        <n v="525.239033968657"/>
        <n v="525.980551745557"/>
        <n v="527.09731455414"/>
        <n v="527.499968618791"/>
        <n v="528.486738169692"/>
        <n v="528.872751648205"/>
        <n v="528.929620016267"/>
        <n v="529.839716783721"/>
        <n v="530.02253526405"/>
        <n v="531.651576284865"/>
        <n v="531.734248489334"/>
        <n v="532.015022530949"/>
        <n v="532.280205213567"/>
        <n v="532.571480863265"/>
        <n v="533.713542114507"/>
        <n v="534.721271556956"/>
        <n v="535.063537740317"/>
        <n v="535.358563774639"/>
        <n v="537.527598867919"/>
        <n v="537.913929298731"/>
        <n v="538.618840909091"/>
        <n v="538.78395"/>
        <n v="538.831118257575"/>
        <n v="538.916462425535"/>
        <n v="539.06465510204"/>
        <n v="539.24840386204"/>
        <n v="539.479249419192"/>
        <n v="539.597102626263"/>
        <n v="539.71450105425"/>
        <n v="539.849251275027"/>
        <n v="540.137830579134"/>
        <n v="540.224026047075"/>
        <n v="540.908303416025"/>
        <n v="541.646700010979"/>
        <n v="541.753388387393"/>
        <n v="542.10121841297"/>
        <n v="542.225913900731"/>
        <n v="542.680192518093"/>
        <n v="543.324217132422"/>
        <n v="544.289642857143"/>
        <n v="544.517243354569"/>
        <n v="545.544276440962"/>
        <n v="546.682617669191"/>
        <n v="548.325396737595"/>
        <n v="548.941497500002"/>
        <n v="548.960018379399"/>
        <n v="549.395047465513"/>
        <n v="549.779159030123"/>
        <n v="550.188971530613"/>
        <n v="551.550319958844"/>
        <n v="552.235543105609"/>
        <n v="552.701259395778"/>
        <n v="553.17056332436"/>
        <n v="554.611861002099"/>
        <n v="555.331177139635"/>
        <n v="555.8835"/>
        <n v="556.383623449825"/>
        <n v="556.622311369744"/>
        <n v="556.686732444762"/>
        <n v="557.520030303029"/>
        <n v="557.569316576629"/>
        <n v="557.606993055556"/>
        <n v="558.007356951421"/>
        <n v="558.281765385279"/>
        <n v="559.143011407287"/>
        <n v="560.140950343215"/>
        <n v="560.641119363525"/>
        <n v="560.793533265306"/>
        <n v="561.863495621828"/>
        <n v="562.002884522836"/>
        <n v="562.10970533717"/>
        <n v="562.641847598822"/>
        <n v="563.85827510204"/>
        <n v="564.209083202364"/>
        <n v="564.468975568356"/>
        <n v="565.758996235848"/>
        <n v="565.936330506524"/>
        <n v="566.526960381071"/>
        <n v="567.203112704442"/>
        <n v="567.665909774434"/>
        <n v="568.255665388387"/>
        <n v="568.572836625061"/>
        <n v="568.917138967611"/>
        <n v="569.002566915233"/>
        <n v="571.486342564102"/>
        <n v="571.496598362983"/>
        <n v="573.387332124348"/>
        <n v="573.815962474646"/>
        <n v="574.990913131314"/>
        <n v="579.219095448357"/>
        <n v="579.986766142329"/>
        <n v="580.255615377189"/>
        <n v="580.323340510205"/>
        <n v="580.439705952411"/>
        <n v="580.676409347218"/>
        <n v="581.845257022501"/>
        <n v="581.934669545006"/>
        <n v="582.715568877551"/>
        <n v="582.792985656124"/>
        <n v="583.071817116244"/>
        <n v="583.447419879004"/>
        <n v="584.973778210658"/>
        <n v="585.888692713567"/>
        <n v="586.574698096447"/>
        <n v="587.45208163265"/>
        <n v="587.780799937464"/>
        <n v="588.390948548181"/>
        <n v="588.494354116162"/>
        <n v="589.013123928956"/>
        <n v="590.145498120296"/>
        <n v="590.274185511994"/>
        <n v="591.29504030612"/>
        <n v="591.57145235521"/>
        <n v="591.685292693095"/>
        <n v="591.933956818181"/>
        <n v="592.22338794364"/>
        <n v="592.311748987825"/>
        <n v="592.482871769853"/>
        <n v="592.837794554964"/>
        <n v="593.517586651025"/>
        <n v="593.542247959183"/>
        <n v="595.096052741705"/>
        <n v="595.213503074354"/>
        <n v="595.441365141448"/>
        <n v="595.475709976313"/>
        <n v="597.18751926957"/>
        <n v="600.020722474747"/>
        <n v="600.586867573514"/>
        <n v="600.728767775686"/>
        <n v="601.216537177126"/>
        <n v="601.462138171555"/>
        <n v="601.725211569298"/>
        <n v="603.145517177084"/>
        <n v="603.394367245814"/>
        <n v="603.663874174508"/>
        <n v="604.846010647206"/>
        <n v="606.176146573024"/>
        <n v="606.304623984773"/>
        <n v="606.849791116751"/>
        <n v="606.899546559738"/>
        <n v="607.024537348486"/>
        <n v="607.286912280703"/>
        <n v="608.361125595148"/>
        <n v="608.795916770024"/>
        <n v="609.09897538618"/>
        <n v="609.674604731352"/>
        <n v="609.690538923977"/>
        <n v="609.710138190954"/>
        <n v="611.318604333253"/>
        <n v="611.402284210525"/>
        <n v="611.85544881735"/>
        <n v="612.313654040406"/>
        <n v="612.327233906962"/>
        <n v="612.604674553211"/>
        <n v="612.66795903982"/>
        <n v="613.013095631581"/>
        <n v="613.308935463658"/>
        <n v="614.137199999998"/>
        <n v="614.450064992937"/>
        <n v="614.577813195767"/>
        <n v="614.947881641095"/>
        <n v="615.470688155106"/>
        <n v="616.179134162866"/>
        <n v="616.218911962193"/>
        <n v="616.553770343527"/>
        <n v="616.824542929292"/>
        <n v="617.280653465727"/>
        <n v="617.596089924244"/>
        <n v="618.944499192559"/>
        <n v="619.212141429463"/>
        <n v="619.750197607055"/>
        <n v="619.841535913392"/>
        <n v="620.730749201746"/>
        <n v="622.552342023174"/>
        <n v="623.180138914337"/>
        <n v="624.243035787576"/>
        <n v="625.187593753001"/>
        <n v="625.298946239181"/>
        <n v="625.743757973614"/>
        <n v="625.965088422103"/>
        <n v="626.007040816326"/>
        <n v="626.370303807105"/>
        <n v="627.894051822202"/>
        <n v="628.333548232317"/>
        <n v="628.771188282828"/>
        <n v="628.997711542357"/>
        <n v="629.149393939394"/>
        <n v="631.379904592536"/>
        <n v="631.987675816451"/>
        <n v="632.353155845899"/>
        <n v="632.489592424243"/>
        <n v="632.736336734692"/>
        <n v="633.767620000002"/>
        <n v="634.603728718145"/>
        <n v="634.92970320165"/>
        <n v="635.402170146467"/>
        <n v="636.292871979774"/>
        <n v="636.343433522958"/>
        <n v="636.602366578952"/>
        <n v="639.365675510556"/>
        <n v="639.768341683675"/>
        <n v="641.655765714107"/>
        <n v="644.705747361806"/>
        <n v="645.121204478966"/>
        <n v="645.397104867831"/>
        <n v="646.65357644632"/>
        <n v="646.66342656323"/>
        <n v="647.095067600371"/>
        <n v="648.921671339418"/>
        <n v="650.024371300775"/>
        <n v="650.058135046288"/>
        <n v="650.398340186363"/>
        <n v="653.160786802029"/>
        <n v="653.45498857868"/>
        <n v="653.681423737373"/>
        <n v="653.942116718209"/>
        <n v="654.835049999998"/>
        <n v="654.967055616878"/>
        <n v="655.366865214313"/>
        <n v="655.491339166665"/>
        <n v="656.038588995427"/>
        <n v="657.116435068123"/>
        <n v="658.222524999999"/>
        <n v="658.893243921914"/>
        <n v="659.593608417084"/>
        <n v="659.9053050695"/>
        <n v="660.344666453013"/>
        <n v="660.576328994978"/>
        <n v="661.16646333269"/>
        <n v="662.13685220259"/>
        <n v="663.678772967392"/>
        <n v="664.261734205097"/>
        <n v="665.878155751645"/>
        <n v="666.377675"/>
        <n v="666.752434435078"/>
        <n v="666.992031132685"/>
        <n v="667.726433857071"/>
        <n v="670.243179648243"/>
        <n v="670.24874270399"/>
        <n v="670.344420454103"/>
        <n v="670.833495226078"/>
        <n v="671.156388120054"/>
        <n v="674.099515261624"/>
        <n v="674.813240918781"/>
        <n v="675.239845238096"/>
        <n v="676.18474471178"/>
        <n v="676.731585858586"/>
        <n v="676.749627948291"/>
        <n v="676.833316326531"/>
        <n v="676.836623640841"/>
        <n v="677.272169796953"/>
        <n v="677.759994264214"/>
        <n v="678.235305018308"/>
        <n v="679.276538328468"/>
        <n v="679.561311461897"/>
        <n v="679.562735299076"/>
        <n v="680.387520930948"/>
        <n v="680.660533474208"/>
        <n v="681.320592362197"/>
        <n v="682.217221275508"/>
        <n v="682.636515787154"/>
        <n v="682.816007145932"/>
        <n v="682.865886941231"/>
        <n v="682.968282828282"/>
        <n v="683.128816782681"/>
        <n v="684.37385180154"/>
        <n v="685.663276262629"/>
        <n v="686.065499599847"/>
        <n v="686.2048246758"/>
        <n v="686.4620347"/>
        <n v="687.362166035354"/>
        <n v="687.40932171981"/>
        <n v="687.425090751518"/>
        <n v="687.473530849999"/>
        <n v="688.348179926746"/>
        <n v="690.847688947504"/>
        <n v="691.072439393939"/>
        <n v="691.500051671078"/>
        <n v="691.947933710016"/>
        <n v="692.541278006258"/>
        <n v="692.773313452576"/>
        <n v="693.75854153572"/>
        <n v="693.997422639305"/>
        <n v="695.058670555556"/>
        <n v="696.851184343435"/>
        <n v="697.818618058426"/>
        <n v="698.266984999997"/>
        <n v="698.989162917412"/>
        <n v="700.705024999999"/>
        <n v="701.399977272726"/>
        <n v="701.844528854061"/>
        <n v="702.495783163264"/>
        <n v="702.802073807108"/>
        <n v="702.813703011033"/>
        <n v="704.477150461584"/>
        <n v="705.229671052632"/>
        <n v="705.68640726817"/>
        <n v="707.428673857868"/>
        <n v="708.065744024323"/>
        <n v="708.451477151583"/>
        <n v="709.961742744424"/>
        <n v="710.048234223605"/>
        <n v="710.083209666373"/>
        <n v="710.533318785118"/>
        <n v="711.488318991999"/>
        <n v="711.728884343435"/>
        <n v="712.573895646393"/>
        <n v="712.6190897553"/>
        <n v="713.223249696357"/>
        <n v="714.200650178054"/>
        <n v="715.1138274928"/>
        <n v="715.223564061707"/>
        <n v="716.186204540816"/>
        <n v="716.44325753367"/>
        <n v="717.849089589286"/>
        <n v="718.14544521255"/>
        <n v="719.728049696712"/>
        <n v="720.054026291024"/>
        <n v="721.484362763636"/>
        <n v="721.982814182169"/>
        <n v="722.157845340056"/>
        <n v="722.428320814714"/>
        <n v="722.69890188293"/>
        <n v="723.036403673468"/>
        <n v="723.13378172589"/>
        <n v="723.51177684748"/>
        <n v="724.542259948975"/>
        <n v="725.959384357217"/>
        <n v="725.959727474747"/>
        <n v="726.982348970991"/>
        <n v="727.466548926398"/>
        <n v="728.823423943231"/>
        <n v="728.832909115254"/>
        <n v="729.87820135787"/>
        <n v="730.01506733026"/>
        <n v="730.303191414141"/>
        <n v="730.527150353942"/>
        <n v="732.153655777321"/>
        <n v="732.74582847755"/>
        <n v="732.970443093803"/>
        <n v="733.360663265305"/>
        <n v="733.683144736842"/>
        <n v="735.052193877551"/>
        <n v="735.076220224131"/>
        <n v="736.29525025451"/>
        <n v="736.895335128365"/>
        <n v="737.92813596491"/>
        <n v="737.997369267493"/>
        <n v="739.501734693877"/>
        <n v="740.724199251688"/>
        <n v="740.942311280278"/>
        <n v="741.167929765847"/>
        <n v="741.517081565652"/>
        <n v="743.976094189524"/>
        <n v="744.081251505884"/>
        <n v="744.22426560069"/>
        <n v="744.832553061225"/>
        <n v="745.653151207093"/>
        <n v="745.897782474226"/>
        <n v="746.236764631917"/>
        <n v="746.74034617347"/>
        <n v="749.48972424623"/>
        <n v="749.710365025303"/>
        <n v="750.131847541529"/>
        <n v="754.009612298627"/>
        <n v="754.816147927657"/>
        <n v="755.800838309721"/>
        <n v="756.221182769236"/>
        <n v="756.355507614212"/>
        <n v="756.402733125905"/>
        <n v="756.835922269195"/>
        <n v="757.335819611528"/>
        <n v="758.252180386804"/>
        <n v="758.604568027027"/>
        <n v="758.741588434499"/>
        <n v="761.914077398166"/>
        <n v="762.446906191709"/>
        <n v="762.459035606062"/>
        <n v="762.497080303025"/>
        <n v="763.477625297327"/>
        <n v="763.581011224489"/>
        <n v="763.599689119475"/>
        <n v="763.667118922277"/>
        <n v="764.172422727904"/>
        <n v="764.24718135292"/>
        <n v="764.31421212121"/>
        <n v="766.143373658167"/>
        <n v="767.996274489793"/>
        <n v="768.15504606599"/>
        <n v="768.648638265307"/>
        <n v="769.042955765566"/>
        <n v="769.961399055624"/>
        <n v="771.076736317632"/>
        <n v="771.431630325816"/>
        <n v="771.6886069936"/>
        <n v="771.949352750093"/>
        <n v="772.612095959596"/>
        <n v="772.766851563213"/>
        <n v="774.013986478049"/>
        <n v="775.912868232321"/>
        <n v="776.100994949494"/>
        <n v="776.511944476217"/>
        <n v="777.536828939394"/>
        <n v="778.517166174115"/>
        <n v="778.98143146994"/>
        <n v="779.407886775822"/>
        <n v="780.217123159898"/>
        <n v="780.666651157208"/>
        <n v="780.872529101192"/>
        <n v="780.901299924786"/>
        <n v="781.398847664972"/>
        <n v="781.653287494015"/>
        <n v="782.170375722446"/>
        <n v="783.82666894472"/>
        <n v="785.341462690622"/>
        <n v="786.657171666666"/>
        <n v="787.263289510561"/>
        <n v="787.30793455008"/>
        <n v="787.469823327128"/>
        <n v="787.473805555555"/>
        <n v="787.811353092954"/>
        <n v="789.027735914213"/>
        <n v="790.916149553431"/>
        <n v="791.013114646464"/>
        <n v="791.878953075436"/>
        <n v="792.14423939394"/>
        <n v="792.338814775149"/>
        <n v="792.809725531718"/>
        <n v="792.8416675"/>
        <n v="793.513918487786"/>
        <n v="793.606057885955"/>
        <n v="794.075383326169"/>
        <n v="795.176252087809"/>
        <n v="797.400571763959"/>
        <n v="798.236745918368"/>
        <n v="798.463727405475"/>
        <n v="798.511301269036"/>
        <n v="798.713317591837"/>
        <n v="798.785404987274"/>
        <n v="798.807222502778"/>
        <n v="800.937232070707"/>
        <n v="801.567428858646"/>
        <n v="801.613960870673"/>
        <n v="804.878951262624"/>
        <n v="807.016186868686"/>
        <n v="807.025584585822"/>
        <n v="807.54330224036"/>
        <n v="809.665853683313"/>
        <n v="810.168069350946"/>
        <n v="810.495788035464"/>
        <n v="812.775956301447"/>
        <n v="813.950748867686"/>
        <n v="815.875672224179"/>
        <n v="816.170591678393"/>
        <n v="817.18826189394"/>
        <n v="817.618457914943"/>
        <n v="817.722943671655"/>
        <n v="817.919797499999"/>
        <n v="818.740278712121"/>
        <n v="818.824452723534"/>
        <n v="819.220314677266"/>
        <n v="819.315292397959"/>
        <n v="819.744691064502"/>
        <n v="821.2373989899"/>
        <n v="822.125523869348"/>
        <n v="822.583453469529"/>
        <n v="823.459140658391"/>
        <n v="824.425471893534"/>
        <n v="824.598724240248"/>
        <n v="824.683629716879"/>
        <n v="824.693349999998"/>
        <n v="825.011653006751"/>
        <n v="825.908111422619"/>
        <n v="827.349797979799"/>
        <n v="827.758878504932"/>
        <n v="829.818043702777"/>
        <n v="830.631998366968"/>
        <n v="830.943016157018"/>
        <n v="831.230818098649"/>
        <n v="832.430338461033"/>
        <n v="833.221260510204"/>
        <n v="834.127355959595"/>
        <n v="834.984816781547"/>
        <n v="835.635337650057"/>
        <n v="838.008510596917"/>
        <n v="838.272187616124"/>
        <n v="841.465016890863"/>
        <n v="841.543309705695"/>
        <n v="842.078646689941"/>
        <n v="842.340231155779"/>
        <n v="842.609005844572"/>
        <n v="842.924455063768"/>
        <n v="843.514177704546"/>
        <n v="843.598353061229"/>
        <n v="844.36525029938"/>
        <n v="844.737117570076"/>
        <n v="846.16957727273"/>
        <n v="847.1072122449"/>
        <n v="848.092174129408"/>
        <n v="849.355716666669"/>
        <n v="850.511197375254"/>
        <n v="850.704228592582"/>
        <n v="850.839060492333"/>
        <n v="851.105554320148"/>
        <n v="851.930501055643"/>
        <n v="853.075089467005"/>
        <n v="853.732526604639"/>
        <n v="854.060788433104"/>
        <n v="854.533699285708"/>
        <n v="855.716818740906"/>
        <n v="858.267985639945"/>
        <n v="859.184699840689"/>
        <n v="860.425924343803"/>
        <n v="862.105820310426"/>
        <n v="862.466930384246"/>
        <n v="865.142273703308"/>
        <n v="866.167047493869"/>
        <n v="869.105818955721"/>
        <n v="869.451986562266"/>
        <n v="872.037487295918"/>
        <n v="872.880277891289"/>
        <n v="873.472194221104"/>
        <n v="874.035983507425"/>
        <n v="876.451204109829"/>
        <n v="876.687283693061"/>
        <n v="877.827874262166"/>
        <n v="878.404607376236"/>
        <n v="879.290450000001"/>
        <n v="879.349406788943"/>
        <n v="879.451986423549"/>
        <n v="879.735157639593"/>
        <n v="880.607096826453"/>
        <n v="880.991159823753"/>
        <n v="881.365641703286"/>
        <n v="881.501855318704"/>
        <n v="882.519453061219"/>
        <n v="884.021094773297"/>
        <n v="887.195082656231"/>
        <n v="888.578139135855"/>
        <n v="888.938957587777"/>
        <n v="890.670019621225"/>
        <n v="891.060882499995"/>
        <n v="892.044243367343"/>
        <n v="892.071011745973"/>
        <n v="892.418219140394"/>
        <n v="894.531217787162"/>
        <n v="894.588959183676"/>
        <n v="894.935111377281"/>
        <n v="897.99139522564"/>
        <n v="898.151450571715"/>
        <n v="898.562885624296"/>
        <n v="901.852163181774"/>
        <n v="902.148753132831"/>
        <n v="902.152754473737"/>
        <n v="902.529103282829"/>
        <n v="903.643974152266"/>
        <n v="904.263010861711"/>
        <n v="904.404134692184"/>
        <n v="905.633516893055"/>
        <n v="905.744892890147"/>
        <n v="905.7945244789"/>
        <n v="906.515943656566"/>
        <n v="907.317821211264"/>
        <n v="910.293804861122"/>
        <n v="911.062372405039"/>
        <n v="911.582034466741"/>
        <n v="911.700789733057"/>
        <n v="911.741663035576"/>
        <n v="912.999416354599"/>
        <n v="918.085147171672"/>
        <n v="918.937496800276"/>
        <n v="919.516521480289"/>
        <n v="921.623410232779"/>
        <n v="922.962840491181"/>
        <n v="923.513509099745"/>
        <n v="924.135508080806"/>
        <n v="925.166102173496"/>
        <n v="927.180545139242"/>
        <n v="928.061103766254"/>
        <n v="928.233802166514"/>
        <n v="928.60083922325"/>
        <n v="929.910686250002"/>
        <n v="930.178803427357"/>
        <n v="930.697311554565"/>
        <n v="931.825461365355"/>
        <n v="932.256849918279"/>
        <n v="933.321870054539"/>
        <n v="934.99790045"/>
        <n v="935.340378475818"/>
        <n v="935.498612816109"/>
        <n v="936.353537662672"/>
        <n v="937.220363948986"/>
        <n v="939.534975881814"/>
        <n v="939.918807869725"/>
        <n v="940.183875252523"/>
        <n v="941.21251709348"/>
        <n v="942.971238597938"/>
        <n v="944.491543724209"/>
        <n v="945.111519171441"/>
        <n v="945.440121302826"/>
        <n v="945.579432499999"/>
        <n v="947.15842123797"/>
        <n v="947.446688098241"/>
        <n v="949.073628787875"/>
        <n v="949.220317762034"/>
        <n v="952.366522142857"/>
        <n v="952.609909839157"/>
        <n v="953.894173736697"/>
        <n v="955.109761326531"/>
        <n v="956.065999999998"/>
        <n v="957.5234975"/>
        <n v="957.610503391162"/>
        <n v="959.15696267218"/>
        <n v="960.492678263985"/>
        <n v="961.76875608841"/>
        <n v="964.56505479798"/>
        <n v="965.937299277224"/>
        <n v="966.429021901644"/>
        <n v="967.253510528743"/>
        <n v="967.896266234069"/>
        <n v="969.165811130521"/>
        <n v="972.996682345927"/>
        <n v="973.673312856864"/>
        <n v="973.761416939546"/>
        <n v="974.084036122548"/>
        <n v="974.106702957293"/>
        <n v="974.335715141987"/>
        <n v="975.050181502582"/>
        <n v="976.221464323013"/>
        <n v="976.676363041501"/>
        <n v="978.207871759766"/>
        <n v="978.511124872076"/>
        <n v="981.923971937921"/>
        <n v="982.522779081625"/>
        <n v="985.444481758796"/>
        <n v="985.450312228711"/>
        <n v="985.788676256346"/>
        <n v="990.615000000002"/>
        <n v="991.032402783278"/>
        <n v="991.604801269035"/>
        <n v="993.316582069417"/>
        <n v="994.309926751269"/>
        <n v="995.651109660408"/>
        <n v="996.227180747458"/>
        <n v="997.643359999994"/>
        <n v="999.610042442419"/>
        <n v="1000.603425"/>
        <n v="1001.417112786"/>
        <n v="1001.73039166917"/>
        <n v="1003.54385158164"/>
        <n v="1004.69689105343"/>
        <n v="1004.81142373719"/>
        <n v="1005.10879929293"/>
        <n v="1006.0592277941"/>
        <n v="1006.52679773924"/>
        <n v="1006.96406594855"/>
        <n v="1007.13308899197"/>
        <n v="1007.17749698363"/>
        <n v="1007.53749311383"/>
        <n v="1007.79707228824"/>
        <n v="1010.13752385921"/>
        <n v="1010.7786928934"/>
        <n v="1010.82053839269"/>
        <n v="1015.85314008211"/>
        <n v="1017.62353995386"/>
        <n v="1018.11325282001"/>
        <n v="1018.1803688833"/>
        <n v="1019.85940842088"/>
        <n v="1023.57208979798"/>
        <n v="1023.68454695931"/>
        <n v="1023.79247078283"/>
        <n v="1024.29013827097"/>
        <n v="1025.8696452128"/>
        <n v="1027.03988952856"/>
        <n v="1027.46213947511"/>
        <n v="1027.53503615146"/>
        <n v="1031.51144437375"/>
        <n v="1031.71414089936"/>
        <n v="1032.16302494949"/>
        <n v="1032.57447345358"/>
        <n v="1034.70336107199"/>
        <n v="1035.90603395728"/>
        <n v="1036.64"/>
        <n v="1038.0129760101"/>
        <n v="1038.88559242452"/>
        <n v="1039.43667715901"/>
        <n v="1040.64956145938"/>
        <n v="1041.40713620816"/>
        <n v="1045.24440770992"/>
        <n v="1046.28114086911"/>
        <n v="1050.18089020709"/>
        <n v="1052.27700757576"/>
        <n v="1052.56611304452"/>
        <n v="1052.78207156674"/>
        <n v="1053.52893939394"/>
        <n v="1056.6281605183"/>
        <n v="1056.97024163579"/>
        <n v="1057.21589132653"/>
        <n v="1057.86537760742"/>
        <n v="1058.52698207633"/>
        <n v="1058.73520298401"/>
        <n v="1060.68510002495"/>
        <n v="1061.65873571429"/>
        <n v="1061.94252244898"/>
        <n v="1062.33722644881"/>
        <n v="1063.46401112905"/>
        <n v="1065.07407437432"/>
        <n v="1065.83236624682"/>
        <n v="1066.11771979696"/>
        <n v="1068.0234464696"/>
        <n v="1070.62630733954"/>
        <n v="1072.22595899173"/>
        <n v="1072.91575204082"/>
        <n v="1076.65456163467"/>
        <n v="1077.79145556122"/>
        <n v="1077.95328653478"/>
        <n v="1082.42607894301"/>
        <n v="1082.83707327493"/>
        <n v="1084.69744411532"/>
        <n v="1085.57012895917"/>
        <n v="1086.14943424242"/>
        <n v="1087.30655635268"/>
        <n v="1089.03198125"/>
        <n v="1089.73903429371"/>
        <n v="1091.66417974747"/>
        <n v="1093.55869041701"/>
        <n v="1095.03125285871"/>
        <n v="1096.00181348387"/>
        <n v="1101.48853535146"/>
        <n v="1104.21638888889"/>
        <n v="1106.55850335025"/>
        <n v="1107.54246111111"/>
        <n v="1107.7675"/>
        <n v="1109.38186971064"/>
        <n v="1109.53082786371"/>
        <n v="1112.01186892231"/>
        <n v="1117.71778826479"/>
        <n v="1118.66209930724"/>
        <n v="1120.95536250819"/>
        <n v="1123.63173600991"/>
        <n v="1123.83699606026"/>
        <n v="1124.43525389104"/>
        <n v="1124.46963842784"/>
        <n v="1126.26496789549"/>
        <n v="1128.41938820498"/>
        <n v="1129.35870951725"/>
        <n v="1134.90077792275"/>
        <n v="1135.43071464647"/>
        <n v="1136.34892376883"/>
        <n v="1136.36535327456"/>
        <n v="1137.67012979722"/>
        <n v="1138.80165799851"/>
        <n v="1139.85051530612"/>
        <n v="1140.6437538267"/>
        <n v="1140.76760959183"/>
        <n v="1141.947825"/>
        <n v="1143.1120900259"/>
        <n v="1144.0930788181"/>
        <n v="1145.01906025819"/>
        <n v="1145.28071729581"/>
        <n v="1153.2476385685"/>
        <n v="1156.672725"/>
        <n v="1157.21512626262"/>
        <n v="1161.16694108751"/>
        <n v="1162.3652785769"/>
        <n v="1164.88106475326"/>
        <n v="1166.55836864887"/>
        <n v="1167.99892225425"/>
        <n v="1170.62868816121"/>
        <n v="1171.02157223215"/>
        <n v="1175.72395291165"/>
        <n v="1179.15358"/>
        <n v="1179.81389314078"/>
        <n v="1180.13681736419"/>
        <n v="1181.40432122449"/>
        <n v="1185.59568364662"/>
        <n v="1187.08573057999"/>
        <n v="1188.14360828283"/>
        <n v="1188.24296002745"/>
        <n v="1189.44388345008"/>
        <n v="1190.26329876927"/>
        <n v="1193.21286156314"/>
        <n v="1194.09550510204"/>
        <n v="1195.12116295962"/>
        <n v="1195.57601179959"/>
        <n v="1197.22033035859"/>
        <n v="1200.33761428571"/>
        <n v="1204.06822504766"/>
        <n v="1205.16256484849"/>
        <n v="1207.3022358797"/>
        <n v="1207.64303588408"/>
        <n v="1210.40173277202"/>
        <n v="1214.31136788945"/>
        <n v="1217.22434563461"/>
        <n v="1219.81731849726"/>
        <n v="1220.17452278506"/>
        <n v="1234.5613996376"/>
        <n v="1236.13358845178"/>
        <n v="1239.69719752835"/>
        <n v="1241.08738835631"/>
        <n v="1241.1055532612"/>
        <n v="1246.41930156374"/>
        <n v="1247.13610974227"/>
        <n v="1248.16804841054"/>
        <n v="1248.56545454545"/>
        <n v="1250.62036571466"/>
        <n v="1251.58148272727"/>
        <n v="1253.60854303955"/>
        <n v="1254.60325631873"/>
        <n v="1254.97276938775"/>
        <n v="1255.58128706085"/>
        <n v="1257.17107908163"/>
        <n v="1257.51597511152"/>
        <n v="1257.67571121695"/>
        <n v="1261.16471691729"/>
        <n v="1261.53591423801"/>
        <n v="1262.31414773801"/>
        <n v="1262.98810068889"/>
        <n v="1263.9616827573"/>
        <n v="1264.20457816774"/>
        <n v="1264.49723350254"/>
        <n v="1271.91771544841"/>
        <n v="1272.47533138407"/>
        <n v="1274.50485708676"/>
        <n v="1278.29840132634"/>
        <n v="1281.59548010204"/>
        <n v="1283.92966989796"/>
        <n v="1285.12625689223"/>
        <n v="1286.51646723298"/>
        <n v="1287.30618655025"/>
        <n v="1287.37766559219"/>
        <n v="1289.65731463395"/>
        <n v="1293.3173844167"/>
        <n v="1293.39568623754"/>
        <n v="1295.15776657576"/>
        <n v="1297.96796446175"/>
        <n v="1301.76071088802"/>
        <n v="1305.17812032518"/>
        <n v="1305.23385460335"/>
        <n v="1311.5260493517"/>
        <n v="1315.19430002691"/>
        <n v="1320.27497137701"/>
        <n v="1320.56363565712"/>
        <n v="1321.05449300001"/>
        <n v="1323.47812927296"/>
        <n v="1325.63329065372"/>
        <n v="1329.55062345186"/>
        <n v="1331.34189223057"/>
        <n v="1334.069188226"/>
        <n v="1342.19443982852"/>
        <n v="1343.52679807692"/>
        <n v="1343.90128634018"/>
        <n v="1344.75127001256"/>
        <n v="1353.41430385887"/>
        <n v="1361.28714074742"/>
        <n v="1365.34135"/>
        <n v="1367.46530180047"/>
        <n v="1370.07287620433"/>
        <n v="1378.75451264548"/>
        <n v="1385.70431721399"/>
        <n v="1389.11326207291"/>
        <n v="1390.13733279283"/>
        <n v="1390.73553783254"/>
        <n v="1391.16855"/>
        <n v="1391.71188278453"/>
        <n v="1392.26011030822"/>
        <n v="1393.06092448454"/>
        <n v="1394.32854289533"/>
        <n v="1395.75636017588"/>
        <n v="1398.85808091235"/>
        <n v="1399.26494016746"/>
        <n v="1400.73392102416"/>
        <n v="1400.87263495158"/>
        <n v="1402.499875"/>
        <n v="1404.24914845963"/>
        <n v="1404.52175503757"/>
        <n v="1404.59570194712"/>
        <n v="1410.68845151521"/>
        <n v="1411.36574999999"/>
        <n v="1411.92195858512"/>
        <n v="1416.63398974619"/>
        <n v="1421.62767670689"/>
        <n v="1431.91158163265"/>
        <n v="1433.88923148563"/>
        <n v="1437.59423651515"/>
        <n v="1442.47910483503"/>
        <n v="1447.2446925"/>
        <n v="1447.27745945229"/>
        <n v="1448.46121558983"/>
        <n v="1458.7862"/>
        <n v="1460.02855536082"/>
        <n v="1463.37778272728"/>
        <n v="1470.60301435188"/>
        <n v="1472.19462368208"/>
        <n v="1474.51496897985"/>
        <n v="1476.75583297334"/>
        <n v="1480.78274050978"/>
        <n v="1481.62254489796"/>
        <n v="1485.14168865103"/>
        <n v="1494.71283448138"/>
        <n v="1494.74370112736"/>
        <n v="1498.49068105263"/>
        <n v="1501.36579819563"/>
        <n v="1501.9422528385"/>
        <n v="1501.961"/>
        <n v="1506.27108195876"/>
        <n v="1506.39583367347"/>
        <n v="1508.67707103476"/>
        <n v="1509.01042813137"/>
        <n v="1524.03240208544"/>
        <n v="1524.41115565424"/>
        <n v="1527.05884210886"/>
        <n v="1529.68658100515"/>
        <n v="1530.56206020408"/>
        <n v="1534.52896274227"/>
        <n v="1534.9685472573"/>
        <n v="1535.98613345865"/>
        <n v="1539.63426788052"/>
        <n v="1544.81366437341"/>
        <n v="1547.43200747761"/>
        <n v="1552.18249676165"/>
        <n v="1552.63294158323"/>
        <n v="1554.18482467946"/>
        <n v="1555.7960319377"/>
        <n v="1557.96078291458"/>
        <n v="1561.72530376771"/>
        <n v="1562.92065078794"/>
        <n v="1565.94008616701"/>
        <n v="1567.1330792211"/>
        <n v="1570.18403411038"/>
        <n v="1587.23145534905"/>
        <n v="1600.49696338384"/>
        <n v="1605.55262497313"/>
        <n v="1612.50832611111"/>
        <n v="1616.10031122449"/>
        <n v="1626.63218015076"/>
        <n v="1627.96666565285"/>
        <n v="1628.92248482329"/>
        <n v="1635.23931678565"/>
        <n v="1636.61464361383"/>
        <n v="1639.46991407045"/>
        <n v="1646.4669179293"/>
        <n v="1646.62734636598"/>
        <n v="1648.27456676861"/>
        <n v="1651.94733121843"/>
        <n v="1652.26041223895"/>
        <n v="1652.46558441176"/>
        <n v="1654.34612770846"/>
        <n v="1657.26874271057"/>
        <n v="1660.75976445348"/>
        <n v="1660.91610196486"/>
        <n v="1661.40249258895"/>
        <n v="1665.47471650385"/>
        <n v="1673.30955447444"/>
        <n v="1675.87652777778"/>
        <n v="1678.1252191726"/>
        <n v="1679.47442857722"/>
        <n v="1682.55835606061"/>
        <n v="1683.52889270598"/>
        <n v="1689.11953698415"/>
        <n v="1691.69969273516"/>
        <n v="1711.17914623772"/>
        <n v="1711.74891530612"/>
        <n v="1717.22275618955"/>
        <n v="1721.00675"/>
        <n v="1726.16879649514"/>
        <n v="1730.15475824149"/>
        <n v="1739.14511833007"/>
        <n v="1742.0163040404"/>
        <n v="1742.41689432769"/>
        <n v="1745.35590382263"/>
        <n v="1748.36618965517"/>
        <n v="1749.90944028158"/>
        <n v="1753.22291578423"/>
        <n v="1754.07549616353"/>
        <n v="1757.3565780303"/>
        <n v="1762.5136745549"/>
        <n v="1762.96001806123"/>
        <n v="1770.4911283051"/>
        <n v="1770.64356988337"/>
        <n v="1773.75932397959"/>
        <n v="1775.14032028202"/>
        <n v="1777.98691685997"/>
        <n v="1787.6889823756"/>
        <n v="1792.33549366268"/>
        <n v="1794.75900549723"/>
        <n v="1804.58679897975"/>
        <n v="1810.82053659794"/>
        <n v="1814.54525927835"/>
        <n v="1821.70693444377"/>
        <n v="1822.64837870773"/>
        <n v="1825.68064175254"/>
        <n v="1825.70810825067"/>
        <n v="1826.96993"/>
        <n v="1829.42021796714"/>
        <n v="1840.05225575734"/>
        <n v="1843.533716778"/>
        <n v="1844.89143367347"/>
        <n v="1845.99119290486"/>
        <n v="1847.18206182748"/>
        <n v="1854.19859955616"/>
        <n v="1855.34383505155"/>
        <n v="1857.05025047483"/>
        <n v="1861.45601454546"/>
        <n v="1868.7913161099"/>
        <n v="1870"/>
        <n v="1877.82432805294"/>
        <n v="1884.07567420355"/>
        <n v="1895.4044767589"/>
        <n v="1912.66799000226"/>
        <n v="1913.9347924412"/>
        <n v="1934.43971428572"/>
        <n v="1943.52278019091"/>
        <n v="1944.00604808672"/>
        <n v="1946.72875782356"/>
        <n v="1948.20206785714"/>
        <n v="1955.55771220461"/>
        <n v="1958.38987943717"/>
        <n v="1964.35392836341"/>
        <n v="1964.66016331658"/>
        <n v="1966.24212444534"/>
        <n v="1967.29053240182"/>
        <n v="1971.82742806123"/>
        <n v="1973.66791792929"/>
        <n v="1974.26264974421"/>
        <n v="1974.7301"/>
        <n v="1975.700175"/>
        <n v="1979.33954999999"/>
        <n v="1984.44636144896"/>
        <n v="1993.68966445664"/>
        <n v="2006.49547680413"/>
        <n v="2007.59703619176"/>
        <n v="2009.09261218886"/>
        <n v="2010.01272061428"/>
        <n v="2017.26582672635"/>
        <n v="2029.5079953843"/>
        <n v="2029.72941928496"/>
        <n v="2037.82857651515"/>
        <n v="2053.6430603624"/>
        <n v="2067.94069373073"/>
        <n v="2075.61094287506"/>
        <n v="2077.15769897959"/>
        <n v="2080.03149841222"/>
        <n v="2082.33722755577"/>
        <n v="2092.53716766912"/>
        <n v="2098.72888888888"/>
        <n v="2100.86627366317"/>
        <n v="2105.7858595287"/>
        <n v="2111.76977476714"/>
        <n v="2112.90446300209"/>
        <n v="2117.09867353954"/>
        <n v="2124.96190599767"/>
        <n v="2130.73657207698"/>
        <n v="2147.22191091354"/>
        <n v="2153.58883256256"/>
        <n v="2163.66729505319"/>
        <n v="2182.19058418368"/>
        <n v="2199.24660608155"/>
        <n v="2201.37327246284"/>
        <n v="2206.54546594275"/>
        <n v="2225.87459103789"/>
        <n v="2235.4086525"/>
        <n v="2249.3268137206"/>
        <n v="2250.30000669627"/>
        <n v="2264.49672319588"/>
        <n v="2279.78105306122"/>
        <n v="2290.95741739066"/>
        <n v="2292.47747604365"/>
        <n v="2298.8964137631"/>
        <n v="2306.90588225828"/>
        <n v="2310.12456244846"/>
        <n v="2310.41771288711"/>
        <n v="2320.9752525"/>
        <n v="2329.54528544256"/>
        <n v="2336.23632027115"/>
        <n v="2337.86950952734"/>
        <n v="2350.18187433974"/>
        <n v="2362.32825327228"/>
        <n v="2366.78906002875"/>
        <n v="2377.68198608026"/>
        <n v="2380.96847487193"/>
        <n v="2391.48083746494"/>
        <n v="2407.58736070147"/>
        <n v="2409.09845319149"/>
        <n v="2413.2831198097"/>
        <n v="2423.51510170939"/>
        <n v="2425.90748385983"/>
        <n v="2429.91129645729"/>
        <n v="2432.33000948204"/>
        <n v="2442.06525871064"/>
        <n v="2442.60049957663"/>
        <n v="2452.33941315851"/>
        <n v="2460.15865714286"/>
        <n v="2462.7197299043"/>
        <n v="2463.86814012184"/>
        <n v="2467.24710311517"/>
        <n v="2469.83335704747"/>
        <n v="2470.78482878618"/>
        <n v="2489.72347954182"/>
        <n v="2492.80793698492"/>
        <n v="2493.83117798995"/>
        <n v="2496.17680128866"/>
        <n v="2503.85998841201"/>
        <n v="2513.40871859297"/>
        <n v="2520.27508499999"/>
        <n v="2522.97628802555"/>
        <n v="2546.21606108947"/>
        <n v="2562.52280966013"/>
        <n v="2579.006305"/>
        <n v="2583.09167159601"/>
        <n v="2587.46184897959"/>
        <n v="2623.9081479798"/>
        <n v="2630.97110505902"/>
        <n v="2640.04587801509"/>
        <n v="2649.96053319149"/>
        <n v="2658.36965"/>
        <n v="2677.41447910508"/>
        <n v="2678.30852706186"/>
        <n v="2687.8670982579"/>
        <n v="2688.78326356784"/>
        <n v="2724.22251179073"/>
        <n v="2732.11645974724"/>
        <n v="2732.53090239926"/>
        <n v="2781.72143313658"/>
        <n v="2782.69613948514"/>
        <n v="2786.38919765752"/>
        <n v="2801.13478923438"/>
        <n v="2802.707329659"/>
        <n v="2804.12239937671"/>
        <n v="2811.99286399485"/>
        <n v="2817.71862244898"/>
        <n v="2827.55368558511"/>
        <n v="2830.18135343097"/>
        <n v="2836.53366813131"/>
        <n v="2878.89035714286"/>
        <n v="2883.31701821878"/>
        <n v="2948.20968304867"/>
        <n v="2969.02934145311"/>
        <n v="2981.17662542997"/>
        <n v="3046.157325"/>
        <n v="3053.06902844915"/>
        <n v="3070.1327160804"/>
        <n v="3087.2677525249"/>
        <n v="3112.71638507732"/>
        <n v="3113.13591586557"/>
        <n v="3117.36180885584"/>
        <n v="3302.41554499999"/>
        <n v="3338.82061622449"/>
        <n v="3354.76852631462"/>
        <n v="3360.17857446809"/>
        <n v="3369.88510288091"/>
        <n v="3372.64043291449"/>
        <n v="3444.46169514053"/>
        <n v="3540.27888908908"/>
        <n v="3549.98582603209"/>
        <n v="3739.78086915609"/>
        <n v="3836.44817229678"/>
        <n v="4024.96208721422"/>
        <n v="4069.67391038382"/>
        <n v="4127.44880377298"/>
        <n v="4204.05117061812"/>
        <n v="4323.59340776993"/>
        <n v="4336.00195460621"/>
        <n v="4359.5829582442"/>
        <n v="4385.63156848665"/>
        <n v="4400.49187933889"/>
        <n v="4438.57070197719"/>
        <n v="4452.53777899651"/>
        <n v="4461.73789968522"/>
        <n v="4505.92422360288"/>
        <n v="4513.6995360156"/>
        <n v="4565.91801767142"/>
        <n v="4615.60761110464"/>
        <n v="4676.67094419446"/>
        <n v="4713.18674378739"/>
        <n v="4728.74741836734"/>
        <n v="4735.75328170651"/>
        <n v="4765.4818560149"/>
        <n v="4771.09716410921"/>
        <n v="4781.84102372814"/>
        <n v="4809.78866739186"/>
        <n v="4816.43772828507"/>
        <n v="4886.84890597301"/>
        <n v="5042.25412913011"/>
        <n v="5044.28158986583"/>
        <n v="5093.1944278824"/>
        <n v="5217.0304567575"/>
        <n v="5313.18645016306"/>
        <n v="5320.40860781222"/>
        <n v="5321.72872448979"/>
        <n v="5470.294501007"/>
        <n v="5497.67267902011"/>
        <n v="5629.21764288636"/>
        <n v="5674.47226463908"/>
        <n v="5676.50074941225"/>
        <n v="5749.66414494362"/>
        <n v="5845.83588524652"/>
        <n v="5902.82011176007"/>
        <n v="5977.8886962544"/>
        <n v="5979.83454676709"/>
        <n v="5991.99470560542"/>
        <n v="6048.7067549191"/>
        <n v="6082.52190548119"/>
        <n v="6129.93224324688"/>
        <n v="6145.3864958347"/>
        <n v="6170.34104957938"/>
        <n v="6183.23232347416"/>
        <n v="6243.97638181817"/>
        <n v="6295.62224664587"/>
        <n v="6439.50915647882"/>
        <n v="6525.5650635204"/>
        <n v="6686.82133120875"/>
        <n v="6693.36887754205"/>
        <n v="6734.51324106237"/>
        <n v="6736.52840171405"/>
        <n v="6754.14145492941"/>
        <n v="6794.19245689463"/>
        <n v="6858.2586060606"/>
        <n v="6879.41028822611"/>
        <n v="6946.45169321131"/>
        <n v="7094.92810976532"/>
        <n v="7184.36255879458"/>
        <n v="7268.84279006894"/>
        <n v="7332.42318484849"/>
        <n v="7379.86186224492"/>
        <n v="7455.86362898992"/>
        <n v="7718.14531685311"/>
        <n v="7857.83201310834"/>
        <n v="8066.71085612244"/>
        <n v="8371.71596001819"/>
        <n v="8538.7655752778"/>
        <n v="9699.00113655033"/>
        <n v="9780.71667179668"/>
        <n v="10643.7285971067"/>
        <n v="11185.1525184292"/>
        <n v="11230.7362559161"/>
        <n v="12141.1724732681"/>
        <n v="12871.3057120637"/>
        <n v="14045.5846385809"/>
        <n v="14202.240622216"/>
        <n v="15921.1339136645"/>
        <n v="16941.7094470652"/>
        <n v="17312.517028205"/>
        <n v="18544.0428686118"/>
        <n v="18760.9875945312"/>
        <n v="20483.7843858337"/>
        <n v="22151.7638909964"/>
        <n v="22679.9251556588"/>
        <n v="22933.568567717"/>
        <n v="23735.1577690319"/>
        <n v="24215.6487413784"/>
        <n v="26216.4326201002"/>
        <n v="28341.0961799999"/>
        <n v="30431.6632327804"/>
        <n v="30778.798171054"/>
        <n v="31029.2012357803"/>
        <n v="33035.7113351026"/>
      </sharedItems>
    </cacheField>
    <cacheField name="real_losses_cost_usd" numFmtId="0">
      <sharedItems containsString="0" containsBlank="1" containsNumber="1" minValue="-2932122.64127244" maxValue="48095261.9154595" count="3483">
        <n v="-2932122.64127244"/>
        <n v="-2458641.37127397"/>
        <n v="-1883349.71792638"/>
        <n v="-384743.255958122"/>
        <n v="-381270.554640614"/>
        <n v="-292712.407968307"/>
        <n v="-266974.321724554"/>
        <n v="-261750.890059846"/>
        <n v="-258738.669705302"/>
        <n v="-245300.184107999"/>
        <n v="-216576.899949206"/>
        <n v="-204113.814631867"/>
        <n v="-157378.021401895"/>
        <n v="-145878.893775"/>
        <n v="-136684.093035856"/>
        <n v="-134643.438381996"/>
        <n v="-129482.000647437"/>
        <n v="-116223.50149302"/>
        <n v="-104069.243777489"/>
        <n v="-81667.5342150181"/>
        <n v="-69201.97988234"/>
        <n v="-65590.5121933737"/>
        <n v="-64236.8067201065"/>
        <n v="-52965.8468500001"/>
        <n v="-49135.9233614635"/>
        <n v="-45689.2946249"/>
        <n v="-34816.3272727283"/>
        <n v="-25771.229154427"/>
        <n v="-25059.3600000001"/>
        <n v="-23804.8658619927"/>
        <n v="-15187.9584909644"/>
        <n v="-13446.5781535"/>
        <n v="-13326.969705"/>
        <n v="-9992.15616530618"/>
        <n v="-5508.00844496878"/>
        <n v="-5089.61465521019"/>
        <n v="-4370.57817100004"/>
        <n v="-2656.36485393448"/>
        <n v="-719.737587997391"/>
        <n v="1.04540596598603"/>
        <n v="84.0375927273019"/>
        <n v="90.8027272326055"/>
        <n v="161.073919579884"/>
        <n v="228.58887468452"/>
        <n v="264.487568759381"/>
        <n v="295.034204341047"/>
        <n v="296.358814412118"/>
        <n v="399.863545714307"/>
        <n v="517.019212500025"/>
        <n v="658.425059521823"/>
        <n v="844.800717819833"/>
        <n v="901.822567111812"/>
        <n v="1018.597106664"/>
        <n v="1074.59554798668"/>
        <n v="1184.94352425785"/>
        <n v="1290.0867791394"/>
        <n v="1533.52571146442"/>
        <n v="2021.04969010174"/>
        <n v="2035.78815112893"/>
        <n v="2072.38173200029"/>
        <n v="2083.50245304314"/>
        <n v="2128.13778732858"/>
        <n v="2156.77638073331"/>
        <n v="2186.45396060371"/>
        <n v="2393.96546035159"/>
        <n v="2402.18390694867"/>
        <n v="2440.70954081768"/>
        <n v="2507.84044984893"/>
        <n v="2529.98326446633"/>
        <n v="2555.51673861343"/>
        <n v="2620.33156399994"/>
        <n v="2702.2139817504"/>
        <n v="2720.03372255423"/>
        <n v="2724.30163698639"/>
        <n v="2800.70168460607"/>
        <n v="2825.7818270001"/>
        <n v="2860.01834953497"/>
        <n v="2876.22076603351"/>
        <n v="2898.20474366627"/>
        <n v="2901.87932068005"/>
        <n v="2927.51215082756"/>
        <n v="2989.93190945015"/>
        <n v="3094.94353134234"/>
        <n v="3170.50440590025"/>
        <n v="3256.6655291959"/>
        <n v="3315.19173170697"/>
        <n v="3430.61276382"/>
        <n v="3466.11238382496"/>
        <n v="3501.95930964387"/>
        <n v="3644.76285276659"/>
        <n v="3684.74266963938"/>
        <n v="3718.32265760149"/>
        <n v="3817.45892665765"/>
        <n v="3875.24022033119"/>
        <n v="3877.0166793233"/>
        <n v="3948.73774434661"/>
        <n v="3950.40024837496"/>
        <n v="4044.9307859746"/>
        <n v="4053.77148241218"/>
        <n v="4063.187747927"/>
        <n v="4160.93440224795"/>
        <n v="4235.99627174321"/>
        <n v="4300.03780629252"/>
        <n v="4333.64701085898"/>
        <n v="4365.10010328023"/>
        <n v="4378.60202404544"/>
        <n v="4407.35244552514"/>
        <n v="4458.45142910573"/>
        <n v="4540.98908590445"/>
        <n v="4577.69300121693"/>
        <n v="4627.55893955007"/>
        <n v="4717.96819708284"/>
        <n v="4867.44695835726"/>
        <n v="4963.24469234335"/>
        <n v="4988.63104145714"/>
        <n v="4991.71025798235"/>
        <n v="5077.97711079326"/>
        <n v="5264.65260236358"/>
        <n v="5286.06131630607"/>
        <n v="5418.7523366835"/>
        <n v="5504.44995328398"/>
        <n v="5518.55669967333"/>
        <n v="5531.07421649035"/>
        <n v="5538.22711325809"/>
        <n v="5541.09169938379"/>
        <n v="5552.12347719725"/>
        <n v="5560.48806289435"/>
        <n v="5561.58039531141"/>
        <n v="5649.42981356597"/>
        <n v="5769.50740035652"/>
        <n v="5829.7441823924"/>
        <n v="5835.91557936534"/>
        <n v="5854.69458597877"/>
        <n v="5921.33573096286"/>
        <n v="5930.62991587272"/>
        <n v="6030.40029580884"/>
        <n v="6060.48605445892"/>
        <n v="6154.49630672523"/>
        <n v="6169.54007122449"/>
        <n v="6233.89125585005"/>
        <n v="6245.6341352482"/>
        <n v="6330.72305590738"/>
        <n v="6361.35233828673"/>
        <n v="6396.78097063491"/>
        <n v="6416.3679677881"/>
        <n v="6697.57644242374"/>
        <n v="6816.76614102633"/>
        <n v="6973.71066131191"/>
        <n v="7044.92173410695"/>
        <n v="7082.9651099008"/>
        <n v="7287.76051132416"/>
        <n v="7370.20625204083"/>
        <n v="7459.27901335582"/>
        <n v="7464.34493377826"/>
        <n v="7493.57487557356"/>
        <n v="7516.18594987887"/>
        <n v="7613.22519494462"/>
        <n v="7772.86397104588"/>
        <n v="7773.05100103087"/>
        <n v="7807.27278075389"/>
        <n v="7853.19303155396"/>
        <n v="7885.99118496133"/>
        <n v="8035.73669009519"/>
        <n v="8100.84908647755"/>
        <n v="8126.45106444494"/>
        <n v="8196.71890745654"/>
        <n v="8197.25934198384"/>
        <n v="8202.21189314232"/>
        <n v="8237.14465883216"/>
        <n v="8273.64604848484"/>
        <n v="8458.52831840289"/>
        <n v="8753.94803619379"/>
        <n v="8756.41599265856"/>
        <n v="8803.48843132942"/>
        <n v="8841.50112022245"/>
        <n v="8862.27787667035"/>
        <n v="8980.35953604245"/>
        <n v="9031.004843856"/>
        <n v="9109.85728538015"/>
        <n v="9142.60145840005"/>
        <n v="9182.43833732073"/>
        <n v="9188.39855052775"/>
        <n v="9210.33569956858"/>
        <n v="9240.44618516758"/>
        <n v="9390.04657068357"/>
        <n v="9604.15343594723"/>
        <n v="9720.2767061444"/>
        <n v="9762.1326633164"/>
        <n v="9798.70014904545"/>
        <n v="9865.51444340253"/>
        <n v="9887.84931200015"/>
        <n v="9926.98320491928"/>
        <n v="9944.99098611112"/>
        <n v="9988.68251700321"/>
        <n v="9998.60170604253"/>
        <n v="10054.3271771372"/>
        <n v="10097.3089464613"/>
        <n v="10109.3737914743"/>
        <n v="10162.7423611789"/>
        <n v="10222.4490276149"/>
        <n v="10223.2196049545"/>
        <n v="10406.681105737"/>
        <n v="10409.0820967654"/>
        <n v="10478.3653197778"/>
        <n v="10491.3760995919"/>
        <n v="10545.2238672974"/>
        <n v="10604.7650941115"/>
        <n v="10681.2186705388"/>
        <n v="10703.5982285839"/>
        <n v="10714.5980720844"/>
        <n v="10725.4879080757"/>
        <n v="10753.6519083183"/>
        <n v="10787.51916175"/>
        <n v="10863.2012812485"/>
        <n v="10926.9423825"/>
        <n v="10985.5686461847"/>
        <n v="11024.874577384"/>
        <n v="11030.0197133418"/>
        <n v="11052.7722081633"/>
        <n v="11112.8875687526"/>
        <n v="11184.730078299"/>
        <n v="11217.3867547275"/>
        <n v="11223.5057441954"/>
        <n v="11389.2875910737"/>
        <n v="11425.358771357"/>
        <n v="11483.2617806242"/>
        <n v="11517.0765684719"/>
        <n v="11528.7930145015"/>
        <n v="11545.0785353471"/>
        <n v="11575.0303221171"/>
        <n v="11592.4295948035"/>
        <n v="11694.5453716625"/>
        <n v="11849.4773870528"/>
        <n v="11856.8621722219"/>
        <n v="11886.4413975731"/>
        <n v="11889.6254551211"/>
        <n v="11911.2822310675"/>
        <n v="11961.6703054546"/>
        <n v="11963.9554805462"/>
        <n v="11976.1479041381"/>
        <n v="12015.3327820964"/>
        <n v="12041.0602487519"/>
        <n v="12209.8545230313"/>
        <n v="12212.7554508815"/>
        <n v="12288.8383088559"/>
        <n v="12298.064111002"/>
        <n v="12302.9239054646"/>
        <n v="12307.7984569829"/>
        <n v="12326.832"/>
        <n v="12422.6561696402"/>
        <n v="12600.6741825499"/>
        <n v="12607.7748117348"/>
        <n v="12695.0271012634"/>
        <n v="12734.0871605046"/>
        <n v="12737.01077275"/>
        <n v="12782.463382"/>
        <n v="12819.876807222"/>
        <n v="12906.8829507171"/>
        <n v="12917.286027844"/>
        <n v="12946.8303471247"/>
        <n v="13009.2963806533"/>
        <n v="13036.1380072481"/>
        <n v="13076.4899441795"/>
        <n v="13156.1800792601"/>
        <n v="13229.722685449"/>
        <n v="13367.3312697526"/>
        <n v="13406.5363705164"/>
        <n v="13417.230195955"/>
        <n v="13593.1111558886"/>
        <n v="13715.3815127902"/>
        <n v="13762.4056114975"/>
        <n v="13784.3214469643"/>
        <n v="13804.8380878173"/>
        <n v="13960.3149872448"/>
        <n v="14069.8197885735"/>
        <n v="14141.0672624849"/>
        <n v="14152.8141962424"/>
        <n v="14160.0911454277"/>
        <n v="14169.3236959433"/>
        <n v="14253.4395314555"/>
        <n v="14271.332769949"/>
        <n v="14290.7467202446"/>
        <n v="14298.3462897727"/>
        <n v="14391.9891148477"/>
        <n v="14442.8457385578"/>
        <n v="14498.7976823525"/>
        <n v="14587.8700444091"/>
        <n v="14587.9284210526"/>
        <n v="14621.4021048653"/>
        <n v="14811.5554304685"/>
        <n v="14832.6753997461"/>
        <n v="14872.1083043272"/>
        <n v="14917.4956875"/>
        <n v="14928.9995762755"/>
        <n v="14940.7821050561"/>
        <n v="14952.9460008002"/>
        <n v="14954.6496499997"/>
        <n v="15048.1169752349"/>
        <n v="15069.3005498864"/>
        <n v="15091.8696353868"/>
        <n v="15216.3060466367"/>
        <n v="15277.226882716"/>
        <n v="15285.1161093751"/>
        <n v="15448.7444113736"/>
        <n v="15489.5007011119"/>
        <n v="15490.3289350408"/>
        <n v="15523.0066110073"/>
        <n v="15662.2869551021"/>
        <n v="15766.5698196281"/>
        <n v="15812.8168231413"/>
        <n v="15817.1371751163"/>
        <n v="15906.4345487066"/>
        <n v="15974.6771565072"/>
        <n v="16271.2936328896"/>
        <n v="16373.8064311416"/>
        <n v="16421.960402525"/>
        <n v="16539.723880102"/>
        <n v="16564.1517597615"/>
        <n v="16644.8053285306"/>
        <n v="16692.8497197937"/>
        <n v="16716.6046261601"/>
        <n v="16796.3094966367"/>
        <n v="16798.5841237113"/>
        <n v="16820.3142604879"/>
        <n v="16889.9648015404"/>
        <n v="16893.8195876288"/>
        <n v="16910.3273749998"/>
        <n v="16982.1511444682"/>
        <n v="16983.0046213225"/>
        <n v="17021.1575803604"/>
        <n v="17136.0184873738"/>
        <n v="17408.3736078967"/>
        <n v="17424.3697368793"/>
        <n v="17454.0686789384"/>
        <n v="17589.2944584213"/>
        <n v="17616.0367882315"/>
        <n v="17633.1259960167"/>
        <n v="17730.6996470946"/>
        <n v="17779.8291236176"/>
        <n v="17789.40094834"/>
        <n v="17838.5707127346"/>
        <n v="17851.4646569997"/>
        <n v="17882.9018281726"/>
        <n v="17917.0546754844"/>
        <n v="17924.2668289474"/>
        <n v="17942.4345462534"/>
        <n v="17942.5481623396"/>
        <n v="18017.6572832118"/>
        <n v="18050.8874653759"/>
        <n v="18118.2936433331"/>
        <n v="18197.8240592688"/>
        <n v="18219.6567849996"/>
        <n v="18285.741857755"/>
        <n v="18304.1098828722"/>
        <n v="18340.409436417"/>
        <n v="18364.0507269008"/>
        <n v="18367.4838642977"/>
        <n v="18538.2897628332"/>
        <n v="18538.4085413962"/>
        <n v="18538.4990818445"/>
        <n v="18538.5721047735"/>
        <n v="18538.666216923"/>
        <n v="18538.8592139506"/>
        <n v="18589.2912386939"/>
        <n v="18700.0035778789"/>
        <n v="18750.3297033902"/>
        <n v="18769.4122549795"/>
        <n v="18799.9800872149"/>
        <n v="18824.86342"/>
        <n v="18958.9481835343"/>
        <n v="19030.005241061"/>
        <n v="19075.7067539901"/>
        <n v="19257.3784284318"/>
        <n v="19277.2043403449"/>
        <n v="19351.7337121632"/>
        <n v="19472.3944019139"/>
        <n v="19484.6017205648"/>
        <n v="19516.9876827576"/>
        <n v="19597.3109262983"/>
        <n v="19604.2051436399"/>
        <n v="19665.3224077492"/>
        <n v="19691.2359700649"/>
        <n v="19736.2791129493"/>
        <n v="19751.589543976"/>
        <n v="19786.3370262225"/>
        <n v="19790.732712257"/>
        <n v="19866.7950433427"/>
        <n v="19900.9274720454"/>
        <n v="19921.4687259088"/>
        <n v="19967.6543664878"/>
        <n v="19970.2273740864"/>
        <n v="20068.9753326136"/>
        <n v="20106.0394860606"/>
        <n v="20188.6879753264"/>
        <n v="20228.7406942461"/>
        <n v="20369.9741989791"/>
        <n v="20440.8534417555"/>
        <n v="20487.9991157165"/>
        <n v="20507.3795422394"/>
        <n v="20608.0508987755"/>
        <n v="20625.1664028114"/>
        <n v="20625.9418375825"/>
        <n v="20702.8272726498"/>
        <n v="20810.3515662551"/>
        <n v="20836.1400503915"/>
        <n v="20926.3961422407"/>
        <n v="20929.3878507252"/>
        <n v="20950.5943569018"/>
        <n v="20976.4577122122"/>
        <n v="21069.74496372"/>
        <n v="21102.0636536684"/>
        <n v="21119.954760847"/>
        <n v="21123.385803573"/>
        <n v="21182.9231333505"/>
        <n v="21270.824084719"/>
        <n v="21300.5379036324"/>
        <n v="21300.895290225"/>
        <n v="21379.5231695578"/>
        <n v="21415.6665353066"/>
        <n v="21502.7019413397"/>
        <n v="21513.8597832608"/>
        <n v="21637.3000013965"/>
        <n v="21674.8097348771"/>
        <n v="21701.5559184678"/>
        <n v="21712.08448965"/>
        <n v="21743.2679140876"/>
        <n v="21773.6359144865"/>
        <n v="21806.3247005102"/>
        <n v="21849.8711187661"/>
        <n v="21910.6888326"/>
        <n v="21973.8307464006"/>
        <n v="22002.977367375"/>
        <n v="22124.4587079278"/>
        <n v="22200.3499556479"/>
        <n v="22203.06587465"/>
        <n v="22222.5682788945"/>
        <n v="22268.6610549495"/>
        <n v="22291.3147342105"/>
        <n v="22307.2353500454"/>
        <n v="22349.1737763959"/>
        <n v="22502.6740613776"/>
        <n v="22552.867223707"/>
        <n v="22597.7000224084"/>
        <n v="22658.2978723231"/>
        <n v="22677.0149962031"/>
        <n v="22744.3483565967"/>
        <n v="22774.1562160001"/>
        <n v="22790.6858723505"/>
        <n v="22815.7587955001"/>
        <n v="22816.4986707894"/>
        <n v="22841.0641098134"/>
        <n v="22878.04853295"/>
        <n v="22879.5246438706"/>
        <n v="23034.4635011112"/>
        <n v="23066.8983743781"/>
        <n v="23093.9857279089"/>
        <n v="23125.8970336174"/>
        <n v="23299.7869403128"/>
        <n v="23311.3286927313"/>
        <n v="23336.0527183677"/>
        <n v="23482.2593978013"/>
        <n v="23497.9915586718"/>
        <n v="23516.2747016847"/>
        <n v="23519.7555296487"/>
        <n v="23537.1630891817"/>
        <n v="23766.7475761746"/>
        <n v="24079.5208576"/>
        <n v="24146.0189825753"/>
        <n v="24149.0147574006"/>
        <n v="24156.7977195719"/>
        <n v="24214.8946662948"/>
        <n v="24249.366875293"/>
        <n v="24309.2186868686"/>
        <n v="24326.9164964107"/>
        <n v="24406.26375"/>
        <n v="24457.8645484989"/>
        <n v="24472.0968578572"/>
        <n v="24493.5925103349"/>
        <n v="24521.7826099123"/>
        <n v="24544.681553915"/>
        <n v="24645.9644512816"/>
        <n v="24686.1494179604"/>
        <n v="24697.1885480303"/>
        <n v="24739.7410854596"/>
        <n v="24789.2977166613"/>
        <n v="24866.6665616272"/>
        <n v="25003.2313215474"/>
        <n v="25023.7254504494"/>
        <n v="25118.4094499775"/>
        <n v="25118.8390412181"/>
        <n v="25119.9002562811"/>
        <n v="25171.6624357817"/>
        <n v="25264.4842355146"/>
        <n v="25386.27427535"/>
        <n v="25417.1403109365"/>
        <n v="25485.1818320916"/>
        <n v="25495.0895543571"/>
        <n v="25536.1494075327"/>
        <n v="25590.0095182222"/>
        <n v="25596.0439239999"/>
        <n v="25645.5941462498"/>
        <n v="25648.3053534057"/>
        <n v="25720.3773686187"/>
        <n v="25915.7207845696"/>
        <n v="25985.7279824993"/>
        <n v="25988.4476173469"/>
        <n v="25992.8743656519"/>
        <n v="26046.7354857576"/>
        <n v="26068.0479384615"/>
        <n v="26085.9854645835"/>
        <n v="26117.722197875"/>
        <n v="26207.6831020205"/>
        <n v="26369.6288302556"/>
        <n v="26563.9032704446"/>
        <n v="26594.492331475"/>
        <n v="26652.4037167761"/>
        <n v="26655.5178199748"/>
        <n v="26683.4049499994"/>
        <n v="26695.8971906969"/>
        <n v="26735.7230894844"/>
        <n v="26770.1221832606"/>
        <n v="26770.2954468737"/>
        <n v="26835.2792782829"/>
        <n v="26844.5235686184"/>
        <n v="26969.2367975903"/>
        <n v="27015.969176925"/>
        <n v="27017.307148214"/>
        <n v="27020.2724748919"/>
        <n v="27093.801550175"/>
        <n v="27230.7265999051"/>
        <n v="27245.6065618953"/>
        <n v="27312.8270291626"/>
        <n v="27386.5328597496"/>
        <n v="27387.6410842486"/>
        <n v="27464.7657077363"/>
        <n v="27477.3370621021"/>
        <n v="27498.5017507967"/>
        <n v="27534.6990019421"/>
        <n v="27560.0589425411"/>
        <n v="27633.2658688819"/>
        <n v="27662.7057895894"/>
        <n v="27716.1430817884"/>
        <n v="27744.368253065"/>
        <n v="27756.5115935561"/>
        <n v="27820.1010563793"/>
        <n v="27898.8132133764"/>
        <n v="27953.700769497"/>
        <n v="27980.7028250993"/>
        <n v="28017.9224250849"/>
        <n v="28025.3055180368"/>
        <n v="28033.3065987732"/>
        <n v="28146.3581098694"/>
        <n v="28168.331946995"/>
        <n v="28195.2693469788"/>
        <n v="28331.7226705529"/>
        <n v="28391.9311490377"/>
        <n v="28423.6158821884"/>
        <n v="28468.220604"/>
        <n v="28471.5723644143"/>
        <n v="28544.9113537943"/>
        <n v="28574.9977150673"/>
        <n v="28741.329081719"/>
        <n v="28813.4899223191"/>
        <n v="28840.1987400228"/>
        <n v="28869.8374966227"/>
        <n v="28885.7527326965"/>
        <n v="28892.3855341818"/>
        <n v="28930.264164815"/>
        <n v="28960.0010501221"/>
        <n v="28964.4529017307"/>
        <n v="28979.8805409439"/>
        <n v="29011.2956031465"/>
        <n v="29060.4029034543"/>
        <n v="29066.3358225492"/>
        <n v="29191.3080177299"/>
        <n v="29204.928870352"/>
        <n v="29226.6824768656"/>
        <n v="29372.4525106126"/>
        <n v="29405.5744702501"/>
        <n v="29500.3341708543"/>
        <n v="29537.3658435178"/>
        <n v="29613.7331346429"/>
        <n v="29818.2618194344"/>
        <n v="29862.9848774765"/>
        <n v="30051.0440141735"/>
        <n v="30108.909394653"/>
        <n v="30150.4266789796"/>
        <n v="30185.6475059748"/>
        <n v="30212.2063908161"/>
        <n v="30304.4055515752"/>
        <n v="30313.3393158826"/>
        <n v="30317.7851660588"/>
        <n v="30388.6573131509"/>
        <n v="30509.7087847678"/>
        <n v="30622.9403232468"/>
        <n v="30651.5875329233"/>
        <n v="30674.9052326579"/>
        <n v="30743.5871907171"/>
        <n v="30817.0798335187"/>
        <n v="30900.6772085779"/>
        <n v="30946.3164002062"/>
        <n v="31039.415899774"/>
        <n v="31075.5723434211"/>
        <n v="31083.5691258664"/>
        <n v="31137.2855432081"/>
        <n v="31181.9437015798"/>
        <n v="31227.2807724535"/>
        <n v="31238.5241919408"/>
        <n v="31425.5443919515"/>
        <n v="31437.7722441797"/>
        <n v="31558.564231867"/>
        <n v="31638.117131799"/>
        <n v="31652.9150772885"/>
        <n v="31705.755315"/>
        <n v="31770.8507808168"/>
        <n v="31782.5407174637"/>
        <n v="31806.9837206644"/>
        <n v="31818.0639049138"/>
        <n v="31947.657266"/>
        <n v="31981.4617217952"/>
        <n v="31988.7881810782"/>
        <n v="32021.0221639188"/>
        <n v="32029.2456512417"/>
        <n v="32036.5121139282"/>
        <n v="32082.7373894409"/>
        <n v="32277.3781904924"/>
        <n v="32459.4458921869"/>
        <n v="32509.0816785356"/>
        <n v="32549.7423473456"/>
        <n v="32692.8689166603"/>
        <n v="32785.0247143519"/>
        <n v="32815.433624953"/>
        <n v="32829.564481734"/>
        <n v="32834.9505479387"/>
        <n v="32891.8684609245"/>
        <n v="33050.7921233261"/>
        <n v="33114.645"/>
        <n v="33172.8377756111"/>
        <n v="33182.0663011248"/>
        <n v="33197.976581191"/>
        <n v="33199.527818053"/>
        <n v="33576.7335980825"/>
        <n v="33616.0000492386"/>
        <n v="33624.2261197968"/>
        <n v="33640.3730163932"/>
        <n v="33660.9049139999"/>
        <n v="33669.7321767195"/>
        <n v="33701.0242325"/>
        <n v="33738.0419457819"/>
        <n v="33800.445051906"/>
        <n v="33815.5985444543"/>
        <n v="33888.2086884186"/>
        <n v="33928.4670244395"/>
        <n v="33932.187399438"/>
        <n v="33957.1675278108"/>
        <n v="34124.3291714699"/>
        <n v="34143.0598227888"/>
        <n v="34215.1890819796"/>
        <n v="34387.7089012927"/>
        <n v="34436.5426350686"/>
        <n v="34503.3708542715"/>
        <n v="34538.9651990727"/>
        <n v="34678.125"/>
        <n v="34745.8308424188"/>
        <n v="34970.8616519074"/>
        <n v="35033.8902676149"/>
        <n v="35193.2201181882"/>
        <n v="35200.5080350639"/>
        <n v="35267.7771284"/>
        <n v="35423.9269499788"/>
        <n v="35445.9420759666"/>
        <n v="35533.6366393714"/>
        <n v="35555.2897684035"/>
        <n v="35559.3335406388"/>
        <n v="35633.4087465098"/>
        <n v="35679.127417728"/>
        <n v="35727.6093576539"/>
        <n v="35785.2827496192"/>
        <n v="35901.2816368906"/>
        <n v="35901.9123501304"/>
        <n v="35916.6438959548"/>
        <n v="36070.1668415515"/>
        <n v="36212.6559265427"/>
        <n v="36424.5006504072"/>
        <n v="36436.0805641105"/>
        <n v="36508.162121274"/>
        <n v="36521.53035066"/>
        <n v="36570.2611551021"/>
        <n v="36767.1271948347"/>
        <n v="36907.3137180266"/>
        <n v="36955.6618234225"/>
        <n v="37067.846566944"/>
        <n v="37276.5597617089"/>
        <n v="37294.7640953863"/>
        <n v="37310.6042671602"/>
        <n v="37400.1315340304"/>
        <n v="37464.8261600045"/>
        <n v="37466.2287988813"/>
        <n v="37487.3783002118"/>
        <n v="37494.6144444444"/>
        <n v="37591.9371895069"/>
        <n v="37609.847620333"/>
        <n v="37681.0555968001"/>
        <n v="37906.9653525"/>
        <n v="37963.7442706689"/>
        <n v="37986.4585825858"/>
        <n v="38082.9433721066"/>
        <n v="38084.6677353947"/>
        <n v="38166.24"/>
        <n v="38467.0710189832"/>
        <n v="38479.4587677358"/>
        <n v="38516.8444802207"/>
        <n v="38554.1908904383"/>
        <n v="38571.7193877551"/>
        <n v="38692.4478916479"/>
        <n v="38707.8608287178"/>
        <n v="38796.2855999668"/>
        <n v="38816.8164179638"/>
        <n v="38974.419046096"/>
        <n v="39034.1707777459"/>
        <n v="39041.4094198123"/>
        <n v="39148.876567998"/>
        <n v="39231.4629543912"/>
        <n v="39263.0578059441"/>
        <n v="39367.9061611631"/>
        <n v="39470.8859829878"/>
        <n v="39567.495556202"/>
        <n v="39613.1329285828"/>
        <n v="39747.7487020408"/>
        <n v="39771.3297960002"/>
        <n v="39812.0342179402"/>
        <n v="39824.8503346079"/>
        <n v="39858.1348275779"/>
        <n v="39910.3933431818"/>
        <n v="39927.5995021428"/>
        <n v="39936.9046508158"/>
        <n v="39981.3460407278"/>
        <n v="40002.3351841414"/>
        <n v="40031.8588"/>
        <n v="40158.5655960002"/>
        <n v="40306.7196709745"/>
        <n v="40313.914643388"/>
        <n v="40339.2946338383"/>
        <n v="40370.7626315789"/>
        <n v="40409.3266085657"/>
        <n v="40449.1236964829"/>
        <n v="40575.9116506099"/>
        <n v="40579.9253747727"/>
        <n v="40694.9642544415"/>
        <n v="40720.4192146684"/>
        <n v="40721.7340036363"/>
        <n v="40818.0007511637"/>
        <n v="40943.4217152551"/>
        <n v="41148.8142542779"/>
        <n v="41183.3895314887"/>
        <n v="41268.3267044867"/>
        <n v="41280.438141755"/>
        <n v="41301.6824980352"/>
        <n v="41413.2812441248"/>
        <n v="41436.9164906102"/>
        <n v="41489.7873599243"/>
        <n v="41578.1713642857"/>
        <n v="41623.8925605307"/>
        <n v="41627.0739262479"/>
        <n v="41654.4845502412"/>
        <n v="41675.7435443737"/>
        <n v="41842.7157767639"/>
        <n v="41867.4253519465"/>
        <n v="41874.7281542421"/>
        <n v="41993.1559965875"/>
        <n v="42113.0791181114"/>
        <n v="42273.2209416655"/>
        <n v="42286.5932688132"/>
        <n v="42291.5074812319"/>
        <n v="42483.5388371156"/>
        <n v="42517.5415765358"/>
        <n v="42524.9762191499"/>
        <n v="42578.6151140104"/>
        <n v="42583.8231884129"/>
        <n v="42670.2246518116"/>
        <n v="42733.3975408888"/>
        <n v="42857.5992449862"/>
        <n v="42947.0332822618"/>
        <n v="43014.0571863957"/>
        <n v="43046.7775695276"/>
        <n v="43051.5211374212"/>
        <n v="43382.3703215086"/>
        <n v="43689.2918367913"/>
        <n v="43698.4138746149"/>
        <n v="43757.41545"/>
        <n v="43836.6813546466"/>
        <n v="43906.9427567798"/>
        <n v="44078.7717833973"/>
        <n v="44113.3461116253"/>
        <n v="44188.0664598499"/>
        <n v="44231.0634451219"/>
        <n v="44293.8616762138"/>
        <n v="44328.6270847561"/>
        <n v="44393.3736209351"/>
        <n v="44502.135984818"/>
        <n v="44569.1707474787"/>
        <n v="44572.5385455579"/>
        <n v="44960.3639171837"/>
        <n v="45287.1176180703"/>
        <n v="45409.8682559548"/>
        <n v="45429.7426394368"/>
        <n v="45431.156874"/>
        <n v="45504.4934043812"/>
        <n v="45636.715058475"/>
        <n v="45673.7652050756"/>
        <n v="45827.519237789"/>
        <n v="45859.9100480469"/>
        <n v="45879.5982802351"/>
        <n v="46000.8584770612"/>
        <n v="46002.4971291819"/>
        <n v="46069.367090396"/>
        <n v="46129.3783438462"/>
        <n v="46138.842816861"/>
        <n v="46390.8456105583"/>
        <n v="46409.8030836497"/>
        <n v="46431.4831313708"/>
        <n v="46563.5766341645"/>
        <n v="46572.0257005447"/>
        <n v="46691.9100023899"/>
        <n v="46735.1737277493"/>
        <n v="46840.2004932112"/>
        <n v="46902.6018631602"/>
        <n v="46916.1746701455"/>
        <n v="46962.4015595034"/>
        <n v="47035.825698893"/>
        <n v="47056.2991453024"/>
        <n v="47142.300473292"/>
        <n v="47160.5885512964"/>
        <n v="47190.7862128051"/>
        <n v="47428.0063829758"/>
        <n v="47436.1676596017"/>
        <n v="47468.1676369257"/>
        <n v="47475.7534097958"/>
        <n v="47608.7978137205"/>
        <n v="47716.8570496502"/>
        <n v="47790.0556044476"/>
        <n v="47804.7741536292"/>
        <n v="47848.4693117186"/>
        <n v="47850.4190994866"/>
        <n v="47981.5520409857"/>
        <n v="47983.8700099745"/>
        <n v="47994.1282757813"/>
        <n v="48052.7502411568"/>
        <n v="48227.1359506535"/>
        <n v="48294.7420765217"/>
        <n v="48309.3193577254"/>
        <n v="48607.9392386316"/>
        <n v="48619.0540950377"/>
        <n v="48713.884250371"/>
        <n v="48898.4021351546"/>
        <n v="48913.0115856789"/>
        <n v="49065.7441949745"/>
        <n v="49217.4805337185"/>
        <n v="49383.685454852"/>
        <n v="49422.0764351761"/>
        <n v="49441.0224"/>
        <n v="49541.6362258532"/>
        <n v="49558.7564711055"/>
        <n v="49585.3349975018"/>
        <n v="49600.9524556422"/>
        <n v="49676.1748643479"/>
        <n v="49696.0999606708"/>
        <n v="49911.3682444619"/>
        <n v="49936.6150010833"/>
        <n v="49975.142897785"/>
        <n v="50007.7027078199"/>
        <n v="50020.8199174812"/>
        <n v="50073.726789102"/>
        <n v="50197.5026892598"/>
        <n v="50609.0743140928"/>
        <n v="50745.4528277637"/>
        <n v="51238.1232757818"/>
        <n v="51351.5037964422"/>
        <n v="51360.7646439501"/>
        <n v="51603.7974622939"/>
        <n v="51639.7325886831"/>
        <n v="51644.6925863502"/>
        <n v="51689.5338837628"/>
        <n v="51805.5418435183"/>
        <n v="52135.7618761804"/>
        <n v="52387.2348836737"/>
        <n v="52568.8210857858"/>
        <n v="52587.3693911945"/>
        <n v="52600.0861521972"/>
        <n v="52611.9889399999"/>
        <n v="52746.0599861842"/>
        <n v="52844.5154746581"/>
        <n v="52929.3751776824"/>
        <n v="53137.4153969873"/>
        <n v="53304.0330863602"/>
        <n v="53338.8505778365"/>
        <n v="53413.0047582867"/>
        <n v="53460.4748304599"/>
        <n v="53479.0912582912"/>
        <n v="53524.8011541377"/>
        <n v="53619.6140099178"/>
        <n v="53717.1955202289"/>
        <n v="53750.4273104017"/>
        <n v="53886.631626334"/>
        <n v="53925.1647606298"/>
        <n v="54042.1079185998"/>
        <n v="54043.7613179545"/>
        <n v="54068.8106084472"/>
        <n v="54091.8520330668"/>
        <n v="54198.0649386735"/>
        <n v="54348.3627997407"/>
        <n v="54431.2435516243"/>
        <n v="54453.3854938776"/>
        <n v="54600.7230956169"/>
        <n v="54691.5118340822"/>
        <n v="54717.1023715909"/>
        <n v="54781.953133093"/>
        <n v="54824.3998228806"/>
        <n v="55007.9328330179"/>
        <n v="55207.744920525"/>
        <n v="55367.6673824922"/>
        <n v="55369.0854315916"/>
        <n v="55372.9982947574"/>
        <n v="55380.2816159999"/>
        <n v="55430.8076991286"/>
        <n v="55497.6164018223"/>
        <n v="55510.855020225"/>
        <n v="55572.5665116533"/>
        <n v="55585.7383117959"/>
        <n v="55606.8434712047"/>
        <n v="55639.0394076212"/>
        <n v="55661.8011450157"/>
        <n v="55783.3000924125"/>
        <n v="55803.0180369222"/>
        <n v="56020.4799590876"/>
        <n v="56258.7379329545"/>
        <n v="56413.521707011"/>
        <n v="56482.2825472955"/>
        <n v="56499.1872373287"/>
        <n v="56572.9386506745"/>
        <n v="56574.0900916085"/>
        <n v="56579.5160014664"/>
        <n v="56645.8630857071"/>
        <n v="56659.0247065725"/>
        <n v="56833.7242140108"/>
        <n v="57099.7567583272"/>
        <n v="57165.8343986196"/>
        <n v="57434.2231396144"/>
        <n v="57443.3889812227"/>
        <n v="57455.5217915998"/>
        <n v="57496.3370498699"/>
        <n v="57616.0454795163"/>
        <n v="57648.0394285715"/>
        <n v="57712.6395733333"/>
        <n v="58002.1598693465"/>
        <n v="58101.4808028222"/>
        <n v="58171.3179484888"/>
        <n v="58186.287318411"/>
        <n v="58238.7606972756"/>
        <n v="58370.021908449"/>
        <n v="58523.7911043974"/>
        <n v="58545.3925004958"/>
        <n v="58615.0685313018"/>
        <n v="58725.6641334857"/>
        <n v="58734.1393465548"/>
        <n v="59176.5285218565"/>
        <n v="59296.3504750177"/>
        <n v="59316.2447778404"/>
        <n v="59322.4789362241"/>
        <n v="59456.4820767468"/>
        <n v="59505.1930253062"/>
        <n v="59609.616289349"/>
        <n v="59803.8587937576"/>
        <n v="59890.2017846919"/>
        <n v="59945.5024789208"/>
        <n v="59957.78089701"/>
        <n v="59988.7737226"/>
        <n v="60047.8662068971"/>
        <n v="60070.9309767271"/>
        <n v="60424.2039623057"/>
        <n v="60517.5307206649"/>
        <n v="60524.230556842"/>
        <n v="60564.7663044322"/>
        <n v="60643.8430324414"/>
        <n v="60719.4724979927"/>
        <n v="61003.4898655882"/>
        <n v="61075.0255110339"/>
        <n v="61219.7879376492"/>
        <n v="61220.2798726065"/>
        <n v="61347.4874887489"/>
        <n v="61425.5072600497"/>
        <n v="61474.5742163771"/>
        <n v="61533.1252219722"/>
        <n v="61574.6367973105"/>
        <n v="61647.9551411041"/>
        <n v="61662.2702543184"/>
        <n v="61904.3350111453"/>
        <n v="61953.8641149239"/>
        <n v="62147.4116525"/>
        <n v="62342.3730492325"/>
        <n v="62485.2414070915"/>
        <n v="62511.6705514443"/>
        <n v="62526.5066490539"/>
        <n v="62551.2421258036"/>
        <n v="62560.1057300409"/>
        <n v="62653.6738136047"/>
        <n v="62931.6322763751"/>
        <n v="62990.9581988726"/>
        <n v="63115.2471548757"/>
        <n v="63218.16366813"/>
        <n v="63403.772057051"/>
        <n v="63453.01873934"/>
        <n v="63566.1275386929"/>
        <n v="63630.0639946485"/>
        <n v="63775.7646219065"/>
        <n v="63818.2519544944"/>
        <n v="63835.0046781486"/>
        <n v="63913.6389862469"/>
        <n v="63988.2485277253"/>
        <n v="64216.4164602797"/>
        <n v="64418.2754991069"/>
        <n v="64441.0595799777"/>
        <n v="64647.6734469191"/>
        <n v="64652.7675212502"/>
        <n v="64716.9160147685"/>
        <n v="64858.4492243519"/>
        <n v="64905.0846007734"/>
        <n v="65024.296709728"/>
        <n v="65118.9325518342"/>
        <n v="65299.3810555557"/>
        <n v="65407.6691323406"/>
        <n v="65423.5748126531"/>
        <n v="65471.4254774736"/>
        <n v="65508.389821839"/>
        <n v="65534.0905275743"/>
        <n v="65551.0958464286"/>
        <n v="65697.7625033605"/>
        <n v="65811.7990692432"/>
        <n v="65996.1322944079"/>
        <n v="65997.5920172066"/>
        <n v="66235.8658781186"/>
        <n v="66244.9525926626"/>
        <n v="66486.8940213844"/>
        <n v="66573.8130771833"/>
        <n v="66702.1216911507"/>
        <n v="66705.592715353"/>
        <n v="66792.0575327977"/>
        <n v="66851.408853137"/>
        <n v="66893.6363434743"/>
        <n v="66906.9927091193"/>
        <n v="66912.2539756817"/>
        <n v="67038.1539330066"/>
        <n v="67316.9379420825"/>
        <n v="67450.8365380359"/>
        <n v="67677.3045952163"/>
        <n v="67718.7456050931"/>
        <n v="67729.35440925"/>
        <n v="67790.9288436694"/>
        <n v="67808.5074033631"/>
        <n v="67911.7200686212"/>
        <n v="67941.743549599"/>
        <n v="67996.343357598"/>
        <n v="68284.2465089817"/>
        <n v="68345.4426997639"/>
        <n v="68521.0970946423"/>
        <n v="68713.6221219596"/>
        <n v="68743.7004066747"/>
        <n v="68795.6481165244"/>
        <n v="68825.857510141"/>
        <n v="68852.4418544228"/>
        <n v="68947.742534069"/>
        <n v="68979.779810504"/>
        <n v="69141.802216337"/>
        <n v="69144.0788835077"/>
        <n v="69177.5341349851"/>
        <n v="69401.3567581969"/>
        <n v="69654.2272717499"/>
        <n v="69746.5149595685"/>
        <n v="69796.4803822697"/>
        <n v="69828.9294432867"/>
        <n v="69861.7395979996"/>
        <n v="69875.1113859647"/>
        <n v="69919.0353990008"/>
        <n v="69982.1475642423"/>
        <n v="70002.9259911167"/>
        <n v="70061.4761857036"/>
        <n v="70154.8415865754"/>
        <n v="70227.7831789051"/>
        <n v="70373.3574020195"/>
        <n v="70388.9595031856"/>
        <n v="70416.6423981682"/>
        <n v="70495.6501434407"/>
        <n v="70795.306845"/>
        <n v="70874.1748158002"/>
        <n v="70936.6666135607"/>
        <n v="70952.0879025"/>
        <n v="71170.4831367113"/>
        <n v="71258.3349524255"/>
        <n v="71339.4548287799"/>
        <n v="71408.5204380418"/>
        <n v="71461.5058229204"/>
        <n v="71510.7159030304"/>
        <n v="71747.651280062"/>
        <n v="71992.3342222503"/>
        <n v="72020.558187614"/>
        <n v="72055.9644004934"/>
        <n v="72208.1249777436"/>
        <n v="72217.7512164819"/>
        <n v="72312.4203214719"/>
        <n v="72373.9230897664"/>
        <n v="72433.5566538854"/>
        <n v="72491.8791777666"/>
        <n v="72660.9331800001"/>
        <n v="72969.7320616637"/>
        <n v="73010.8385181468"/>
        <n v="73159.3461198691"/>
        <n v="73904.9589392027"/>
        <n v="74116.9879097188"/>
        <n v="74203.3474948979"/>
        <n v="74275.0126611551"/>
        <n v="74292.2482590877"/>
        <n v="74296.6228862568"/>
        <n v="74453.6908449781"/>
        <n v="74499.9199967065"/>
        <n v="74646.638348335"/>
        <n v="74816.0093750502"/>
        <n v="74836.1693993903"/>
        <n v="74860.5888187731"/>
        <n v="74874.983448601"/>
        <n v="74884.8590711173"/>
        <n v="75049.7177441482"/>
        <n v="75216.9537285995"/>
        <n v="75233.2817916601"/>
        <n v="75256.295989241"/>
        <n v="75312.4125749999"/>
        <n v="75566.0796044016"/>
        <n v="75661.3397809467"/>
        <n v="75754.4109499345"/>
        <n v="75810.504968606"/>
        <n v="75879.7764031364"/>
        <n v="75911.0175467998"/>
        <n v="76004.716712475"/>
        <n v="76005.1540032059"/>
        <n v="76195.4059082669"/>
        <n v="76310.953810125"/>
        <n v="76379.0612260261"/>
        <n v="76410.4503904999"/>
        <n v="76436.3183305993"/>
        <n v="76473.3251558557"/>
        <n v="76752.8592191517"/>
        <n v="76802.9733481889"/>
        <n v="77071.1665363233"/>
        <n v="77217.9880785206"/>
        <n v="77301.7615483224"/>
        <n v="77481.8361044999"/>
        <n v="77627.0440230406"/>
        <n v="77814.2413678349"/>
        <n v="78044.5806630477"/>
        <n v="78056.9067130538"/>
        <n v="78060.114108869"/>
        <n v="78264.0301927834"/>
        <n v="78270.2340953029"/>
        <n v="78285.9191148995"/>
        <n v="78351.2024815165"/>
        <n v="78416.4736865712"/>
        <n v="78555.2862686748"/>
        <n v="78685.8492814005"/>
        <n v="79008.4998535353"/>
        <n v="79199.4038217755"/>
        <n v="79295.6278304639"/>
        <n v="79306.9877141246"/>
        <n v="79539.6606469638"/>
        <n v="79677.648367629"/>
        <n v="79681.3550916249"/>
        <n v="79813.5905931389"/>
        <n v="79867.8210040933"/>
        <n v="80019.7725821535"/>
        <n v="80217.8451007415"/>
        <n v="80257.5232348471"/>
        <n v="80377.5476460005"/>
        <n v="80419.8436785555"/>
        <n v="80600.1679228344"/>
        <n v="80631.8142868677"/>
        <n v="80681.5119147869"/>
        <n v="80741.3750408998"/>
        <n v="80745.9087573549"/>
        <n v="80823.2780302631"/>
        <n v="80975.2864324997"/>
        <n v="81057.7007680704"/>
        <n v="81162.9459327588"/>
        <n v="81348.4686572653"/>
        <n v="81374.718072395"/>
        <n v="81690.6817689649"/>
        <n v="81714.7990155648"/>
        <n v="81821.2880684022"/>
        <n v="81946.5783719721"/>
        <n v="82163.7143299117"/>
        <n v="82167.4047821031"/>
        <n v="82490.7149628186"/>
        <n v="82634.4325281981"/>
        <n v="82637.1971095562"/>
        <n v="82730.6914428064"/>
        <n v="82739.1255881033"/>
        <n v="82897.1367669113"/>
        <n v="83053.3772974365"/>
        <n v="83187.7946364518"/>
        <n v="83387.1670972369"/>
        <n v="83580.1939441197"/>
        <n v="83805.7554285608"/>
        <n v="83912.6843937499"/>
        <n v="84030.1391229847"/>
        <n v="84108.3277387878"/>
        <n v="84308.8738413266"/>
        <n v="84421.7817907675"/>
        <n v="84574.7617094883"/>
        <n v="84902.7614848878"/>
        <n v="84937.190314717"/>
        <n v="85007.1918373256"/>
        <n v="85078.0559366987"/>
        <n v="85495.9612730841"/>
        <n v="85504.8285779839"/>
        <n v="85996.6306074318"/>
        <n v="86165.594292142"/>
        <n v="86264.9105512671"/>
        <n v="86269.3536521248"/>
        <n v="86330.3300555556"/>
        <n v="86332.5849491813"/>
        <n v="86385.8508621195"/>
        <n v="86621.1193568991"/>
        <n v="86872.8262109882"/>
        <n v="86907.7043186026"/>
        <n v="86958.1867719998"/>
        <n v="87011.2649856489"/>
        <n v="87023.8032617091"/>
        <n v="87134.5405164373"/>
        <n v="87309.061856583"/>
        <n v="87334.5985519369"/>
        <n v="87549.0642494577"/>
        <n v="87721.1919218054"/>
        <n v="87822.2595400771"/>
        <n v="87918.4197696938"/>
        <n v="88210.5528991579"/>
        <n v="88244.9064876364"/>
        <n v="88248.4007375354"/>
        <n v="88264.22544"/>
        <n v="88279.411589975"/>
        <n v="88293.5526621543"/>
        <n v="88385.3790362377"/>
        <n v="88640.11089013"/>
        <n v="88653.3016715355"/>
        <n v="88866.6444910199"/>
        <n v="88885.8143762248"/>
        <n v="88899.35175"/>
        <n v="88924.4633681249"/>
        <n v="89132.4473442718"/>
        <n v="89204.7257397396"/>
        <n v="89381.9295011431"/>
        <n v="89392.725779291"/>
        <n v="89881.8551315066"/>
        <n v="89976.3465346903"/>
        <n v="90054.6921743194"/>
        <n v="90106.3516553829"/>
        <n v="90141.8806669945"/>
        <n v="90177.5987765309"/>
        <n v="90233.7925414877"/>
        <n v="90285.4605086122"/>
        <n v="90375.5577114613"/>
        <n v="90732.8114353569"/>
        <n v="90816.1360361136"/>
        <n v="90858.0400328868"/>
        <n v="90978.8803780604"/>
        <n v="91060.7613492525"/>
        <n v="91197.1943534258"/>
        <n v="91234.8865944166"/>
        <n v="91366.7671021706"/>
        <n v="91388.3608927499"/>
        <n v="91478.7019345362"/>
        <n v="91636.3334742929"/>
        <n v="91714.1321527042"/>
        <n v="91750.0588137424"/>
        <n v="91801.7800178786"/>
        <n v="92239.2674665156"/>
        <n v="92329.1648289165"/>
        <n v="92336.5268031789"/>
        <n v="92355.3192872715"/>
        <n v="92386.0338669192"/>
        <n v="92606.6771419438"/>
        <n v="92709.3097159089"/>
        <n v="93280.5267889032"/>
        <n v="93517.7807749676"/>
        <n v="93600.9432600642"/>
        <n v="93604.7190024655"/>
        <n v="94169.7860707783"/>
        <n v="94475.8798696541"/>
        <n v="94758.7273842648"/>
        <n v="94768.2623118002"/>
        <n v="94788.8681051374"/>
        <n v="94978.3562719579"/>
        <n v="94988.8696541581"/>
        <n v="95044.6848440096"/>
        <n v="95059.6518398811"/>
        <n v="95327.1485621431"/>
        <n v="95371.9108747412"/>
        <n v="95624.9485619997"/>
        <n v="95707.3043910271"/>
        <n v="95727.1276854062"/>
        <n v="95894.5455151054"/>
        <n v="96400.7651059364"/>
        <n v="96538.9107670588"/>
        <n v="96583.4196460191"/>
        <n v="96610.0582943187"/>
        <n v="96628.9263728"/>
        <n v="96899.1169808822"/>
        <n v="96984.0117820847"/>
        <n v="97030.1743369765"/>
        <n v="97114.7638169578"/>
        <n v="97281.699672115"/>
        <n v="97292.3252128082"/>
        <n v="97294.3917935568"/>
        <n v="97349.4289208796"/>
        <n v="97551.4578236675"/>
        <n v="97714.8468503166"/>
        <n v="97717.152577234"/>
        <n v="98294.9198224368"/>
        <n v="98625.5327908769"/>
        <n v="98737.4121153766"/>
        <n v="99159.1262162119"/>
        <n v="99321.0067799999"/>
        <n v="99682.4094804968"/>
        <n v="99738.2283421183"/>
        <n v="99839.0741162212"/>
        <n v="99968.5568920408"/>
        <n v="100078.297403544"/>
        <n v="100092.083390598"/>
        <n v="100222.802978485"/>
        <n v="100344.497667041"/>
        <n v="100355.791254126"/>
        <n v="100439.475109671"/>
        <n v="100972.820789135"/>
        <n v="101088.315722846"/>
        <n v="101094.964672307"/>
        <n v="101396.41556355"/>
        <n v="101573.059872589"/>
        <n v="101585.820183855"/>
        <n v="101687.130900683"/>
        <n v="101689.894725253"/>
        <n v="101701.535061929"/>
        <n v="101819.838284871"/>
        <n v="101960.826872727"/>
        <n v="101985.763108408"/>
        <n v="102059.398649123"/>
        <n v="102170.282294123"/>
        <n v="102369.573151576"/>
        <n v="102445.371345931"/>
        <n v="102468.105138001"/>
        <n v="102479.838261271"/>
        <n v="102548.410504282"/>
        <n v="102571.439309379"/>
        <n v="102800.937052323"/>
        <n v="103145.469540175"/>
        <n v="103157.29917601"/>
        <n v="103174.39006875"/>
        <n v="103206.351885411"/>
        <n v="103240.179213123"/>
        <n v="103384.6220051"/>
        <n v="103592.51440759"/>
        <n v="103604.174848148"/>
        <n v="104058.047388329"/>
        <n v="104101.525556327"/>
        <n v="104103.641492754"/>
        <n v="104797.900787587"/>
        <n v="104975.212429614"/>
        <n v="105031.620333993"/>
        <n v="105115.875393763"/>
        <n v="105152.914467337"/>
        <n v="105184.81797625"/>
        <n v="105232.010759007"/>
        <n v="105238.377153535"/>
        <n v="105331.285845155"/>
        <n v="105474.98656386"/>
        <n v="105982.636960135"/>
        <n v="106158.767595942"/>
        <n v="106204.616663534"/>
        <n v="106265.597075554"/>
        <n v="106279.21395"/>
        <n v="106307.002705535"/>
        <n v="106318.748400273"/>
        <n v="106635.704094831"/>
        <n v="106636.574102443"/>
        <n v="106642.478690106"/>
        <n v="106843.157155737"/>
        <n v="106883.007216063"/>
        <n v="106886.769495757"/>
        <n v="106901.05625385"/>
        <n v="106994.3341627"/>
        <n v="107147.544038336"/>
        <n v="107214.780810891"/>
        <n v="107571.99225699"/>
        <n v="107586.543724685"/>
        <n v="107679.062540147"/>
        <n v="107957.865023157"/>
        <n v="107960.187590233"/>
        <n v="108045.103663886"/>
        <n v="108069.957701875"/>
        <n v="108085.036115353"/>
        <n v="108156.7838791"/>
        <n v="108500.981259236"/>
        <n v="108731.96114175"/>
        <n v="108746.726048312"/>
        <n v="108764.013004787"/>
        <n v="108828.817372584"/>
        <n v="109223.239709091"/>
        <n v="109396.030388529"/>
        <n v="109443.329621354"/>
        <n v="109482.30176544"/>
        <n v="109504.598190909"/>
        <n v="109593.240378922"/>
        <n v="109776.8802404"/>
        <n v="109821.24777844"/>
        <n v="109873.265419816"/>
        <n v="109885.594529467"/>
        <n v="110329.307665"/>
        <n v="110751.409691202"/>
        <n v="110921.639507981"/>
        <n v="110941.946560127"/>
        <n v="110969.274583694"/>
        <n v="111177.191996898"/>
        <n v="111608.702961263"/>
        <n v="111731.585474068"/>
        <n v="111756.425925705"/>
        <n v="111757.463110303"/>
        <n v="111791.17025851"/>
        <n v="111961.309051152"/>
        <n v="111971.483535068"/>
        <n v="111991.547163101"/>
        <n v="112121.597671447"/>
        <n v="112130.894770688"/>
        <n v="112236.205221"/>
        <n v="112297.264875218"/>
        <n v="112577.381757189"/>
        <n v="112772.056245189"/>
        <n v="113186.091414131"/>
        <n v="113248.191169653"/>
        <n v="113432.193151515"/>
        <n v="113447.461930455"/>
        <n v="113916.577694262"/>
        <n v="114009.634457878"/>
        <n v="114046.51961076"/>
        <n v="114803.056345166"/>
        <n v="114940.165113708"/>
        <n v="114952.436381579"/>
        <n v="115002.971450436"/>
        <n v="115156.292599245"/>
        <n v="115479.766519624"/>
        <n v="115710.367332651"/>
        <n v="115710.988486317"/>
        <n v="115776.151727571"/>
        <n v="115778.24967"/>
        <n v="115927.818078231"/>
        <n v="116601.950362657"/>
        <n v="116648.08173375"/>
        <n v="116837.272259922"/>
        <n v="117347.461258987"/>
        <n v="117486.096800282"/>
        <n v="117587.590798969"/>
        <n v="117664.443122016"/>
        <n v="117684.021420001"/>
        <n v="118487.992143246"/>
        <n v="118539.004903409"/>
        <n v="118872.415171905"/>
        <n v="119042.520777"/>
        <n v="119135.189336885"/>
        <n v="119147.450687136"/>
        <n v="119637.964214926"/>
        <n v="119910.279439487"/>
        <n v="120018.356441155"/>
        <n v="120302.43593836"/>
        <n v="120656.148024243"/>
        <n v="121063.618537767"/>
        <n v="121080.175998792"/>
        <n v="121083.20816313"/>
        <n v="121139.738322797"/>
        <n v="121152.512019"/>
        <n v="121189.383702565"/>
        <n v="121350.475206666"/>
        <n v="121418.563999191"/>
        <n v="121422.660659924"/>
        <n v="121615.145013909"/>
        <n v="121624.389718633"/>
        <n v="121749.657543772"/>
        <n v="121938.354231699"/>
        <n v="122007.280620771"/>
        <n v="122381.960005622"/>
        <n v="122519.435174095"/>
        <n v="122905.578326742"/>
        <n v="122952.236041845"/>
        <n v="122978.11154357"/>
        <n v="123012.716221748"/>
        <n v="123176.206234536"/>
        <n v="123321.224055034"/>
        <n v="123329.759877984"/>
        <n v="123411.207492334"/>
        <n v="123548.307413914"/>
        <n v="123553.330373495"/>
        <n v="123944.867446329"/>
        <n v="124034.184483749"/>
        <n v="124041.606523282"/>
        <n v="124069.431268775"/>
        <n v="124478.76452533"/>
        <n v="124557.574135891"/>
        <n v="124565.779537458"/>
        <n v="124591.305160863"/>
        <n v="124600.048658228"/>
        <n v="124603.26976973"/>
        <n v="124607.652840834"/>
        <n v="124628.636240144"/>
        <n v="124630.383781528"/>
        <n v="124709.281121111"/>
        <n v="124718.515883201"/>
        <n v="125035.895795515"/>
        <n v="125095.950212291"/>
        <n v="125236.408354077"/>
        <n v="125310.61855"/>
        <n v="125996.271532652"/>
        <n v="126048.070897047"/>
        <n v="126067.500468856"/>
        <n v="126368.609958011"/>
        <n v="126460.940622664"/>
        <n v="126461.167579798"/>
        <n v="126729.568815961"/>
        <n v="126812.761038214"/>
        <n v="126839.953381877"/>
        <n v="126840.275644227"/>
        <n v="127057.734977856"/>
        <n v="127099.690909071"/>
        <n v="127153.875650181"/>
        <n v="127162.025769864"/>
        <n v="127241.501260076"/>
        <n v="127289.54529474"/>
        <n v="127297.50489352"/>
        <n v="128022.897593479"/>
        <n v="128282.386702255"/>
        <n v="128355.981847804"/>
        <n v="128554.219315667"/>
        <n v="128627.26819428"/>
        <n v="128678.076365062"/>
        <n v="128782.288135502"/>
        <n v="128815.658650959"/>
        <n v="129255.629470097"/>
        <n v="129272.789353888"/>
        <n v="129421.285135714"/>
        <n v="129447.196807599"/>
        <n v="129513.528914884"/>
        <n v="129659.384719842"/>
        <n v="129711.986602349"/>
        <n v="129792.410618428"/>
        <n v="130445.186485886"/>
        <n v="130459.45307725"/>
        <n v="130668.616089"/>
        <n v="130737.108909536"/>
        <n v="131014.127498322"/>
        <n v="131190.237924141"/>
        <n v="131307.885849226"/>
        <n v="131522.954008407"/>
        <n v="132180.12805"/>
        <n v="132288.079101034"/>
        <n v="132313.652117778"/>
        <n v="132371.525276095"/>
        <n v="132504.783426205"/>
        <n v="133139.387321597"/>
        <n v="133157.96858375"/>
        <n v="133174.643720723"/>
        <n v="133452.155225466"/>
        <n v="133541.758960552"/>
        <n v="133720.857039001"/>
        <n v="133825.776751387"/>
        <n v="133961.663937142"/>
        <n v="134169.338612497"/>
        <n v="134249.947163325"/>
        <n v="134294.328788862"/>
        <n v="134684.653276923"/>
        <n v="134726.262678687"/>
        <n v="134842.873801549"/>
        <n v="135464.352227719"/>
        <n v="135640.327682681"/>
        <n v="136332.597540306"/>
        <n v="136356.535118701"/>
        <n v="136361.525095202"/>
        <n v="136394.999812499"/>
        <n v="136670.08895582"/>
        <n v="137133.992848207"/>
        <n v="137350.473059819"/>
        <n v="137534.937854135"/>
        <n v="138011.12633838"/>
        <n v="138132.856030612"/>
        <n v="138296.326115761"/>
        <n v="138374.649416528"/>
        <n v="138649.970632938"/>
        <n v="138846.502871753"/>
        <n v="139107.958059176"/>
        <n v="139304.310860441"/>
        <n v="139349.172782497"/>
        <n v="139528.379751181"/>
        <n v="139542.299989571"/>
        <n v="139608.164866322"/>
        <n v="139681.277581905"/>
        <n v="139709.277320477"/>
        <n v="139719.521969951"/>
        <n v="139882.135366265"/>
        <n v="139901.355750897"/>
        <n v="140032.758344943"/>
        <n v="140386.418238674"/>
        <n v="140508.339589958"/>
        <n v="140516.680541549"/>
        <n v="140552.565335084"/>
        <n v="140562.070541059"/>
        <n v="140797.099152406"/>
        <n v="140923.18744"/>
        <n v="141171.874578226"/>
        <n v="141450.424954566"/>
        <n v="141487.420985903"/>
        <n v="141512.489915032"/>
        <n v="141799.750468917"/>
        <n v="141848.540875771"/>
        <n v="141922.002133772"/>
        <n v="142032.175177405"/>
        <n v="142074.12825337"/>
        <n v="142337.145406942"/>
        <n v="142427.384076331"/>
        <n v="142442.413312593"/>
        <n v="142775.107398026"/>
        <n v="142929.623683896"/>
        <n v="143008.007546919"/>
        <n v="143212.659456999"/>
        <n v="143540.932761641"/>
        <n v="143665.820722545"/>
        <n v="143684.880764211"/>
        <n v="144149.789444445"/>
        <n v="144575.293527856"/>
        <n v="144597.219968436"/>
        <n v="144722.467752525"/>
        <n v="144883.579925669"/>
        <n v="145065.037922146"/>
        <n v="145175.52891755"/>
        <n v="145300.754160462"/>
        <n v="146067.579005799"/>
        <n v="146424.290971428"/>
        <n v="146472.818975089"/>
        <n v="146673.823645083"/>
        <n v="146723.234991718"/>
        <n v="146882.800267526"/>
        <n v="146955.640885615"/>
        <n v="147030.69590658"/>
        <n v="147130.037073"/>
        <n v="147131.886486691"/>
        <n v="147139.129104025"/>
        <n v="147192.220739538"/>
        <n v="147527.410740278"/>
        <n v="147592.922381818"/>
        <n v="147677.968156848"/>
        <n v="147746.157650744"/>
        <n v="147768.400553299"/>
        <n v="148012.156554156"/>
        <n v="148060.635028452"/>
        <n v="148192.484049975"/>
        <n v="148233.786636001"/>
        <n v="148308.8869845"/>
        <n v="148478.773048401"/>
        <n v="149223.510099698"/>
        <n v="149279.744324949"/>
        <n v="149321.863212313"/>
        <n v="149351.210781955"/>
        <n v="149953.090312469"/>
        <n v="150038.933008936"/>
        <n v="150239.511074151"/>
        <n v="150405.748158972"/>
        <n v="150428.23349004"/>
        <n v="150910.75773901"/>
        <n v="150942.752085256"/>
        <n v="150961.308200982"/>
        <n v="152057.020921829"/>
        <n v="152116.78965204"/>
        <n v="152247.070313246"/>
        <n v="152432.233149535"/>
        <n v="153034.887215666"/>
        <n v="153107.936833582"/>
        <n v="153388.902932415"/>
        <n v="153689.817751993"/>
        <n v="153871.7047098"/>
        <n v="154102.090395675"/>
        <n v="154152.667476473"/>
        <n v="154445.266381579"/>
        <n v="154454.347222423"/>
        <n v="154719.160300667"/>
        <n v="155101.752524753"/>
        <n v="155251.05382001"/>
        <n v="155345.706967857"/>
        <n v="155412.172374912"/>
        <n v="155741.265497654"/>
        <n v="155805.309109588"/>
        <n v="155849.623323367"/>
        <n v="156032.679155037"/>
        <n v="156160.02906"/>
        <n v="156720.345941798"/>
        <n v="156915.40153565"/>
        <n v="157226.189140564"/>
        <n v="157279.050124263"/>
        <n v="157553.287806731"/>
        <n v="157565.114135421"/>
        <n v="157691.039291955"/>
        <n v="157796.239548607"/>
        <n v="157980.697653673"/>
        <n v="158063.281069514"/>
        <n v="158104.629359796"/>
        <n v="158230.864285377"/>
        <n v="158322.894843637"/>
        <n v="158467.473108725"/>
        <n v="158586.976059343"/>
        <n v="159185.008860255"/>
        <n v="159192.833614971"/>
        <n v="159268.72863945"/>
        <n v="159309.81519897"/>
        <n v="160109.941730371"/>
        <n v="160122.711186287"/>
        <n v="160133.345585315"/>
        <n v="161044.38081797"/>
        <n v="161072.440277197"/>
        <n v="161181.59517694"/>
        <n v="161228.401810221"/>
        <n v="162398.828713179"/>
        <n v="162436.6533816"/>
        <n v="162606.290450969"/>
        <n v="162619.161774284"/>
        <n v="162780.028491454"/>
        <n v="162986.696883249"/>
        <n v="163151.60517551"/>
        <n v="163344.256015235"/>
        <n v="163361.720034261"/>
        <n v="163530.321249035"/>
        <n v="163661.883754449"/>
        <n v="164285.003498789"/>
        <n v="164326.82671016"/>
        <n v="164348.850777108"/>
        <n v="164356.003713006"/>
        <n v="164619.22310435"/>
        <n v="164814.567599003"/>
        <n v="164974.122009102"/>
        <n v="165112.500720023"/>
        <n v="165113.455050761"/>
        <n v="165200.986426269"/>
        <n v="165206.409766397"/>
        <n v="165586.879177778"/>
        <n v="166057.433532583"/>
        <n v="166202.838417411"/>
        <n v="166221.421457351"/>
        <n v="166358.557626015"/>
        <n v="166525.2411264"/>
        <n v="166589.601052198"/>
        <n v="166672.14344688"/>
        <n v="166692.654785457"/>
        <n v="166983.26988196"/>
        <n v="167061.999179821"/>
        <n v="167070.487869973"/>
        <n v="167227.762800339"/>
        <n v="167314.479633803"/>
        <n v="167317.57179354"/>
        <n v="167441.543688125"/>
        <n v="167511.442461032"/>
        <n v="167705.377882743"/>
        <n v="167769.99690018"/>
        <n v="167802.221848405"/>
        <n v="167925.866121717"/>
        <n v="168456.627557902"/>
        <n v="168855.922752985"/>
        <n v="169278.901824786"/>
        <n v="170013.783375481"/>
        <n v="170529.281127"/>
        <n v="170606.732416326"/>
        <n v="170866.152682061"/>
        <n v="170886.324246198"/>
        <n v="171082.40184883"/>
        <n v="171321.44061162"/>
        <n v="171861.485039371"/>
        <n v="172085.228944173"/>
        <n v="172098.39432"/>
        <n v="172195.234578542"/>
        <n v="172278.656428238"/>
        <n v="172724.706365643"/>
        <n v="173132.97758855"/>
        <n v="173489.737192515"/>
        <n v="174398.12798246"/>
        <n v="174731.833952223"/>
        <n v="175106.879248056"/>
        <n v="175128.199259432"/>
        <n v="175216.149106647"/>
        <n v="175221.536857348"/>
        <n v="175293.432910517"/>
        <n v="175298.87519596"/>
        <n v="175347.337029763"/>
        <n v="175452.398389667"/>
        <n v="175764.548715787"/>
        <n v="177100.78070375"/>
        <n v="177248.42873367"/>
        <n v="177283.858966326"/>
        <n v="177307.101235624"/>
        <n v="177446.955576314"/>
        <n v="177482.218838088"/>
        <n v="177719.057190807"/>
        <n v="177797.415861824"/>
        <n v="177878.404611516"/>
        <n v="177971.648925293"/>
        <n v="178015.142124571"/>
        <n v="178096.823324733"/>
        <n v="178196.697241808"/>
        <n v="178429.975248167"/>
        <n v="178598.05485719"/>
        <n v="179134.894902857"/>
        <n v="179173.581877913"/>
        <n v="179392.255907689"/>
        <n v="179797.457616071"/>
        <n v="179852.384272275"/>
        <n v="180136.96409265"/>
        <n v="180460.143754336"/>
        <n v="180521.011451341"/>
        <n v="180873.576850545"/>
        <n v="180987.689570954"/>
        <n v="181048.614702055"/>
        <n v="181157.613710309"/>
        <n v="181719.874288793"/>
        <n v="181863.129369491"/>
        <n v="181880.348050234"/>
        <n v="182195.471911369"/>
        <n v="182912.980286871"/>
        <n v="183196.457085759"/>
        <n v="183351.694411624"/>
        <n v="183648.322485655"/>
        <n v="183801.203639471"/>
        <n v="184072.38518835"/>
        <n v="185756.506090909"/>
        <n v="186077.919888218"/>
        <n v="186932.373746763"/>
        <n v="187110.335272084"/>
        <n v="187334.250277264"/>
        <n v="187391.953850212"/>
        <n v="187405.485082524"/>
        <n v="187944.656084969"/>
        <n v="188202.509394302"/>
        <n v="188246.410655449"/>
        <n v="188253.423047475"/>
        <n v="189228.403726127"/>
        <n v="189342.997085867"/>
        <n v="189781.860996"/>
        <n v="189782.255545026"/>
        <n v="189977.61136575"/>
        <n v="190135.042945046"/>
        <n v="190306.780500946"/>
        <n v="190718.260833333"/>
        <n v="191086.981694301"/>
        <n v="191168.913068539"/>
        <n v="191317.175602116"/>
        <n v="191503.471152943"/>
        <n v="191935.677435647"/>
        <n v="192339.359212863"/>
        <n v="192405.671003098"/>
        <n v="192762.937007863"/>
        <n v="193951.8011445"/>
        <n v="194066.10358425"/>
        <n v="194078.715747862"/>
        <n v="194534.056360728"/>
        <n v="194955.092079624"/>
        <n v="195476.73385294"/>
        <n v="195731.34363415"/>
        <n v="196191.916960464"/>
        <n v="196195.24138302"/>
        <n v="196732.052589797"/>
        <n v="196934.970357"/>
        <n v="196973.587435489"/>
        <n v="197227.272375904"/>
        <n v="197569.796294354"/>
        <n v="197638.504109154"/>
        <n v="198200.528316351"/>
        <n v="198392.023854057"/>
        <n v="198392.900788124"/>
        <n v="199061.665137523"/>
        <n v="199792.973921283"/>
        <n v="199796.066265087"/>
        <n v="200817.168029956"/>
        <n v="201015.499962332"/>
        <n v="201045.756336472"/>
        <n v="201337.937478238"/>
        <n v="201429.335485061"/>
        <n v="201804.489262262"/>
        <n v="202065.837873992"/>
        <n v="202425.5308519"/>
        <n v="202688.885954453"/>
        <n v="202987.504862822"/>
        <n v="203077.200410712"/>
        <n v="203086.211444899"/>
        <n v="203683.138482"/>
        <n v="203822.812115701"/>
        <n v="203921.558839015"/>
        <n v="203990.355747664"/>
        <n v="204168.198384371"/>
        <n v="204372.817544169"/>
        <n v="204795.956811439"/>
        <n v="204971.352741503"/>
        <n v="205448.023271914"/>
        <n v="205543.966874117"/>
        <n v="205610.448894997"/>
        <n v="205643.682707294"/>
        <n v="205749.840063099"/>
        <n v="205803.613008315"/>
        <n v="205911.950280228"/>
        <n v="206050.098860233"/>
        <n v="206451.294455855"/>
        <n v="206853.061002857"/>
        <n v="207268.804324495"/>
        <n v="207275.58426996"/>
        <n v="207283.961938971"/>
        <n v="207399.914026592"/>
        <n v="208259.589705156"/>
        <n v="208281.524540071"/>
        <n v="208436.361186699"/>
        <n v="208653.256937674"/>
        <n v="209362.618373466"/>
        <n v="209389.307429099"/>
        <n v="209636.580151205"/>
        <n v="209744.634466626"/>
        <n v="210110.595203165"/>
        <n v="210258.618067662"/>
        <n v="210423.583391994"/>
        <n v="210546.988381222"/>
        <n v="210563.1955665"/>
        <n v="210600.401147076"/>
        <n v="210935.239531605"/>
        <n v="211029.262081701"/>
        <n v="211403.451583622"/>
        <n v="211879.252557007"/>
        <n v="212008.684323956"/>
        <n v="212199.200010013"/>
        <n v="212462.470800877"/>
        <n v="212750.71284971"/>
        <n v="212944.668605639"/>
        <n v="212949.453192087"/>
        <n v="213107.799925805"/>
        <n v="213547.185592747"/>
        <n v="213967.933747318"/>
        <n v="214001.819659387"/>
        <n v="214605.319778672"/>
        <n v="214991.705562688"/>
        <n v="215129.803054293"/>
        <n v="215431.553659667"/>
        <n v="215479.275342585"/>
        <n v="215511.082070707"/>
        <n v="215763.464341547"/>
        <n v="215839.466662217"/>
        <n v="215932.778745"/>
        <n v="216539.544558237"/>
        <n v="216771.660123163"/>
        <n v="216821.408472176"/>
        <n v="216934.646461256"/>
        <n v="217216.318726231"/>
        <n v="217499.7"/>
        <n v="217649.630321155"/>
        <n v="218333.769268799"/>
        <n v="218395.507138466"/>
        <n v="218590.173238409"/>
        <n v="218669.829926856"/>
        <n v="218678.853806291"/>
        <n v="219358.203648413"/>
        <n v="219442.481960204"/>
        <n v="219769.013729091"/>
        <n v="220144.249556587"/>
        <n v="220160.523482216"/>
        <n v="220563.817978226"/>
        <n v="220657.319500307"/>
        <n v="220763.935776993"/>
        <n v="220785.557392396"/>
        <n v="222096.990396354"/>
        <n v="222294.945174853"/>
        <n v="222446.336998402"/>
        <n v="222891.235455947"/>
        <n v="222920.167113421"/>
        <n v="222996.74843515"/>
        <n v="223095.321727997"/>
        <n v="223292.462787733"/>
        <n v="223708.254597666"/>
        <n v="224301.352427467"/>
        <n v="224391.765113807"/>
        <n v="224527.727280006"/>
        <n v="224912.003203104"/>
        <n v="225307.261744353"/>
        <n v="225964.79432144"/>
        <n v="226731.39553896"/>
        <n v="227282.421325759"/>
        <n v="227311.186704081"/>
        <n v="227321.546778335"/>
        <n v="227325.866967731"/>
        <n v="227771.847286808"/>
        <n v="228044.569122257"/>
        <n v="228218.139909223"/>
        <n v="229534.849668434"/>
        <n v="229548.915204373"/>
        <n v="229714.479705115"/>
        <n v="230179.836236054"/>
        <n v="230398.949775799"/>
        <n v="230528.235046689"/>
        <n v="230661.809543466"/>
        <n v="230677.709594753"/>
        <n v="230870.856522539"/>
        <n v="230893.134774051"/>
        <n v="230992.235485264"/>
        <n v="231137.421009316"/>
        <n v="231144.94900905"/>
        <n v="231334.539926615"/>
        <n v="232143.861599999"/>
        <n v="232539.633606456"/>
        <n v="232798.03662736"/>
        <n v="233448.250615715"/>
        <n v="233484.966544442"/>
        <n v="233575.824045455"/>
        <n v="233722.466098887"/>
        <n v="234103.419839783"/>
        <n v="234103.914680036"/>
        <n v="234379.55701101"/>
        <n v="234960.225328342"/>
        <n v="234964.480062924"/>
        <n v="235040.211083434"/>
        <n v="235042.194608202"/>
        <n v="235137.31471663"/>
        <n v="235163.717716667"/>
        <n v="235357.388154546"/>
        <n v="235954.813074944"/>
        <n v="236247.284541806"/>
        <n v="236316.043156129"/>
        <n v="236378.416915009"/>
        <n v="236688.500403232"/>
        <n v="236840.040857305"/>
        <n v="237517.814633514"/>
        <n v="237586.328708386"/>
        <n v="237714.455195726"/>
        <n v="237983.373404082"/>
        <n v="238639.846505203"/>
        <n v="238681.660350747"/>
        <n v="239053.05847215"/>
        <n v="239078.24515529"/>
        <n v="239107.368562794"/>
        <n v="239169.191699401"/>
        <n v="239253.758351533"/>
        <n v="239581.422795613"/>
        <n v="239863.280155299"/>
        <n v="240008.64186335"/>
        <n v="240093.04525657"/>
        <n v="240269.321963999"/>
        <n v="240672.069150032"/>
        <n v="241271.999050633"/>
        <n v="241323.355019373"/>
        <n v="241573.295689589"/>
        <n v="241653.366115939"/>
        <n v="241996.694508294"/>
        <n v="241997.905908048"/>
        <n v="242358.904039266"/>
        <n v="243203.490722525"/>
        <n v="243231.615225308"/>
        <n v="243294.180077886"/>
        <n v="243949.116949999"/>
        <n v="244057.714780179"/>
        <n v="244232.027240193"/>
        <n v="244506.60633673"/>
        <n v="244530.512593084"/>
        <n v="244548.569958703"/>
        <n v="244567.716181779"/>
        <n v="244634.068196532"/>
        <n v="245061.8947188"/>
        <n v="245201.116155406"/>
        <n v="245619.546726943"/>
        <n v="245959.118991207"/>
        <n v="246124.100752783"/>
        <n v="247021.623020558"/>
        <n v="247046.075042625"/>
        <n v="247194.355605184"/>
        <n v="247497.886831441"/>
        <n v="247561.036732464"/>
        <n v="247759.916624645"/>
        <n v="247876.773364321"/>
        <n v="248075.025814734"/>
        <n v="248089.177311568"/>
        <n v="248201.35629803"/>
        <n v="248505.261161128"/>
        <n v="248807.469938941"/>
        <n v="248907.432763199"/>
        <n v="249650.17100786"/>
        <n v="249763.9597596"/>
        <n v="250329.41086372"/>
        <n v="250457.147411816"/>
        <n v="250570.960964286"/>
        <n v="251088.392344562"/>
        <n v="251504.821899646"/>
        <n v="252027.519570909"/>
        <n v="252045.302069292"/>
        <n v="252295.804629936"/>
        <n v="252404.076068877"/>
        <n v="252532.799931591"/>
        <n v="252683.365948743"/>
        <n v="252834.943800747"/>
        <n v="253245.909647131"/>
        <n v="253272.157771439"/>
        <n v="253328.95576856"/>
        <n v="253544.677652887"/>
        <n v="253635.972750766"/>
        <n v="253828.133298267"/>
        <n v="253993.984719009"/>
        <n v="254566.749431276"/>
        <n v="254606.724078877"/>
        <n v="254799.130248614"/>
        <n v="255722.598124119"/>
        <n v="255748.870121213"/>
        <n v="255924.710016482"/>
        <n v="256395.390391411"/>
        <n v="257161.600037331"/>
        <n v="257286.029318182"/>
        <n v="257436.335254022"/>
        <n v="257500.989933916"/>
        <n v="257503.61371471"/>
        <n v="257683.476326818"/>
        <n v="258271.195251499"/>
        <n v="258853.359672873"/>
        <n v="259373.102477186"/>
        <n v="260672.832987406"/>
        <n v="261156.823999553"/>
        <n v="261382.325647677"/>
        <n v="261661.236811817"/>
        <n v="261785.144728802"/>
        <n v="262143.445737524"/>
        <n v="262243.743991801"/>
        <n v="262326.470800708"/>
        <n v="262471.223306142"/>
        <n v="262698.758258121"/>
        <n v="263039.787782782"/>
        <n v="263399.390532582"/>
        <n v="263594.480482204"/>
        <n v="263826.966702863"/>
        <n v="263848.468058118"/>
        <n v="264587.962604272"/>
        <n v="265010.883043872"/>
        <n v="265103.457922976"/>
        <n v="265168.397114562"/>
        <n v="265468.49098349"/>
        <n v="265966.073861678"/>
        <n v="266468.202545454"/>
        <n v="266579.03404029"/>
        <n v="266654.849550252"/>
        <n v="267326.699901924"/>
        <n v="269094.773210824"/>
        <n v="269202.908885638"/>
        <n v="269295.850686263"/>
        <n v="269546.198438442"/>
        <n v="269877.040834256"/>
        <n v="270135.194542453"/>
        <n v="270442.237392771"/>
        <n v="270720.154133627"/>
        <n v="270964.193987977"/>
        <n v="271044.597884034"/>
        <n v="271326.719806125"/>
        <n v="271440.675956304"/>
        <n v="271544.903248939"/>
        <n v="271809.5352035"/>
        <n v="273895.961536119"/>
        <n v="274351.942275241"/>
        <n v="274814.489438342"/>
        <n v="275205.73521444"/>
        <n v="275487.231188807"/>
        <n v="275508.015777807"/>
        <n v="275531.668227911"/>
        <n v="275547.946317031"/>
        <n v="275847.23471932"/>
        <n v="276044.41482901"/>
        <n v="276495.867339379"/>
        <n v="276566.742810717"/>
        <n v="276805.066894211"/>
        <n v="276817.105065656"/>
        <n v="277405.964108444"/>
        <n v="277427.135495484"/>
        <n v="277825.991917079"/>
        <n v="278328.536402133"/>
        <n v="278648.629031498"/>
        <n v="279027.686816841"/>
        <n v="280055.442613641"/>
        <n v="281254.130403982"/>
        <n v="281345.218375121"/>
        <n v="281637.624101008"/>
        <n v="281750.642257277"/>
        <n v="281760.011460115"/>
        <n v="283293.446410969"/>
        <n v="283558.603460895"/>
        <n v="283643.467051738"/>
        <n v="283644.351870995"/>
        <n v="284413.117337362"/>
        <n v="284546.3000944"/>
        <n v="286090.183171633"/>
        <n v="286390.920262888"/>
        <n v="287035.531524788"/>
        <n v="287474.723801576"/>
        <n v="288224.575512762"/>
        <n v="288361.646449916"/>
        <n v="288388.029392803"/>
        <n v="288820.956559821"/>
        <n v="289174.389825001"/>
        <n v="289252.130156541"/>
        <n v="289280.532585909"/>
        <n v="289558.665545838"/>
        <n v="289608.986582813"/>
        <n v="289618.04455612"/>
        <n v="289694.352121104"/>
        <n v="289823.554977782"/>
        <n v="289876.434133332"/>
        <n v="290261.434912119"/>
        <n v="290383.431422839"/>
        <n v="290404.19202546"/>
        <n v="290905.48245021"/>
        <n v="291002.905954755"/>
        <n v="291710.830103257"/>
        <n v="292023.406521873"/>
        <n v="292157.016084935"/>
        <n v="292863.646746334"/>
        <n v="293044.629368048"/>
        <n v="293204.106893357"/>
        <n v="293283.65731239"/>
        <n v="293399.069880001"/>
        <n v="293744.621210048"/>
        <n v="293778.721539877"/>
        <n v="294048.122603886"/>
        <n v="294098.25366225"/>
        <n v="295199.461326445"/>
        <n v="295885.499304504"/>
        <n v="296104.235021847"/>
        <n v="296189.338340679"/>
        <n v="296602.962768298"/>
        <n v="297773.797046963"/>
        <n v="297793.671172317"/>
        <n v="297988.519559458"/>
        <n v="298238.012840816"/>
        <n v="298300.074204284"/>
        <n v="299620.247263054"/>
        <n v="299696.206706741"/>
        <n v="300405.957552736"/>
        <n v="300586.903903999"/>
        <n v="300773.025358066"/>
        <n v="301600.451632759"/>
        <n v="302756.55605099"/>
        <n v="303115.427899789"/>
        <n v="303614.074233234"/>
        <n v="304087.917309025"/>
        <n v="304382.578807273"/>
        <n v="304590.523400354"/>
        <n v="305432.404489796"/>
        <n v="305704.843424527"/>
        <n v="306361.299762681"/>
        <n v="306754.821397876"/>
        <n v="306925.429367311"/>
        <n v="307891.77025424"/>
        <n v="307939.32964068"/>
        <n v="307941.725805689"/>
        <n v="308230.34653049"/>
        <n v="308371.122995384"/>
        <n v="308414.115804445"/>
        <n v="308432.951881288"/>
        <n v="308549.694428853"/>
        <n v="308559.242065185"/>
        <n v="308605.335456674"/>
        <n v="309613.233400635"/>
        <n v="309654.816083411"/>
        <n v="310114.169664088"/>
        <n v="310528.783178805"/>
        <n v="310860.24045106"/>
        <n v="311245.829808052"/>
        <n v="311260.378150496"/>
        <n v="311419.301559026"/>
        <n v="311898.040701473"/>
        <n v="312309.060804455"/>
        <n v="312988.069346938"/>
        <n v="313971.814213582"/>
        <n v="314402.836889716"/>
        <n v="315755.222639583"/>
        <n v="315860.512091358"/>
        <n v="316008.709984106"/>
        <n v="316088.912506454"/>
        <n v="316204.263470741"/>
        <n v="316842.684472462"/>
        <n v="316943.668488232"/>
        <n v="317156.841781726"/>
        <n v="317397.730893101"/>
        <n v="317610.390141367"/>
        <n v="317941.642254257"/>
        <n v="318438.243867853"/>
        <n v="318622.604355502"/>
        <n v="318952.417482372"/>
        <n v="318974.044243742"/>
        <n v="319096.781883493"/>
        <n v="319856.221809209"/>
        <n v="320790.273870716"/>
        <n v="321349.055083572"/>
        <n v="321811.924427588"/>
        <n v="322154.423111258"/>
        <n v="322561.602430185"/>
        <n v="322835.877811868"/>
        <n v="322969.990057705"/>
        <n v="323035.138462501"/>
        <n v="323046.5833"/>
        <n v="323065.001529895"/>
        <n v="323225.125902424"/>
        <n v="324191.366749375"/>
        <n v="324458.17605"/>
        <n v="324591.559618292"/>
        <n v="324944.972733951"/>
        <n v="325533.744583908"/>
        <n v="325767.188195853"/>
        <n v="325855.36508051"/>
        <n v="325914.75786541"/>
        <n v="326546.241679065"/>
        <n v="327323.151741768"/>
        <n v="327499.30702082"/>
        <n v="327583.555022948"/>
        <n v="328226.866920276"/>
        <n v="328452.50419938"/>
        <n v="328606.643764693"/>
        <n v="328652.813066828"/>
        <n v="329867.90683387"/>
        <n v="330491.94186075"/>
        <n v="330599.773813982"/>
        <n v="331266.546517534"/>
        <n v="332069.109670612"/>
        <n v="332420.456064526"/>
        <n v="332854.60598357"/>
        <n v="332881.275281768"/>
        <n v="333496.098272002"/>
        <n v="333519.470703884"/>
        <n v="333616.857071901"/>
        <n v="334053.206387758"/>
        <n v="334317.294068116"/>
        <n v="334669.682915838"/>
        <n v="334748.710868252"/>
        <n v="334807.222888936"/>
        <n v="336010.868206115"/>
        <n v="336482.663428383"/>
        <n v="336669.516405577"/>
        <n v="336762.365457925"/>
        <n v="336911.984110169"/>
        <n v="338020.460577873"/>
        <n v="338602.814518144"/>
        <n v="339048.938661179"/>
        <n v="339423.939051411"/>
        <n v="339815.947718575"/>
        <n v="340133.372911385"/>
        <n v="340657.337328123"/>
        <n v="341530.576503557"/>
        <n v="341650.367893023"/>
        <n v="341717.665527273"/>
        <n v="342067.813631141"/>
        <n v="342195.535641217"/>
        <n v="342259.463567113"/>
        <n v="342510.330163649"/>
        <n v="342684.114995488"/>
        <n v="342930.654556931"/>
        <n v="343118.618609661"/>
        <n v="343574.561582715"/>
        <n v="344090.533242109"/>
        <n v="345255.930043294"/>
        <n v="346220.02147014"/>
        <n v="346369.544344179"/>
        <n v="346959.928095523"/>
        <n v="347376.440530954"/>
        <n v="347802.571587838"/>
        <n v="348700.995344285"/>
        <n v="348783.364568285"/>
        <n v="349084.433068182"/>
        <n v="349325.022655777"/>
        <n v="350054.801225363"/>
        <n v="350572.812228666"/>
        <n v="351737.406192628"/>
        <n v="351848.110608095"/>
        <n v="353182.580560702"/>
        <n v="353186.708607537"/>
        <n v="353308.703825217"/>
        <n v="353319.464101889"/>
        <n v="353397.361600001"/>
        <n v="353932.006144311"/>
        <n v="354931.482922499"/>
        <n v="355145.254971296"/>
        <n v="356415.653049361"/>
        <n v="357124.690951094"/>
        <n v="357195.524219625"/>
        <n v="358051.630473715"/>
        <n v="358379.512180262"/>
        <n v="358530.968366161"/>
        <n v="358629.834579676"/>
        <n v="358797.556074483"/>
        <n v="359214.004938681"/>
        <n v="359626.853239849"/>
        <n v="359769.935238068"/>
        <n v="360179.728942504"/>
        <n v="360620.56528263"/>
        <n v="360835.412911868"/>
        <n v="361265.752578245"/>
        <n v="361340.040504503"/>
        <n v="361529.101903201"/>
        <n v="364000.28065081"/>
        <n v="364125.439448674"/>
        <n v="364411.557991522"/>
        <n v="365913.252036817"/>
        <n v="366075.31338002"/>
        <n v="366159.418911193"/>
        <n v="366274.202945475"/>
        <n v="366744.243339472"/>
        <n v="366991.529509494"/>
        <n v="367429.773333334"/>
        <n v="367788.609665671"/>
        <n v="368173.162355947"/>
        <n v="368434.152446082"/>
        <n v="369099.859576744"/>
        <n v="370871.853763596"/>
        <n v="371324.561233424"/>
        <n v="371819.304243251"/>
        <n v="372642.298209487"/>
        <n v="372944.048323175"/>
        <n v="373697.597086446"/>
        <n v="374441.105715964"/>
        <n v="374490.931459671"/>
        <n v="375670.029657535"/>
        <n v="376234.014471491"/>
        <n v="376652.442579464"/>
        <n v="377088.13312593"/>
        <n v="377259.696434589"/>
        <n v="378370.023675335"/>
        <n v="380962.617856343"/>
        <n v="381346.392334196"/>
        <n v="382046.422156566"/>
        <n v="382307.397544788"/>
        <n v="382419.046618825"/>
        <n v="382428.063943896"/>
        <n v="383122.220951423"/>
        <n v="383663.950202362"/>
        <n v="384111.170059856"/>
        <n v="384268.253139312"/>
        <n v="384691.411008736"/>
        <n v="385357.779547204"/>
        <n v="385693.216500001"/>
        <n v="387161.916462816"/>
        <n v="388144.370953553"/>
        <n v="388717.633699835"/>
        <n v="388787.979502032"/>
        <n v="389226.447662466"/>
        <n v="390801.738409089"/>
        <n v="391286.123382444"/>
        <n v="391617.530021489"/>
        <n v="392157.913128526"/>
        <n v="392567.113918827"/>
        <n v="392788.203143792"/>
        <n v="393541.416185024"/>
        <n v="393901.747564144"/>
        <n v="395229.606991854"/>
        <n v="395539.462183267"/>
        <n v="395932.192034839"/>
        <n v="396357.944365876"/>
        <n v="396372.578828285"/>
        <n v="396944.681712993"/>
        <n v="398391.1299992"/>
        <n v="399459.340165196"/>
        <n v="400243.027019664"/>
        <n v="400537.629920576"/>
        <n v="401083.614890898"/>
        <n v="401277.719191769"/>
        <n v="401459.610479385"/>
        <n v="403241.29538429"/>
        <n v="403661.609544491"/>
        <n v="403787.038675201"/>
        <n v="404292.25854081"/>
        <n v="404725.666008983"/>
        <n v="404995.261808908"/>
        <n v="406203.257994594"/>
        <n v="406285.292578919"/>
        <n v="407445.591725923"/>
        <n v="407987.454494147"/>
        <n v="408161.582135547"/>
        <n v="408682.836399236"/>
        <n v="408899.989404331"/>
        <n v="409572.717311523"/>
        <n v="409702.986333802"/>
        <n v="409800.105908775"/>
        <n v="410567.813265367"/>
        <n v="411095.151568697"/>
        <n v="412243.006931623"/>
        <n v="412410.435313506"/>
        <n v="413068.396307081"/>
        <n v="413262.905662624"/>
        <n v="413291.294493038"/>
        <n v="413827.752046591"/>
        <n v="413933.747029925"/>
        <n v="414330.618366961"/>
        <n v="414895.182736626"/>
        <n v="415855.25960105"/>
        <n v="417141.636987085"/>
        <n v="417444.769983907"/>
        <n v="417515.677951086"/>
        <n v="417670.157983043"/>
        <n v="418270.680541213"/>
        <n v="418389.171503384"/>
        <n v="419784.711771917"/>
        <n v="419843.528094373"/>
        <n v="420141.909853377"/>
        <n v="421356.251706896"/>
        <n v="422430.205331041"/>
        <n v="422523.322054168"/>
        <n v="422555.782557894"/>
        <n v="423403.80210784"/>
        <n v="424289.877283999"/>
        <n v="424857.836878772"/>
        <n v="425955.54260325"/>
        <n v="426081.687183374"/>
        <n v="426298.219996212"/>
        <n v="426830.466849436"/>
        <n v="427159.802994304"/>
        <n v="427278.362750836"/>
        <n v="427827.78826225"/>
        <n v="428248.923223437"/>
        <n v="428296.193588396"/>
        <n v="428524.647246828"/>
        <n v="428624.699761055"/>
        <n v="429522.746403341"/>
        <n v="430238.804878447"/>
        <n v="430484.567009692"/>
        <n v="430489.260154257"/>
        <n v="430690.290584833"/>
        <n v="430929.917183572"/>
        <n v="431015.973997523"/>
        <n v="431314.307312311"/>
        <n v="432011.332853999"/>
        <n v="432077.808034399"/>
        <n v="432332.366307697"/>
        <n v="433388.758191801"/>
        <n v="435532.163759"/>
        <n v="435533.998333334"/>
        <n v="435737.701082806"/>
        <n v="436128.400916738"/>
        <n v="436172.189539807"/>
        <n v="436186.150115422"/>
        <n v="436327.696833833"/>
        <n v="437568.982724999"/>
        <n v="437582.195883361"/>
        <n v="438173.374070986"/>
        <n v="438252.561960518"/>
        <n v="439082.16128905"/>
        <n v="439124.122117253"/>
        <n v="440383.83380671"/>
        <n v="440619.607821149"/>
        <n v="442210.102381707"/>
        <n v="443336.719654706"/>
        <n v="443796.840687498"/>
        <n v="444174.184169875"/>
        <n v="447461.365441833"/>
        <n v="447528.420671378"/>
        <n v="447665.548941666"/>
        <n v="447736.874899316"/>
        <n v="448708.653455784"/>
        <n v="448968.802329186"/>
        <n v="449209.293077476"/>
        <n v="449683.510836594"/>
        <n v="449697.222852138"/>
        <n v="450083.892244779"/>
        <n v="452345.771737627"/>
        <n v="452728.210135728"/>
        <n v="452949.697467213"/>
        <n v="452973.204816898"/>
        <n v="453219.710624871"/>
        <n v="453755.909345064"/>
        <n v="453967.449048693"/>
        <n v="454247.973796239"/>
        <n v="454300.649751188"/>
        <n v="454491.023418362"/>
        <n v="454821.47419335"/>
        <n v="455429.239235296"/>
        <n v="455625.433364629"/>
        <n v="456855.657031096"/>
        <n v="456965.821009253"/>
        <n v="458661.166440543"/>
        <n v="458828.312603328"/>
        <n v="459092.089958214"/>
        <n v="459845.163201499"/>
        <n v="460057.260008545"/>
        <n v="460672.147885225"/>
        <n v="461086.919066464"/>
        <n v="461767.642032784"/>
        <n v="462321.367813393"/>
        <n v="464139.60230574"/>
        <n v="464777.840340371"/>
        <n v="465017.428959504"/>
        <n v="465301.383110249"/>
        <n v="467035.96010108"/>
        <n v="468355.56974571"/>
        <n v="468356.56764336"/>
        <n v="468887.007171916"/>
        <n v="468929.05993734"/>
        <n v="469008.39204613"/>
        <n v="469230.08831098"/>
        <n v="469532.310716189"/>
        <n v="470935.424556728"/>
        <n v="471124.903203461"/>
        <n v="471362.457594827"/>
        <n v="471678.038757466"/>
        <n v="472036.147397595"/>
        <n v="473169.505743534"/>
        <n v="474016.584243148"/>
        <n v="474984.683885961"/>
        <n v="475427.787571247"/>
        <n v="475577.829772727"/>
        <n v="476010.743541139"/>
        <n v="476168.519598111"/>
        <n v="478036.775617721"/>
        <n v="478254.962791666"/>
        <n v="479149.94430255"/>
        <n v="480914.246527817"/>
        <n v="481279.566064596"/>
        <n v="481614.451132285"/>
        <n v="482071.657461594"/>
        <n v="483393.091789773"/>
        <n v="483467.454809226"/>
        <n v="484203.229813833"/>
        <n v="484327.074763995"/>
        <n v="484532.750165056"/>
        <n v="484985.511449145"/>
        <n v="484992.963915757"/>
        <n v="486079.779534258"/>
        <n v="486089.959090909"/>
        <n v="486124.028139255"/>
        <n v="486940.405588793"/>
        <n v="488478.280121111"/>
        <n v="488481.58086"/>
        <n v="488590.874652797"/>
        <n v="489045.415541278"/>
        <n v="491464.32501827"/>
        <n v="492309.161938115"/>
        <n v="493727.101071743"/>
        <n v="494692.819177396"/>
        <n v="494822.113470708"/>
        <n v="495106.2628125"/>
        <n v="495457.713326252"/>
        <n v="497041.652777714"/>
        <n v="497592.623111312"/>
        <n v="498168.533166279"/>
        <n v="499097.784314136"/>
        <n v="500595.635875072"/>
        <n v="500701.472388781"/>
        <n v="501830.846960846"/>
        <n v="502468.455930202"/>
        <n v="503206.275342324"/>
        <n v="507441.513577034"/>
        <n v="507617.107755613"/>
        <n v="507931.241956386"/>
        <n v="507960.989673269"/>
        <n v="508639.221213694"/>
        <n v="510733.314740621"/>
        <n v="511052.667765882"/>
        <n v="512139.794112007"/>
        <n v="512665.36816472"/>
        <n v="512747.065814988"/>
        <n v="513605.405839454"/>
        <n v="515150.73939394"/>
        <n v="515558.901656586"/>
        <n v="515968.083100781"/>
        <n v="517303.399719512"/>
        <n v="517567.27041852"/>
        <n v="520506.044683052"/>
        <n v="521309.456199221"/>
        <n v="522348.609387294"/>
        <n v="522753.620179665"/>
        <n v="522808.196729639"/>
        <n v="523253.166219558"/>
        <n v="523598.68289199"/>
        <n v="524886.589157452"/>
        <n v="525175.695445366"/>
        <n v="527212.31208362"/>
        <n v="527730.187436502"/>
        <n v="528330.284425638"/>
        <n v="528384.077985134"/>
        <n v="528465.594550552"/>
        <n v="528553.168416"/>
        <n v="529126.620419191"/>
        <n v="531189.541474618"/>
        <n v="531523.050657365"/>
        <n v="531678.515134575"/>
        <n v="531985.705770164"/>
        <n v="533086.671266452"/>
        <n v="534864.341043592"/>
        <n v="535338.480050503"/>
        <n v="537151.241267053"/>
        <n v="537239.764748104"/>
        <n v="538040.137227"/>
        <n v="538288.91318695"/>
        <n v="538493.746258792"/>
        <n v="538547.271625279"/>
        <n v="539187.252379607"/>
        <n v="539286.488407501"/>
        <n v="539800.636960076"/>
        <n v="540124.136120703"/>
        <n v="540228.321475054"/>
        <n v="541713.477693423"/>
        <n v="542031.222676482"/>
        <n v="543139.181621204"/>
        <n v="543887.541888975"/>
        <n v="544331.539608624"/>
        <n v="546223.173817977"/>
        <n v="547372.702717597"/>
        <n v="548880.601502225"/>
        <n v="549112.938295387"/>
        <n v="551292.698682497"/>
        <n v="551573.353385999"/>
        <n v="552292.740469838"/>
        <n v="552571.697234618"/>
        <n v="553226.516074276"/>
        <n v="553256.507241608"/>
        <n v="554073.451447757"/>
        <n v="554127.615300887"/>
        <n v="554675.17532572"/>
        <n v="554835.869999659"/>
        <n v="555362.048453183"/>
        <n v="555397.976903753"/>
        <n v="557661.183048061"/>
        <n v="558189.870953633"/>
        <n v="558395.1824268"/>
        <n v="559726.226163266"/>
        <n v="562082.21547557"/>
        <n v="562200.634221789"/>
        <n v="563878.394343597"/>
        <n v="565402.230491115"/>
        <n v="566250.3977282"/>
        <n v="566970.879254596"/>
        <n v="567323.63183537"/>
        <n v="568785.469291665"/>
        <n v="568807.75294479"/>
        <n v="568974.169358684"/>
        <n v="569922.7854037"/>
        <n v="570055.4322155"/>
        <n v="570314.789854456"/>
        <n v="572453.427481775"/>
        <n v="574632.279655417"/>
        <n v="575221.687711699"/>
        <n v="576201.358029383"/>
        <n v="576528.900215647"/>
        <n v="577147.128466973"/>
        <n v="577254.837496863"/>
        <n v="577973.162006154"/>
        <n v="578009.371299139"/>
        <n v="578018.275216227"/>
        <n v="578204.702018287"/>
        <n v="578990.481520338"/>
        <n v="579222.228895935"/>
        <n v="580994.126314"/>
        <n v="581251.304688627"/>
        <n v="581665.648821616"/>
        <n v="581733.974393274"/>
        <n v="581781.150971391"/>
        <n v="582698.513794963"/>
        <n v="582973.946147356"/>
        <n v="583165.478233634"/>
        <n v="583511.611897636"/>
        <n v="584598.837764523"/>
        <n v="585085.017692327"/>
        <n v="585101.918673971"/>
        <n v="586013.519118147"/>
        <n v="587162.302103811"/>
        <n v="588100.185553122"/>
        <n v="588371.429614093"/>
        <n v="590357.508108747"/>
        <n v="593616.438625448"/>
        <n v="593824.033225686"/>
        <n v="595517.652523834"/>
        <n v="599917.426241329"/>
        <n v="599992.952183218"/>
        <n v="600221.687442499"/>
        <n v="600331.37591992"/>
        <n v="600835.2891541"/>
        <n v="601767.470810339"/>
        <n v="602425.526357758"/>
        <n v="604425.427933825"/>
        <n v="604740.887409376"/>
        <n v="605497.499249041"/>
        <n v="606130.458082276"/>
        <n v="607976.035643041"/>
        <n v="608051.966050956"/>
        <n v="608147.495974373"/>
        <n v="608560.284989898"/>
        <n v="609363.82723707"/>
        <n v="609852.107236732"/>
        <n v="610020.688726172"/>
        <n v="610389.06647297"/>
        <n v="611069.526850961"/>
        <n v="611769.038117274"/>
        <n v="612436.289532871"/>
        <n v="612896.713356939"/>
        <n v="612997.357623692"/>
        <n v="613639.542660849"/>
        <n v="616329.436873762"/>
        <n v="616624.048358842"/>
        <n v="618764.917537427"/>
        <n v="619217.279767507"/>
        <n v="619577.015382867"/>
        <n v="619823.169731494"/>
        <n v="620503.26589874"/>
        <n v="622851.630932898"/>
        <n v="624219.40495628"/>
        <n v="625961.193770099"/>
        <n v="627062.115800165"/>
        <n v="627590.179273583"/>
        <n v="627801.88453378"/>
        <n v="628287.371726978"/>
        <n v="628598.347473264"/>
        <n v="628782.543169583"/>
        <n v="629123.652125525"/>
        <n v="629686.88431106"/>
        <n v="630509.670844306"/>
        <n v="631153.179042017"/>
        <n v="633209.852733729"/>
        <n v="633920.745078609"/>
        <n v="634106.916077423"/>
        <n v="634218.96592835"/>
        <n v="635330.536432424"/>
        <n v="635426.533977044"/>
        <n v="636435.698612279"/>
        <n v="636596.682957588"/>
        <n v="637324.64463631"/>
        <n v="638769.641676981"/>
        <n v="639348.251632993"/>
        <n v="640209.332267126"/>
        <n v="642976.604535342"/>
        <n v="643021.651928498"/>
        <n v="644730.417843749"/>
        <n v="645087.1109537"/>
        <n v="645278.378017158"/>
        <n v="645302.660359683"/>
        <n v="645387.006956426"/>
        <n v="647287.022616802"/>
        <n v="648292.993217347"/>
        <n v="648726.837598525"/>
        <n v="649052.473282831"/>
        <n v="651669.907747496"/>
        <n v="652019.675439393"/>
        <n v="652523.224643348"/>
        <n v="655644.70000808"/>
        <n v="655863.905930303"/>
        <n v="658121.617191336"/>
        <n v="659540.106099"/>
        <n v="660378.000356188"/>
        <n v="661438.38125425"/>
        <n v="661752.154860668"/>
        <n v="662364.045851849"/>
        <n v="662821.399222175"/>
        <n v="662885.074139946"/>
        <n v="662902.400133315"/>
        <n v="663353.677732291"/>
        <n v="663469.461463913"/>
        <n v="665547.448130945"/>
        <n v="665805.26798871"/>
        <n v="666923.402170259"/>
        <n v="667981.282682626"/>
        <n v="669999.105399773"/>
        <n v="671061.249196658"/>
        <n v="674328.747680002"/>
        <n v="674958.18159"/>
        <n v="675136.108177274"/>
        <n v="675983.877566407"/>
        <n v="678564.462249757"/>
        <n v="679510.951271373"/>
        <n v="680134.721676423"/>
        <n v="680560.601699987"/>
        <n v="682086.497205354"/>
        <n v="683130.639008403"/>
        <n v="684729.619291694"/>
        <n v="684924.979434951"/>
        <n v="687231.521976866"/>
        <n v="687429.575000194"/>
        <n v="688637.196100378"/>
        <n v="689553.860559413"/>
        <n v="693290.480370646"/>
        <n v="694901.370730591"/>
        <n v="697784.739303947"/>
        <n v="698640.438580273"/>
        <n v="700860.600979706"/>
        <n v="702431.901224491"/>
        <n v="703304.558648997"/>
        <n v="707947.332741164"/>
        <n v="711066.211433641"/>
        <n v="712212.679128491"/>
        <n v="713337.930541054"/>
        <n v="713560.442968105"/>
        <n v="714550.186469388"/>
        <n v="717428.988394737"/>
        <n v="718051.304800956"/>
        <n v="718869.009492891"/>
        <n v="719357.135235401"/>
        <n v="726341.1368389"/>
        <n v="727325.015641175"/>
        <n v="728067.783426826"/>
        <n v="728484.184319616"/>
        <n v="728656.763562068"/>
        <n v="730309.342489841"/>
        <n v="731260.824873266"/>
        <n v="732557.78059955"/>
        <n v="732697.8627889"/>
        <n v="734767.669494445"/>
        <n v="734938.606189999"/>
        <n v="734964.530016624"/>
        <n v="735034.694613398"/>
        <n v="738702.813249178"/>
        <n v="739635.688087672"/>
        <n v="739637.375863984"/>
        <n v="742708.658504708"/>
        <n v="744238.455741701"/>
        <n v="744635.622211068"/>
        <n v="745528.923021029"/>
        <n v="745935.253390146"/>
        <n v="746771.930557037"/>
        <n v="750240.211370759"/>
        <n v="750963.430092859"/>
        <n v="752281.452009386"/>
        <n v="752728.582299356"/>
        <n v="754470.545240001"/>
        <n v="754564.314194824"/>
        <n v="755952.908092071"/>
        <n v="756139.69478798"/>
        <n v="756912.546050665"/>
        <n v="759265.184032528"/>
        <n v="760076.209242425"/>
        <n v="762805.192922375"/>
        <n v="764482.187834724"/>
        <n v="765271.898636959"/>
        <n v="765918.291466169"/>
        <n v="766019.778179511"/>
        <n v="766234.642052972"/>
        <n v="766286.516747623"/>
        <n v="767053.646907096"/>
        <n v="767717.534048041"/>
        <n v="768051.845565643"/>
        <n v="768664.374967052"/>
        <n v="768679.83074079"/>
        <n v="769025.635628422"/>
        <n v="770274.601475145"/>
        <n v="773504.202636364"/>
        <n v="773905.988193601"/>
        <n v="777728.490413486"/>
        <n v="777973.438883689"/>
        <n v="780373.043938098"/>
        <n v="781113.394164795"/>
        <n v="783019.513987185"/>
        <n v="783875.727514644"/>
        <n v="784548.688651893"/>
        <n v="784823.174049728"/>
        <n v="786745.238117731"/>
        <n v="788087.588919199"/>
        <n v="788290.969239953"/>
        <n v="789579.549078674"/>
        <n v="793803.125176243"/>
        <n v="796735.997808813"/>
        <n v="796820.196850192"/>
        <n v="797559.033003817"/>
        <n v="799350.254169222"/>
        <n v="800650.420534945"/>
        <n v="800863.151952926"/>
        <n v="801206.580059202"/>
        <n v="801739.737314286"/>
        <n v="805281.446329061"/>
        <n v="809191.497140003"/>
        <n v="813301.456960304"/>
        <n v="813657.630973494"/>
        <n v="815900.851492651"/>
        <n v="816993.400915725"/>
        <n v="817282.109424986"/>
        <n v="817346.908053383"/>
        <n v="817581.003077719"/>
        <n v="819012.499839966"/>
        <n v="819297.655936348"/>
        <n v="820193.121646697"/>
        <n v="821098.86589854"/>
        <n v="821200.949519996"/>
        <n v="821247.264581802"/>
        <n v="821664.096832143"/>
        <n v="824163.954195977"/>
        <n v="824741.163276135"/>
        <n v="826034.786719373"/>
        <n v="829218.901212121"/>
        <n v="829433.778032143"/>
        <n v="831185.971429015"/>
        <n v="832506.097955359"/>
        <n v="836029.130695389"/>
        <n v="837174.161714976"/>
        <n v="838632.857486255"/>
        <n v="838706.814221388"/>
        <n v="840189.96514755"/>
        <n v="840918.290039615"/>
        <n v="841208.499531022"/>
        <n v="841818.458029999"/>
        <n v="843418.702509384"/>
        <n v="844379.060152653"/>
        <n v="845574.671447436"/>
        <n v="845586.12981411"/>
        <n v="845662.467915841"/>
        <n v="846318.256881002"/>
        <n v="850678.731086416"/>
        <n v="850887.511645777"/>
        <n v="852033.237618749"/>
        <n v="853115.850326076"/>
        <n v="853472.711069898"/>
        <n v="854267.679099301"/>
        <n v="854571.275515076"/>
        <n v="854762.892488401"/>
        <n v="855507.33040106"/>
        <n v="857001.165319387"/>
        <n v="858862.120931821"/>
        <n v="859334.209501509"/>
        <n v="860190.294866867"/>
        <n v="861693.770575757"/>
        <n v="866514.535175879"/>
        <n v="866844.989247599"/>
        <n v="868397.891874604"/>
        <n v="870354.902236495"/>
        <n v="870844.773674437"/>
        <n v="871871.661194021"/>
        <n v="877064.477447678"/>
        <n v="879699.773418462"/>
        <n v="880120.326915757"/>
        <n v="880902.958131334"/>
        <n v="881034.450074849"/>
        <n v="882013.857543082"/>
        <n v="882907.952867472"/>
        <n v="885557.77931592"/>
        <n v="889770.170437372"/>
        <n v="890160.784012244"/>
        <n v="890485.348331083"/>
        <n v="893204.263464045"/>
        <n v="893734.026581372"/>
        <n v="894415.58539482"/>
        <n v="894808.882774694"/>
        <n v="896833.818789736"/>
        <n v="902425.728558548"/>
        <n v="902495.57961903"/>
        <n v="905206.588892055"/>
        <n v="905284.758179858"/>
        <n v="906387.127904082"/>
        <n v="909032.6812022"/>
        <n v="912016.55099982"/>
        <n v="912020.92515474"/>
        <n v="915720.737687674"/>
        <n v="916008.275200751"/>
        <n v="916688.933175304"/>
        <n v="917330.453093931"/>
        <n v="918023.230342682"/>
        <n v="919824.884440129"/>
        <n v="920527.925876526"/>
        <n v="921104.044816095"/>
        <n v="923313.493429801"/>
        <n v="925623.149794722"/>
        <n v="926080.413770719"/>
        <n v="928819.756996974"/>
        <n v="929916.307535546"/>
        <n v="931244.758970284"/>
        <n v="935301.172718287"/>
        <n v="936961.657697547"/>
        <n v="937989.624501415"/>
        <n v="938389.512770145"/>
        <n v="945211.59696327"/>
        <n v="950248.288992921"/>
        <n v="950433.557426613"/>
        <n v="953337.489220245"/>
        <n v="955244.094650779"/>
        <n v="959382.274219686"/>
        <n v="960325.588478455"/>
        <n v="963940.088363927"/>
        <n v="964666.265182025"/>
        <n v="966372.923408009"/>
        <n v="972687.047369499"/>
        <n v="976552.227700543"/>
        <n v="976959.076675599"/>
        <n v="977108.548000244"/>
        <n v="977583.235514325"/>
        <n v="978397.477251876"/>
        <n v="980819.64851928"/>
        <n v="981783.80007051"/>
        <n v="988324.413462806"/>
        <n v="988832.337314063"/>
        <n v="994398.799190304"/>
        <n v="994445.470011295"/>
        <n v="999083.769008295"/>
        <n v="999796.058093712"/>
        <n v="1002961.63818085"/>
        <n v="1010491.60436902"/>
        <n v="1013177.59195096"/>
        <n v="1015422.41588947"/>
        <n v="1016549.22633214"/>
        <n v="1017079.85092445"/>
        <n v="1018470.38166177"/>
        <n v="1026522.97265495"/>
        <n v="1029792.73675845"/>
        <n v="1033615.03216328"/>
        <n v="1033682.3764676"/>
        <n v="1037145.40590294"/>
        <n v="1040297.87151343"/>
        <n v="1042378.11015594"/>
        <n v="1042777.97077867"/>
        <n v="1043223.36642975"/>
        <n v="1046855.95625146"/>
        <n v="1047926.55616054"/>
        <n v="1050399.30890238"/>
        <n v="1053883.68895169"/>
        <n v="1055087.08707486"/>
        <n v="1056557.53048869"/>
        <n v="1056807.71821712"/>
        <n v="1057387.98970306"/>
        <n v="1060267.42025687"/>
        <n v="1063359.64976687"/>
        <n v="1064059.1961"/>
        <n v="1064732.30376637"/>
        <n v="1066987.15669903"/>
        <n v="1068869.49501199"/>
        <n v="1069167.86932833"/>
        <n v="1071494.68053206"/>
        <n v="1072121.02476022"/>
        <n v="1072140.2012378"/>
        <n v="1076154.54200816"/>
        <n v="1076893.95291703"/>
        <n v="1077955.47480509"/>
        <n v="1079135.98299991"/>
        <n v="1081613.63232374"/>
        <n v="1081854.66125325"/>
        <n v="1084334.7549802"/>
        <n v="1090084.26202986"/>
        <n v="1091271.22992648"/>
        <n v="1091852.62347939"/>
        <n v="1092537.92542717"/>
        <n v="1092812.11998"/>
        <n v="1094146.80590065"/>
        <n v="1094750.94613719"/>
        <n v="1095281.28572188"/>
        <n v="1095648.64706208"/>
        <n v="1100349.21858532"/>
        <n v="1103636.62369849"/>
        <n v="1103792.3016018"/>
        <n v="1111977.47717233"/>
        <n v="1112493.20601092"/>
        <n v="1114377.14396403"/>
        <n v="1114687.04420707"/>
        <n v="1114771.2200263"/>
        <n v="1118166.51027545"/>
        <n v="1123674.18729284"/>
        <n v="1123751.5223312"/>
        <n v="1125361.96123932"/>
        <n v="1126916.8059236"/>
        <n v="1126981.92658202"/>
        <n v="1127802.12643274"/>
        <n v="1128150.05326943"/>
        <n v="1128171.63763252"/>
        <n v="1128854.95205553"/>
        <n v="1130484.17287395"/>
        <n v="1131499.90423745"/>
        <n v="1134036.85796937"/>
        <n v="1134208.24162924"/>
        <n v="1136025.47393392"/>
        <n v="1140984.59112"/>
        <n v="1145109.05807191"/>
        <n v="1145753.8887956"/>
        <n v="1146227.87058416"/>
        <n v="1151449.44214736"/>
        <n v="1152517.07481266"/>
        <n v="1152545.88126097"/>
        <n v="1153929.03710296"/>
        <n v="1157147.9962588"/>
        <n v="1158634.00990321"/>
        <n v="1163736.50256863"/>
        <n v="1170967.27203132"/>
        <n v="1171430.4735012"/>
        <n v="1184337.63615275"/>
        <n v="1185667.270278"/>
        <n v="1190885.48693706"/>
        <n v="1191886.91270521"/>
        <n v="1193824.86236689"/>
        <n v="1197167.37371727"/>
        <n v="1199797.71307557"/>
        <n v="1199981.07512271"/>
        <n v="1200320.67487357"/>
        <n v="1201955.32169013"/>
        <n v="1206378.80389957"/>
        <n v="1207828.86752526"/>
        <n v="1212764.52403988"/>
        <n v="1212785.10429921"/>
        <n v="1215786.14923233"/>
        <n v="1219803.28310964"/>
        <n v="1224173.88870875"/>
        <n v="1227727.14008013"/>
        <n v="1228014.2583066"/>
        <n v="1228568.98051412"/>
        <n v="1240395.07006469"/>
        <n v="1241137.31236983"/>
        <n v="1243371.99091744"/>
        <n v="1244745.47999999"/>
        <n v="1246543.32355237"/>
        <n v="1247319.82678792"/>
        <n v="1247544.48764"/>
        <n v="1249189.74705621"/>
        <n v="1250186.18516272"/>
        <n v="1250287.8765"/>
        <n v="1254322.97932245"/>
        <n v="1258009.9"/>
        <n v="1269651.48189487"/>
        <n v="1270710.63720806"/>
        <n v="1274425.17479506"/>
        <n v="1286978.00561456"/>
        <n v="1287454.03322663"/>
        <n v="1287765.42358519"/>
        <n v="1288051.53203526"/>
        <n v="1290659.73253031"/>
        <n v="1293603.02378182"/>
        <n v="1300795.84542417"/>
        <n v="1301399.01786117"/>
        <n v="1301509.89635422"/>
        <n v="1301669.20209305"/>
        <n v="1304899.52929843"/>
        <n v="1305611.27229412"/>
        <n v="1307248.56228703"/>
        <n v="1308150.11964233"/>
        <n v="1319392.808"/>
        <n v="1325202.47850875"/>
        <n v="1329589.8686487"/>
        <n v="1331287.735338"/>
        <n v="1337302.48632041"/>
        <n v="1337417.04249593"/>
        <n v="1352908.59948669"/>
        <n v="1353053.27785"/>
        <n v="1355958.40381792"/>
        <n v="1364257.62903639"/>
        <n v="1365710.61443672"/>
        <n v="1367022.63279183"/>
        <n v="1367753.19636715"/>
        <n v="1368912.64499361"/>
        <n v="1370278.66106614"/>
        <n v="1375665.53077882"/>
        <n v="1384688.96128684"/>
        <n v="1387829.92766752"/>
        <n v="1387830.01375224"/>
        <n v="1392971.8635"/>
        <n v="1399772.32544373"/>
        <n v="1402439.6353038"/>
        <n v="1402618.70576686"/>
        <n v="1405265.72354489"/>
        <n v="1405704.48867906"/>
        <n v="1409205.4073175"/>
        <n v="1411444.65171865"/>
        <n v="1415724.35588933"/>
        <n v="1416991.7445239"/>
        <n v="1426393.93534652"/>
        <n v="1429400.38021731"/>
        <n v="1433936.50659753"/>
        <n v="1435934.46470315"/>
        <n v="1436317.48857446"/>
        <n v="1440802.00822544"/>
        <n v="1444439.57731639"/>
        <n v="1445029.27081309"/>
        <n v="1445711.4764216"/>
        <n v="1446517.24025765"/>
        <n v="1448256.7110465"/>
        <n v="1448483.60119215"/>
        <n v="1454200.92259345"/>
        <n v="1463078.50496738"/>
        <n v="1467788.65351637"/>
        <n v="1468777.31415957"/>
        <n v="1474996.61328962"/>
        <n v="1479415.091"/>
        <n v="1479529.97479125"/>
        <n v="1481236.29094811"/>
        <n v="1486027.69240016"/>
        <n v="1489474.92753188"/>
        <n v="1490696.2925"/>
        <n v="1491993.69624488"/>
        <n v="1492153.2473335"/>
        <n v="1492599.66367624"/>
        <n v="1495448.325"/>
        <n v="1497851.63349593"/>
        <n v="1498568.04475067"/>
        <n v="1500946.90451892"/>
        <n v="1501305.65715759"/>
        <n v="1502132.99907722"/>
        <n v="1517927.89860621"/>
        <n v="1519353.37329077"/>
        <n v="1520752.20257126"/>
        <n v="1525328.45819544"/>
        <n v="1525675.80162711"/>
        <n v="1528846.31751751"/>
        <n v="1531917.83672223"/>
        <n v="1535362.4654565"/>
        <n v="1540567.68396381"/>
        <n v="1541785.65204543"/>
        <n v="1544455.1528673"/>
        <n v="1545176.44124094"/>
        <n v="1550622.4583882"/>
        <n v="1551287.8446142"/>
        <n v="1552844.70715631"/>
        <n v="1553939.27396959"/>
        <n v="1555939.95433564"/>
        <n v="1561619.791784"/>
        <n v="1561830.15460583"/>
        <n v="1568593.06575046"/>
        <n v="1573276.17994476"/>
        <n v="1573435.64167849"/>
        <n v="1585538.08038124"/>
        <n v="1589495.21698"/>
        <n v="1591902.51"/>
        <n v="1609981.2835177"/>
        <n v="1611524.30905748"/>
        <n v="1612450.98011624"/>
        <n v="1614610.6452732"/>
        <n v="1615390.2607942"/>
        <n v="1615612.919209"/>
        <n v="1617371.1904449"/>
        <n v="1617720.22710356"/>
        <n v="1622187.32975707"/>
        <n v="1623863.51675484"/>
        <n v="1624066.67646"/>
        <n v="1630780.58577376"/>
        <n v="1637808.9021592"/>
        <n v="1640010.08037449"/>
        <n v="1645771.062"/>
        <n v="1650860.52003199"/>
        <n v="1651060.16254478"/>
        <n v="1658533.446891"/>
        <n v="1674199.8335303"/>
        <n v="1674650.4310615"/>
        <n v="1685728.97449118"/>
        <n v="1694960.32514371"/>
        <n v="1698340.0843017"/>
        <n v="1699934.99134699"/>
        <n v="1705759.8157932"/>
        <n v="1726061.36731871"/>
        <n v="1727501.18643168"/>
        <n v="1727699.70326464"/>
        <n v="1740472.57303347"/>
        <n v="1745617.64250452"/>
        <n v="1753886.73188744"/>
        <n v="1764325.9317991"/>
        <n v="1765442.43734445"/>
        <n v="1770121.35619152"/>
        <n v="1773153.90675767"/>
        <n v="1806805.01196598"/>
        <n v="1810280.95586673"/>
        <n v="1814678.1341052"/>
        <n v="1818378.29105149"/>
        <n v="1825220.39100982"/>
        <n v="1827577.65266835"/>
        <n v="1829833.69946176"/>
        <n v="1835211.38295314"/>
        <n v="1836928.42417022"/>
        <n v="1840053.59727422"/>
        <n v="1844245.46750155"/>
        <n v="1846723.42886501"/>
        <n v="1848389.18236543"/>
        <n v="1857724.88367781"/>
        <n v="1858167.402"/>
        <n v="1868214.99458674"/>
        <n v="1881932.64143072"/>
        <n v="1884104.38578937"/>
        <n v="1884520.125"/>
        <n v="1894012.98350343"/>
        <n v="1896803.28108517"/>
        <n v="1901715.59874721"/>
        <n v="1910713.44017616"/>
        <n v="1936329.56172495"/>
        <n v="1936468.87218162"/>
        <n v="1938639.01234516"/>
        <n v="1939748.44326301"/>
        <n v="1940328.27253929"/>
        <n v="1944475.82412773"/>
        <n v="1962757.2959946"/>
        <n v="1969305.84527685"/>
        <n v="2028929.92170964"/>
        <n v="2033651.50514995"/>
        <n v="2051799.85012648"/>
        <n v="2067361.72404718"/>
        <n v="2067687.45721409"/>
        <n v="2067767.80182206"/>
        <n v="2070615.13618597"/>
        <n v="2089711.51321854"/>
        <n v="2094050.23444761"/>
        <n v="2100884.86207602"/>
        <n v="2124336.70449608"/>
        <n v="2144347.52121901"/>
        <n v="2153376.83441437"/>
        <n v="2165526.54051096"/>
        <n v="2165658.7081674"/>
        <n v="2174304.3124659"/>
        <n v="2175778.4741551"/>
        <n v="2176580.82100868"/>
        <n v="2191504.165955"/>
        <n v="2196974.74120754"/>
        <n v="2202839.31010333"/>
        <n v="2222748.60693845"/>
        <n v="2247474.71650095"/>
        <n v="2330090.66904858"/>
        <n v="2331394.83398469"/>
        <n v="2332207.9011987"/>
        <n v="2336022.24952746"/>
        <n v="2347179.085125"/>
        <n v="2407403.66948448"/>
        <n v="2419027.11928681"/>
        <n v="2432191.48208808"/>
        <n v="2447479.34161741"/>
        <n v="2470145.90829119"/>
        <n v="2477777.24237385"/>
        <n v="2567350.9191"/>
        <n v="2578877.36104882"/>
        <n v="2581750.89128328"/>
        <n v="2606856.21137244"/>
        <n v="2618922.74896676"/>
        <n v="2647820.68505377"/>
        <n v="2680466.60767284"/>
        <n v="2723896.67387257"/>
        <n v="2778432.5404209"/>
        <n v="2856695.81630166"/>
        <n v="2869530.43560577"/>
        <n v="2940641.3362717"/>
        <n v="2972172.99195351"/>
        <n v="2972267.26620087"/>
        <n v="2981766.86304981"/>
        <n v="3019289.55182999"/>
        <n v="3052378.62038269"/>
        <n v="3072635.06312761"/>
        <n v="3167047.380525"/>
        <n v="3179410.1014"/>
        <n v="3189230.64333299"/>
        <n v="3200546.824505"/>
        <n v="3249546.14564686"/>
        <n v="3293826.83924675"/>
        <n v="3369050.00145"/>
        <n v="3415725.74955749"/>
        <n v="3521822.47242916"/>
        <n v="3563081.69109849"/>
        <n v="3608646.72449203"/>
        <n v="3659625.4763596"/>
        <n v="3860556.44671327"/>
        <n v="3880028.44762824"/>
        <n v="4287041.22075319"/>
        <n v="4413238.2535892"/>
        <n v="4868486.06614426"/>
        <n v="5017244.54864962"/>
        <n v="5193267.54437848"/>
        <n v="5230172.2776851"/>
        <n v="6012528.91524573"/>
        <n v="6857909.82009708"/>
        <n v="7025974.5918382"/>
        <n v="7562412.68347956"/>
        <n v="7607381.41341532"/>
        <n v="7667218.01158051"/>
        <n v="7938970.21094452"/>
        <n v="8036373.28650303"/>
        <n v="10371625.5646079"/>
        <n v="12560098.40379"/>
        <n v="12668004.1006565"/>
        <n v="12695992.4877444"/>
        <n v="13019283.9704679"/>
        <n v="13173185.5332114"/>
        <n v="13357879.3893689"/>
        <n v="13546292.5904384"/>
        <n v="14596624.0365501"/>
        <n v="19203988.122399"/>
        <n v="19445165.9393268"/>
        <n v="21925370.5303933"/>
        <n v="22415720.3486514"/>
        <n v="22502830.3669199"/>
        <n v="24299856.6795744"/>
        <n v="25461220.7991533"/>
        <n v="28654560.8537695"/>
        <n v="30478630.4801451"/>
        <n v="37624770.9688574"/>
        <n v="38936077.1403687"/>
        <n v="39396861.6589492"/>
        <n v="47019859.1835567"/>
        <n v="48095261.9154595"/>
        <m/>
      </sharedItems>
    </cacheField>
    <cacheField name="nrw_percent" numFmtId="0">
      <sharedItems containsSemiMixedTypes="0" containsString="0" containsNumber="1" minValue="-11.2329458822598" maxValue="76.5567245575221" count="3511">
        <n v="-11.2329458822598"/>
        <n v="-8.49145820507391"/>
        <n v="-7.62325015216068"/>
        <n v="-5.37038716605477"/>
        <n v="-2.73085184127692"/>
        <n v="-2.26159206944416"/>
        <n v="-2.26092057831399"/>
        <n v="-2.22900187559824"/>
        <n v="-2.18829671878401"/>
        <n v="-2.14718408006792"/>
        <n v="-1.39025417778401"/>
        <n v="-0.994721252569209"/>
        <n v="-0.386388675539636"/>
        <n v="-0.371420567516424"/>
        <n v="-0.0586686641688486"/>
        <n v="0.0666666666666666"/>
        <n v="0.224407771115719"/>
        <n v="0.314724802857315"/>
        <n v="0.35941126139508"/>
        <n v="0.422068498452012"/>
        <n v="0.482807348092318"/>
        <n v="0.485647147379587"/>
        <n v="0.491773873703311"/>
        <n v="0.50085172312256"/>
        <n v="0.504343403998191"/>
        <n v="0.52203945226671"/>
        <n v="0.530222693531275"/>
        <n v="0.541642131990296"/>
        <n v="0.561233931902932"/>
        <n v="0.588131089459703"/>
        <n v="0.614670244705103"/>
        <n v="0.616717673213817"/>
        <n v="0.622833846132747"/>
        <n v="0.664914535080208"/>
        <n v="0.72084548104958"/>
        <n v="0.721001658617749"/>
        <n v="0.759006604647878"/>
        <n v="0.767377022860774"/>
        <n v="0.874648996617778"/>
        <n v="0.897216943689414"/>
        <n v="0.897385105220407"/>
        <n v="0.912311898734171"/>
        <n v="0.916141641454462"/>
        <n v="0.925427268231029"/>
        <n v="0.929717877314436"/>
        <n v="0.950792249214278"/>
        <n v="0.984015357136016"/>
        <n v="1.01696013127637"/>
        <n v="1.0737185615766"/>
        <n v="1.08943162533943"/>
        <n v="1.12297486445469"/>
        <n v="1.13595975613091"/>
        <n v="1.14329268292682"/>
        <n v="1.21695798115398"/>
        <n v="1.28932038834952"/>
        <n v="1.3221959101443"/>
        <n v="1.32477816108745"/>
        <n v="1.35632487237814"/>
        <n v="1.39386404113041"/>
        <n v="1.40592282381095"/>
        <n v="1.4100632720699"/>
        <n v="1.4255041045646"/>
        <n v="1.429527265241"/>
        <n v="1.43292984662039"/>
        <n v="1.46610251450677"/>
        <n v="1.4704297781801"/>
        <n v="1.47839319381247"/>
        <n v="1.49433414554456"/>
        <n v="1.51426643205714"/>
        <n v="1.51648720857238"/>
        <n v="1.52399395469547"/>
        <n v="1.52916457522019"/>
        <n v="1.5349496987952"/>
        <n v="1.55624587640202"/>
        <n v="1.55773717133339"/>
        <n v="1.5782122347664"/>
        <n v="1.58152571769158"/>
        <n v="1.59149893599924"/>
        <n v="1.59393240161178"/>
        <n v="1.61068928726106"/>
        <n v="1.61762294020666"/>
        <n v="1.63180100302757"/>
        <n v="1.67384860637159"/>
        <n v="1.68694636272542"/>
        <n v="1.68845487478343"/>
        <n v="1.69374969155837"/>
        <n v="1.69495055424332"/>
        <n v="1.69753086419754"/>
        <n v="1.69784291958966"/>
        <n v="1.7002570264982"/>
        <n v="1.70337449280606"/>
        <n v="1.70606315635407"/>
        <n v="1.74704654847613"/>
        <n v="1.77155231386906"/>
        <n v="1.7725128480057"/>
        <n v="1.77766983640657"/>
        <n v="1.7807024457779"/>
        <n v="1.78314679297829"/>
        <n v="1.79958021268876"/>
        <n v="1.80373337534035"/>
        <n v="1.82896757596568"/>
        <n v="1.84447165652494"/>
        <n v="1.84808963985708"/>
        <n v="1.85783685749588"/>
        <n v="1.85976714100906"/>
        <n v="1.86050513936598"/>
        <n v="1.86332037226018"/>
        <n v="1.90324787502649"/>
        <n v="1.91624651315906"/>
        <n v="1.93424969267337"/>
        <n v="1.94141942161608"/>
        <n v="1.9504638069509"/>
        <n v="1.95580843593161"/>
        <n v="1.95910621549126"/>
        <n v="1.97390439098119"/>
        <n v="1.99464562650698"/>
        <n v="2.01364899640848"/>
        <n v="2.02134301024485"/>
        <n v="2.02677325363032"/>
        <n v="2.03300052111556"/>
        <n v="2.03691915977085"/>
        <n v="2.04368566407231"/>
        <n v="2.04529986268455"/>
        <n v="2.05289629452221"/>
        <n v="2.05377528719633"/>
        <n v="2.06471023011956"/>
        <n v="2.08045824099867"/>
        <n v="2.08244741036935"/>
        <n v="2.08432264179706"/>
        <n v="2.08929939902393"/>
        <n v="2.09152476404839"/>
        <n v="2.09349518339405"/>
        <n v="2.10210210210211"/>
        <n v="2.12005523515555"/>
        <n v="2.12585034013605"/>
        <n v="2.14379450551816"/>
        <n v="2.14881723228221"/>
        <n v="2.16111770984165"/>
        <n v="2.16824476728271"/>
        <n v="2.17330911972825"/>
        <n v="2.1855698697851"/>
        <n v="2.21136355999865"/>
        <n v="2.21580938952907"/>
        <n v="2.22162622150365"/>
        <n v="2.23160976322311"/>
        <n v="2.23169171635836"/>
        <n v="2.23283072442887"/>
        <n v="2.23405966656917"/>
        <n v="2.23932568080304"/>
        <n v="2.24359657090349"/>
        <n v="2.2485811710302"/>
        <n v="2.25233922380662"/>
        <n v="2.25420310892668"/>
        <n v="2.25502525325709"/>
        <n v="2.28502701329781"/>
        <n v="2.30268280918534"/>
        <n v="2.31084046353944"/>
        <n v="2.33379117570414"/>
        <n v="2.34360655037683"/>
        <n v="2.34624445235594"/>
        <n v="2.35464088484589"/>
        <n v="2.35995669278971"/>
        <n v="2.3625581002135"/>
        <n v="2.3847560271884"/>
        <n v="2.39635709753241"/>
        <n v="2.39908600101243"/>
        <n v="2.40695668999751"/>
        <n v="2.43670473196744"/>
        <n v="2.44717635834393"/>
        <n v="2.44786635956112"/>
        <n v="2.45002665548807"/>
        <n v="2.45915884602016"/>
        <n v="2.46130035869947"/>
        <n v="2.46157038695297"/>
        <n v="2.47315966276433"/>
        <n v="2.47708247735684"/>
        <n v="2.53337440279973"/>
        <n v="2.5337557366488"/>
        <n v="2.53871791002774"/>
        <n v="2.53944254981594"/>
        <n v="2.54390644030864"/>
        <n v="2.54492488706942"/>
        <n v="2.54769959026917"/>
        <n v="2.55403232836958"/>
        <n v="2.55546739545682"/>
        <n v="2.56198381366789"/>
        <n v="2.5648410017614"/>
        <n v="2.59304468217037"/>
        <n v="2.60348726493692"/>
        <n v="2.61584882948363"/>
        <n v="2.61878782860985"/>
        <n v="2.62117525724868"/>
        <n v="2.62395800562671"/>
        <n v="2.64314453729495"/>
        <n v="2.64794907159956"/>
        <n v="2.64921884438472"/>
        <n v="2.65442084099908"/>
        <n v="2.66730942688152"/>
        <n v="2.66851809122194"/>
        <n v="2.67482122136669"/>
        <n v="2.67700247387322"/>
        <n v="2.68108469085521"/>
        <n v="2.69533167490111"/>
        <n v="2.70903407041295"/>
        <n v="2.70922672127854"/>
        <n v="2.72458140403711"/>
        <n v="2.72751855989835"/>
        <n v="2.73009291332163"/>
        <n v="2.73996553165461"/>
        <n v="2.74210450613353"/>
        <n v="2.75594491704805"/>
        <n v="2.76728276412926"/>
        <n v="2.78429701076033"/>
        <n v="2.79141700254543"/>
        <n v="2.80273867607777"/>
        <n v="2.80329091718877"/>
        <n v="2.80389549436797"/>
        <n v="2.80706071565108"/>
        <n v="2.80984967591454"/>
        <n v="2.82223510091911"/>
        <n v="2.84059187107781"/>
        <n v="2.84912099517328"/>
        <n v="2.85888498617827"/>
        <n v="2.86011822247115"/>
        <n v="2.86227674177921"/>
        <n v="2.87777816545131"/>
        <n v="2.8862757531323"/>
        <n v="2.89833413193491"/>
        <n v="2.91461330247469"/>
        <n v="2.92247460538758"/>
        <n v="2.92278379317289"/>
        <n v="2.93337683704851"/>
        <n v="2.93369703745634"/>
        <n v="2.94679081171011"/>
        <n v="2.94862709123505"/>
        <n v="2.95007601574031"/>
        <n v="2.96428181755059"/>
        <n v="2.96922367177432"/>
        <n v="2.97426518741573"/>
        <n v="2.97649755493197"/>
        <n v="2.99383175517305"/>
        <n v="2.99560589344951"/>
        <n v="2.99797446440164"/>
        <n v="3.00672239991704"/>
        <n v="3.01144868134599"/>
        <n v="3.01584406195089"/>
        <n v="3.02049222371594"/>
        <n v="3.02325511022568"/>
        <n v="3.02600560648939"/>
        <n v="3.033499535291"/>
        <n v="3.03939086861416"/>
        <n v="3.04482984293195"/>
        <n v="3.0521253481709"/>
        <n v="3.05276125201867"/>
        <n v="3.05925516409509"/>
        <n v="3.06462358427715"/>
        <n v="3.06687520611079"/>
        <n v="3.07217402801106"/>
        <n v="3.07274701411509"/>
        <n v="3.08264158341139"/>
        <n v="3.08607465155195"/>
        <n v="3.09219362941194"/>
        <n v="3.09529611699106"/>
        <n v="3.10505524709815"/>
        <n v="3.10906422539675"/>
        <n v="3.11637838644484"/>
        <n v="3.12662616113308"/>
        <n v="3.13161699654861"/>
        <n v="3.14768007987691"/>
        <n v="3.15296953013762"/>
        <n v="3.15554236234409"/>
        <n v="3.15624492391489"/>
        <n v="3.15650480367217"/>
        <n v="3.16341443675885"/>
        <n v="3.16376488429453"/>
        <n v="3.16607602100391"/>
        <n v="3.16916001066506"/>
        <n v="3.16928316538584"/>
        <n v="3.1733239230977"/>
        <n v="3.17682925739169"/>
        <n v="3.17740906710265"/>
        <n v="3.18362959850745"/>
        <n v="3.19326909812787"/>
        <n v="3.19488564585471"/>
        <n v="3.19554647821136"/>
        <n v="3.21648190188876"/>
        <n v="3.21993364071185"/>
        <n v="3.22060417843728"/>
        <n v="3.22400882637987"/>
        <n v="3.22417594235629"/>
        <n v="3.2347798601536"/>
        <n v="3.24492637338872"/>
        <n v="3.24522298664992"/>
        <n v="3.2554571593237"/>
        <n v="3.25821012020421"/>
        <n v="3.26168376271225"/>
        <n v="3.26851382724423"/>
        <n v="3.27492344334807"/>
        <n v="3.27596473078959"/>
        <n v="3.27849560183583"/>
        <n v="3.28094118747736"/>
        <n v="3.28583509513742"/>
        <n v="3.2863328895523"/>
        <n v="3.30440304826418"/>
        <n v="3.31126937338883"/>
        <n v="3.31505391922605"/>
        <n v="3.32002790906066"/>
        <n v="3.32172427388619"/>
        <n v="3.32419976484359"/>
        <n v="3.32423697372029"/>
        <n v="3.32648832918349"/>
        <n v="3.32665978979427"/>
        <n v="3.32977951730924"/>
        <n v="3.3328164768636"/>
        <n v="3.34524364572825"/>
        <n v="3.34612161437832"/>
        <n v="3.34744112298006"/>
        <n v="3.35214514351036"/>
        <n v="3.3563672260612"/>
        <n v="3.3641420606444"/>
        <n v="3.36650978576757"/>
        <n v="3.36658020249352"/>
        <n v="3.36920206936033"/>
        <n v="3.37075595773491"/>
        <n v="3.37890677669013"/>
        <n v="3.38066488145777"/>
        <n v="3.38280285429661"/>
        <n v="3.38310050175658"/>
        <n v="3.38592855107619"/>
        <n v="3.3945915739008"/>
        <n v="3.40060055950783"/>
        <n v="3.40202330647091"/>
        <n v="3.42321402505521"/>
        <n v="3.42399801207252"/>
        <n v="3.42484670449392"/>
        <n v="3.43731039995377"/>
        <n v="3.44279604010265"/>
        <n v="3.44452650233164"/>
        <n v="3.45954604349145"/>
        <n v="3.46229890703674"/>
        <n v="3.46520375068428"/>
        <n v="3.47158244726909"/>
        <n v="3.47208323644094"/>
        <n v="3.4734054122637"/>
        <n v="3.47433195520878"/>
        <n v="3.4783343416485"/>
        <n v="3.48814411823209"/>
        <n v="3.48981072246639"/>
        <n v="3.49746651048391"/>
        <n v="3.50582076886458"/>
        <n v="3.51848544382927"/>
        <n v="3.52812130990905"/>
        <n v="3.52816792424746"/>
        <n v="3.5290740605922"/>
        <n v="3.53071261563795"/>
        <n v="3.534207966223"/>
        <n v="3.53648763063556"/>
        <n v="3.54437432735957"/>
        <n v="3.54669066795024"/>
        <n v="3.54676516430969"/>
        <n v="3.55499340965749"/>
        <n v="3.55716714776441"/>
        <n v="3.56124528636609"/>
        <n v="3.57732756738638"/>
        <n v="3.5778152715316"/>
        <n v="3.57956974273142"/>
        <n v="3.5846421301318"/>
        <n v="3.58604454296335"/>
        <n v="3.59266725918218"/>
        <n v="3.59295230918717"/>
        <n v="3.59735969377373"/>
        <n v="3.60180790960452"/>
        <n v="3.60258681434338"/>
        <n v="3.60581725828496"/>
        <n v="3.60620242149332"/>
        <n v="3.60798936457268"/>
        <n v="3.61326546601292"/>
        <n v="3.6200895682003"/>
        <n v="3.62611776030248"/>
        <n v="3.64506745785097"/>
        <n v="3.65397998689215"/>
        <n v="3.65455682081237"/>
        <n v="3.66189481918991"/>
        <n v="3.666822563463"/>
        <n v="3.67182195060936"/>
        <n v="3.67398554511919"/>
        <n v="3.6825080282388"/>
        <n v="3.6855209681307"/>
        <n v="3.68815319977877"/>
        <n v="3.6957622911941"/>
        <n v="3.69896513010903"/>
        <n v="3.70108081237271"/>
        <n v="3.70392480288497"/>
        <n v="3.71165836559002"/>
        <n v="3.71210219748834"/>
        <n v="3.72054734377286"/>
        <n v="3.72284812240407"/>
        <n v="3.72442215263075"/>
        <n v="3.72476127997667"/>
        <n v="3.7321674231538"/>
        <n v="3.73351495263451"/>
        <n v="3.73765083408527"/>
        <n v="3.75034644234878"/>
        <n v="3.75150867433233"/>
        <n v="3.75893079682396"/>
        <n v="3.77061156182251"/>
        <n v="3.7707595298947"/>
        <n v="3.78959154022719"/>
        <n v="3.78999350207782"/>
        <n v="3.79071009076348"/>
        <n v="3.79212270433061"/>
        <n v="3.79788306002944"/>
        <n v="3.79937954474254"/>
        <n v="3.80020820171308"/>
        <n v="3.80034742798917"/>
        <n v="3.81537685684886"/>
        <n v="3.81562126530832"/>
        <n v="3.82420226631335"/>
        <n v="3.82576668850908"/>
        <n v="3.8357610909978"/>
        <n v="3.83629265491143"/>
        <n v="3.83901821693116"/>
        <n v="3.84492149951939"/>
        <n v="3.85296372890812"/>
        <n v="3.85619700540828"/>
        <n v="3.85904110195114"/>
        <n v="3.85911455540763"/>
        <n v="3.86677917169336"/>
        <n v="3.86740504267381"/>
        <n v="3.88363373674303"/>
        <n v="3.88518634609555"/>
        <n v="3.88649800081829"/>
        <n v="3.88696655132641"/>
        <n v="3.88794210014705"/>
        <n v="3.89202407065536"/>
        <n v="3.89453140441779"/>
        <n v="3.89593857670798"/>
        <n v="3.89595604717196"/>
        <n v="3.89974958369808"/>
        <n v="3.9002539681695"/>
        <n v="3.90279919785746"/>
        <n v="3.90642585347555"/>
        <n v="3.91234712563816"/>
        <n v="3.91390401742692"/>
        <n v="3.91970476668181"/>
        <n v="3.93245945345478"/>
        <n v="3.93261045478528"/>
        <n v="3.93940393091374"/>
        <n v="3.95503545764672"/>
        <n v="3.95942015049162"/>
        <n v="3.96171398404127"/>
        <n v="3.96263205046058"/>
        <n v="3.96343802445457"/>
        <n v="3.96364831717588"/>
        <n v="3.96416024806738"/>
        <n v="3.96482853780662"/>
        <n v="3.97521298379554"/>
        <n v="3.97522522522523"/>
        <n v="3.97630015129697"/>
        <n v="3.97985478139967"/>
        <n v="3.9813805317263"/>
        <n v="3.98504159099272"/>
        <n v="3.98668322196784"/>
        <n v="3.98837705028384"/>
        <n v="3.99030847737518"/>
        <n v="3.99215110274711"/>
        <n v="3.9998592707261"/>
        <n v="4.0021744728334"/>
        <n v="4.00405287561523"/>
        <n v="4.00491612277817"/>
        <n v="4.00502275843833"/>
        <n v="4.00912062159417"/>
        <n v="4.01328220219119"/>
        <n v="4.0186379042238"/>
        <n v="4.03313057667472"/>
        <n v="4.03837143130389"/>
        <n v="4.03891025954236"/>
        <n v="4.03974088859938"/>
        <n v="4.04214839128843"/>
        <n v="4.04408943458091"/>
        <n v="4.04967522786212"/>
        <n v="4.05006040106306"/>
        <n v="4.05891324373957"/>
        <n v="4.06665914860222"/>
        <n v="4.07006550506429"/>
        <n v="4.07856757327576"/>
        <n v="4.08610705710654"/>
        <n v="4.09430954132941"/>
        <n v="4.09466277172161"/>
        <n v="4.09689751387787"/>
        <n v="4.09706257982123"/>
        <n v="4.09958680287318"/>
        <n v="4.10299700871943"/>
        <n v="4.10317646427726"/>
        <n v="4.10757302870919"/>
        <n v="4.11860158386777"/>
        <n v="4.12229994327953"/>
        <n v="4.12968190681296"/>
        <n v="4.13733563554255"/>
        <n v="4.13820358832268"/>
        <n v="4.14101331388687"/>
        <n v="4.14235142030269"/>
        <n v="4.14304540830057"/>
        <n v="4.14355628058728"/>
        <n v="4.14386512042278"/>
        <n v="4.1456699416594"/>
        <n v="4.15633826471475"/>
        <n v="4.15912124905682"/>
        <n v="4.15918501839193"/>
        <n v="4.16044173487776"/>
        <n v="4.16063802838149"/>
        <n v="4.16976656808635"/>
        <n v="4.1709242588075"/>
        <n v="4.17172117406809"/>
        <n v="4.17205698595408"/>
        <n v="4.17321805069345"/>
        <n v="4.18138528634059"/>
        <n v="4.18722315721785"/>
        <n v="4.19841225314183"/>
        <n v="4.2039972432805"/>
        <n v="4.20903769423989"/>
        <n v="4.20998984722687"/>
        <n v="4.21034964866643"/>
        <n v="4.2137588073789"/>
        <n v="4.21573846560833"/>
        <n v="4.22109560643346"/>
        <n v="4.22509678927672"/>
        <n v="4.22840408741441"/>
        <n v="4.23277976603726"/>
        <n v="4.23492438510659"/>
        <n v="4.23779258749607"/>
        <n v="4.23827566551338"/>
        <n v="4.24179227933087"/>
        <n v="4.24259332104926"/>
        <n v="4.24398682340472"/>
        <n v="4.24757281553398"/>
        <n v="4.24792410808587"/>
        <n v="4.25326413876281"/>
        <n v="4.25348290910908"/>
        <n v="4.25437012874315"/>
        <n v="4.25481564731474"/>
        <n v="4.25593282744242"/>
        <n v="4.25836042405871"/>
        <n v="4.25899655128625"/>
        <n v="4.25953123803759"/>
        <n v="4.26282304591797"/>
        <n v="4.26495605775266"/>
        <n v="4.2694094646579"/>
        <n v="4.2817356956808"/>
        <n v="4.28264387443592"/>
        <n v="4.28333363854451"/>
        <n v="4.28667232948088"/>
        <n v="4.28922880791481"/>
        <n v="4.2912688316708"/>
        <n v="4.29452102087146"/>
        <n v="4.29682838256185"/>
        <n v="4.30678833125951"/>
        <n v="4.31056218283336"/>
        <n v="4.31226765799257"/>
        <n v="4.32080612490695"/>
        <n v="4.33086323421932"/>
        <n v="4.33106909863825"/>
        <n v="4.33234434775535"/>
        <n v="4.33464556342426"/>
        <n v="4.33671053877476"/>
        <n v="4.3389937636946"/>
        <n v="4.34618169243903"/>
        <n v="4.36188499254866"/>
        <n v="4.36751029742944"/>
        <n v="4.36808013561768"/>
        <n v="4.3707750811097"/>
        <n v="4.37275006078085"/>
        <n v="4.37824430109464"/>
        <n v="4.3784704141858"/>
        <n v="4.37880664430859"/>
        <n v="4.37909915717115"/>
        <n v="4.38656382888143"/>
        <n v="4.39276595813131"/>
        <n v="4.39666681520969"/>
        <n v="4.39795171565797"/>
        <n v="4.39977047555443"/>
        <n v="4.40031301532419"/>
        <n v="4.40213010444715"/>
        <n v="4.4040788540048"/>
        <n v="4.40834227001801"/>
        <n v="4.41721938837036"/>
        <n v="4.42645611963794"/>
        <n v="4.42980609925095"/>
        <n v="4.43382704118224"/>
        <n v="4.43934862720093"/>
        <n v="4.44440950260243"/>
        <n v="4.45142038527678"/>
        <n v="4.45486134509808"/>
        <n v="4.45879558666368"/>
        <n v="4.4686163985223"/>
        <n v="4.47024028788265"/>
        <n v="4.48294862571193"/>
        <n v="4.49140921989946"/>
        <n v="4.49236638656078"/>
        <n v="4.49775826642744"/>
        <n v="4.49814138094925"/>
        <n v="4.49855689460506"/>
        <n v="4.50111664272572"/>
        <n v="4.50134153523984"/>
        <n v="4.50139121749367"/>
        <n v="4.50318497128844"/>
        <n v="4.50388414279874"/>
        <n v="4.50428452630853"/>
        <n v="4.51250754722763"/>
        <n v="4.52118191211067"/>
        <n v="4.52652708968561"/>
        <n v="4.53599167267197"/>
        <n v="4.54433199722892"/>
        <n v="4.5480307550822"/>
        <n v="4.54887324535228"/>
        <n v="4.54938198223799"/>
        <n v="4.55229034402687"/>
        <n v="4.55340661531658"/>
        <n v="4.55780882653207"/>
        <n v="4.56473882484752"/>
        <n v="4.56484474396028"/>
        <n v="4.56890400733172"/>
        <n v="4.59481284200284"/>
        <n v="4.5972989918615"/>
        <n v="4.60183003156516"/>
        <n v="4.60982195352454"/>
        <n v="4.6114022218187"/>
        <n v="4.61682609871084"/>
        <n v="4.6184082159115"/>
        <n v="4.61903048648134"/>
        <n v="4.62030548445302"/>
        <n v="4.62134200246856"/>
        <n v="4.62672749491055"/>
        <n v="4.62674961119751"/>
        <n v="4.63136828581312"/>
        <n v="4.63319375814337"/>
        <n v="4.64355430680772"/>
        <n v="4.64377056950926"/>
        <n v="4.64660474876847"/>
        <n v="4.65118534786828"/>
        <n v="4.65211753509581"/>
        <n v="4.65291967686265"/>
        <n v="4.66428802506759"/>
        <n v="4.66727997546765"/>
        <n v="4.66890516588171"/>
        <n v="4.67599567145494"/>
        <n v="4.67781202965694"/>
        <n v="4.68250310116559"/>
        <n v="4.68520761797797"/>
        <n v="4.68600031309549"/>
        <n v="4.68730638157323"/>
        <n v="4.70140100002502"/>
        <n v="4.70143834612351"/>
        <n v="4.70159487870266"/>
        <n v="4.70964911698596"/>
        <n v="4.71060265470108"/>
        <n v="4.71178965261999"/>
        <n v="4.71200864736427"/>
        <n v="4.71760040114874"/>
        <n v="4.72123294230775"/>
        <n v="4.72535374852249"/>
        <n v="4.72628116167213"/>
        <n v="4.7372718837649"/>
        <n v="4.73950998841022"/>
        <n v="4.73964103769519"/>
        <n v="4.74137458698938"/>
        <n v="4.74165640417936"/>
        <n v="4.74244504871558"/>
        <n v="4.74374943586966"/>
        <n v="4.75181090761569"/>
        <n v="4.7548722015041"/>
        <n v="4.76789467339633"/>
        <n v="4.76853394110561"/>
        <n v="4.77284083944835"/>
        <n v="4.77288728852769"/>
        <n v="4.77310677859013"/>
        <n v="4.77719303508918"/>
        <n v="4.77975673564797"/>
        <n v="4.78711161526054"/>
        <n v="4.78854565448892"/>
        <n v="4.79006505026612"/>
        <n v="4.79774756323692"/>
        <n v="4.80100078765695"/>
        <n v="4.8036376600389"/>
        <n v="4.80381705665826"/>
        <n v="4.80384507419695"/>
        <n v="4.80479664099907"/>
        <n v="4.80616942798849"/>
        <n v="4.80921421889617"/>
        <n v="4.81081851160395"/>
        <n v="4.81144473837448"/>
        <n v="4.81290879897114"/>
        <n v="4.82958462732119"/>
        <n v="4.83546657191276"/>
        <n v="4.84272459832541"/>
        <n v="4.84371082256428"/>
        <n v="4.85043565125701"/>
        <n v="4.85792992584745"/>
        <n v="4.86356003358521"/>
        <n v="4.86388437775502"/>
        <n v="4.86492467130132"/>
        <n v="4.87318781463927"/>
        <n v="4.87402209925584"/>
        <n v="4.8771859564811"/>
        <n v="4.88180918780299"/>
        <n v="4.88435055819239"/>
        <n v="4.88449546026933"/>
        <n v="4.8930578510583"/>
        <n v="4.89664284751246"/>
        <n v="4.90064529778904"/>
        <n v="4.90066733144129"/>
        <n v="4.90217792125181"/>
        <n v="4.9029549796005"/>
        <n v="4.91423273064441"/>
        <n v="4.9176643775459"/>
        <n v="4.91969072832793"/>
        <n v="4.92888726808589"/>
        <n v="4.92898901686645"/>
        <n v="4.93150460190638"/>
        <n v="4.93446782424097"/>
        <n v="4.93619170471624"/>
        <n v="4.94030331852892"/>
        <n v="4.94215195733275"/>
        <n v="4.94882696410388"/>
        <n v="4.95166588456124"/>
        <n v="4.95654348730345"/>
        <n v="4.95867566650587"/>
        <n v="4.9615566961433"/>
        <n v="4.96308713781762"/>
        <n v="4.96806052994713"/>
        <n v="4.96856459753831"/>
        <n v="4.96915844506388"/>
        <n v="4.96998233073648"/>
        <n v="4.97040808033043"/>
        <n v="4.97247564190441"/>
        <n v="4.97846452417723"/>
        <n v="4.97946174430298"/>
        <n v="4.98027661677907"/>
        <n v="4.98164288222709"/>
        <n v="4.98310968460578"/>
        <n v="4.9833437044102"/>
        <n v="4.98481233421549"/>
        <n v="4.98498512818723"/>
        <n v="4.9898015286786"/>
        <n v="4.99321084827005"/>
        <n v="4.99437260702736"/>
        <n v="4.99623635679336"/>
        <n v="4.99681897351927"/>
        <n v="4.99892447279787"/>
        <n v="4.99895679527509"/>
        <n v="4.99968185995031"/>
        <n v="5.00944616358186"/>
        <n v="5.03013145025258"/>
        <n v="5.0320659691801"/>
        <n v="5.03323836657169"/>
        <n v="5.03756349132891"/>
        <n v="5.0380941386973"/>
        <n v="5.04021824006145"/>
        <n v="5.04412729715115"/>
        <n v="5.046463468239"/>
        <n v="5.04699981382427"/>
        <n v="5.04783712515977"/>
        <n v="5.05245971033774"/>
        <n v="5.05542401393127"/>
        <n v="5.05724651334602"/>
        <n v="5.05838051426518"/>
        <n v="5.05882522356465"/>
        <n v="5.06862474484605"/>
        <n v="5.06977471143693"/>
        <n v="5.06978408475474"/>
        <n v="5.07830761088839"/>
        <n v="5.08019162358875"/>
        <n v="5.0809155853623"/>
        <n v="5.08368956925306"/>
        <n v="5.09195818963617"/>
        <n v="5.09235025631004"/>
        <n v="5.09332892079396"/>
        <n v="5.09749233559607"/>
        <n v="5.09801844603135"/>
        <n v="5.10058661717426"/>
        <n v="5.1086965368494"/>
        <n v="5.11170398535158"/>
        <n v="5.11337115046482"/>
        <n v="5.11735431849006"/>
        <n v="5.11917176708419"/>
        <n v="5.12194983826655"/>
        <n v="5.12271227122711"/>
        <n v="5.12579435952988"/>
        <n v="5.12608857306133"/>
        <n v="5.12953879771261"/>
        <n v="5.13034654685001"/>
        <n v="5.13160884947481"/>
        <n v="5.13195419832337"/>
        <n v="5.13718135893297"/>
        <n v="5.14171946897537"/>
        <n v="5.14358460206325"/>
        <n v="5.14550032551406"/>
        <n v="5.15121978101463"/>
        <n v="5.15249733076216"/>
        <n v="5.15300614148422"/>
        <n v="5.15392584465111"/>
        <n v="5.15766969535008"/>
        <n v="5.1638948759415"/>
        <n v="5.16654479502497"/>
        <n v="5.17329542262916"/>
        <n v="5.17726962654332"/>
        <n v="5.17768729596366"/>
        <n v="5.18332140076641"/>
        <n v="5.18379784510983"/>
        <n v="5.18650026998113"/>
        <n v="5.18968851060955"/>
        <n v="5.19018678497716"/>
        <n v="5.19772423677157"/>
        <n v="5.20458487037967"/>
        <n v="5.20591986100151"/>
        <n v="5.21622633354863"/>
        <n v="5.2262172955767"/>
        <n v="5.22730763910166"/>
        <n v="5.22761712155524"/>
        <n v="5.23514537305572"/>
        <n v="5.23627866480142"/>
        <n v="5.23806354867566"/>
        <n v="5.24147860888496"/>
        <n v="5.24245833945881"/>
        <n v="5.24291151369996"/>
        <n v="5.24506437159846"/>
        <n v="5.24640869625223"/>
        <n v="5.24650811908996"/>
        <n v="5.2472008898043"/>
        <n v="5.24763628827861"/>
        <n v="5.24860686618622"/>
        <n v="5.25237746891002"/>
        <n v="5.25387664458685"/>
        <n v="5.25524651439773"/>
        <n v="5.25564567697408"/>
        <n v="5.25574147304125"/>
        <n v="5.26010082675413"/>
        <n v="5.26091946098237"/>
        <n v="5.26157331398961"/>
        <n v="5.26434312401794"/>
        <n v="5.26645041198486"/>
        <n v="5.26997996120991"/>
        <n v="5.27067420432143"/>
        <n v="5.27109527363947"/>
        <n v="5.2717347021918"/>
        <n v="5.27474886227548"/>
        <n v="5.29172331747111"/>
        <n v="5.29259544053835"/>
        <n v="5.29415026627746"/>
        <n v="5.29687499999998"/>
        <n v="5.30202906386664"/>
        <n v="5.30218040266061"/>
        <n v="5.30384083267641"/>
        <n v="5.30647375171576"/>
        <n v="5.30848259703425"/>
        <n v="5.30918155047059"/>
        <n v="5.31150990745101"/>
        <n v="5.31574576740688"/>
        <n v="5.32172305485867"/>
        <n v="5.32198392804905"/>
        <n v="5.32454811276404"/>
        <n v="5.32674458160047"/>
        <n v="5.32699736761135"/>
        <n v="5.32721070170529"/>
        <n v="5.33039591800558"/>
        <n v="5.33286668099632"/>
        <n v="5.33335815947816"/>
        <n v="5.33658036084034"/>
        <n v="5.33685808503418"/>
        <n v="5.34007090826815"/>
        <n v="5.34072447859495"/>
        <n v="5.34648700874353"/>
        <n v="5.34685040122539"/>
        <n v="5.34990587451048"/>
        <n v="5.35082670550117"/>
        <n v="5.35134510338707"/>
        <n v="5.35255979469621"/>
        <n v="5.352657785871"/>
        <n v="5.35303741675254"/>
        <n v="5.36004331348132"/>
        <n v="5.3606387109068"/>
        <n v="5.3636167198867"/>
        <n v="5.37980378255008"/>
        <n v="5.39385411406319"/>
        <n v="5.39478108376829"/>
        <n v="5.39499830119328"/>
        <n v="5.39598140338711"/>
        <n v="5.39781456673538"/>
        <n v="5.40086430759913"/>
        <n v="5.40132651454846"/>
        <n v="5.40462637081623"/>
        <n v="5.40586922666279"/>
        <n v="5.40835867981715"/>
        <n v="5.40948262839858"/>
        <n v="5.41250858032837"/>
        <n v="5.41559154501212"/>
        <n v="5.42121011459497"/>
        <n v="5.42206769558793"/>
        <n v="5.42207982562508"/>
        <n v="5.42300123234904"/>
        <n v="5.4264386452569"/>
        <n v="5.43019574409747"/>
        <n v="5.43080976135983"/>
        <n v="5.43122365687457"/>
        <n v="5.43564115485832"/>
        <n v="5.43582356629729"/>
        <n v="5.43835140208684"/>
        <n v="5.4397993362702"/>
        <n v="5.4429911868436"/>
        <n v="5.44841948160674"/>
        <n v="5.45148574000918"/>
        <n v="5.45272237100343"/>
        <n v="5.45722017371804"/>
        <n v="5.45813239807103"/>
        <n v="5.45940702295907"/>
        <n v="5.46390615381518"/>
        <n v="5.47343598415333"/>
        <n v="5.47706389149947"/>
        <n v="5.47913665494659"/>
        <n v="5.48080085604875"/>
        <n v="5.48120982130374"/>
        <n v="5.48417678660104"/>
        <n v="5.48443760891001"/>
        <n v="5.48690158970645"/>
        <n v="5.48941763169139"/>
        <n v="5.50403352918042"/>
        <n v="5.50605264660538"/>
        <n v="5.5084065005498"/>
        <n v="5.51008364179446"/>
        <n v="5.51628667911151"/>
        <n v="5.5163040815419"/>
        <n v="5.51701547458209"/>
        <n v="5.51797867069959"/>
        <n v="5.51811943696484"/>
        <n v="5.51934483026267"/>
        <n v="5.52176709580572"/>
        <n v="5.52690502766665"/>
        <n v="5.53491716349278"/>
        <n v="5.53904477699685"/>
        <n v="5.54445187395389"/>
        <n v="5.54454504880711"/>
        <n v="5.54527915604106"/>
        <n v="5.55024129657691"/>
        <n v="5.55063678215746"/>
        <n v="5.55129987192483"/>
        <n v="5.55392220750524"/>
        <n v="5.55491329479769"/>
        <n v="5.55768493675738"/>
        <n v="5.55933602585597"/>
        <n v="5.56025652468519"/>
        <n v="5.56121590875829"/>
        <n v="5.56133116674884"/>
        <n v="5.56171970128093"/>
        <n v="5.56462119116654"/>
        <n v="5.56660941713541"/>
        <n v="5.56689102846482"/>
        <n v="5.57166216752989"/>
        <n v="5.57373816108902"/>
        <n v="5.57624824722224"/>
        <n v="5.57837252200823"/>
        <n v="5.58203414408749"/>
        <n v="5.58472210892348"/>
        <n v="5.58780219291535"/>
        <n v="5.58981760923763"/>
        <n v="5.58983842252535"/>
        <n v="5.59348405003748"/>
        <n v="5.59869623065513"/>
        <n v="5.59890023755833"/>
        <n v="5.6004633902099"/>
        <n v="5.6047912642995"/>
        <n v="5.60819243883592"/>
        <n v="5.61518509259386"/>
        <n v="5.61631752518268"/>
        <n v="5.61822809408291"/>
        <n v="5.62069028220869"/>
        <n v="5.63345847530369"/>
        <n v="5.6345763084189"/>
        <n v="5.63491517792972"/>
        <n v="5.63769785917886"/>
        <n v="5.6378213375182"/>
        <n v="5.64201855025422"/>
        <n v="5.64240313933566"/>
        <n v="5.64295735040307"/>
        <n v="5.64307331045859"/>
        <n v="5.64524475542006"/>
        <n v="5.64589677165235"/>
        <n v="5.64850866931381"/>
        <n v="5.64926401798022"/>
        <n v="5.65028745366645"/>
        <n v="5.66031659534934"/>
        <n v="5.66841583481861"/>
        <n v="5.67020772454676"/>
        <n v="5.67228566837995"/>
        <n v="5.67392665785263"/>
        <n v="5.67570417893396"/>
        <n v="5.68122471488007"/>
        <n v="5.68134722748603"/>
        <n v="5.68179691506125"/>
        <n v="5.6884369127688"/>
        <n v="5.69193576036935"/>
        <n v="5.69233476295703"/>
        <n v="5.69370712617744"/>
        <n v="5.69689120466789"/>
        <n v="5.70099755164809"/>
        <n v="5.7045215703504"/>
        <n v="5.70894354666477"/>
        <n v="5.71569790687194"/>
        <n v="5.71650265561493"/>
        <n v="5.71816240925221"/>
        <n v="5.71994635865573"/>
        <n v="5.72608949157419"/>
        <n v="5.72745361612414"/>
        <n v="5.73156068372887"/>
        <n v="5.73370980784103"/>
        <n v="5.73821346040197"/>
        <n v="5.74089619965967"/>
        <n v="5.74122430760217"/>
        <n v="5.74678118354269"/>
        <n v="5.74732581671003"/>
        <n v="5.74902173068208"/>
        <n v="5.75033801657751"/>
        <n v="5.75465147586049"/>
        <n v="5.75474566327951"/>
        <n v="5.75533552440383"/>
        <n v="5.75627391265951"/>
        <n v="5.75666831829069"/>
        <n v="5.75904503117861"/>
        <n v="5.75968162190239"/>
        <n v="5.76083650190114"/>
        <n v="5.76252397306861"/>
        <n v="5.76310775617719"/>
        <n v="5.76313803038518"/>
        <n v="5.76986343409274"/>
        <n v="5.77571998584629"/>
        <n v="5.77693419672651"/>
        <n v="5.78684429641964"/>
        <n v="5.78865905432776"/>
        <n v="5.78939780575292"/>
        <n v="5.7952245698908"/>
        <n v="5.79587750596812"/>
        <n v="5.79716241941083"/>
        <n v="5.79776937565498"/>
        <n v="5.79804560260586"/>
        <n v="5.80198900087793"/>
        <n v="5.80533446432975"/>
        <n v="5.809903281661"/>
        <n v="5.8115624963572"/>
        <n v="5.8178251519176"/>
        <n v="5.81851558964004"/>
        <n v="5.81970398894115"/>
        <n v="5.82461212470017"/>
        <n v="5.82814998074477"/>
        <n v="5.83551329427458"/>
        <n v="5.83715279571617"/>
        <n v="5.84125558619332"/>
        <n v="5.84651401497261"/>
        <n v="5.84711066794512"/>
        <n v="5.84735516209256"/>
        <n v="5.84835240625404"/>
        <n v="5.85461847628865"/>
        <n v="5.85678471911132"/>
        <n v="5.85747104430903"/>
        <n v="5.86454224288347"/>
        <n v="5.86831350214788"/>
        <n v="5.8728437724213"/>
        <n v="5.87759135514503"/>
        <n v="5.8799355362919"/>
        <n v="5.88343065466228"/>
        <n v="5.88577172919542"/>
        <n v="5.88861182196664"/>
        <n v="5.88882544433068"/>
        <n v="5.89172079310867"/>
        <n v="5.89812336455821"/>
        <n v="5.9000682852785"/>
        <n v="5.9001566395818"/>
        <n v="5.9057206339903"/>
        <n v="5.90775587169621"/>
        <n v="5.9090984298218"/>
        <n v="5.9094954341433"/>
        <n v="5.91293635439153"/>
        <n v="5.91533659054032"/>
        <n v="5.91834253994409"/>
        <n v="5.92057761732852"/>
        <n v="5.92142695007193"/>
        <n v="5.92404141663619"/>
        <n v="5.92437760270292"/>
        <n v="5.9253147025137"/>
        <n v="5.92911840035364"/>
        <n v="5.93305482919918"/>
        <n v="5.93662764737895"/>
        <n v="5.93747415900595"/>
        <n v="5.93802986604876"/>
        <n v="5.94082066372405"/>
        <n v="5.94882970775065"/>
        <n v="5.95200184672464"/>
        <n v="5.95419888035041"/>
        <n v="5.95747035573125"/>
        <n v="5.9576330756624"/>
        <n v="5.95975918534877"/>
        <n v="5.96051021065516"/>
        <n v="5.96242432286539"/>
        <n v="5.96816629134891"/>
        <n v="5.96902009009192"/>
        <n v="5.97016333558993"/>
        <n v="5.97296436950702"/>
        <n v="5.97395789317081"/>
        <n v="5.97423019256155"/>
        <n v="5.98082024095929"/>
        <n v="5.98697863155305"/>
        <n v="5.98735698074282"/>
        <n v="5.9954015475149"/>
        <n v="6.00306340068293"/>
        <n v="6.00388884492373"/>
        <n v="6.00803231274891"/>
        <n v="6.00929326990626"/>
        <n v="6.01282701449151"/>
        <n v="6.01332463086339"/>
        <n v="6.01381573966514"/>
        <n v="6.01687155763732"/>
        <n v="6.01867215034108"/>
        <n v="6.01905660290407"/>
        <n v="6.02161233313596"/>
        <n v="6.02199484369966"/>
        <n v="6.02335576081603"/>
        <n v="6.02776150302203"/>
        <n v="6.02782258848225"/>
        <n v="6.02861409926192"/>
        <n v="6.03210805582088"/>
        <n v="6.03891632286157"/>
        <n v="6.0417241412114"/>
        <n v="6.04238930919257"/>
        <n v="6.04342710630777"/>
        <n v="6.04689341468114"/>
        <n v="6.04740451820828"/>
        <n v="6.05242451009335"/>
        <n v="6.0534022123998"/>
        <n v="6.0534692343894"/>
        <n v="6.05583966684017"/>
        <n v="6.0588775272375"/>
        <n v="6.05962857132175"/>
        <n v="6.06072046393684"/>
        <n v="6.06127763310987"/>
        <n v="6.07182256229887"/>
        <n v="6.07211313338089"/>
        <n v="6.07245349074003"/>
        <n v="6.07739557517158"/>
        <n v="6.07806545477349"/>
        <n v="6.07877783220259"/>
        <n v="6.07879985568976"/>
        <n v="6.08051653417338"/>
        <n v="6.08133890619315"/>
        <n v="6.08146561645173"/>
        <n v="6.08248454125991"/>
        <n v="6.08872147813628"/>
        <n v="6.09187722543163"/>
        <n v="6.09243196151218"/>
        <n v="6.09782776399933"/>
        <n v="6.09799564076916"/>
        <n v="6.09803508895008"/>
        <n v="6.09822230842612"/>
        <n v="6.10191034501992"/>
        <n v="6.10204726659143"/>
        <n v="6.10372898293181"/>
        <n v="6.10742582848534"/>
        <n v="6.10933606346491"/>
        <n v="6.11161511355961"/>
        <n v="6.11217346441953"/>
        <n v="6.11538805316279"/>
        <n v="6.11630858175705"/>
        <n v="6.11735893139424"/>
        <n v="6.11950454166463"/>
        <n v="6.11985426673429"/>
        <n v="6.12243016367837"/>
        <n v="6.12401783359214"/>
        <n v="6.1284328332299"/>
        <n v="6.13409178925522"/>
        <n v="6.13410356708028"/>
        <n v="6.1354317509956"/>
        <n v="6.13675391912567"/>
        <n v="6.1384338682515"/>
        <n v="6.13957636433045"/>
        <n v="6.1415417409025"/>
        <n v="6.14174504023827"/>
        <n v="6.14423133667749"/>
        <n v="6.14856682875813"/>
        <n v="6.14895875912509"/>
        <n v="6.15051263057158"/>
        <n v="6.15090226131602"/>
        <n v="6.15312752133849"/>
        <n v="6.15317291054686"/>
        <n v="6.16195856873823"/>
        <n v="6.16361825472787"/>
        <n v="6.16556829479732"/>
        <n v="6.16933662069066"/>
        <n v="6.17316488777192"/>
        <n v="6.17492249148399"/>
        <n v="6.17537801973049"/>
        <n v="6.17620134579261"/>
        <n v="6.17796079242368"/>
        <n v="6.17875769026576"/>
        <n v="6.18034048233847"/>
        <n v="6.18451123530575"/>
        <n v="6.18619235251679"/>
        <n v="6.18741578837374"/>
        <n v="6.18753757379879"/>
        <n v="6.18787410211644"/>
        <n v="6.19589016019253"/>
        <n v="6.19695011668942"/>
        <n v="6.19822468072966"/>
        <n v="6.19862438383962"/>
        <n v="6.19994759047681"/>
        <n v="6.20293745628695"/>
        <n v="6.20325404072527"/>
        <n v="6.20327087791396"/>
        <n v="6.20389461599651"/>
        <n v="6.2048630305751"/>
        <n v="6.20905901241691"/>
        <n v="6.21136375454053"/>
        <n v="6.21318377515603"/>
        <n v="6.21380965543257"/>
        <n v="6.22280159122887"/>
        <n v="6.22341432368893"/>
        <n v="6.2249007161046"/>
        <n v="6.22778162423246"/>
        <n v="6.22889493397667"/>
        <n v="6.23279073288915"/>
        <n v="6.23898079091164"/>
        <n v="6.24060634251607"/>
        <n v="6.24600991282748"/>
        <n v="6.24610434834412"/>
        <n v="6.24798618996939"/>
        <n v="6.24813809623194"/>
        <n v="6.25194647800935"/>
        <n v="6.25872866222582"/>
        <n v="6.2603517606799"/>
        <n v="6.26103762294654"/>
        <n v="6.26577109282159"/>
        <n v="6.26775096398675"/>
        <n v="6.27201627718273"/>
        <n v="6.27816908997887"/>
        <n v="6.28210762327565"/>
        <n v="6.28757238829721"/>
        <n v="6.29066709679018"/>
        <n v="6.29416005767845"/>
        <n v="6.29436819687649"/>
        <n v="6.29505939006034"/>
        <n v="6.30041041738356"/>
        <n v="6.30329643138396"/>
        <n v="6.30498448012815"/>
        <n v="6.30515896355626"/>
        <n v="6.30992614845772"/>
        <n v="6.3109312657155"/>
        <n v="6.31201764057332"/>
        <n v="6.32042814146747"/>
        <n v="6.3207404494722"/>
        <n v="6.32184389381863"/>
        <n v="6.3223266316081"/>
        <n v="6.32682220068873"/>
        <n v="6.32767487390425"/>
        <n v="6.32905762422388"/>
        <n v="6.33038348082596"/>
        <n v="6.33192846090929"/>
        <n v="6.33337102873623"/>
        <n v="6.33389010898369"/>
        <n v="6.33576329524735"/>
        <n v="6.33732703791815"/>
        <n v="6.34288460383252"/>
        <n v="6.34332113685489"/>
        <n v="6.34505341234719"/>
        <n v="6.34828314679114"/>
        <n v="6.34991879582567"/>
        <n v="6.35012313082333"/>
        <n v="6.35069921678993"/>
        <n v="6.35414666216508"/>
        <n v="6.35653135239408"/>
        <n v="6.35863729562983"/>
        <n v="6.36283861444429"/>
        <n v="6.36285184393788"/>
        <n v="6.36517014041291"/>
        <n v="6.36872771167903"/>
        <n v="6.36877514491481"/>
        <n v="6.36885044937878"/>
        <n v="6.36995044431663"/>
        <n v="6.37089706961534"/>
        <n v="6.37786270218119"/>
        <n v="6.3785270014392"/>
        <n v="6.37889464603603"/>
        <n v="6.38028546459524"/>
        <n v="6.38192616993556"/>
        <n v="6.39073516622935"/>
        <n v="6.39617721382872"/>
        <n v="6.39877642926643"/>
        <n v="6.40161577244841"/>
        <n v="6.40767136525399"/>
        <n v="6.40890277895093"/>
        <n v="6.40920167182953"/>
        <n v="6.41131579642712"/>
        <n v="6.41352224544085"/>
        <n v="6.42065653549596"/>
        <n v="6.42296475510012"/>
        <n v="6.4259239853566"/>
        <n v="6.43387450636244"/>
        <n v="6.44304371118117"/>
        <n v="6.4450581525888"/>
        <n v="6.44540795010349"/>
        <n v="6.44625192583144"/>
        <n v="6.44631492506672"/>
        <n v="6.44691690999496"/>
        <n v="6.44935108863337"/>
        <n v="6.4522639435971"/>
        <n v="6.45485851825504"/>
        <n v="6.45541364593234"/>
        <n v="6.45545879000923"/>
        <n v="6.45838334647965"/>
        <n v="6.45927099515512"/>
        <n v="6.46487353904828"/>
        <n v="6.47282919135703"/>
        <n v="6.47547673187762"/>
        <n v="6.47644382387636"/>
        <n v="6.4770035283522"/>
        <n v="6.47799630906602"/>
        <n v="6.48253568442791"/>
        <n v="6.48281950843296"/>
        <n v="6.48368894456064"/>
        <n v="6.48514479477785"/>
        <n v="6.49170305676856"/>
        <n v="6.49429631071321"/>
        <n v="6.49906392083445"/>
        <n v="6.49982576851097"/>
        <n v="6.50018316154713"/>
        <n v="6.50234800659184"/>
        <n v="6.50293559705489"/>
        <n v="6.5033626233371"/>
        <n v="6.50389088814362"/>
        <n v="6.5039359285331"/>
        <n v="6.50480318048803"/>
        <n v="6.51010413547103"/>
        <n v="6.5153035161467"/>
        <n v="6.52059548821524"/>
        <n v="6.52127284293714"/>
        <n v="6.52399893471706"/>
        <n v="6.5263445070463"/>
        <n v="6.52662364947187"/>
        <n v="6.52714700911797"/>
        <n v="6.54259115216756"/>
        <n v="6.54480371021282"/>
        <n v="6.55080625781765"/>
        <n v="6.55704966049794"/>
        <n v="6.55744860920813"/>
        <n v="6.56019182629001"/>
        <n v="6.56801761774138"/>
        <n v="6.57164821703041"/>
        <n v="6.57381115164461"/>
        <n v="6.57547948421403"/>
        <n v="6.57629437332378"/>
        <n v="6.57685981340946"/>
        <n v="6.57705458192952"/>
        <n v="6.58212962226734"/>
        <n v="6.58691124994461"/>
        <n v="6.58715321282812"/>
        <n v="6.59083453538224"/>
        <n v="6.59346937417626"/>
        <n v="6.59734770433772"/>
        <n v="6.60181470055015"/>
        <n v="6.60189543620643"/>
        <n v="6.60515926536928"/>
        <n v="6.60662955201773"/>
        <n v="6.60852297330996"/>
        <n v="6.60861296699448"/>
        <n v="6.61354350786706"/>
        <n v="6.61759564479073"/>
        <n v="6.62087178679382"/>
        <n v="6.62133014540924"/>
        <n v="6.62168878847783"/>
        <n v="6.6235167206041"/>
        <n v="6.624665398091"/>
        <n v="6.62716025232768"/>
        <n v="6.6334861751331"/>
        <n v="6.63541708339789"/>
        <n v="6.64254072911757"/>
        <n v="6.6448633208129"/>
        <n v="6.64518953382649"/>
        <n v="6.64690114162218"/>
        <n v="6.64822194776644"/>
        <n v="6.64976543770965"/>
        <n v="6.65360120253011"/>
        <n v="6.65567098600343"/>
        <n v="6.65661589401707"/>
        <n v="6.65981095072309"/>
        <n v="6.66211755614109"/>
        <n v="6.66386659474603"/>
        <n v="6.66498110769318"/>
        <n v="6.66531115776553"/>
        <n v="6.66547669455272"/>
        <n v="6.66613281020664"/>
        <n v="6.67070869112112"/>
        <n v="6.6718956558125"/>
        <n v="6.67218801332465"/>
        <n v="6.67223231298547"/>
        <n v="6.67364326917007"/>
        <n v="6.67423249026254"/>
        <n v="6.68079253569256"/>
        <n v="6.68163265306122"/>
        <n v="6.68618453255017"/>
        <n v="6.69080376370288"/>
        <n v="6.69255117289605"/>
        <n v="6.69348501735256"/>
        <n v="6.69509546647361"/>
        <n v="6.69923954949039"/>
        <n v="6.70296262490153"/>
        <n v="6.70405806664467"/>
        <n v="6.7045165634118"/>
        <n v="6.70574049938043"/>
        <n v="6.70789225999481"/>
        <n v="6.70838205716504"/>
        <n v="6.70872528586718"/>
        <n v="6.71503464284462"/>
        <n v="6.7172236709512"/>
        <n v="6.71742118699112"/>
        <n v="6.71829805045847"/>
        <n v="6.72137193435368"/>
        <n v="6.72215496368038"/>
        <n v="6.72708325579664"/>
        <n v="6.73095945079586"/>
        <n v="6.73225426960546"/>
        <n v="6.73244652313196"/>
        <n v="6.73484457515815"/>
        <n v="6.73580106967797"/>
        <n v="6.73776221088691"/>
        <n v="6.73968609242385"/>
        <n v="6.74397162814535"/>
        <n v="6.75108795337742"/>
        <n v="6.75724042219056"/>
        <n v="6.75781507246251"/>
        <n v="6.75865734582474"/>
        <n v="6.76042985239526"/>
        <n v="6.76600426306258"/>
        <n v="6.77003978684809"/>
        <n v="6.77069591546995"/>
        <n v="6.77125297256583"/>
        <n v="6.77430242809013"/>
        <n v="6.7774230386817"/>
        <n v="6.77986564367195"/>
        <n v="6.78145878580296"/>
        <n v="6.78555068115505"/>
        <n v="6.78938656362649"/>
        <n v="6.79175544454509"/>
        <n v="6.79209725176018"/>
        <n v="6.7951929434966"/>
        <n v="6.79869387099826"/>
        <n v="6.80015059659418"/>
        <n v="6.80034393160289"/>
        <n v="6.80204166246158"/>
        <n v="6.80231661932131"/>
        <n v="6.80292854069974"/>
        <n v="6.8037797811877"/>
        <n v="6.80710082825451"/>
        <n v="6.80770332704952"/>
        <n v="6.81036790302391"/>
        <n v="6.81178557924435"/>
        <n v="6.82009747819345"/>
        <n v="6.82265372453198"/>
        <n v="6.82267042985821"/>
        <n v="6.82899249007484"/>
        <n v="6.82900056603506"/>
        <n v="6.82904865027123"/>
        <n v="6.83242573492288"/>
        <n v="6.83372545740427"/>
        <n v="6.83810936000004"/>
        <n v="6.83989946748193"/>
        <n v="6.84468302720475"/>
        <n v="6.84485594494152"/>
        <n v="6.84753990494232"/>
        <n v="6.84779867163634"/>
        <n v="6.85106522611246"/>
        <n v="6.85672655121694"/>
        <n v="6.86698635448545"/>
        <n v="6.87002402905191"/>
        <n v="6.87161357323776"/>
        <n v="6.87328424302963"/>
        <n v="6.88410231305838"/>
        <n v="6.88992072041516"/>
        <n v="6.89122651092183"/>
        <n v="6.89256282476621"/>
        <n v="6.89401849117341"/>
        <n v="6.89456522740058"/>
        <n v="6.89706087287684"/>
        <n v="6.89851812476654"/>
        <n v="6.90027720520293"/>
        <n v="6.9015817706232"/>
        <n v="6.90364540076409"/>
        <n v="6.90638820850651"/>
        <n v="6.90675526788984"/>
        <n v="6.90737833594976"/>
        <n v="6.90827510114013"/>
        <n v="6.90888852713408"/>
        <n v="6.91361293405373"/>
        <n v="6.91462242086298"/>
        <n v="6.92455337368965"/>
        <n v="6.92734157041847"/>
        <n v="6.93745438254463"/>
        <n v="6.93912141376761"/>
        <n v="6.94438821155465"/>
        <n v="6.94453339200105"/>
        <n v="6.9453925927685"/>
        <n v="6.95015497501423"/>
        <n v="6.95671345630927"/>
        <n v="6.95819341721568"/>
        <n v="6.96510848236943"/>
        <n v="6.9657111635283"/>
        <n v="6.97088599285269"/>
        <n v="6.97188198936379"/>
        <n v="6.97320328503478"/>
        <n v="6.97358001363652"/>
        <n v="6.97680463249326"/>
        <n v="6.98156158205135"/>
        <n v="6.98574887573491"/>
        <n v="7.00064486103734"/>
        <n v="7.00142623246452"/>
        <n v="7.00618893983434"/>
        <n v="7.00773328875171"/>
        <n v="7.00992563934177"/>
        <n v="7.00996375462117"/>
        <n v="7.02783585309784"/>
        <n v="7.03218238630279"/>
        <n v="7.03325727997514"/>
        <n v="7.03474134381539"/>
        <n v="7.0420459592027"/>
        <n v="7.04298107992242"/>
        <n v="7.04358721770948"/>
        <n v="7.04679490712672"/>
        <n v="7.04681468931342"/>
        <n v="7.04936991980799"/>
        <n v="7.05640041340617"/>
        <n v="7.05723604062749"/>
        <n v="7.06232633521444"/>
        <n v="7.06934777887052"/>
        <n v="7.07166683143484"/>
        <n v="7.07282989998693"/>
        <n v="7.07607803268977"/>
        <n v="7.07750125113704"/>
        <n v="7.07840284497405"/>
        <n v="7.08037125605604"/>
        <n v="7.08042239366735"/>
        <n v="7.08150601182942"/>
        <n v="7.08332701090997"/>
        <n v="7.08593397232744"/>
        <n v="7.08653469707351"/>
        <n v="7.08961691067008"/>
        <n v="7.09236877909117"/>
        <n v="7.09351064441078"/>
        <n v="7.09552824845602"/>
        <n v="7.09665225575454"/>
        <n v="7.09704442741422"/>
        <n v="7.10155186568583"/>
        <n v="7.10215017091056"/>
        <n v="7.1086653506604"/>
        <n v="7.11181790041046"/>
        <n v="7.1171323908343"/>
        <n v="7.11768688195437"/>
        <n v="7.11796537339388"/>
        <n v="7.1194846837988"/>
        <n v="7.12015486426867"/>
        <n v="7.12054442923316"/>
        <n v="7.13152393089417"/>
        <n v="7.1325057995262"/>
        <n v="7.13780335636009"/>
        <n v="7.13848497803072"/>
        <n v="7.14178080513562"/>
        <n v="7.15453826918918"/>
        <n v="7.15583591754844"/>
        <n v="7.15653465079758"/>
        <n v="7.15674833100528"/>
        <n v="7.16361968726424"/>
        <n v="7.16552289870151"/>
        <n v="7.16757922188043"/>
        <n v="7.16795502459595"/>
        <n v="7.1682930638015"/>
        <n v="7.16854236074783"/>
        <n v="7.17120407420881"/>
        <n v="7.17361246695326"/>
        <n v="7.1810716473546"/>
        <n v="7.18384647053074"/>
        <n v="7.18696645264862"/>
        <n v="7.18802952572271"/>
        <n v="7.1884694021987"/>
        <n v="7.18867423236042"/>
        <n v="7.18913686837938"/>
        <n v="7.1926236413399"/>
        <n v="7.19307445417749"/>
        <n v="7.19318651832596"/>
        <n v="7.19652474337337"/>
        <n v="7.19805041088045"/>
        <n v="7.2002969194606"/>
        <n v="7.20080758191001"/>
        <n v="7.20244267372495"/>
        <n v="7.20847369212134"/>
        <n v="7.21766121649548"/>
        <n v="7.21948309582876"/>
        <n v="7.22207435010203"/>
        <n v="7.22301942558524"/>
        <n v="7.22408317453948"/>
        <n v="7.22443145308927"/>
        <n v="7.22922962897784"/>
        <n v="7.23822928915018"/>
        <n v="7.24013457738771"/>
        <n v="7.25080539849426"/>
        <n v="7.25277601171273"/>
        <n v="7.25404871126961"/>
        <n v="7.25476405155142"/>
        <n v="7.2641625115181"/>
        <n v="7.26710107033592"/>
        <n v="7.26734080395165"/>
        <n v="7.26947070442738"/>
        <n v="7.26959258805247"/>
        <n v="7.27020687866145"/>
        <n v="7.27249728653386"/>
        <n v="7.27374381726406"/>
        <n v="7.27909444624439"/>
        <n v="7.27970881164753"/>
        <n v="7.27972537987242"/>
        <n v="7.28748772926425"/>
        <n v="7.28852150145551"/>
        <n v="7.29207028283478"/>
        <n v="7.2943759434462"/>
        <n v="7.29551214255782"/>
        <n v="7.29719275990146"/>
        <n v="7.29758266680283"/>
        <n v="7.29775196061209"/>
        <n v="7.30247467979917"/>
        <n v="7.30947497181182"/>
        <n v="7.31934392193812"/>
        <n v="7.32165303612249"/>
        <n v="7.32407250870399"/>
        <n v="7.32665968476951"/>
        <n v="7.3283307312093"/>
        <n v="7.33444279624836"/>
        <n v="7.33471678099222"/>
        <n v="7.33516175255976"/>
        <n v="7.33616003037585"/>
        <n v="7.33891299369823"/>
        <n v="7.33921511801547"/>
        <n v="7.33948411878898"/>
        <n v="7.34076016946787"/>
        <n v="7.34361727378036"/>
        <n v="7.35597817711063"/>
        <n v="7.36141154456763"/>
        <n v="7.36590956333364"/>
        <n v="7.37034017663464"/>
        <n v="7.37410954400026"/>
        <n v="7.37468219536915"/>
        <n v="7.39010434564427"/>
        <n v="7.39654716162292"/>
        <n v="7.39700568567759"/>
        <n v="7.4021476396238"/>
        <n v="7.40292225140179"/>
        <n v="7.41007892438316"/>
        <n v="7.41342460214309"/>
        <n v="7.41432115816826"/>
        <n v="7.41854637522256"/>
        <n v="7.41901225639898"/>
        <n v="7.42284270959338"/>
        <n v="7.42556281483826"/>
        <n v="7.42814746990737"/>
        <n v="7.43002467608347"/>
        <n v="7.43335627877759"/>
        <n v="7.4389815982125"/>
        <n v="7.43919860713491"/>
        <n v="7.44059589522102"/>
        <n v="7.44712743650716"/>
        <n v="7.44812865284437"/>
        <n v="7.44936444845551"/>
        <n v="7.45077224271952"/>
        <n v="7.45497083209203"/>
        <n v="7.45812535189163"/>
        <n v="7.45847931320371"/>
        <n v="7.46462982552986"/>
        <n v="7.46591069875712"/>
        <n v="7.47748257184145"/>
        <n v="7.47853137786459"/>
        <n v="7.48480518426252"/>
        <n v="7.48516061452514"/>
        <n v="7.48670875980059"/>
        <n v="7.48763523491103"/>
        <n v="7.48847139450844"/>
        <n v="7.48912575216443"/>
        <n v="7.49138740496971"/>
        <n v="7.4924277148001"/>
        <n v="7.49817313347711"/>
        <n v="7.5044293015332"/>
        <n v="7.50661148209279"/>
        <n v="7.50668101758265"/>
        <n v="7.50677608684962"/>
        <n v="7.50834393833888"/>
        <n v="7.51444685444475"/>
        <n v="7.52277980762061"/>
        <n v="7.52364433681317"/>
        <n v="7.5236911546097"/>
        <n v="7.52617207713242"/>
        <n v="7.52719785564518"/>
        <n v="7.53057590835267"/>
        <n v="7.54105544911685"/>
        <n v="7.54398084564426"/>
        <n v="7.54647506686323"/>
        <n v="7.54922891539602"/>
        <n v="7.55308284520525"/>
        <n v="7.55417097545741"/>
        <n v="7.55437067552285"/>
        <n v="7.56012227565467"/>
        <n v="7.56314994485382"/>
        <n v="7.56805252648804"/>
        <n v="7.57037565133515"/>
        <n v="7.57269937216032"/>
        <n v="7.57456627010662"/>
        <n v="7.57637392658086"/>
        <n v="7.57669309398184"/>
        <n v="7.57681420576852"/>
        <n v="7.58241105153334"/>
        <n v="7.58695334703826"/>
        <n v="7.58722306920746"/>
        <n v="7.58793191882532"/>
        <n v="7.59348084651685"/>
        <n v="7.60089953974738"/>
        <n v="7.61014686248331"/>
        <n v="7.61260772233465"/>
        <n v="7.61296197038482"/>
        <n v="7.61393354463796"/>
        <n v="7.61726323099627"/>
        <n v="7.62254206467611"/>
        <n v="7.62266792542704"/>
        <n v="7.62428422720609"/>
        <n v="7.62761878485166"/>
        <n v="7.63025450386045"/>
        <n v="7.63258953806769"/>
        <n v="7.63325621918182"/>
        <n v="7.63466990684488"/>
        <n v="7.6368046913761"/>
        <n v="7.64085715577148"/>
        <n v="7.64110953837246"/>
        <n v="7.64207296576803"/>
        <n v="7.64378035003838"/>
        <n v="7.64771271237185"/>
        <n v="7.64807631210458"/>
        <n v="7.64915873866909"/>
        <n v="7.65168248895573"/>
        <n v="7.65463028002024"/>
        <n v="7.65823044912091"/>
        <n v="7.65824860610036"/>
        <n v="7.65871091665051"/>
        <n v="7.67442694376293"/>
        <n v="7.67563323435103"/>
        <n v="7.67710714236149"/>
        <n v="7.67751549247746"/>
        <n v="7.67840008529088"/>
        <n v="7.68563332146101"/>
        <n v="7.69085377694349"/>
        <n v="7.69294915766363"/>
        <n v="7.69536140798484"/>
        <n v="7.69623550543066"/>
        <n v="7.69684020679302"/>
        <n v="7.69988811463855"/>
        <n v="7.70013840261849"/>
        <n v="7.70512479426207"/>
        <n v="7.70624813472164"/>
        <n v="7.70714080053676"/>
        <n v="7.70901404413872"/>
        <n v="7.72305361016477"/>
        <n v="7.72931544118909"/>
        <n v="7.73326648519955"/>
        <n v="7.73553173520779"/>
        <n v="7.73691077836549"/>
        <n v="7.74491466496242"/>
        <n v="7.74687750406163"/>
        <n v="7.74755467729177"/>
        <n v="7.74951011065273"/>
        <n v="7.76281405281366"/>
        <n v="7.76336676047527"/>
        <n v="7.76418294489832"/>
        <n v="7.76676005941382"/>
        <n v="7.76798074623689"/>
        <n v="7.78124052536738"/>
        <n v="7.78434537351746"/>
        <n v="7.78532808696895"/>
        <n v="7.79174549151307"/>
        <n v="7.79670110640048"/>
        <n v="7.80334755258579"/>
        <n v="7.80590455456818"/>
        <n v="7.80666569838726"/>
        <n v="7.81204836342313"/>
        <n v="7.81435007185565"/>
        <n v="7.81899547882925"/>
        <n v="7.82033822942023"/>
        <n v="7.82131436052922"/>
        <n v="7.82393424220296"/>
        <n v="7.82415064402447"/>
        <n v="7.82989418889494"/>
        <n v="7.83546588758868"/>
        <n v="7.83740211883924"/>
        <n v="7.84474410921262"/>
        <n v="7.84953761178538"/>
        <n v="7.85099934869048"/>
        <n v="7.85758571876901"/>
        <n v="7.86474029874857"/>
        <n v="7.86485509118148"/>
        <n v="7.86622741030584"/>
        <n v="7.87059980916172"/>
        <n v="7.87147057638863"/>
        <n v="7.87229879962715"/>
        <n v="7.87862917418194"/>
        <n v="7.87996520749092"/>
        <n v="7.88333835094186"/>
        <n v="7.88426481167791"/>
        <n v="7.89485606391957"/>
        <n v="7.89764509602846"/>
        <n v="7.89788623245556"/>
        <n v="7.9109371341012"/>
        <n v="7.91375826613562"/>
        <n v="7.91789369672872"/>
        <n v="7.92076996784703"/>
        <n v="7.92446475366588"/>
        <n v="7.92758894716033"/>
        <n v="7.92986936279619"/>
        <n v="7.9320431765613"/>
        <n v="7.93247300151211"/>
        <n v="7.93325449540694"/>
        <n v="7.9553292800524"/>
        <n v="7.95560329394913"/>
        <n v="7.9557365340556"/>
        <n v="7.95634033676054"/>
        <n v="7.95821125218266"/>
        <n v="7.96051786905806"/>
        <n v="7.96056409932468"/>
        <n v="7.96536006504818"/>
        <n v="7.96594907814549"/>
        <n v="7.96895516629465"/>
        <n v="7.96969342832438"/>
        <n v="7.96998235728377"/>
        <n v="7.97473147045472"/>
        <n v="7.97872340425533"/>
        <n v="7.99260389976194"/>
        <n v="7.99470861928682"/>
        <n v="7.99677094642601"/>
        <n v="7.99967214458424"/>
        <n v="7.9997932602853"/>
        <n v="8.00381597815895"/>
        <n v="8.00880648754394"/>
        <n v="8.00985862399391"/>
        <n v="8.01429937853651"/>
        <n v="8.01469743943047"/>
        <n v="8.01570252277506"/>
        <n v="8.01940971926631"/>
        <n v="8.02060104808745"/>
        <n v="8.02460162455219"/>
        <n v="8.02472300742977"/>
        <n v="8.02531360359228"/>
        <n v="8.03075069710255"/>
        <n v="8.03623677695251"/>
        <n v="8.03757607413364"/>
        <n v="8.03888792331123"/>
        <n v="8.05022032399375"/>
        <n v="8.05750312615256"/>
        <n v="8.06031637564559"/>
        <n v="8.06807512594667"/>
        <n v="8.07185967777426"/>
        <n v="8.07818937964496"/>
        <n v="8.07960126386646"/>
        <n v="8.0819933775367"/>
        <n v="8.0910086385205"/>
        <n v="8.09427590635003"/>
        <n v="8.09589148014628"/>
        <n v="8.0984354041581"/>
        <n v="8.10006095990116"/>
        <n v="8.10033510195705"/>
        <n v="8.10186216472687"/>
        <n v="8.10534617677296"/>
        <n v="8.10536757755352"/>
        <n v="8.10812835227453"/>
        <n v="8.10984520152334"/>
        <n v="8.11103059821909"/>
        <n v="8.11441808012923"/>
        <n v="8.12009444412451"/>
        <n v="8.12298498073445"/>
        <n v="8.12389505871525"/>
        <n v="8.12470597715665"/>
        <n v="8.12513099496487"/>
        <n v="8.12864456193338"/>
        <n v="8.12879303671283"/>
        <n v="8.1371025093645"/>
        <n v="8.14385024191667"/>
        <n v="8.14519602446289"/>
        <n v="8.15046293607184"/>
        <n v="8.15196446838939"/>
        <n v="8.15199426365808"/>
        <n v="8.15760147353357"/>
        <n v="8.16127381609139"/>
        <n v="8.16141309294162"/>
        <n v="8.16172280756514"/>
        <n v="8.16578010052483"/>
        <n v="8.17086334543984"/>
        <n v="8.17110910844184"/>
        <n v="8.17209293176727"/>
        <n v="8.17652590428326"/>
        <n v="8.17848343450196"/>
        <n v="8.1819665847693"/>
        <n v="8.18384209864416"/>
        <n v="8.2010329909089"/>
        <n v="8.21683033841858"/>
        <n v="8.22227800343815"/>
        <n v="8.22246944174607"/>
        <n v="8.22387951632756"/>
        <n v="8.23718435076294"/>
        <n v="8.23751835628764"/>
        <n v="8.24015962270996"/>
        <n v="8.24902768589012"/>
        <n v="8.25202821767242"/>
        <n v="8.25572720643089"/>
        <n v="8.25667860093639"/>
        <n v="8.260182806116"/>
        <n v="8.26768681864516"/>
        <n v="8.27039907978045"/>
        <n v="8.27311386683319"/>
        <n v="8.27489612689494"/>
        <n v="8.27754100318472"/>
        <n v="8.27972037010682"/>
        <n v="8.29513120455264"/>
        <n v="8.30514714392442"/>
        <n v="8.31162379464009"/>
        <n v="8.31195135930323"/>
        <n v="8.31232797015248"/>
        <n v="8.31269317155068"/>
        <n v="8.31305598566868"/>
        <n v="8.31402232880514"/>
        <n v="8.31708614808692"/>
        <n v="8.32715024695277"/>
        <n v="8.33059475145908"/>
        <n v="8.33520373695402"/>
        <n v="8.3352435008198"/>
        <n v="8.34914611005691"/>
        <n v="8.35555048658809"/>
        <n v="8.35701398100401"/>
        <n v="8.36180353092929"/>
        <n v="8.36441471173133"/>
        <n v="8.37271335188448"/>
        <n v="8.37286538485683"/>
        <n v="8.37490342759358"/>
        <n v="8.38005330700221"/>
        <n v="8.38240839675358"/>
        <n v="8.38314745257623"/>
        <n v="8.38334654696867"/>
        <n v="8.38389370819091"/>
        <n v="8.38617872852281"/>
        <n v="8.38891940581018"/>
        <n v="8.39448630044724"/>
        <n v="8.3965319916215"/>
        <n v="8.40303884238002"/>
        <n v="8.40485751608689"/>
        <n v="8.40742247502019"/>
        <n v="8.40784969577187"/>
        <n v="8.41385245058971"/>
        <n v="8.42082979282968"/>
        <n v="8.42114396624268"/>
        <n v="8.4312296729509"/>
        <n v="8.43189545467225"/>
        <n v="8.43261944789611"/>
        <n v="8.4330098548108"/>
        <n v="8.43880687955243"/>
        <n v="8.44010795396139"/>
        <n v="8.44624666205123"/>
        <n v="8.44671626013495"/>
        <n v="8.44681555606178"/>
        <n v="8.45439039616022"/>
        <n v="8.46170882990635"/>
        <n v="8.46465902921614"/>
        <n v="8.46637571694438"/>
        <n v="8.46772407284352"/>
        <n v="8.47625329815304"/>
        <n v="8.47940055211667"/>
        <n v="8.48603885392634"/>
        <n v="8.48808240843118"/>
        <n v="8.49288204333868"/>
        <n v="8.49426117289139"/>
        <n v="8.49480743035451"/>
        <n v="8.49995053628787"/>
        <n v="8.50307643984835"/>
        <n v="8.50963527413197"/>
        <n v="8.51459140011259"/>
        <n v="8.52010029474675"/>
        <n v="8.52606974848512"/>
        <n v="8.527161814622"/>
        <n v="8.53097847654876"/>
        <n v="8.53236273519122"/>
        <n v="8.53400220875022"/>
        <n v="8.53770248350535"/>
        <n v="8.55227948690922"/>
        <n v="8.55321588025652"/>
        <n v="8.55661434984084"/>
        <n v="8.56032461946366"/>
        <n v="8.56054050628421"/>
        <n v="8.56281659639179"/>
        <n v="8.56307094817259"/>
        <n v="8.5691995910974"/>
        <n v="8.56932848536926"/>
        <n v="8.57356477770239"/>
        <n v="8.57923592196518"/>
        <n v="8.58462666329766"/>
        <n v="8.58647486636625"/>
        <n v="8.59324765735169"/>
        <n v="8.59339407920839"/>
        <n v="8.59433938393204"/>
        <n v="8.59470193167405"/>
        <n v="8.59796434736083"/>
        <n v="8.59941816117645"/>
        <n v="8.59945673977426"/>
        <n v="8.60316515074355"/>
        <n v="8.6034032564596"/>
        <n v="8.6034267985992"/>
        <n v="8.60407790277565"/>
        <n v="8.60808840154968"/>
        <n v="8.60910184063606"/>
        <n v="8.60970844687147"/>
        <n v="8.6174948801214"/>
        <n v="8.61802858772278"/>
        <n v="8.62372974667574"/>
        <n v="8.62560268892414"/>
        <n v="8.63906241154033"/>
        <n v="8.63933703168714"/>
        <n v="8.64289563044856"/>
        <n v="8.64432986343122"/>
        <n v="8.65348177978305"/>
        <n v="8.65586222740504"/>
        <n v="8.66854367499633"/>
        <n v="8.66951818349481"/>
        <n v="8.67355563487394"/>
        <n v="8.69484511361097"/>
        <n v="8.69535546638188"/>
        <n v="8.69572756071361"/>
        <n v="8.69742989881295"/>
        <n v="8.70116262289733"/>
        <n v="8.70686101478271"/>
        <n v="8.70823127373869"/>
        <n v="8.70929628963474"/>
        <n v="8.71541811507253"/>
        <n v="8.71544281791443"/>
        <n v="8.71779055018124"/>
        <n v="8.71870000192766"/>
        <n v="8.72054204389324"/>
        <n v="8.7212982137861"/>
        <n v="8.72191956051656"/>
        <n v="8.72244862645887"/>
        <n v="8.72404269953847"/>
        <n v="8.72446833819044"/>
        <n v="8.73718159760227"/>
        <n v="8.73948270121307"/>
        <n v="8.74544617917658"/>
        <n v="8.74554300317714"/>
        <n v="8.74620427238145"/>
        <n v="8.74627381518123"/>
        <n v="8.75311660332599"/>
        <n v="8.75375531255996"/>
        <n v="8.75382862399515"/>
        <n v="8.75439776797196"/>
        <n v="8.76258309101144"/>
        <n v="8.7664791334285"/>
        <n v="8.77244506167797"/>
        <n v="8.78064065431951"/>
        <n v="8.78242397137746"/>
        <n v="8.7896244348541"/>
        <n v="8.79537564681994"/>
        <n v="8.79544445220298"/>
        <n v="8.80532482905679"/>
        <n v="8.80659099432418"/>
        <n v="8.80770172486547"/>
        <n v="8.80777795450932"/>
        <n v="8.81313996923753"/>
        <n v="8.81357069635229"/>
        <n v="8.8256746900073"/>
        <n v="8.82682322663209"/>
        <n v="8.82817508559442"/>
        <n v="8.83234340406677"/>
        <n v="8.83536966687282"/>
        <n v="8.83867037731567"/>
        <n v="8.84845712121408"/>
        <n v="8.8493156674428"/>
        <n v="8.84955752212389"/>
        <n v="8.8499119486244"/>
        <n v="8.85155444265844"/>
        <n v="8.8538580161368"/>
        <n v="8.85453517513176"/>
        <n v="8.86126847148301"/>
        <n v="8.86338296497437"/>
        <n v="8.86431367716928"/>
        <n v="8.86490398699531"/>
        <n v="8.87240935973258"/>
        <n v="8.87515494334749"/>
        <n v="8.87921290587752"/>
        <n v="8.88204171527342"/>
        <n v="8.88251343065282"/>
        <n v="8.8866969302285"/>
        <n v="8.894426367924"/>
        <n v="8.89914147165983"/>
        <n v="8.90052084817185"/>
        <n v="8.90159696907806"/>
        <n v="8.90345103874549"/>
        <n v="8.90570345145952"/>
        <n v="8.90609114851227"/>
        <n v="8.91373384689992"/>
        <n v="8.9281497480885"/>
        <n v="8.92838021554114"/>
        <n v="8.92910314935421"/>
        <n v="8.93150673857353"/>
        <n v="8.93466594746256"/>
        <n v="8.94149599023765"/>
        <n v="8.94563216072984"/>
        <n v="8.95641976095883"/>
        <n v="8.96268919270328"/>
        <n v="8.96847035595645"/>
        <n v="8.97247428640693"/>
        <n v="8.97324927727276"/>
        <n v="8.97496174290963"/>
        <n v="8.98968166849616"/>
        <n v="8.99098999813172"/>
        <n v="8.99224157136215"/>
        <n v="8.99705332466492"/>
        <n v="9.0086726416074"/>
        <n v="9.00960424604516"/>
        <n v="9.01631361484712"/>
        <n v="9.02055890402859"/>
        <n v="9.0244865332224"/>
        <n v="9.02837314514059"/>
        <n v="9.02936877096461"/>
        <n v="9.03364424974089"/>
        <n v="9.03494029080274"/>
        <n v="9.03836552863013"/>
        <n v="9.04116923809146"/>
        <n v="9.04768760483874"/>
        <n v="9.06175438830306"/>
        <n v="9.07129095355022"/>
        <n v="9.07188140026326"/>
        <n v="9.07495808073408"/>
        <n v="9.07556466006852"/>
        <n v="9.08111276567216"/>
        <n v="9.08325186900025"/>
        <n v="9.0892907926129"/>
        <n v="9.09032424086464"/>
        <n v="9.09162699032348"/>
        <n v="9.09225296617886"/>
        <n v="9.09356001353031"/>
        <n v="9.09556264076989"/>
        <n v="9.10477700503285"/>
        <n v="9.11254145977405"/>
        <n v="9.11944524229617"/>
        <n v="9.12493244460458"/>
        <n v="9.12504693954187"/>
        <n v="9.12809699525567"/>
        <n v="9.12914086212951"/>
        <n v="9.13176417878772"/>
        <n v="9.1343207825869"/>
        <n v="9.14201844712822"/>
        <n v="9.15250212720561"/>
        <n v="9.15519706794614"/>
        <n v="9.15981261824963"/>
        <n v="9.16301525478741"/>
        <n v="9.16541293834022"/>
        <n v="9.16730753634033"/>
        <n v="9.16931361560624"/>
        <n v="9.17179054164193"/>
        <n v="9.17981475587084"/>
        <n v="9.1879527917536"/>
        <n v="9.19551636963834"/>
        <n v="9.19674089917914"/>
        <n v="9.20470825176748"/>
        <n v="9.20853350971852"/>
        <n v="9.2101003561023"/>
        <n v="9.21444850605572"/>
        <n v="9.21447782989198"/>
        <n v="9.22033222041699"/>
        <n v="9.2211990447645"/>
        <n v="9.22389334177013"/>
        <n v="9.22581023200197"/>
        <n v="9.24231616048062"/>
        <n v="9.24840563374548"/>
        <n v="9.24897442038967"/>
        <n v="9.26137657631232"/>
        <n v="9.27807076038278"/>
        <n v="9.28214345710279"/>
        <n v="9.28741369801231"/>
        <n v="9.29016079210908"/>
        <n v="9.29212354343676"/>
        <n v="9.30341181277746"/>
        <n v="9.30357988660754"/>
        <n v="9.31714689146631"/>
        <n v="9.31767093309603"/>
        <n v="9.32355414059737"/>
        <n v="9.34028443917378"/>
        <n v="9.34721877823693"/>
        <n v="9.34829783495241"/>
        <n v="9.34838695767785"/>
        <n v="9.36178344532123"/>
        <n v="9.37093821963151"/>
        <n v="9.37178929597357"/>
        <n v="9.37987661611529"/>
        <n v="9.38398394708888"/>
        <n v="9.38751385082781"/>
        <n v="9.40022922097408"/>
        <n v="9.40153631168725"/>
        <n v="9.40446423920404"/>
        <n v="9.40909165328089"/>
        <n v="9.41204035706286"/>
        <n v="9.41911825318407"/>
        <n v="9.41945202988438"/>
        <n v="9.42257143205374"/>
        <n v="9.42900472596459"/>
        <n v="9.43082501963534"/>
        <n v="9.43990846453917"/>
        <n v="9.45096493533135"/>
        <n v="9.45104402669768"/>
        <n v="9.46346536050511"/>
        <n v="9.47241655014559"/>
        <n v="9.4729223225731"/>
        <n v="9.47322008094635"/>
        <n v="9.47634369729731"/>
        <n v="9.47695321630919"/>
        <n v="9.47695918250074"/>
        <n v="9.47760782471819"/>
        <n v="9.48083378353568"/>
        <n v="9.48287891050149"/>
        <n v="9.49484824453775"/>
        <n v="9.49884534841703"/>
        <n v="9.50406633710732"/>
        <n v="9.50522246442993"/>
        <n v="9.50961859442839"/>
        <n v="9.51174767017862"/>
        <n v="9.51572052027333"/>
        <n v="9.5182050752109"/>
        <n v="9.52389816468657"/>
        <n v="9.52496148508423"/>
        <n v="9.52774330148439"/>
        <n v="9.5303107220719"/>
        <n v="9.53608631980582"/>
        <n v="9.53892737718901"/>
        <n v="9.54147775996296"/>
        <n v="9.54149140066892"/>
        <n v="9.54268280373757"/>
        <n v="9.5445594122493"/>
        <n v="9.54689910521446"/>
        <n v="9.54800551924551"/>
        <n v="9.54810969834413"/>
        <n v="9.54853628334325"/>
        <n v="9.54897563205874"/>
        <n v="9.55353582052019"/>
        <n v="9.55721857547608"/>
        <n v="9.56495313556865"/>
        <n v="9.56744484044717"/>
        <n v="9.56997990273537"/>
        <n v="9.57359009628611"/>
        <n v="9.58185004150143"/>
        <n v="9.58403263113386"/>
        <n v="9.5853832079643"/>
        <n v="9.59908037081488"/>
        <n v="9.61078394928092"/>
        <n v="9.61296166489328"/>
        <n v="9.61421056920283"/>
        <n v="9.61725386867232"/>
        <n v="9.62085720321606"/>
        <n v="9.62761502625932"/>
        <n v="9.62927800778016"/>
        <n v="9.63118087514592"/>
        <n v="9.63215830990944"/>
        <n v="9.6347967690105"/>
        <n v="9.63983788652055"/>
        <n v="9.64102880087904"/>
        <n v="9.64226996995294"/>
        <n v="9.64240177327918"/>
        <n v="9.64377718343063"/>
        <n v="9.64582845103661"/>
        <n v="9.65014566392402"/>
        <n v="9.65069802467706"/>
        <n v="9.65335317715861"/>
        <n v="9.65726725013425"/>
        <n v="9.6574253047367"/>
        <n v="9.66171139776964"/>
        <n v="9.67184767636112"/>
        <n v="9.67681349387128"/>
        <n v="9.6772345487492"/>
        <n v="9.68263268709476"/>
        <n v="9.68562696790348"/>
        <n v="9.68622149743942"/>
        <n v="9.68627599148625"/>
        <n v="9.70794024502038"/>
        <n v="9.71008275647228"/>
        <n v="9.72064792635232"/>
        <n v="9.72201985474779"/>
        <n v="9.72561476532121"/>
        <n v="9.72568706473583"/>
        <n v="9.7278524823591"/>
        <n v="9.72975591108879"/>
        <n v="9.7303043968433"/>
        <n v="9.73138648844236"/>
        <n v="9.7395259861465"/>
        <n v="9.74122816887578"/>
        <n v="9.74578611155518"/>
        <n v="9.75043093757023"/>
        <n v="9.75057364072278"/>
        <n v="9.75422846693834"/>
        <n v="9.76082372011772"/>
        <n v="9.76508848479677"/>
        <n v="9.76917347503802"/>
        <n v="9.76964717052678"/>
        <n v="9.77245302983312"/>
        <n v="9.79012545943724"/>
        <n v="9.79238733949177"/>
        <n v="9.79428515977028"/>
        <n v="9.79482527073159"/>
        <n v="9.79805897225599"/>
        <n v="9.79846526655897"/>
        <n v="9.80392171158982"/>
        <n v="9.80413336213725"/>
        <n v="9.81070574194671"/>
        <n v="9.82068456445315"/>
        <n v="9.82830301596639"/>
        <n v="9.82833781782533"/>
        <n v="9.8336396467465"/>
        <n v="9.83712555397437"/>
        <n v="9.84616413916146"/>
        <n v="9.84721021267895"/>
        <n v="9.84891745677886"/>
        <n v="9.85388053090846"/>
        <n v="9.85869382819425"/>
        <n v="9.85913477075985"/>
        <n v="9.86245269357592"/>
        <n v="9.88052204339531"/>
        <n v="9.90621567972929"/>
        <n v="9.90806033694939"/>
        <n v="9.91549941665599"/>
        <n v="9.91882655349756"/>
        <n v="9.93500585045483"/>
        <n v="9.93575534241774"/>
        <n v="9.93668487554188"/>
        <n v="9.94135001686156"/>
        <n v="9.9421928870721"/>
        <n v="9.94247730238598"/>
        <n v="9.94586601373972"/>
        <n v="9.94655664457476"/>
        <n v="9.9523734302431"/>
        <n v="9.95679560149548"/>
        <n v="9.95709387651676"/>
        <n v="9.95794481918103"/>
        <n v="9.9582936178909"/>
        <n v="9.96038989912154"/>
        <n v="9.96691079760206"/>
        <n v="9.96854062351672"/>
        <n v="9.97050011257296"/>
        <n v="9.9726880563457"/>
        <n v="9.97851468469962"/>
        <n v="9.98072437249452"/>
        <n v="9.98304976993757"/>
        <n v="9.98600862582656"/>
        <n v="9.99126345335242"/>
        <n v="9.99443616729638"/>
        <n v="9.99456678013644"/>
        <n v="9.99601982065792"/>
        <n v="9.99792961266257"/>
        <n v="10.0025481576427"/>
        <n v="10.0102069834048"/>
        <n v="10.0174697409676"/>
        <n v="10.0176320151887"/>
        <n v="10.0195171075206"/>
        <n v="10.0249245703791"/>
        <n v="10.0372139303483"/>
        <n v="10.0438105891126"/>
        <n v="10.0450704225352"/>
        <n v="10.0500135719013"/>
        <n v="10.0514743671863"/>
        <n v="10.0541253328414"/>
        <n v="10.0608028682134"/>
        <n v="10.0625117356199"/>
        <n v="10.0685978712204"/>
        <n v="10.0694124060309"/>
        <n v="10.0754232307879"/>
        <n v="10.0845858762632"/>
        <n v="10.0901489729713"/>
        <n v="10.1006424084899"/>
        <n v="10.1052993607388"/>
        <n v="10.1237702316725"/>
        <n v="10.1265043931973"/>
        <n v="10.1295751782549"/>
        <n v="10.1310116756456"/>
        <n v="10.1334253508167"/>
        <n v="10.1388601386703"/>
        <n v="10.1458155136447"/>
        <n v="10.1476670611704"/>
        <n v="10.1518181298158"/>
        <n v="10.1551911771538"/>
        <n v="10.1579519606587"/>
        <n v="10.1614081870745"/>
        <n v="10.1694715180036"/>
        <n v="10.1720595255391"/>
        <n v="10.1758278245393"/>
        <n v="10.1866251944012"/>
        <n v="10.1887275829385"/>
        <n v="10.1890168837817"/>
        <n v="10.205354777511"/>
        <n v="10.2076247041054"/>
        <n v="10.2131235064801"/>
        <n v="10.2198489337604"/>
        <n v="10.2243513425162"/>
        <n v="10.2260340323475"/>
        <n v="10.2270191569048"/>
        <n v="10.2285695883292"/>
        <n v="10.2496852706672"/>
        <n v="10.2513494427614"/>
        <n v="10.2543431432707"/>
        <n v="10.2570748440259"/>
        <n v="10.2580128171384"/>
        <n v="10.2591167293848"/>
        <n v="10.2601216572662"/>
        <n v="10.2634467618002"/>
        <n v="10.2668709532836"/>
        <n v="10.2853234962265"/>
        <n v="10.2869056363866"/>
        <n v="10.3048042294429"/>
        <n v="10.3054712237574"/>
        <n v="10.3056085030106"/>
        <n v="10.3225007888621"/>
        <n v="10.3328949688142"/>
        <n v="10.3346389101886"/>
        <n v="10.3560502592872"/>
        <n v="10.361611406604"/>
        <n v="10.3638055031856"/>
        <n v="10.365907186465"/>
        <n v="10.3704156194732"/>
        <n v="10.3718360953088"/>
        <n v="10.3721128236476"/>
        <n v="10.3758404321842"/>
        <n v="10.3774151086074"/>
        <n v="10.3791061191902"/>
        <n v="10.3831281007988"/>
        <n v="10.387285083266"/>
        <n v="10.3893070488372"/>
        <n v="10.39232554385"/>
        <n v="10.398597064681"/>
        <n v="10.401121619131"/>
        <n v="10.4178521494872"/>
        <n v="10.4274213922636"/>
        <n v="10.4289923350252"/>
        <n v="10.4305793387882"/>
        <n v="10.4363742016783"/>
        <n v="10.4416069697969"/>
        <n v="10.4426625904088"/>
        <n v="10.4495981814452"/>
        <n v="10.4508304801177"/>
        <n v="10.459756056883"/>
        <n v="10.4630172462747"/>
        <n v="10.4668854696096"/>
        <n v="10.4731837580853"/>
        <n v="10.4750939468456"/>
        <n v="10.4782219393892"/>
        <n v="10.4784087383146"/>
        <n v="10.4889939683176"/>
        <n v="10.4916495599293"/>
        <n v="10.4936815641116"/>
        <n v="10.5017822868111"/>
        <n v="10.5076920793626"/>
        <n v="10.5104261135915"/>
        <n v="10.5126084648901"/>
        <n v="10.5191338096895"/>
        <n v="10.52147879747"/>
        <n v="10.5343784757785"/>
        <n v="10.5361804530931"/>
        <n v="10.5362223885216"/>
        <n v="10.5385298922553"/>
        <n v="10.5446406366576"/>
        <n v="10.5737074252108"/>
        <n v="10.5812807486826"/>
        <n v="10.5866289009383"/>
        <n v="10.5956178884218"/>
        <n v="10.5997181016298"/>
        <n v="10.6047613718123"/>
        <n v="10.6049542643679"/>
        <n v="10.6057405732703"/>
        <n v="10.6177544172791"/>
        <n v="10.6216815561047"/>
        <n v="10.6260755072769"/>
        <n v="10.6281660516354"/>
        <n v="10.6302212362906"/>
        <n v="10.6422155784453"/>
        <n v="10.6432320303433"/>
        <n v="10.6467409555042"/>
        <n v="10.6489019814613"/>
        <n v="10.6535835912109"/>
        <n v="10.6775136412246"/>
        <n v="10.6824251377919"/>
        <n v="10.6830364033922"/>
        <n v="10.6852267703616"/>
        <n v="10.6916285695356"/>
        <n v="10.7064294799848"/>
        <n v="10.7143432672268"/>
        <n v="10.7364241189492"/>
        <n v="10.7423007808713"/>
        <n v="10.7438322309215"/>
        <n v="10.7563852026285"/>
        <n v="10.7573694254461"/>
        <n v="10.7585360109189"/>
        <n v="10.7696824621397"/>
        <n v="10.7714618043044"/>
        <n v="10.7737171461678"/>
        <n v="10.7784950461918"/>
        <n v="10.7806191117093"/>
        <n v="10.7829511744488"/>
        <n v="10.7901475417467"/>
        <n v="10.793311669219"/>
        <n v="10.7955470252296"/>
        <n v="10.7957965392923"/>
        <n v="10.8025891457942"/>
        <n v="10.8110358098515"/>
        <n v="10.8111925475048"/>
        <n v="10.8124275408795"/>
        <n v="10.8202505335112"/>
        <n v="10.8447479975259"/>
        <n v="10.8461895081285"/>
        <n v="10.8469412584491"/>
        <n v="10.8517022028912"/>
        <n v="10.8537392455328"/>
        <n v="10.8657441284"/>
        <n v="10.8671633448795"/>
        <n v="10.8686597222952"/>
        <n v="10.8688800523636"/>
        <n v="10.8694936384715"/>
        <n v="10.8698351422417"/>
        <n v="10.870661220985"/>
        <n v="10.8735925670903"/>
        <n v="10.8759776536313"/>
        <n v="10.8766582261954"/>
        <n v="10.8775209268106"/>
        <n v="10.878625013094"/>
        <n v="10.884262886388"/>
        <n v="10.8856804578044"/>
        <n v="10.8865474602131"/>
        <n v="10.8964978979727"/>
        <n v="10.9095339313952"/>
        <n v="10.9247898934381"/>
        <n v="10.9311343973641"/>
        <n v="10.9327377187349"/>
        <n v="10.9380858348785"/>
        <n v="10.9391434541587"/>
        <n v="10.9445918369252"/>
        <n v="10.9477797792633"/>
        <n v="10.9487697668169"/>
        <n v="10.9542187757796"/>
        <n v="10.9625355579317"/>
        <n v="10.9711376488864"/>
        <n v="10.9736268117669"/>
        <n v="10.9769053621027"/>
        <n v="10.9872081976113"/>
        <n v="10.9940720633337"/>
        <n v="11.0037382366317"/>
        <n v="11.0050287030865"/>
        <n v="11.0172057626183"/>
        <n v="11.0233504333982"/>
        <n v="11.0269356115458"/>
        <n v="11.0281588317687"/>
        <n v="11.0355053210307"/>
        <n v="11.0546642224935"/>
        <n v="11.0584356365086"/>
        <n v="11.0605655277657"/>
        <n v="11.0631004528533"/>
        <n v="11.0692662513065"/>
        <n v="11.0815457634481"/>
        <n v="11.0938198729988"/>
        <n v="11.1009440506736"/>
        <n v="11.1032601340523"/>
        <n v="11.103813958496"/>
        <n v="11.1053089990094"/>
        <n v="11.1059966756169"/>
        <n v="11.109385308097"/>
        <n v="11.1198487919104"/>
        <n v="11.1237817868546"/>
        <n v="11.1442354183171"/>
        <n v="11.1639714879235"/>
        <n v="11.1646186789334"/>
        <n v="11.1694748048446"/>
        <n v="11.170254086594"/>
        <n v="11.1713585784355"/>
        <n v="11.1844593645358"/>
        <n v="11.2197243218191"/>
        <n v="11.2208173707472"/>
        <n v="11.2250165976659"/>
        <n v="11.2252056960651"/>
        <n v="11.228905270609"/>
        <n v="11.2317640451056"/>
        <n v="11.2458892558612"/>
        <n v="11.2508893780737"/>
        <n v="11.2514695794709"/>
        <n v="11.2571043252502"/>
        <n v="11.2606182244774"/>
        <n v="11.26488846677"/>
        <n v="11.2795486832558"/>
        <n v="11.2815981559739"/>
        <n v="11.2819216719055"/>
        <n v="11.2939140467263"/>
        <n v="11.2960508878876"/>
        <n v="11.3050206311488"/>
        <n v="11.3120184476858"/>
        <n v="11.3207904031713"/>
        <n v="11.3250140754444"/>
        <n v="11.3285492888924"/>
        <n v="11.3407359554405"/>
        <n v="11.3528512581879"/>
        <n v="11.361564600724"/>
        <n v="11.3631473505106"/>
        <n v="11.3647850089418"/>
        <n v="11.3742568454746"/>
        <n v="11.3745115028912"/>
        <n v="11.3755202219614"/>
        <n v="11.3805779110446"/>
        <n v="11.3896224159772"/>
        <n v="11.3918015065274"/>
        <n v="11.4025045956916"/>
        <n v="11.4105469897527"/>
        <n v="11.4154125352983"/>
        <n v="11.4185144713812"/>
        <n v="11.4211285776349"/>
        <n v="11.4228233060411"/>
        <n v="11.4234720227363"/>
        <n v="11.4242322308558"/>
        <n v="11.4344267566444"/>
        <n v="11.4450114775251"/>
        <n v="11.4482680542269"/>
        <n v="11.45118591545"/>
        <n v="11.4561636018831"/>
        <n v="11.4581378243336"/>
        <n v="11.4603428917203"/>
        <n v="11.4626467236806"/>
        <n v="11.4732777991737"/>
        <n v="11.473753190434"/>
        <n v="11.478792304966"/>
        <n v="11.4823601009559"/>
        <n v="11.4848358655858"/>
        <n v="11.4943773333358"/>
        <n v="11.4949901020071"/>
        <n v="11.4977901635061"/>
        <n v="11.5079798574233"/>
        <n v="11.5117845117845"/>
        <n v="11.5129952954573"/>
        <n v="11.5132737414167"/>
        <n v="11.5177924508496"/>
        <n v="11.5194649971542"/>
        <n v="11.5243566439416"/>
        <n v="11.5295100183593"/>
        <n v="11.5301508018457"/>
        <n v="11.5452418233959"/>
        <n v="11.5467839083219"/>
        <n v="11.5562691700311"/>
        <n v="11.5574043167415"/>
        <n v="11.5587634682877"/>
        <n v="11.5608252175416"/>
        <n v="11.5658393586396"/>
        <n v="11.5674773023417"/>
        <n v="11.5725208049131"/>
        <n v="11.5752434009616"/>
        <n v="11.5767010796449"/>
        <n v="11.5808434918695"/>
        <n v="11.5830654673474"/>
        <n v="11.5897276550393"/>
        <n v="11.5916664875317"/>
        <n v="11.6024071675022"/>
        <n v="11.6035983637467"/>
        <n v="11.6086325553911"/>
        <n v="11.6142209342471"/>
        <n v="11.6199165643109"/>
        <n v="11.6260005581361"/>
        <n v="11.62745697238"/>
        <n v="11.631624541134"/>
        <n v="11.6400084871632"/>
        <n v="11.6587752284965"/>
        <n v="11.6591196507975"/>
        <n v="11.6618075801749"/>
        <n v="11.6637127957464"/>
        <n v="11.6745053084925"/>
        <n v="11.6899605300092"/>
        <n v="11.71054306101"/>
        <n v="11.7111349364374"/>
        <n v="11.7145428768839"/>
        <n v="11.7359290814204"/>
        <n v="11.7439432554426"/>
        <n v="11.7488183659689"/>
        <n v="11.7491811266875"/>
        <n v="11.7507204610951"/>
        <n v="11.759670124999"/>
        <n v="11.7601927002826"/>
        <n v="11.7744082033381"/>
        <n v="11.7775521275264"/>
        <n v="11.7824773413897"/>
        <n v="11.7883020401677"/>
        <n v="11.7912873299119"/>
        <n v="11.7958146487295"/>
        <n v="11.797153024911"/>
        <n v="11.8005556049783"/>
        <n v="11.8013372875168"/>
        <n v="11.8106183104029"/>
        <n v="11.815556196575"/>
        <n v="11.8168063033384"/>
        <n v="11.8254516918825"/>
        <n v="11.8296712884692"/>
        <n v="11.8297557718158"/>
        <n v="11.8322818201185"/>
        <n v="11.833631957596"/>
        <n v="11.8356836301719"/>
        <n v="11.8361453538057"/>
        <n v="11.8395374051319"/>
        <n v="11.8399104132887"/>
        <n v="11.8463035992084"/>
        <n v="11.8538298799344"/>
        <n v="11.8555668346631"/>
        <n v="11.8562451783007"/>
        <n v="11.8564155561529"/>
        <n v="11.857779759251"/>
        <n v="11.8618711746928"/>
        <n v="11.8692146782429"/>
        <n v="11.8779814628319"/>
        <n v="11.8979884695753"/>
        <n v="11.9012406616862"/>
        <n v="11.9045156842468"/>
        <n v="11.9083638937055"/>
        <n v="11.9288024292097"/>
        <n v="11.9301251139012"/>
        <n v="11.9302310885016"/>
        <n v="11.9320336797391"/>
        <n v="11.9327074894085"/>
        <n v="11.9400115190994"/>
        <n v="11.9499669299303"/>
        <n v="11.9520748100526"/>
        <n v="11.9526608698731"/>
        <n v="11.9763306900555"/>
        <n v="11.976437122227"/>
        <n v="11.9884552032714"/>
        <n v="11.9926073367"/>
        <n v="11.99390753942"/>
        <n v="11.9949653970886"/>
        <n v="12.0001411781315"/>
        <n v="12.0017198042248"/>
        <n v="12.0094989205772"/>
        <n v="12.0152395943544"/>
        <n v="12.0315685073746"/>
        <n v="12.0325759139079"/>
        <n v="12.0356617008463"/>
        <n v="12.0423279969694"/>
        <n v="12.0426622252773"/>
        <n v="12.0457848374675"/>
        <n v="12.0498422404436"/>
        <n v="12.062863539018"/>
        <n v="12.0682305381007"/>
        <n v="12.0759886442873"/>
        <n v="12.0992894496166"/>
        <n v="12.1016585952801"/>
        <n v="12.1035241672056"/>
        <n v="12.1152528770306"/>
        <n v="12.1547948000955"/>
        <n v="12.15544056837"/>
        <n v="12.1572274373856"/>
        <n v="12.159327550442"/>
        <n v="12.1600863536347"/>
        <n v="12.1803186236577"/>
        <n v="12.1825709259266"/>
        <n v="12.1990520503147"/>
        <n v="12.2202257990964"/>
        <n v="12.220473534381"/>
        <n v="12.2212245383922"/>
        <n v="12.2214051041248"/>
        <n v="12.2408306150052"/>
        <n v="12.2511948096972"/>
        <n v="12.2521968782647"/>
        <n v="12.2623590265412"/>
        <n v="12.2671690025854"/>
        <n v="12.3077217799709"/>
        <n v="12.3209340060501"/>
        <n v="12.3231053196045"/>
        <n v="12.331043779963"/>
        <n v="12.3387739802169"/>
        <n v="12.3539031921481"/>
        <n v="12.3685959691544"/>
        <n v="12.3775999779568"/>
        <n v="12.389555938001"/>
        <n v="12.4104279938659"/>
        <n v="12.4293220968322"/>
        <n v="12.4317007363718"/>
        <n v="12.4350272064796"/>
        <n v="12.4379879052224"/>
        <n v="12.4409872556934"/>
        <n v="12.4477212698306"/>
        <n v="12.455771100256"/>
        <n v="12.4621812108362"/>
        <n v="12.4658757659727"/>
        <n v="12.4759296248012"/>
        <n v="12.5075183187208"/>
        <n v="12.5079274988587"/>
        <n v="12.5134583722596"/>
        <n v="12.5173621181689"/>
        <n v="12.5432716832176"/>
        <n v="12.5582923654378"/>
        <n v="12.5594806032745"/>
        <n v="12.5607903346382"/>
        <n v="12.5788715847648"/>
        <n v="12.5874801912747"/>
        <n v="12.5875305046503"/>
        <n v="12.592330272581"/>
        <n v="12.6026454684408"/>
        <n v="12.6037164783527"/>
        <n v="12.6040600211447"/>
        <n v="12.6310352161891"/>
        <n v="12.6360815973145"/>
        <n v="12.6389366334365"/>
        <n v="12.6401637720399"/>
        <n v="12.6440614435573"/>
        <n v="12.6494837703335"/>
        <n v="12.6649716777493"/>
        <n v="12.671148775387"/>
        <n v="12.6754515941064"/>
        <n v="12.6949915132172"/>
        <n v="12.7054268646655"/>
        <n v="12.7180740128519"/>
        <n v="12.7248822175961"/>
        <n v="12.7291409320606"/>
        <n v="12.7347939788458"/>
        <n v="12.7460669819516"/>
        <n v="12.7555151709606"/>
        <n v="12.7598703032615"/>
        <n v="12.7614176444569"/>
        <n v="12.7657547742658"/>
        <n v="12.7666407560869"/>
        <n v="12.7768724719809"/>
        <n v="12.778375215121"/>
        <n v="12.7794440380395"/>
        <n v="12.7905796009488"/>
        <n v="12.8004452629616"/>
        <n v="12.8012146224019"/>
        <n v="12.8201195763095"/>
        <n v="12.8245599537228"/>
        <n v="12.8253816898475"/>
        <n v="12.8358193694392"/>
        <n v="12.8426395939086"/>
        <n v="12.8909107983217"/>
        <n v="12.8914830141533"/>
        <n v="12.8963389001677"/>
        <n v="12.8967340750775"/>
        <n v="12.9032258064516"/>
        <n v="12.904977573105"/>
        <n v="12.9095355435986"/>
        <n v="12.9126159460349"/>
        <n v="12.9410622704697"/>
        <n v="12.9446860695914"/>
        <n v="12.950930505965"/>
        <n v="12.9519731586699"/>
        <n v="12.9565562427446"/>
        <n v="12.9573141415401"/>
        <n v="12.9692856618662"/>
        <n v="12.9714441316436"/>
        <n v="12.9714832214331"/>
        <n v="12.977860551151"/>
        <n v="12.9810986872042"/>
        <n v="13.0183657626792"/>
        <n v="13.0329103486744"/>
        <n v="13.0370373909014"/>
        <n v="13.0466671487156"/>
        <n v="13.0473805417099"/>
        <n v="13.0523277071849"/>
        <n v="13.0732891726472"/>
        <n v="13.0739466261021"/>
        <n v="13.0766976322384"/>
        <n v="13.0786521670404"/>
        <n v="13.0865080562915"/>
        <n v="13.0879867038302"/>
        <n v="13.0943162739728"/>
        <n v="13.0954724075444"/>
        <n v="13.1202239427055"/>
        <n v="13.123988380444"/>
        <n v="13.1318548081995"/>
        <n v="13.1550313593858"/>
        <n v="13.1608060463183"/>
        <n v="13.1617933103414"/>
        <n v="13.1712620307055"/>
        <n v="13.1848135836099"/>
        <n v="13.2020228906042"/>
        <n v="13.2066629285966"/>
        <n v="13.2228352713395"/>
        <n v="13.2308263384227"/>
        <n v="13.2484263335089"/>
        <n v="13.2639025667996"/>
        <n v="13.2658422216503"/>
        <n v="13.2660068854552"/>
        <n v="13.273481126423"/>
        <n v="13.2917497323038"/>
        <n v="13.292773394365"/>
        <n v="13.2962406015038"/>
        <n v="13.2965172221769"/>
        <n v="13.2987260114277"/>
        <n v="13.3180791901562"/>
        <n v="13.3181020866871"/>
        <n v="13.324635848879"/>
        <n v="13.3257863762469"/>
        <n v="13.3275423132206"/>
        <n v="13.3299478698544"/>
        <n v="13.3327517520137"/>
        <n v="13.3501259445844"/>
        <n v="13.3731892497022"/>
        <n v="13.4325221703863"/>
        <n v="13.4374169920333"/>
        <n v="13.4517766497462"/>
        <n v="13.4570704600757"/>
        <n v="13.4608501619638"/>
        <n v="13.4639482773278"/>
        <n v="13.4938518322152"/>
        <n v="13.5066951669353"/>
        <n v="13.5210694800375"/>
        <n v="13.5424283466952"/>
        <n v="13.5437523861928"/>
        <n v="13.5461035153277"/>
        <n v="13.5699844178589"/>
        <n v="13.5834778535576"/>
        <n v="13.6023133870805"/>
        <n v="13.6150918630614"/>
        <n v="13.6177194421657"/>
        <n v="13.6229836335806"/>
        <n v="13.6454159100453"/>
        <n v="13.6489913802036"/>
        <n v="13.6759904788934"/>
        <n v="13.6774160799039"/>
        <n v="13.6806232231501"/>
        <n v="13.6851713122024"/>
        <n v="13.7262409186783"/>
        <n v="13.7270789808556"/>
        <n v="13.7447135045677"/>
        <n v="13.7517658637207"/>
        <n v="13.7690924268948"/>
        <n v="13.7802971148664"/>
        <n v="13.7960513206674"/>
        <n v="13.7976515841684"/>
        <n v="13.7983976993252"/>
        <n v="13.8053293437928"/>
        <n v="13.8209864957713"/>
        <n v="13.8232002582589"/>
        <n v="13.8747399216511"/>
        <n v="13.8805131921168"/>
        <n v="13.8812641957185"/>
        <n v="13.89404030176"/>
        <n v="13.9107404617155"/>
        <n v="13.9413804162457"/>
        <n v="13.9631338861254"/>
        <n v="13.9674491083133"/>
        <n v="13.9703954712819"/>
        <n v="13.9726359123381"/>
        <n v="13.980479371574"/>
        <n v="13.9886756293221"/>
        <n v="13.9909675214812"/>
        <n v="13.9932906581601"/>
        <n v="13.9969683007722"/>
        <n v="14.0021778119395"/>
        <n v="14.002673886603"/>
        <n v="14.005621905932"/>
        <n v="14.0110272258489"/>
        <n v="14.0360603866015"/>
        <n v="14.0456028938632"/>
        <n v="14.0501333803655"/>
        <n v="14.0589381041697"/>
        <n v="14.0755486310357"/>
        <n v="14.0789429681979"/>
        <n v="14.1016883620917"/>
        <n v="14.1088061459804"/>
        <n v="14.1202562409617"/>
        <n v="14.1316166913818"/>
        <n v="14.1392133511054"/>
        <n v="14.1629322611949"/>
        <n v="14.1646395540689"/>
        <n v="14.175565626668"/>
        <n v="14.1814957296299"/>
        <n v="14.188921859545"/>
        <n v="14.1910863556754"/>
        <n v="14.1913148215002"/>
        <n v="14.1965973631323"/>
        <n v="14.2027589597454"/>
        <n v="14.2035283998234"/>
        <n v="14.2310456041844"/>
        <n v="14.2513401808733"/>
        <n v="14.2563978754225"/>
        <n v="14.3066538530637"/>
        <n v="14.3208264517642"/>
        <n v="14.3214419398723"/>
        <n v="14.3310463121784"/>
        <n v="14.3617248469982"/>
        <n v="14.3714262246871"/>
        <n v="14.3983160081232"/>
        <n v="14.4015052147969"/>
        <n v="14.4126456398324"/>
        <n v="14.4152894984612"/>
        <n v="14.4197589803175"/>
        <n v="14.43849913185"/>
        <n v="14.4470460655897"/>
        <n v="14.4662843000228"/>
        <n v="14.4812186354998"/>
        <n v="14.4828423758014"/>
        <n v="14.4932117366671"/>
        <n v="14.501272264631"/>
        <n v="14.511800482442"/>
        <n v="14.5149202841959"/>
        <n v="14.5155393469454"/>
        <n v="14.5185963104603"/>
        <n v="14.5186775496966"/>
        <n v="14.5224929086409"/>
        <n v="14.5262165793357"/>
        <n v="14.5351336352648"/>
        <n v="14.5355737929199"/>
        <n v="14.5447968085216"/>
        <n v="14.5515347534182"/>
        <n v="14.5517000543964"/>
        <n v="14.5669852425558"/>
        <n v="14.5688173160173"/>
        <n v="14.5706579727327"/>
        <n v="14.581876088283"/>
        <n v="14.5920750173314"/>
        <n v="14.605645592578"/>
        <n v="14.6220334927269"/>
        <n v="14.6279383377661"/>
        <n v="14.6290102811842"/>
        <n v="14.6430570238169"/>
        <n v="14.64392083284"/>
        <n v="14.6561818024429"/>
        <n v="14.6716388413916"/>
        <n v="14.6739448952997"/>
        <n v="14.6820747413611"/>
        <n v="14.6860126979855"/>
        <n v="14.7133923261333"/>
        <n v="14.7276892078285"/>
        <n v="14.7279102017321"/>
        <n v="14.7399934553118"/>
        <n v="14.7462751767487"/>
        <n v="14.7501102468176"/>
        <n v="14.7549975018723"/>
        <n v="14.7584039437647"/>
        <n v="14.7808532861964"/>
        <n v="14.792628992629"/>
        <n v="14.800528998831"/>
        <n v="14.8183265574511"/>
        <n v="14.8250183170483"/>
        <n v="14.8335468414661"/>
        <n v="14.8843328903274"/>
        <n v="14.8924497623096"/>
        <n v="14.9141395401025"/>
        <n v="14.929639890896"/>
        <n v="14.9703003105643"/>
        <n v="14.9757657123913"/>
        <n v="14.9771578538103"/>
        <n v="15.0175407417204"/>
        <n v="15.0194017328934"/>
        <n v="15.0253876067723"/>
        <n v="15.0288033505189"/>
        <n v="15.0758711127763"/>
        <n v="15.0853905141915"/>
        <n v="15.093916407631"/>
        <n v="15.1079910316963"/>
        <n v="15.1344894244254"/>
        <n v="15.1446935247754"/>
        <n v="15.1594036437278"/>
        <n v="15.1666919157683"/>
        <n v="15.1670160726765"/>
        <n v="15.176029231377"/>
        <n v="15.1829040166749"/>
        <n v="15.2022008009094"/>
        <n v="15.2144207475603"/>
        <n v="15.2203465583647"/>
        <n v="15.2215663262625"/>
        <n v="15.2312580707261"/>
        <n v="15.2833504999663"/>
        <n v="15.2991254374386"/>
        <n v="15.3172152527636"/>
        <n v="15.3308113421032"/>
        <n v="15.3382486712921"/>
        <n v="15.3489932086872"/>
        <n v="15.3568915689273"/>
        <n v="15.4380837103678"/>
        <n v="15.4445577833147"/>
        <n v="15.449544933187"/>
        <n v="15.4522958482266"/>
        <n v="15.4709018930364"/>
        <n v="15.4819820475648"/>
        <n v="15.5062190749625"/>
        <n v="15.539588103369"/>
        <n v="15.5604535137692"/>
        <n v="15.5682399223633"/>
        <n v="15.5769951626304"/>
        <n v="15.5783384911572"/>
        <n v="15.6100346335831"/>
        <n v="15.6440050217256"/>
        <n v="15.6503841657758"/>
        <n v="15.6857855361596"/>
        <n v="15.7014001002827"/>
        <n v="15.7046591309627"/>
        <n v="15.7141177177563"/>
        <n v="15.7213437900812"/>
        <n v="15.7290672814477"/>
        <n v="15.7303469640523"/>
        <n v="15.7367187134724"/>
        <n v="15.746911806952"/>
        <n v="15.8125220395662"/>
        <n v="15.8737645295517"/>
        <n v="15.8761961493458"/>
        <n v="15.8970729899084"/>
        <n v="15.9030558117976"/>
        <n v="15.9670307445029"/>
        <n v="15.9844078779941"/>
        <n v="15.9869069810183"/>
        <n v="16.0201201151827"/>
        <n v="16.0324987350136"/>
        <n v="16.0557912566087"/>
        <n v="16.0643938761231"/>
        <n v="16.0669264267706"/>
        <n v="16.0908942635734"/>
        <n v="16.0965119340545"/>
        <n v="16.0981648208503"/>
        <n v="16.1163833986822"/>
        <n v="16.1252057466827"/>
        <n v="16.1625836982874"/>
        <n v="16.1765208183899"/>
        <n v="16.1777927930383"/>
        <n v="16.1790223064308"/>
        <n v="16.1898766313395"/>
        <n v="16.2007853868547"/>
        <n v="16.2142244668585"/>
        <n v="16.2261272058079"/>
        <n v="16.2686614116856"/>
        <n v="16.2693210095983"/>
        <n v="16.2783292873096"/>
        <n v="16.2868593368633"/>
        <n v="16.3190207632528"/>
        <n v="16.3239890388095"/>
        <n v="16.3347164176414"/>
        <n v="16.3367090148963"/>
        <n v="16.3473507015929"/>
        <n v="16.3616226758433"/>
        <n v="16.3898154864269"/>
        <n v="16.4221991367954"/>
        <n v="16.4351428825486"/>
        <n v="16.4750463842285"/>
        <n v="16.4800192269054"/>
        <n v="16.4863220563631"/>
        <n v="16.4904037773331"/>
        <n v="16.4920581527031"/>
        <n v="16.5084825318135"/>
        <n v="16.5347882341008"/>
        <n v="16.5611681232929"/>
        <n v="16.578372376023"/>
        <n v="16.5861835016163"/>
        <n v="16.6081348129715"/>
        <n v="16.6147556192119"/>
        <n v="16.6487000413608"/>
        <n v="16.667065580607"/>
        <n v="16.6706336050686"/>
        <n v="16.6846972987891"/>
        <n v="16.7058412251649"/>
        <n v="16.7720135883444"/>
        <n v="16.7883211678832"/>
        <n v="16.7984829247477"/>
        <n v="16.8199437674713"/>
        <n v="16.8233647020169"/>
        <n v="16.8355267572153"/>
        <n v="16.8370848166967"/>
        <n v="16.8454852802692"/>
        <n v="16.8636419752889"/>
        <n v="16.8694561116753"/>
        <n v="16.8725756532694"/>
        <n v="16.8909832058619"/>
        <n v="16.8981481481482"/>
        <n v="16.9554881565645"/>
        <n v="16.9798641461745"/>
        <n v="16.9873150555197"/>
        <n v="16.9891532852938"/>
        <n v="16.9978246064125"/>
        <n v="17.0000787519992"/>
        <n v="17.0284350663639"/>
        <n v="17.0386746464151"/>
        <n v="17.0482258261188"/>
        <n v="17.0611624731689"/>
        <n v="17.1448736740464"/>
        <n v="17.1560974583404"/>
        <n v="17.175940816983"/>
        <n v="17.1916656363305"/>
        <n v="17.1924791754237"/>
        <n v="17.2185949657317"/>
        <n v="17.2647710132715"/>
        <n v="17.2885395199992"/>
        <n v="17.2956613152328"/>
        <n v="17.2991739494792"/>
        <n v="17.3013462275164"/>
        <n v="17.3381249375927"/>
        <n v="17.3688398086638"/>
        <n v="17.3702559947728"/>
        <n v="17.3966925924207"/>
        <n v="17.4095087163233"/>
        <n v="17.4225033001217"/>
        <n v="17.4586311297906"/>
        <n v="17.487427413561"/>
        <n v="17.5783182360049"/>
        <n v="17.6301261829653"/>
        <n v="17.6326926813196"/>
        <n v="17.6391581132755"/>
        <n v="17.6454351593838"/>
        <n v="17.6505969250018"/>
        <n v="17.6828352562944"/>
        <n v="17.683035385124"/>
        <n v="17.684313866341"/>
        <n v="17.6886008779715"/>
        <n v="17.6922714292069"/>
        <n v="17.7073872793521"/>
        <n v="17.707445285878"/>
        <n v="17.7146319405551"/>
        <n v="17.7340053429722"/>
        <n v="17.7499665688642"/>
        <n v="17.7718582063981"/>
        <n v="17.8420543144656"/>
        <n v="17.8430217885085"/>
        <n v="17.8611096419316"/>
        <n v="17.8689359967387"/>
        <n v="17.8726419271987"/>
        <n v="17.9224701264623"/>
        <n v="17.946505932012"/>
        <n v="17.9701458625526"/>
        <n v="18.0665097474566"/>
        <n v="18.0738160675985"/>
        <n v="18.105706967597"/>
        <n v="18.1191553492119"/>
        <n v="18.1253874580338"/>
        <n v="18.1689232753063"/>
        <n v="18.1906916585327"/>
        <n v="18.2073709055352"/>
        <n v="18.2406147824634"/>
        <n v="18.2493680592501"/>
        <n v="18.2831096480122"/>
        <n v="18.2849854527254"/>
        <n v="18.2851657235247"/>
        <n v="18.2879372743305"/>
        <n v="18.3191280920892"/>
        <n v="18.3952526000854"/>
        <n v="18.4223294053238"/>
        <n v="18.4280592509749"/>
        <n v="18.4305838844405"/>
        <n v="18.4343989594373"/>
        <n v="18.4566225507341"/>
        <n v="18.4770710725922"/>
        <n v="18.4829309137829"/>
        <n v="18.4873067191454"/>
        <n v="18.4909837701992"/>
        <n v="18.5587498594873"/>
        <n v="18.5909641043807"/>
        <n v="18.6064781242446"/>
        <n v="18.6265500606117"/>
        <n v="18.6362442905409"/>
        <n v="18.6382180632361"/>
        <n v="18.6455125065931"/>
        <n v="18.6626736511053"/>
        <n v="18.7476124317091"/>
        <n v="18.7663104784198"/>
        <n v="18.7967560188965"/>
        <n v="18.809367601335"/>
        <n v="18.8345098607905"/>
        <n v="18.8764754846409"/>
        <n v="18.8830397918137"/>
        <n v="18.8937706669614"/>
        <n v="18.8995179717243"/>
        <n v="18.9250550501481"/>
        <n v="18.9329042918642"/>
        <n v="18.9650264555664"/>
        <n v="18.9913952526673"/>
        <n v="19.0147009902504"/>
        <n v="19.0932613599868"/>
        <n v="19.120462311542"/>
        <n v="19.1338785528022"/>
        <n v="19.1643199034024"/>
        <n v="19.1905038197239"/>
        <n v="19.3206372171288"/>
        <n v="19.332451296213"/>
        <n v="19.3364671364935"/>
        <n v="19.339712699934"/>
        <n v="19.4001202742621"/>
        <n v="19.4087191836763"/>
        <n v="19.4132056563857"/>
        <n v="19.432111578799"/>
        <n v="19.4628683266283"/>
        <n v="19.4874438140248"/>
        <n v="19.5605854715657"/>
        <n v="19.5654637871958"/>
        <n v="19.6210188070551"/>
        <n v="19.6304078124609"/>
        <n v="19.6547498105235"/>
        <n v="19.6605903834875"/>
        <n v="19.6652608286774"/>
        <n v="19.6918793779757"/>
        <n v="19.7011752175079"/>
        <n v="19.7506722473553"/>
        <n v="19.7576970812021"/>
        <n v="19.7977784831178"/>
        <n v="19.81836809367"/>
        <n v="19.8454312086952"/>
        <n v="19.9218358970937"/>
        <n v="19.9510044560058"/>
        <n v="20.0210284691118"/>
        <n v="20.10273585115"/>
        <n v="20.1277962305346"/>
        <n v="20.1989711321798"/>
        <n v="20.2037681935887"/>
        <n v="20.2135605871142"/>
        <n v="20.2371041195321"/>
        <n v="20.3126148196208"/>
        <n v="20.4181864380384"/>
        <n v="20.4209576138148"/>
        <n v="20.5484502942578"/>
        <n v="20.6557828565793"/>
        <n v="20.6725574942874"/>
        <n v="20.6747806180847"/>
        <n v="20.7426693496793"/>
        <n v="20.7534556314506"/>
        <n v="20.75539858651"/>
        <n v="20.7780242985946"/>
        <n v="20.8204528364943"/>
        <n v="20.8376946010611"/>
        <n v="20.8434746862958"/>
        <n v="20.8916572227914"/>
        <n v="20.926274439389"/>
        <n v="20.9614778845713"/>
        <n v="20.9682777620225"/>
        <n v="21.0435376665253"/>
        <n v="21.0672439795706"/>
        <n v="21.0685134741956"/>
        <n v="21.1522248671132"/>
        <n v="21.1738221653122"/>
        <n v="21.2299313086418"/>
        <n v="21.2386178109168"/>
        <n v="21.2412041918616"/>
        <n v="21.2643340351194"/>
        <n v="21.3025436729942"/>
        <n v="21.3079506911842"/>
        <n v="21.3097707250872"/>
        <n v="21.3261177823832"/>
        <n v="21.37952889819"/>
        <n v="21.391726372442"/>
        <n v="21.402427751912"/>
        <n v="21.4146623647504"/>
        <n v="21.4285714285714"/>
        <n v="21.445538512279"/>
        <n v="21.4605067064084"/>
        <n v="21.5181929388204"/>
        <n v="21.6073820787608"/>
        <n v="21.6239454571203"/>
        <n v="21.6489584789599"/>
        <n v="21.7779783393502"/>
        <n v="21.7990781518428"/>
        <n v="21.8089772907049"/>
        <n v="21.8446389985939"/>
        <n v="21.8714939266485"/>
        <n v="22.0050878341574"/>
        <n v="22.0879237229104"/>
        <n v="22.113873734198"/>
        <n v="22.1500160034552"/>
        <n v="22.1758340021871"/>
        <n v="22.196728591518"/>
        <n v="22.3181743577452"/>
        <n v="22.3752833075595"/>
        <n v="22.4208141814769"/>
        <n v="22.4941111893163"/>
        <n v="22.5140191553769"/>
        <n v="22.5490122554361"/>
        <n v="22.550976612506"/>
        <n v="22.5909772386534"/>
        <n v="22.6154105584731"/>
        <n v="22.6201017811705"/>
        <n v="22.6267044848278"/>
        <n v="22.6617839662551"/>
        <n v="22.7126756214297"/>
        <n v="22.7602881810447"/>
        <n v="22.8338067591578"/>
        <n v="22.8625280146983"/>
        <n v="22.8984558212408"/>
        <n v="23.0013745654254"/>
        <n v="23.021747246543"/>
        <n v="23.0288457582317"/>
        <n v="23.0324825433507"/>
        <n v="23.0397922499225"/>
        <n v="23.2874369473729"/>
        <n v="23.4029871555796"/>
        <n v="23.4469193740378"/>
        <n v="23.4636199639206"/>
        <n v="23.4683190429057"/>
        <n v="23.5756082537727"/>
        <n v="23.5848051955235"/>
        <n v="23.5872350409211"/>
        <n v="23.5888936517978"/>
        <n v="23.6063674972528"/>
        <n v="23.675277363802"/>
        <n v="23.6925031255765"/>
        <n v="23.6967679797805"/>
        <n v="23.7119443563805"/>
        <n v="23.7572581754648"/>
        <n v="23.7746864940576"/>
        <n v="23.8038185884162"/>
        <n v="23.8124237173305"/>
        <n v="23.9202834260329"/>
        <n v="24.0078464185171"/>
        <n v="24.3695177969624"/>
        <n v="24.404942208051"/>
        <n v="24.4209198911529"/>
        <n v="24.524122123008"/>
        <n v="24.5665846674309"/>
        <n v="24.5755243799569"/>
        <n v="24.5952135874163"/>
        <n v="24.6542704598957"/>
        <n v="24.6606840823661"/>
        <n v="24.7066776662542"/>
        <n v="24.7535969185454"/>
        <n v="24.81049845088"/>
        <n v="24.8165950285247"/>
        <n v="24.9102885888808"/>
        <n v="24.9415106467063"/>
        <n v="24.9768614624366"/>
        <n v="25.0860125225463"/>
        <n v="25.1243158672775"/>
        <n v="25.3276792598304"/>
        <n v="25.4554612585616"/>
        <n v="25.6685045042418"/>
        <n v="25.6688639007367"/>
        <n v="25.7207522075657"/>
        <n v="25.7570275749797"/>
        <n v="25.8347016967707"/>
        <n v="25.8470669363024"/>
        <n v="26.0485387142284"/>
        <n v="26.2207451358176"/>
        <n v="26.256946195332"/>
        <n v="26.2685947418798"/>
        <n v="26.2929066231407"/>
        <n v="26.3177908436706"/>
        <n v="26.3401903592263"/>
        <n v="26.3948817140307"/>
        <n v="26.4096314351134"/>
        <n v="26.4149483111138"/>
        <n v="26.7125668904871"/>
        <n v="26.7329786413756"/>
        <n v="26.8372242978247"/>
        <n v="26.854782393646"/>
        <n v="27.1508611495154"/>
        <n v="27.2168906624222"/>
        <n v="27.2544428058285"/>
        <n v="27.2958390126963"/>
        <n v="27.4519730423641"/>
        <n v="27.5548679797963"/>
        <n v="27.5569402664375"/>
        <n v="27.6283157693643"/>
        <n v="27.845288633831"/>
        <n v="27.8833993447462"/>
        <n v="28.0715870252921"/>
        <n v="28.1873493799455"/>
        <n v="28.2410615274422"/>
        <n v="28.3762251023289"/>
        <n v="28.4522690577138"/>
        <n v="28.4678721533533"/>
        <n v="29.1984978746789"/>
        <n v="29.5562041360907"/>
        <n v="29.6916754595346"/>
        <n v="29.8021103004629"/>
        <n v="29.9506361133396"/>
        <n v="30.0391952652773"/>
        <n v="30.0482623503388"/>
        <n v="30.4233250785178"/>
        <n v="30.5144737235958"/>
        <n v="30.796858908342"/>
        <n v="30.8184783035796"/>
        <n v="30.9940658653441"/>
        <n v="31.1061248467904"/>
        <n v="31.7200442819307"/>
        <n v="32.4323376027791"/>
        <n v="32.616746480101"/>
        <n v="32.9539574280062"/>
        <n v="34.6733524560262"/>
        <n v="34.6922512559481"/>
        <n v="35.0035095451213"/>
        <n v="35.1840379665499"/>
        <n v="36.0205796080264"/>
        <n v="36.2087130132364"/>
        <n v="36.4379654409882"/>
        <n v="36.7372358249317"/>
        <n v="37.4091825307951"/>
        <n v="37.6634633712433"/>
        <n v="37.8257355529194"/>
        <n v="37.9449187665781"/>
        <n v="38.4146781842168"/>
        <n v="38.4419113605012"/>
        <n v="38.6429859020542"/>
        <n v="39.979560748925"/>
        <n v="40.8585152122924"/>
        <n v="41.2335303662744"/>
        <n v="42.848573898197"/>
        <n v="43.5048480827491"/>
        <n v="43.7369966854078"/>
        <n v="43.8767212189617"/>
        <n v="44.8863306471796"/>
        <n v="44.9145110004112"/>
        <n v="45.5860643637437"/>
        <n v="47.5508317603269"/>
        <n v="48.0861896975245"/>
        <n v="50.0664827986644"/>
        <n v="50.1330151672395"/>
        <n v="63.2867002771938"/>
        <n v="70.9483076653723"/>
        <n v="71.5342168408636"/>
        <n v="76.5567245575221"/>
      </sharedItems>
    </cacheField>
    <cacheField name="real_losses_gcd" numFmtId="0">
      <sharedItems containsSemiMixedTypes="0" containsString="0" containsNumber="1" minValue="-80.7003715131817" maxValue="505.297871991924" count="3516">
        <n v="-80.7003715131817"/>
        <n v="-49.5199788757572"/>
        <n v="-43.0082947410952"/>
        <n v="-41.4722859109541"/>
        <n v="-38.8176400227303"/>
        <n v="-30.9196895352642"/>
        <n v="-27.9766486256177"/>
        <n v="-26.7572884506841"/>
        <n v="-21.2376940019058"/>
        <n v="-19.1798566033743"/>
        <n v="-16.1740953030296"/>
        <n v="-16.1101102106505"/>
        <n v="-14.4447239002185"/>
        <n v="-13.6470301691441"/>
        <n v="-13.6306533799741"/>
        <n v="-11.978862655116"/>
        <n v="-11.1029053253928"/>
        <n v="-10.3025595897881"/>
        <n v="-10.2521041507952"/>
        <n v="-8.33919732375573"/>
        <n v="-8.02637578004115"/>
        <n v="-7.90675450200623"/>
        <n v="-7.76405223172329"/>
        <n v="-7.71610995701153"/>
        <n v="-7.46851719728476"/>
        <n v="-6.81507117603427"/>
        <n v="-5.9342668293965"/>
        <n v="-5.65586197540715"/>
        <n v="-5.10009508203416"/>
        <n v="-4.70148977555993"/>
        <n v="-4.23941902608032"/>
        <n v="-3.7779338868118"/>
        <n v="-3.56972183696607"/>
        <n v="-2.10079619904825"/>
        <n v="-1.67366611920549"/>
        <n v="-1.50036480758049"/>
        <n v="-1.36669026154698"/>
        <n v="-1.31873893417007"/>
        <n v="-0.19013668288358"/>
        <n v="5.89399952010126E-005"/>
        <n v="0.0297169204978888"/>
        <n v="0.0340292507399849"/>
        <n v="0.0616680447780053"/>
        <n v="0.113508202033201"/>
        <n v="0.124040293691634"/>
        <n v="0.132711298384107"/>
        <n v="0.148701959540696"/>
        <n v="0.149945124763132"/>
        <n v="0.167650023968012"/>
        <n v="0.270698372694583"/>
        <n v="0.271025439631228"/>
        <n v="0.27827167120167"/>
        <n v="0.279892111842864"/>
        <n v="0.296734472141105"/>
        <n v="0.302626843077942"/>
        <n v="0.33437266966598"/>
        <n v="0.334375140708459"/>
        <n v="0.344839001090291"/>
        <n v="0.373794568524168"/>
        <n v="0.390280876523527"/>
        <n v="0.390387145335765"/>
        <n v="0.399365076876203"/>
        <n v="0.413650933804032"/>
        <n v="0.414811282773747"/>
        <n v="0.420115603998916"/>
        <n v="0.446446890376535"/>
        <n v="0.464825729654282"/>
        <n v="0.474437520183461"/>
        <n v="0.49234894383431"/>
        <n v="0.500559673355274"/>
        <n v="0.568525049542553"/>
        <n v="0.569978572289359"/>
        <n v="0.570827314902761"/>
        <n v="0.608943635803911"/>
        <n v="0.634944824848643"/>
        <n v="0.659557167833928"/>
        <n v="0.665877729048706"/>
        <n v="0.666751525714656"/>
        <n v="0.667178248633374"/>
        <n v="0.670276808790301"/>
        <n v="0.716801421519539"/>
        <n v="0.720579042661418"/>
        <n v="0.757920739610487"/>
        <n v="0.772512845304933"/>
        <n v="0.780364205246987"/>
        <n v="0.780841225253911"/>
        <n v="0.797556399190976"/>
        <n v="0.803907848781992"/>
        <n v="0.81917439861125"/>
        <n v="0.838551179055028"/>
        <n v="0.875258081008395"/>
        <n v="0.878217375943142"/>
        <n v="0.880947962724012"/>
        <n v="0.886326675124332"/>
        <n v="0.890985095233558"/>
        <n v="0.89757251457994"/>
        <n v="0.916965645284375"/>
        <n v="0.935408104109847"/>
        <n v="0.96586267200456"/>
        <n v="0.978773720984649"/>
        <n v="1.00937773692764"/>
        <n v="1.01367902216789"/>
        <n v="1.09080926977155"/>
        <n v="1.12471336971735"/>
        <n v="1.18507739537075"/>
        <n v="1.19823175937476"/>
        <n v="1.19966399282356"/>
        <n v="1.21225140706287"/>
        <n v="1.22136509303949"/>
        <n v="1.23490825479"/>
        <n v="1.24991773769511"/>
        <n v="1.25030453550371"/>
        <n v="1.26351157242258"/>
        <n v="1.28283297757704"/>
        <n v="1.29855287183921"/>
        <n v="1.3523794300849"/>
        <n v="1.36018459466479"/>
        <n v="1.3888998528427"/>
        <n v="1.41719712832806"/>
        <n v="1.42229355446432"/>
        <n v="1.42508717904149"/>
        <n v="1.45083358554109"/>
        <n v="1.45314433460591"/>
        <n v="1.46562079249605"/>
        <n v="1.47294616946836"/>
        <n v="1.4930528229447"/>
        <n v="1.53800321288529"/>
        <n v="1.54878084552751"/>
        <n v="1.5758530805355"/>
        <n v="1.58538715582225"/>
        <n v="1.63582334136559"/>
        <n v="1.64216054035478"/>
        <n v="1.64814689069176"/>
        <n v="1.67133298689349"/>
        <n v="1.67675349882404"/>
        <n v="1.68341681380693"/>
        <n v="1.70531921525601"/>
        <n v="1.72355675956292"/>
        <n v="1.72393509067841"/>
        <n v="1.73399116917642"/>
        <n v="1.75685537482914"/>
        <n v="1.7626907322512"/>
        <n v="1.76439540990429"/>
        <n v="1.80580984261919"/>
        <n v="1.81944883641003"/>
        <n v="1.83397267432314"/>
        <n v="1.89411084756825"/>
        <n v="1.89944300579872"/>
        <n v="1.91960749136506"/>
        <n v="1.93292187241397"/>
        <n v="1.96352350725443"/>
        <n v="1.96583407520628"/>
        <n v="1.96815087513871"/>
        <n v="1.97559665584878"/>
        <n v="1.99169312285925"/>
        <n v="1.99814333775521"/>
        <n v="2.0058569720544"/>
        <n v="2.02523082371884"/>
        <n v="2.07517429032446"/>
        <n v="2.08523914725884"/>
        <n v="2.10619066480059"/>
        <n v="2.12977845018051"/>
        <n v="2.13251520125586"/>
        <n v="2.16235366234318"/>
        <n v="2.16964959358254"/>
        <n v="2.21937238438599"/>
        <n v="2.21979201699168"/>
        <n v="2.23889650124609"/>
        <n v="2.24192302859798"/>
        <n v="2.24454791893265"/>
        <n v="2.26599380736032"/>
        <n v="2.27811360564877"/>
        <n v="2.3055275462711"/>
        <n v="2.32005064785458"/>
        <n v="2.35518178883303"/>
        <n v="2.3601927677861"/>
        <n v="2.39088418368176"/>
        <n v="2.39449386495033"/>
        <n v="2.3948522985271"/>
        <n v="2.44185219543717"/>
        <n v="2.44342520748887"/>
        <n v="2.4798018792036"/>
        <n v="2.4834901858964"/>
        <n v="2.48488751237554"/>
        <n v="2.50073404793299"/>
        <n v="2.50338410603581"/>
        <n v="2.50785530832951"/>
        <n v="2.51407819591052"/>
        <n v="2.51864086184212"/>
        <n v="2.52904425849629"/>
        <n v="2.53840777535927"/>
        <n v="2.53873651545127"/>
        <n v="2.5513047871926"/>
        <n v="2.56171211306965"/>
        <n v="2.58058024820515"/>
        <n v="2.58943816682029"/>
        <n v="2.59328492883851"/>
        <n v="2.62310556107601"/>
        <n v="2.6341065662094"/>
        <n v="2.63862747058226"/>
        <n v="2.64014564969285"/>
        <n v="2.64562559930805"/>
        <n v="2.64934096520634"/>
        <n v="2.66726049840953"/>
        <n v="2.66998675758576"/>
        <n v="2.67076557007385"/>
        <n v="2.70438254437007"/>
        <n v="2.7322206646437"/>
        <n v="2.85312693442663"/>
        <n v="2.86184913392555"/>
        <n v="2.86583983227481"/>
        <n v="2.89338852220837"/>
        <n v="2.89953412035345"/>
        <n v="2.91946146427149"/>
        <n v="2.93188246724838"/>
        <n v="2.93822676293561"/>
        <n v="2.94916306938694"/>
        <n v="2.96203473170096"/>
        <n v="2.97769645740197"/>
        <n v="2.98143632768387"/>
        <n v="2.99498500812878"/>
        <n v="3.01468037199339"/>
        <n v="3.0359502789133"/>
        <n v="3.04958044174313"/>
        <n v="3.10645134542614"/>
        <n v="3.21166428576115"/>
        <n v="3.23267225296525"/>
        <n v="3.26073324052501"/>
        <n v="3.28302872772295"/>
        <n v="3.28367754788013"/>
        <n v="3.28442109305754"/>
        <n v="3.35455338026537"/>
        <n v="3.35789277454384"/>
        <n v="3.41440820807521"/>
        <n v="3.41843637597576"/>
        <n v="3.434957124748"/>
        <n v="3.44654440208293"/>
        <n v="3.50703357763088"/>
        <n v="3.57562026341215"/>
        <n v="3.59554190150592"/>
        <n v="3.60903509151833"/>
        <n v="3.60908847817583"/>
        <n v="3.62231743482902"/>
        <n v="3.63552032070777"/>
        <n v="3.65812500387137"/>
        <n v="3.67094574107577"/>
        <n v="3.67578046785493"/>
        <n v="3.68011620864036"/>
        <n v="3.68842481561898"/>
        <n v="3.74479289066683"/>
        <n v="3.74803691950553"/>
        <n v="3.79160168666176"/>
        <n v="3.81456029736852"/>
        <n v="3.83247144744388"/>
        <n v="3.90390338762814"/>
        <n v="3.9194404537323"/>
        <n v="3.94191508830418"/>
        <n v="3.94645985450652"/>
        <n v="3.98077315050838"/>
        <n v="4.01444575558878"/>
        <n v="4.03022890265217"/>
        <n v="4.0546633147718"/>
        <n v="4.08929004246251"/>
        <n v="4.08980988236517"/>
        <n v="4.11607918213474"/>
        <n v="4.13970189882844"/>
        <n v="4.15667406269458"/>
        <n v="4.16165687050707"/>
        <n v="4.17084968670489"/>
        <n v="4.20475404354332"/>
        <n v="4.24121609264729"/>
        <n v="4.25184929149798"/>
        <n v="4.2631251959942"/>
        <n v="4.26647562633572"/>
        <n v="4.26667155400307"/>
        <n v="4.2868269069447"/>
        <n v="4.30309239406016"/>
        <n v="4.31833352777641"/>
        <n v="4.3443911837185"/>
        <n v="4.34493497590648"/>
        <n v="4.37264673203737"/>
        <n v="4.45606898527417"/>
        <n v="4.47387708753407"/>
        <n v="4.49218442667166"/>
        <n v="4.5151629329696"/>
        <n v="4.53745084258407"/>
        <n v="4.54988589180081"/>
        <n v="4.55583935555345"/>
        <n v="4.56415889779132"/>
        <n v="4.60444004893916"/>
        <n v="4.60488641391185"/>
        <n v="4.61621182218244"/>
        <n v="4.6221585141431"/>
        <n v="4.63664155268292"/>
        <n v="4.64717063602904"/>
        <n v="4.64860206184786"/>
        <n v="4.66192682714231"/>
        <n v="4.66364785000972"/>
        <n v="4.69016922893672"/>
        <n v="4.69532077209451"/>
        <n v="4.69983994250777"/>
        <n v="4.72594790732885"/>
        <n v="4.74237241629794"/>
        <n v="4.75590354999833"/>
        <n v="4.75997879227862"/>
        <n v="4.76434851036983"/>
        <n v="4.76969114629903"/>
        <n v="4.77043241839241"/>
        <n v="4.78225193031448"/>
        <n v="4.78649104825867"/>
        <n v="4.80418178488372"/>
        <n v="4.82965100019596"/>
        <n v="4.84443276649536"/>
        <n v="4.84593528695297"/>
        <n v="4.86055238258592"/>
        <n v="4.87075471440701"/>
        <n v="4.89125627519061"/>
        <n v="4.90329916769229"/>
        <n v="4.91979393435746"/>
        <n v="4.97837709868419"/>
        <n v="4.98010401780939"/>
        <n v="4.99236667937923"/>
        <n v="5.01709037475194"/>
        <n v="5.02881345079095"/>
        <n v="5.04146183969216"/>
        <n v="5.06385624187462"/>
        <n v="5.10133134173613"/>
        <n v="5.10601578773646"/>
        <n v="5.12132986784733"/>
        <n v="5.12137329804238"/>
        <n v="5.13858930275706"/>
        <n v="5.15210253715385"/>
        <n v="5.15610249783612"/>
        <n v="5.15979616527309"/>
        <n v="5.18353487963429"/>
        <n v="5.18834933891892"/>
        <n v="5.19163132363209"/>
        <n v="5.19613700598468"/>
        <n v="5.2267356191305"/>
        <n v="5.2288551962711"/>
        <n v="5.24224415407198"/>
        <n v="5.27695789284595"/>
        <n v="5.28342828538176"/>
        <n v="5.29138126989083"/>
        <n v="5.2975423136656"/>
        <n v="5.31702437786632"/>
        <n v="5.32413633805137"/>
        <n v="5.33778666727048"/>
        <n v="5.34244561181306"/>
        <n v="5.34647099510357"/>
        <n v="5.35001634415529"/>
        <n v="5.38237697512791"/>
        <n v="5.38303474900995"/>
        <n v="5.39449894589496"/>
        <n v="5.40579671935846"/>
        <n v="5.42267793572856"/>
        <n v="5.43343272545474"/>
        <n v="5.46749897779563"/>
        <n v="5.46943287385937"/>
        <n v="5.50689502179974"/>
        <n v="5.50800048067311"/>
        <n v="5.52286001922635"/>
        <n v="5.54553850915802"/>
        <n v="5.54713102714703"/>
        <n v="5.56305994323327"/>
        <n v="5.57999698325736"/>
        <n v="5.58450363138055"/>
        <n v="5.60176666412066"/>
        <n v="5.61012792890013"/>
        <n v="5.67360129354419"/>
        <n v="5.68555930389187"/>
        <n v="5.69345424764112"/>
        <n v="5.70371929080175"/>
        <n v="5.70536666664237"/>
        <n v="5.70681863311355"/>
        <n v="5.70914739528068"/>
        <n v="5.73774249341912"/>
        <n v="5.76570230479616"/>
        <n v="5.77006267327779"/>
        <n v="5.77740631334032"/>
        <n v="5.78140609724161"/>
        <n v="5.79006857503124"/>
        <n v="5.79841297399142"/>
        <n v="5.8305867565944"/>
        <n v="5.83225586841382"/>
        <n v="5.85812445677287"/>
        <n v="5.86185256185128"/>
        <n v="5.88040219565361"/>
        <n v="5.88619497044216"/>
        <n v="5.90570588523455"/>
        <n v="5.91651691842"/>
        <n v="5.91936009018968"/>
        <n v="5.99197322388733"/>
        <n v="5.99698561031469"/>
        <n v="6.0207286836376"/>
        <n v="6.0330164399588"/>
        <n v="6.09660161928223"/>
        <n v="6.11181315609356"/>
        <n v="6.11272739111615"/>
        <n v="6.18141775046429"/>
        <n v="6.1981790107072"/>
        <n v="6.23447241737638"/>
        <n v="6.2456032652914"/>
        <n v="6.25438436057556"/>
        <n v="6.25515762847196"/>
        <n v="6.27061051526086"/>
        <n v="6.28651182488112"/>
        <n v="6.2910058575097"/>
        <n v="6.29676502338616"/>
        <n v="6.32000668118081"/>
        <n v="6.34923453313455"/>
        <n v="6.3731444479297"/>
        <n v="6.37624522025938"/>
        <n v="6.38165151358188"/>
        <n v="6.41419374969145"/>
        <n v="6.43860841798712"/>
        <n v="6.44326577214914"/>
        <n v="6.46342511390104"/>
        <n v="6.47088338439068"/>
        <n v="6.48335674412265"/>
        <n v="6.50844831238694"/>
        <n v="6.5249001857116"/>
        <n v="6.52865075594978"/>
        <n v="6.54664822815166"/>
        <n v="6.55556694064615"/>
        <n v="6.57768961038973"/>
        <n v="6.62120949603032"/>
        <n v="6.62522210504642"/>
        <n v="6.66279662711373"/>
        <n v="6.66432932703565"/>
        <n v="6.66675206791246"/>
        <n v="6.69935277006803"/>
        <n v="6.70283061381753"/>
        <n v="6.71142037561799"/>
        <n v="6.72711210566142"/>
        <n v="6.73920394031196"/>
        <n v="6.75539604515314"/>
        <n v="6.76019209884807"/>
        <n v="6.8197373079355"/>
        <n v="6.82818872262904"/>
        <n v="6.84283608764657"/>
        <n v="6.90228943532694"/>
        <n v="6.95623144339499"/>
        <n v="6.97248419035062"/>
        <n v="6.97329254789643"/>
        <n v="6.98137700084107"/>
        <n v="6.99906196500085"/>
        <n v="7.00640882672193"/>
        <n v="7.03042209495164"/>
        <n v="7.0716035602064"/>
        <n v="7.08109118854007"/>
        <n v="7.10299422048624"/>
        <n v="7.1400802852725"/>
        <n v="7.18581587860663"/>
        <n v="7.20540805567922"/>
        <n v="7.21063721878391"/>
        <n v="7.21338724669972"/>
        <n v="7.2203553638443"/>
        <n v="7.2272981410727"/>
        <n v="7.24482421088959"/>
        <n v="7.25848428433125"/>
        <n v="7.263218047044"/>
        <n v="7.35783861723004"/>
        <n v="7.3600381710639"/>
        <n v="7.36023603846391"/>
        <n v="7.39212883236936"/>
        <n v="7.41089560163077"/>
        <n v="7.43079542915485"/>
        <n v="7.43776223050897"/>
        <n v="7.45535687206206"/>
        <n v="7.45573177209188"/>
        <n v="7.4712969370174"/>
        <n v="7.47246041644887"/>
        <n v="7.50604373344771"/>
        <n v="7.52963008564947"/>
        <n v="7.54293927083019"/>
        <n v="7.5579217251599"/>
        <n v="7.56299659485004"/>
        <n v="7.56549410694871"/>
        <n v="7.58873389390393"/>
        <n v="7.60478353956569"/>
        <n v="7.60971608259806"/>
        <n v="7.61709226165625"/>
        <n v="7.61732421853141"/>
        <n v="7.6596090458257"/>
        <n v="7.70738428252913"/>
        <n v="7.7441388008631"/>
        <n v="7.76870231287604"/>
        <n v="7.77458064621043"/>
        <n v="7.7746503150982"/>
        <n v="7.79015155360826"/>
        <n v="7.80985863892941"/>
        <n v="7.8297271068284"/>
        <n v="7.85114935857375"/>
        <n v="7.86873298393701"/>
        <n v="7.87581493777679"/>
        <n v="7.87956052025744"/>
        <n v="7.88241927813764"/>
        <n v="7.89278373290058"/>
        <n v="7.91825378378839"/>
        <n v="7.92695895165099"/>
        <n v="7.94897718195743"/>
        <n v="7.95810099473525"/>
        <n v="7.95884557277551"/>
        <n v="8.01359861221116"/>
        <n v="8.04410136402207"/>
        <n v="8.06347569520323"/>
        <n v="8.0726641361472"/>
        <n v="8.09794792870623"/>
        <n v="8.11028521786549"/>
        <n v="8.11385934696104"/>
        <n v="8.13612694262828"/>
        <n v="8.15898736313158"/>
        <n v="8.16385863213371"/>
        <n v="8.19331457347286"/>
        <n v="8.1979187680043"/>
        <n v="8.21517133658982"/>
        <n v="8.241142116987"/>
        <n v="8.25486956135331"/>
        <n v="8.26413204427622"/>
        <n v="8.28891391778397"/>
        <n v="8.29722684890387"/>
        <n v="8.30862172098287"/>
        <n v="8.35839686946982"/>
        <n v="8.36601546126798"/>
        <n v="8.37410189847256"/>
        <n v="8.3790499532002"/>
        <n v="8.3816126863495"/>
        <n v="8.38219983900179"/>
        <n v="8.47394587220578"/>
        <n v="8.48636706349108"/>
        <n v="8.5055417720444"/>
        <n v="8.51073304128115"/>
        <n v="8.54450225791365"/>
        <n v="8.54556950275408"/>
        <n v="8.54633482402301"/>
        <n v="8.54755235506299"/>
        <n v="8.58761918539633"/>
        <n v="8.61240031460179"/>
        <n v="8.61396626978445"/>
        <n v="8.65834378518664"/>
        <n v="8.66932775374906"/>
        <n v="8.69326927295518"/>
        <n v="8.69638027054388"/>
        <n v="8.70047600672795"/>
        <n v="8.71381214695862"/>
        <n v="8.73726989760036"/>
        <n v="8.75795787609858"/>
        <n v="8.7673342874342"/>
        <n v="8.78231179055301"/>
        <n v="8.80731089187107"/>
        <n v="8.83397641792675"/>
        <n v="8.84192686873895"/>
        <n v="8.87203398081224"/>
        <n v="8.87750651732542"/>
        <n v="8.88634184674558"/>
        <n v="8.96763835937131"/>
        <n v="8.98749804039419"/>
        <n v="9.00197704556473"/>
        <n v="9.00732730109117"/>
        <n v="9.0181814568106"/>
        <n v="9.03572890821198"/>
        <n v="9.04864583279631"/>
        <n v="9.05309258870816"/>
        <n v="9.05618065554434"/>
        <n v="9.0758990839331"/>
        <n v="9.12583041137904"/>
        <n v="9.12595726201229"/>
        <n v="9.13932560970748"/>
        <n v="9.16534607336795"/>
        <n v="9.16775765421831"/>
        <n v="9.1899214402164"/>
        <n v="9.22037281097898"/>
        <n v="9.22725381675318"/>
        <n v="9.27781575780795"/>
        <n v="9.28680745650778"/>
        <n v="9.30244768878708"/>
        <n v="9.30583772611297"/>
        <n v="9.30903863354652"/>
        <n v="9.33233148577268"/>
        <n v="9.39618188308141"/>
        <n v="9.40557289003811"/>
        <n v="9.41419162403519"/>
        <n v="9.43001285007002"/>
        <n v="9.4328776553861"/>
        <n v="9.43641851064247"/>
        <n v="9.46384647501307"/>
        <n v="9.4656775083896"/>
        <n v="9.48249790323811"/>
        <n v="9.49026332155792"/>
        <n v="9.5105079917685"/>
        <n v="9.52035005845778"/>
        <n v="9.53242392044441"/>
        <n v="9.534085340671"/>
        <n v="9.54035880123094"/>
        <n v="9.55987698948564"/>
        <n v="9.5665076678915"/>
        <n v="9.57330088642578"/>
        <n v="9.59412898702651"/>
        <n v="9.59562338823115"/>
        <n v="9.65076141147836"/>
        <n v="9.65389318565565"/>
        <n v="9.66580816048269"/>
        <n v="9.69331709948935"/>
        <n v="9.70297835955728"/>
        <n v="9.70651655907825"/>
        <n v="9.71362543748488"/>
        <n v="9.77331149794893"/>
        <n v="9.78043361859246"/>
        <n v="9.78437845292022"/>
        <n v="9.79931451378162"/>
        <n v="9.81691765408441"/>
        <n v="9.82391131108398"/>
        <n v="9.82703954285308"/>
        <n v="9.84601304064267"/>
        <n v="9.86082953695001"/>
        <n v="9.89219546890404"/>
        <n v="9.90844626865725"/>
        <n v="9.91378866833889"/>
        <n v="9.9208774864881"/>
        <n v="9.94086779973522"/>
        <n v="9.94460611520849"/>
        <n v="9.97959821345305"/>
        <n v="9.98061048427562"/>
        <n v="9.98622337068036"/>
        <n v="9.98950223520096"/>
        <n v="9.99262452913579"/>
        <n v="10.0074441202682"/>
        <n v="10.0145629745935"/>
        <n v="10.0472584719295"/>
        <n v="10.0495750881579"/>
        <n v="10.0824418838737"/>
        <n v="10.0850028497506"/>
        <n v="10.0890955319949"/>
        <n v="10.1184813610274"/>
        <n v="10.1329166209901"/>
        <n v="10.1457525868629"/>
        <n v="10.1506631351319"/>
        <n v="10.2152425140355"/>
        <n v="10.2776071012781"/>
        <n v="10.2834143263107"/>
        <n v="10.3241411622132"/>
        <n v="10.3487813440811"/>
        <n v="10.3816809667701"/>
        <n v="10.3824751399822"/>
        <n v="10.3888811785386"/>
        <n v="10.4053099906985"/>
        <n v="10.4105913345688"/>
        <n v="10.432299434991"/>
        <n v="10.4734923222005"/>
        <n v="10.5023895851105"/>
        <n v="10.5049265932272"/>
        <n v="10.5163871126643"/>
        <n v="10.5176839788253"/>
        <n v="10.5533943410965"/>
        <n v="10.5807979751703"/>
        <n v="10.5816363258714"/>
        <n v="10.5940194813394"/>
        <n v="10.6012192973488"/>
        <n v="10.6081291866238"/>
        <n v="10.6167757893209"/>
        <n v="10.625042107641"/>
        <n v="10.6468306144275"/>
        <n v="10.6652206950245"/>
        <n v="10.6736263726512"/>
        <n v="10.6763900286346"/>
        <n v="10.6820130486497"/>
        <n v="10.6831605175314"/>
        <n v="10.7063594951667"/>
        <n v="10.7103254766128"/>
        <n v="10.7282742184583"/>
        <n v="10.7330941537616"/>
        <n v="10.7451717978216"/>
        <n v="10.7456620310034"/>
        <n v="10.7703809602523"/>
        <n v="10.8607698291094"/>
        <n v="10.8614977540794"/>
        <n v="10.8851820543123"/>
        <n v="10.8879915802083"/>
        <n v="10.8986376774481"/>
        <n v="10.9302966725363"/>
        <n v="10.9479576670244"/>
        <n v="10.9680937696146"/>
        <n v="10.9833509933768"/>
        <n v="11.0029621731611"/>
        <n v="11.0042103445085"/>
        <n v="11.0485551998928"/>
        <n v="11.0512765634811"/>
        <n v="11.0530596070666"/>
        <n v="11.0659382945254"/>
        <n v="11.0733106983746"/>
        <n v="11.0817068472326"/>
        <n v="11.1248484955562"/>
        <n v="11.1286501516617"/>
        <n v="11.1296706736123"/>
        <n v="11.1312387831423"/>
        <n v="11.141906175281"/>
        <n v="11.148215909932"/>
        <n v="11.1567486449422"/>
        <n v="11.1797341038211"/>
        <n v="11.1971476227705"/>
        <n v="11.2063262179124"/>
        <n v="11.2176826399786"/>
        <n v="11.2551503675842"/>
        <n v="11.2689092548899"/>
        <n v="11.2798226455514"/>
        <n v="11.2827554288721"/>
        <n v="11.2938592644198"/>
        <n v="11.2947495680422"/>
        <n v="11.3229168243486"/>
        <n v="11.3278205138668"/>
        <n v="11.3312049133278"/>
        <n v="11.3368760437884"/>
        <n v="11.3557974841216"/>
        <n v="11.3666095154635"/>
        <n v="11.3677207887976"/>
        <n v="11.3978205359892"/>
        <n v="11.407150825242"/>
        <n v="11.4072376344356"/>
        <n v="11.4168745099527"/>
        <n v="11.4296121342325"/>
        <n v="11.4344969585128"/>
        <n v="11.4357059234"/>
        <n v="11.4422146621152"/>
        <n v="11.4510106018944"/>
        <n v="11.4531412334812"/>
        <n v="11.4581010861277"/>
        <n v="11.4688949613832"/>
        <n v="11.4991183621512"/>
        <n v="11.5135884803849"/>
        <n v="11.5210810276741"/>
        <n v="11.5213987595314"/>
        <n v="11.531118157257"/>
        <n v="11.534252803617"/>
        <n v="11.5460900700467"/>
        <n v="11.5531953848751"/>
        <n v="11.5861865749572"/>
        <n v="11.5967937324655"/>
        <n v="11.624710336853"/>
        <n v="11.634807991959"/>
        <n v="11.638016661303"/>
        <n v="11.6401844590916"/>
        <n v="11.6580622620163"/>
        <n v="11.6802692863426"/>
        <n v="11.6909569566305"/>
        <n v="11.7140113254414"/>
        <n v="11.7319665144858"/>
        <n v="11.745133647424"/>
        <n v="11.7511004643982"/>
        <n v="11.7511871118933"/>
        <n v="11.7667329140043"/>
        <n v="11.7671979071794"/>
        <n v="11.7789585447252"/>
        <n v="11.7954284398671"/>
        <n v="11.808571851783"/>
        <n v="11.8217099043348"/>
        <n v="11.8279185200556"/>
        <n v="11.8516809037411"/>
        <n v="11.8664738971436"/>
        <n v="11.8728237511392"/>
        <n v="11.8754947267031"/>
        <n v="11.9091031518342"/>
        <n v="11.9141257813505"/>
        <n v="11.9898007011937"/>
        <n v="12.0052938029211"/>
        <n v="12.0111049199419"/>
        <n v="12.0299039629912"/>
        <n v="12.0558088985081"/>
        <n v="12.058333094654"/>
        <n v="12.0824546841106"/>
        <n v="12.1157711892299"/>
        <n v="12.1359160783299"/>
        <n v="12.1563018435163"/>
        <n v="12.1582615814175"/>
        <n v="12.1903159861214"/>
        <n v="12.1963070937716"/>
        <n v="12.2139769702271"/>
        <n v="12.2436407811374"/>
        <n v="12.2838010510498"/>
        <n v="12.2870061027541"/>
        <n v="12.3038924528027"/>
        <n v="12.3099118963502"/>
        <n v="12.3145001668617"/>
        <n v="12.3185283566063"/>
        <n v="12.3247948908473"/>
        <n v="12.3380741766485"/>
        <n v="12.3670886028413"/>
        <n v="12.3701126815981"/>
        <n v="12.3855620689046"/>
        <n v="12.4118933587703"/>
        <n v="12.4365507846949"/>
        <n v="12.4789315733844"/>
        <n v="12.4891221168663"/>
        <n v="12.5170188527353"/>
        <n v="12.5308868766883"/>
        <n v="12.5344055454775"/>
        <n v="12.5428863817936"/>
        <n v="12.5521708487277"/>
        <n v="12.5893450863962"/>
        <n v="12.5956930604613"/>
        <n v="12.6104867695639"/>
        <n v="12.6158794619053"/>
        <n v="12.6184406633533"/>
        <n v="12.6232288555583"/>
        <n v="12.6273252526329"/>
        <n v="12.6478791991798"/>
        <n v="12.6526654339323"/>
        <n v="12.654081715711"/>
        <n v="12.6695180993872"/>
        <n v="12.6699470114147"/>
        <n v="12.7155620871599"/>
        <n v="12.7358277408247"/>
        <n v="12.7436951109924"/>
        <n v="12.7837652040357"/>
        <n v="12.8008122231801"/>
        <n v="12.8251618214476"/>
        <n v="12.8432984664953"/>
        <n v="12.8551406908215"/>
        <n v="12.8620210449941"/>
        <n v="12.8694140482974"/>
        <n v="12.8828197494171"/>
        <n v="12.8879335478754"/>
        <n v="12.8986896277262"/>
        <n v="12.9008950197616"/>
        <n v="12.9275479489576"/>
        <n v="12.9333415958592"/>
        <n v="12.9490693285408"/>
        <n v="12.9508844548388"/>
        <n v="12.9642726215778"/>
        <n v="12.9782677731562"/>
        <n v="12.9862838723692"/>
        <n v="12.9949491304031"/>
        <n v="13.0077844973346"/>
        <n v="13.0239825395024"/>
        <n v="13.056835250759"/>
        <n v="13.0766754908966"/>
        <n v="13.099228099875"/>
        <n v="13.1085555098368"/>
        <n v="13.111864873905"/>
        <n v="13.1533426111184"/>
        <n v="13.1584395852384"/>
        <n v="13.1601979335296"/>
        <n v="13.1698007606873"/>
        <n v="13.1729631990673"/>
        <n v="13.1871549018446"/>
        <n v="13.1888776179875"/>
        <n v="13.1941948267108"/>
        <n v="13.2027520156267"/>
        <n v="13.2075542783764"/>
        <n v="13.2082482662854"/>
        <n v="13.20986612462"/>
        <n v="13.2181858469518"/>
        <n v="13.2334633467666"/>
        <n v="13.2350533173753"/>
        <n v="13.2582396189045"/>
        <n v="13.2666752975948"/>
        <n v="13.2754695480394"/>
        <n v="13.2916155261877"/>
        <n v="13.3050795345123"/>
        <n v="13.3068743371608"/>
        <n v="13.3303791256792"/>
        <n v="13.3355981132742"/>
        <n v="13.3394149223155"/>
        <n v="13.3501430880351"/>
        <n v="13.3581844438879"/>
        <n v="13.3601769656497"/>
        <n v="13.3837623605443"/>
        <n v="13.3912619374126"/>
        <n v="13.4101486675273"/>
        <n v="13.440913447353"/>
        <n v="13.4467449087802"/>
        <n v="13.4680027101145"/>
        <n v="13.4849222219213"/>
        <n v="13.4855150405463"/>
        <n v="13.4892749287499"/>
        <n v="13.5043806624897"/>
        <n v="13.5107265273078"/>
        <n v="13.52424727079"/>
        <n v="13.5529794584962"/>
        <n v="13.5586373966368"/>
        <n v="13.5795170417768"/>
        <n v="13.5812790052226"/>
        <n v="13.5936116249553"/>
        <n v="13.6060701189872"/>
        <n v="13.6130201305711"/>
        <n v="13.6136174611908"/>
        <n v="13.6398024460298"/>
        <n v="13.6497323137144"/>
        <n v="13.6594319542213"/>
        <n v="13.6760625694582"/>
        <n v="13.6798700858795"/>
        <n v="13.6881024925033"/>
        <n v="13.7183258229942"/>
        <n v="13.7236654871634"/>
        <n v="13.7297706741163"/>
        <n v="13.7300806833169"/>
        <n v="13.7305801007431"/>
        <n v="13.7526754412865"/>
        <n v="13.7529703051085"/>
        <n v="13.7650548385467"/>
        <n v="13.7769811049745"/>
        <n v="13.786312613347"/>
        <n v="13.7896526171659"/>
        <n v="13.8294447804358"/>
        <n v="13.834303086932"/>
        <n v="13.8362489009264"/>
        <n v="13.8409889854041"/>
        <n v="13.8568386494442"/>
        <n v="13.8898240400874"/>
        <n v="13.9042095926563"/>
        <n v="13.9097286049587"/>
        <n v="13.9099881886545"/>
        <n v="13.9113019028022"/>
        <n v="13.9164899592694"/>
        <n v="13.9352534271437"/>
        <n v="13.9455645477674"/>
        <n v="13.9494410804484"/>
        <n v="13.9663077662128"/>
        <n v="13.9716860523612"/>
        <n v="14.019314690737"/>
        <n v="14.0234969688099"/>
        <n v="14.0339588010768"/>
        <n v="14.0378653769133"/>
        <n v="14.0387736992586"/>
        <n v="14.0773112279983"/>
        <n v="14.0791802612621"/>
        <n v="14.0907073002522"/>
        <n v="14.1304007504954"/>
        <n v="14.14864295128"/>
        <n v="14.1929853429026"/>
        <n v="14.1950964434268"/>
        <n v="14.2255396255582"/>
        <n v="14.2277892654819"/>
        <n v="14.2427000945376"/>
        <n v="14.2436310091648"/>
        <n v="14.2509507427049"/>
        <n v="14.2562320134693"/>
        <n v="14.262022193773"/>
        <n v="14.2735690749733"/>
        <n v="14.2759081298752"/>
        <n v="14.2992783249384"/>
        <n v="14.2995281749936"/>
        <n v="14.3012603632095"/>
        <n v="14.3246102149081"/>
        <n v="14.3300354981247"/>
        <n v="14.358673504793"/>
        <n v="14.3743619504025"/>
        <n v="14.4042319756658"/>
        <n v="14.4219786313737"/>
        <n v="14.4301709490074"/>
        <n v="14.4371764362764"/>
        <n v="14.4445795044193"/>
        <n v="14.4519755367117"/>
        <n v="14.4625526819114"/>
        <n v="14.4750975117315"/>
        <n v="14.4992978782442"/>
        <n v="14.5021005813207"/>
        <n v="14.5057974602689"/>
        <n v="14.5086212927855"/>
        <n v="14.5164102550653"/>
        <n v="14.5241400543016"/>
        <n v="14.5315253581887"/>
        <n v="14.5432839155232"/>
        <n v="14.5439623852676"/>
        <n v="14.561689791935"/>
        <n v="14.580921042347"/>
        <n v="14.5853305098334"/>
        <n v="14.6124450601229"/>
        <n v="14.6214599102379"/>
        <n v="14.6276323246618"/>
        <n v="14.6333926504937"/>
        <n v="14.6343533434221"/>
        <n v="14.6660002235385"/>
        <n v="14.6667966360627"/>
        <n v="14.6780057658623"/>
        <n v="14.6873164834449"/>
        <n v="14.7108426326523"/>
        <n v="14.7286912536275"/>
        <n v="14.7425545699114"/>
        <n v="14.7774878254118"/>
        <n v="14.7784584241416"/>
        <n v="14.8187136991753"/>
        <n v="14.8410083717677"/>
        <n v="14.8706253888311"/>
        <n v="14.8749000481192"/>
        <n v="14.8942507465482"/>
        <n v="14.9146717373085"/>
        <n v="14.9193197987131"/>
        <n v="14.9248874240649"/>
        <n v="14.9268382289124"/>
        <n v="14.9314422324164"/>
        <n v="14.94985685917"/>
        <n v="14.963309419733"/>
        <n v="14.9882088264534"/>
        <n v="14.9982896079082"/>
        <n v="15.0013316939897"/>
        <n v="15.0111054806394"/>
        <n v="15.0362664007875"/>
        <n v="15.0369711998624"/>
        <n v="15.0636305765151"/>
        <n v="15.103161292073"/>
        <n v="15.112769997116"/>
        <n v="15.1240048118805"/>
        <n v="15.1388529563796"/>
        <n v="15.1514836506546"/>
        <n v="15.158535148171"/>
        <n v="15.1660032751974"/>
        <n v="15.1754040536304"/>
        <n v="15.1773660644853"/>
        <n v="15.1874156889615"/>
        <n v="15.1901248066542"/>
        <n v="15.1929006518593"/>
        <n v="15.1929901251098"/>
        <n v="15.2116008858254"/>
        <n v="15.2140362334496"/>
        <n v="15.2332161893103"/>
        <n v="15.2391905679435"/>
        <n v="15.2654255000856"/>
        <n v="15.2684449099056"/>
        <n v="15.3144545252288"/>
        <n v="15.3228547066585"/>
        <n v="15.3244328082207"/>
        <n v="15.3272486372166"/>
        <n v="15.3348917675681"/>
        <n v="15.3378980996554"/>
        <n v="15.3734891048409"/>
        <n v="15.3975201270806"/>
        <n v="15.3989444392186"/>
        <n v="15.4004134143942"/>
        <n v="15.4079490213439"/>
        <n v="15.4096557684096"/>
        <n v="15.4210028646007"/>
        <n v="15.4240590982251"/>
        <n v="15.4383935966586"/>
        <n v="15.4509657249865"/>
        <n v="15.4606469413578"/>
        <n v="15.4716979965493"/>
        <n v="15.478432653141"/>
        <n v="15.4897809803614"/>
        <n v="15.4974234718706"/>
        <n v="15.4992970459729"/>
        <n v="15.537253309444"/>
        <n v="15.5375550221788"/>
        <n v="15.5421229750873"/>
        <n v="15.5429608408535"/>
        <n v="15.5518476544624"/>
        <n v="15.5671006801092"/>
        <n v="15.5833034556146"/>
        <n v="15.5993190924133"/>
        <n v="15.599568609175"/>
        <n v="15.6181904513831"/>
        <n v="15.6241179403535"/>
        <n v="15.6362298316601"/>
        <n v="15.6495292390517"/>
        <n v="15.6495341272243"/>
        <n v="15.6875264030363"/>
        <n v="15.6890638326067"/>
        <n v="15.6995188927494"/>
        <n v="15.7021973370715"/>
        <n v="15.7031769023228"/>
        <n v="15.7042789638933"/>
        <n v="15.7063019010422"/>
        <n v="15.7073045957152"/>
        <n v="15.7185083873098"/>
        <n v="15.7431033489059"/>
        <n v="15.7491954620882"/>
        <n v="15.7564964582272"/>
        <n v="15.7725163452723"/>
        <n v="15.7737925607202"/>
        <n v="15.7772316718054"/>
        <n v="15.7796832114395"/>
        <n v="15.7931571063443"/>
        <n v="15.7933630306055"/>
        <n v="15.7940527729515"/>
        <n v="15.796481940229"/>
        <n v="15.8000166356837"/>
        <n v="15.8021576918526"/>
        <n v="15.8140448709917"/>
        <n v="15.8272648971238"/>
        <n v="15.8328599481952"/>
        <n v="15.8340852530636"/>
        <n v="15.854703531043"/>
        <n v="15.8580349821274"/>
        <n v="15.8620932517549"/>
        <n v="15.890636374469"/>
        <n v="15.9016103217103"/>
        <n v="15.9037720299933"/>
        <n v="15.9273927251998"/>
        <n v="15.9307619517278"/>
        <n v="15.9349401969275"/>
        <n v="15.9381476663311"/>
        <n v="15.9460263224847"/>
        <n v="15.9563535871475"/>
        <n v="15.9645653452441"/>
        <n v="15.9761196456075"/>
        <n v="16.0410121871417"/>
        <n v="16.0512360976347"/>
        <n v="16.0579964131807"/>
        <n v="16.0784094153336"/>
        <n v="16.0793730029073"/>
        <n v="16.0842344846653"/>
        <n v="16.0871483201599"/>
        <n v="16.1037834599318"/>
        <n v="16.1050705473413"/>
        <n v="16.109749093525"/>
        <n v="16.1169948699199"/>
        <n v="16.1473950347935"/>
        <n v="16.1650312343807"/>
        <n v="16.1676406452901"/>
        <n v="16.1770162571972"/>
        <n v="16.1890375129082"/>
        <n v="16.2058302486521"/>
        <n v="16.2361449961682"/>
        <n v="16.2738719166264"/>
        <n v="16.2744466878405"/>
        <n v="16.2837083033404"/>
        <n v="16.2841108733144"/>
        <n v="16.2855766677514"/>
        <n v="16.3018224721422"/>
        <n v="16.3466648987426"/>
        <n v="16.3476257583969"/>
        <n v="16.3655002303396"/>
        <n v="16.3757883979444"/>
        <n v="16.3776862973734"/>
        <n v="16.3953305760027"/>
        <n v="16.4202801421027"/>
        <n v="16.439257132852"/>
        <n v="16.4465738453943"/>
        <n v="16.4550479852575"/>
        <n v="16.4719791107472"/>
        <n v="16.4837151278805"/>
        <n v="16.5178605474019"/>
        <n v="16.533177877826"/>
        <n v="16.5397870261241"/>
        <n v="16.5613387796669"/>
        <n v="16.5614646124215"/>
        <n v="16.5817346721818"/>
        <n v="16.5819090148184"/>
        <n v="16.5833337871613"/>
        <n v="16.6144584422683"/>
        <n v="16.6172312518526"/>
        <n v="16.6186013590156"/>
        <n v="16.6313312525273"/>
        <n v="16.6413117759153"/>
        <n v="16.6567231256246"/>
        <n v="16.6781789857078"/>
        <n v="16.6924925958915"/>
        <n v="16.7123483753741"/>
        <n v="16.7321003354799"/>
        <n v="16.7842870298246"/>
        <n v="16.789729839836"/>
        <n v="16.8599194664785"/>
        <n v="16.8626567029527"/>
        <n v="16.8655254303437"/>
        <n v="16.8716062502217"/>
        <n v="16.8721454331089"/>
        <n v="16.8728554741769"/>
        <n v="16.8752059705463"/>
        <n v="16.880296721469"/>
        <n v="16.8942087273289"/>
        <n v="16.9061577219629"/>
        <n v="16.9067545907513"/>
        <n v="16.9127283722786"/>
        <n v="16.9185156160895"/>
        <n v="16.92945611037"/>
        <n v="16.9545261665795"/>
        <n v="16.9591659225388"/>
        <n v="16.9607299395415"/>
        <n v="16.9634640822281"/>
        <n v="16.9670140456179"/>
        <n v="16.9687868926604"/>
        <n v="16.9964574516962"/>
        <n v="16.9997507187265"/>
        <n v="17.0053120306413"/>
        <n v="17.0053267760313"/>
        <n v="17.0114605084921"/>
        <n v="17.0205405762476"/>
        <n v="17.0318082461811"/>
        <n v="17.0365208154144"/>
        <n v="17.0527151589624"/>
        <n v="17.0613784023261"/>
        <n v="17.0653256728848"/>
        <n v="17.0958663531025"/>
        <n v="17.0969455478131"/>
        <n v="17.1392212555564"/>
        <n v="17.1471368981639"/>
        <n v="17.156815651209"/>
        <n v="17.1604072971769"/>
        <n v="17.1665609696737"/>
        <n v="17.1966675786397"/>
        <n v="17.1977485465917"/>
        <n v="17.2071564428408"/>
        <n v="17.2143077154118"/>
        <n v="17.217318523054"/>
        <n v="17.251064712525"/>
        <n v="17.2566236109323"/>
        <n v="17.2847564701041"/>
        <n v="17.2860769889222"/>
        <n v="17.2918738278174"/>
        <n v="17.3384316509427"/>
        <n v="17.3399602125931"/>
        <n v="17.3601446744733"/>
        <n v="17.3665092721682"/>
        <n v="17.3812805484837"/>
        <n v="17.38586588235"/>
        <n v="17.3956665969705"/>
        <n v="17.4342164855302"/>
        <n v="17.4358582511827"/>
        <n v="17.4400725981159"/>
        <n v="17.4546370453846"/>
        <n v="17.4550430714703"/>
        <n v="17.4624914857974"/>
        <n v="17.465825693903"/>
        <n v="17.4789761325167"/>
        <n v="17.4790655725128"/>
        <n v="17.4801497101389"/>
        <n v="17.4871675705649"/>
        <n v="17.4987833925748"/>
        <n v="17.4997736828935"/>
        <n v="17.5192118328134"/>
        <n v="17.5247363421509"/>
        <n v="17.5262521039585"/>
        <n v="17.554689485901"/>
        <n v="17.5734985485482"/>
        <n v="17.5741382832259"/>
        <n v="17.5807726533759"/>
        <n v="17.5862509851247"/>
        <n v="17.586257604015"/>
        <n v="17.5869095215268"/>
        <n v="17.5925008546118"/>
        <n v="17.5939984735183"/>
        <n v="17.5955099189616"/>
        <n v="17.6073446367608"/>
        <n v="17.6194532502792"/>
        <n v="17.62769705555"/>
        <n v="17.6491774215778"/>
        <n v="17.656245960399"/>
        <n v="17.661237963023"/>
        <n v="17.6648937787062"/>
        <n v="17.6747824596381"/>
        <n v="17.6794961839724"/>
        <n v="17.6879949441172"/>
        <n v="17.6912599665341"/>
        <n v="17.6918451827062"/>
        <n v="17.6936881352941"/>
        <n v="17.6947951643427"/>
        <n v="17.69815925664"/>
        <n v="17.7239021423505"/>
        <n v="17.7257856283633"/>
        <n v="17.7977501214896"/>
        <n v="17.8123710662008"/>
        <n v="17.8191299267084"/>
        <n v="17.8276759073358"/>
        <n v="17.8424203012711"/>
        <n v="17.8447830851649"/>
        <n v="17.8487069179553"/>
        <n v="17.8605321612624"/>
        <n v="17.8804091823694"/>
        <n v="17.9018185949789"/>
        <n v="17.9127661919136"/>
        <n v="17.924181048096"/>
        <n v="17.9298821809784"/>
        <n v="17.9321312067869"/>
        <n v="17.945270996217"/>
        <n v="17.9488640185047"/>
        <n v="17.980091734051"/>
        <n v="17.9933857024791"/>
        <n v="18.0016132003066"/>
        <n v="18.0068206542856"/>
        <n v="18.0104092881869"/>
        <n v="18.010785217812"/>
        <n v="18.0128985255538"/>
        <n v="18.0358154879782"/>
        <n v="18.042841524858"/>
        <n v="18.0653482540621"/>
        <n v="18.0829782272931"/>
        <n v="18.0849663414292"/>
        <n v="18.0939529654724"/>
        <n v="18.1205484531251"/>
        <n v="18.1208127922484"/>
        <n v="18.1511496354293"/>
        <n v="18.1625894388032"/>
        <n v="18.1845797184824"/>
        <n v="18.1964104456316"/>
        <n v="18.2018320924245"/>
        <n v="18.2048369402956"/>
        <n v="18.2178973602992"/>
        <n v="18.2198047503812"/>
        <n v="18.21992137087"/>
        <n v="18.2337895804503"/>
        <n v="18.2398580395454"/>
        <n v="18.2508247823896"/>
        <n v="18.2709453918611"/>
        <n v="18.2769310152678"/>
        <n v="18.2774542036014"/>
        <n v="18.2823129461321"/>
        <n v="18.2877365774438"/>
        <n v="18.2899341798668"/>
        <n v="18.3222752381598"/>
        <n v="18.3500599907641"/>
        <n v="18.3543479462339"/>
        <n v="18.3618166174689"/>
        <n v="18.3870725137173"/>
        <n v="18.402085663006"/>
        <n v="18.404414222415"/>
        <n v="18.4121640432882"/>
        <n v="18.4123109861373"/>
        <n v="18.4193617562575"/>
        <n v="18.4224261576635"/>
        <n v="18.4484593582443"/>
        <n v="18.4965269150506"/>
        <n v="18.4967692138559"/>
        <n v="18.5181193645165"/>
        <n v="18.5294862399254"/>
        <n v="18.5593307567017"/>
        <n v="18.5597970348607"/>
        <n v="18.5660015946318"/>
        <n v="18.5914335170506"/>
        <n v="18.5951637731166"/>
        <n v="18.6074516016706"/>
        <n v="18.631712913039"/>
        <n v="18.6931850469043"/>
        <n v="18.7038728351496"/>
        <n v="18.7045599604905"/>
        <n v="18.7084308054123"/>
        <n v="18.7132078078939"/>
        <n v="18.7294137659035"/>
        <n v="18.7369722839916"/>
        <n v="18.7400250627479"/>
        <n v="18.7504965568442"/>
        <n v="18.7514030697533"/>
        <n v="18.7521987950298"/>
        <n v="18.7582331625392"/>
        <n v="18.7612154132543"/>
        <n v="18.7619229189992"/>
        <n v="18.7823719592773"/>
        <n v="18.7852530822775"/>
        <n v="18.7936967554963"/>
        <n v="18.8012434844401"/>
        <n v="18.9015026602286"/>
        <n v="18.9275615021818"/>
        <n v="18.9395002983167"/>
        <n v="18.9435896223196"/>
        <n v="18.9524950609691"/>
        <n v="18.9525008448414"/>
        <n v="18.9570216371091"/>
        <n v="18.9626821811138"/>
        <n v="18.9949372281136"/>
        <n v="19.0238484583968"/>
        <n v="19.0339382677632"/>
        <n v="19.0560075186937"/>
        <n v="19.0561558991158"/>
        <n v="19.0576772787177"/>
        <n v="19.1116252288731"/>
        <n v="19.1306361029445"/>
        <n v="19.144918718191"/>
        <n v="19.1760470565062"/>
        <n v="19.1764014046319"/>
        <n v="19.2044450149816"/>
        <n v="19.2163350625192"/>
        <n v="19.2297204858909"/>
        <n v="19.2323667410211"/>
        <n v="19.2447130816857"/>
        <n v="19.2504833805057"/>
        <n v="19.2652507560839"/>
        <n v="19.266497486782"/>
        <n v="19.2665162428119"/>
        <n v="19.2696093317427"/>
        <n v="19.2927856277772"/>
        <n v="19.3241039802942"/>
        <n v="19.3394965062195"/>
        <n v="19.3448216202329"/>
        <n v="19.3568173610132"/>
        <n v="19.3652268438728"/>
        <n v="19.3670797538169"/>
        <n v="19.3761956818055"/>
        <n v="19.3770395958293"/>
        <n v="19.3815946784044"/>
        <n v="19.3979854044476"/>
        <n v="19.4009905538762"/>
        <n v="19.4226624006399"/>
        <n v="19.4253210510799"/>
        <n v="19.435003984216"/>
        <n v="19.447689089387"/>
        <n v="19.4557235226739"/>
        <n v="19.4948223769405"/>
        <n v="19.5069938507939"/>
        <n v="19.5104616924146"/>
        <n v="19.5177793758351"/>
        <n v="19.5212444810824"/>
        <n v="19.5215175513818"/>
        <n v="19.5237401303127"/>
        <n v="19.5316399821424"/>
        <n v="19.5638348663712"/>
        <n v="19.5659427167577"/>
        <n v="19.5715509827061"/>
        <n v="19.5736014821138"/>
        <n v="19.5809501831143"/>
        <n v="19.5894749348295"/>
        <n v="19.5964734239422"/>
        <n v="19.5985805615331"/>
        <n v="19.649327798154"/>
        <n v="19.6572359791757"/>
        <n v="19.673332692651"/>
        <n v="19.6984402062827"/>
        <n v="19.7203655565616"/>
        <n v="19.7205491055461"/>
        <n v="19.7366401436579"/>
        <n v="19.7450710965006"/>
        <n v="19.7569009090655"/>
        <n v="19.7617338722573"/>
        <n v="19.7619853137625"/>
        <n v="19.7882138759291"/>
        <n v="19.7890365783178"/>
        <n v="19.8019698479861"/>
        <n v="19.8020782922489"/>
        <n v="19.8057550008147"/>
        <n v="19.8176448899095"/>
        <n v="19.8394409652701"/>
        <n v="19.8438280676793"/>
        <n v="19.9143887639319"/>
        <n v="19.9232512643796"/>
        <n v="19.9279639398131"/>
        <n v="19.9415960998807"/>
        <n v="19.9582107064897"/>
        <n v="19.9675708501827"/>
        <n v="19.9796296814432"/>
        <n v="19.9854542662227"/>
        <n v="19.9872708501793"/>
        <n v="19.9889520019576"/>
        <n v="20.0066805179185"/>
        <n v="20.0129554581988"/>
        <n v="20.0161457958637"/>
        <n v="20.0265777077553"/>
        <n v="20.0321652118033"/>
        <n v="20.072160215158"/>
        <n v="20.1275592575785"/>
        <n v="20.1308732759494"/>
        <n v="20.1320406741609"/>
        <n v="20.1363117619674"/>
        <n v="20.1367631785043"/>
        <n v="20.1776045307307"/>
        <n v="20.182399375744"/>
        <n v="20.2097562632894"/>
        <n v="20.2374481854547"/>
        <n v="20.2486239873872"/>
        <n v="20.2807310051609"/>
        <n v="20.3038611476445"/>
        <n v="20.322068447306"/>
        <n v="20.3257399713218"/>
        <n v="20.3441394820425"/>
        <n v="20.3569689141094"/>
        <n v="20.3643401906218"/>
        <n v="20.369058333963"/>
        <n v="20.3842864193838"/>
        <n v="20.4151736710139"/>
        <n v="20.4261110528751"/>
        <n v="20.4381226238375"/>
        <n v="20.4561597714145"/>
        <n v="20.4579224493848"/>
        <n v="20.4651881695953"/>
        <n v="20.4673293395205"/>
        <n v="20.4863151356413"/>
        <n v="20.4930721258053"/>
        <n v="20.5314090058913"/>
        <n v="20.538080464279"/>
        <n v="20.5468042841105"/>
        <n v="20.5530227288907"/>
        <n v="20.5610793836645"/>
        <n v="20.5623942787856"/>
        <n v="20.5742004013227"/>
        <n v="20.5963883401834"/>
        <n v="20.6068414684931"/>
        <n v="20.6110230234676"/>
        <n v="20.6135862442833"/>
        <n v="20.6216847160559"/>
        <n v="20.6289982436195"/>
        <n v="20.6396655000327"/>
        <n v="20.6450196295595"/>
        <n v="20.6471729501057"/>
        <n v="20.6968466407055"/>
        <n v="20.6989666519575"/>
        <n v="20.7125009781773"/>
        <n v="20.735013088571"/>
        <n v="20.7352254576777"/>
        <n v="20.7365920303861"/>
        <n v="20.7629969115018"/>
        <n v="20.775526159035"/>
        <n v="20.7760273674124"/>
        <n v="20.7788010866761"/>
        <n v="20.7798937928683"/>
        <n v="20.790410525976"/>
        <n v="20.8019976211918"/>
        <n v="20.8030863970039"/>
        <n v="20.804412475354"/>
        <n v="20.8209677972575"/>
        <n v="20.8249252763151"/>
        <n v="20.8418623527134"/>
        <n v="20.8462001073769"/>
        <n v="20.8561275543974"/>
        <n v="20.8580954385383"/>
        <n v="20.87392611938"/>
        <n v="20.8748212537637"/>
        <n v="20.8780083888487"/>
        <n v="20.8892757617623"/>
        <n v="20.8915247116865"/>
        <n v="20.8925487797676"/>
        <n v="20.9034859236569"/>
        <n v="20.9104045635082"/>
        <n v="20.9524995254056"/>
        <n v="20.9576306860208"/>
        <n v="20.9679680783269"/>
        <n v="20.9965174107055"/>
        <n v="20.9969949007769"/>
        <n v="21.024676362812"/>
        <n v="21.0266458480869"/>
        <n v="21.0691251027256"/>
        <n v="21.0941894360001"/>
        <n v="21.1364212772823"/>
        <n v="21.1438894194588"/>
        <n v="21.1597829288801"/>
        <n v="21.1757926469683"/>
        <n v="21.1929817131749"/>
        <n v="21.2022383558881"/>
        <n v="21.2039752067097"/>
        <n v="21.2259763038158"/>
        <n v="21.2539615683459"/>
        <n v="21.2715068080977"/>
        <n v="21.2839763617645"/>
        <n v="21.2866010705274"/>
        <n v="21.3485956774844"/>
        <n v="21.3544885482357"/>
        <n v="21.3571603083294"/>
        <n v="21.3684711869088"/>
        <n v="21.3698131975541"/>
        <n v="21.3801000940355"/>
        <n v="21.384102938747"/>
        <n v="21.3983344351892"/>
        <n v="21.4023012942686"/>
        <n v="21.4034332032253"/>
        <n v="21.4082055695987"/>
        <n v="21.4623399839054"/>
        <n v="21.4691011888158"/>
        <n v="21.4742377666827"/>
        <n v="21.5132407005212"/>
        <n v="21.5135191630283"/>
        <n v="21.5289855693337"/>
        <n v="21.5414801033538"/>
        <n v="21.5419070222024"/>
        <n v="21.5488206118702"/>
        <n v="21.5680574400835"/>
        <n v="21.5865856406202"/>
        <n v="21.5955084513895"/>
        <n v="21.6174728779371"/>
        <n v="21.6259216363392"/>
        <n v="21.6265121305821"/>
        <n v="21.6319207635006"/>
        <n v="21.6479519872756"/>
        <n v="21.6507150673186"/>
        <n v="21.664747867115"/>
        <n v="21.7490783837313"/>
        <n v="21.761076653973"/>
        <n v="21.7739319993291"/>
        <n v="21.7806315663585"/>
        <n v="21.7944558946359"/>
        <n v="21.8036401835748"/>
        <n v="21.8073375509722"/>
        <n v="21.817508728931"/>
        <n v="21.8248423574252"/>
        <n v="21.8567138076665"/>
        <n v="21.8588669166907"/>
        <n v="21.8597752945608"/>
        <n v="21.8704893618158"/>
        <n v="21.8776628573084"/>
        <n v="21.8873673895814"/>
        <n v="21.889784989089"/>
        <n v="21.889978104513"/>
        <n v="21.8949660101249"/>
        <n v="21.9163744806549"/>
        <n v="21.9504532141424"/>
        <n v="21.9542835523259"/>
        <n v="21.9555058886574"/>
        <n v="21.9657442425068"/>
        <n v="21.9731276283402"/>
        <n v="22.0082612496677"/>
        <n v="22.0127939251836"/>
        <n v="22.0225329581643"/>
        <n v="22.027751556926"/>
        <n v="22.0813792055751"/>
        <n v="22.0999521100504"/>
        <n v="22.1013858939859"/>
        <n v="22.1105227914359"/>
        <n v="22.1267604917027"/>
        <n v="22.1304430627768"/>
        <n v="22.1434186087934"/>
        <n v="22.1454509778375"/>
        <n v="22.1470101280836"/>
        <n v="22.1645213211032"/>
        <n v="22.1779768307475"/>
        <n v="22.1782206055545"/>
        <n v="22.1939623820645"/>
        <n v="22.1973001080772"/>
        <n v="22.2399813148824"/>
        <n v="22.252809983875"/>
        <n v="22.2596873952286"/>
        <n v="22.261069375233"/>
        <n v="22.2675700511656"/>
        <n v="22.2764065268771"/>
        <n v="22.2925790711525"/>
        <n v="22.3109725286934"/>
        <n v="22.3421134219258"/>
        <n v="22.3424916055708"/>
        <n v="22.3624051959785"/>
        <n v="22.3857453373609"/>
        <n v="22.3933246063085"/>
        <n v="22.3938497961942"/>
        <n v="22.4025276355005"/>
        <n v="22.410400969374"/>
        <n v="22.4155462389051"/>
        <n v="22.43127624436"/>
        <n v="22.4487112408001"/>
        <n v="22.4789711723163"/>
        <n v="22.4813298779829"/>
        <n v="22.4957042767979"/>
        <n v="22.5025376665199"/>
        <n v="22.5264829054721"/>
        <n v="22.5266182891703"/>
        <n v="22.5475200679519"/>
        <n v="22.5575602766167"/>
        <n v="22.5649558147227"/>
        <n v="22.5705606252272"/>
        <n v="22.5734701380748"/>
        <n v="22.5882062302314"/>
        <n v="22.6136798899746"/>
        <n v="22.6137362384695"/>
        <n v="22.6220733336997"/>
        <n v="22.6242142258543"/>
        <n v="22.6433352453134"/>
        <n v="22.6473014234001"/>
        <n v="22.682646217578"/>
        <n v="22.7217127623852"/>
        <n v="22.7301183307474"/>
        <n v="22.7448551785142"/>
        <n v="22.7517916854918"/>
        <n v="22.7750232383601"/>
        <n v="22.7756682796926"/>
        <n v="22.7841275919279"/>
        <n v="22.7842819545552"/>
        <n v="22.80027165968"/>
        <n v="22.8255045637962"/>
        <n v="22.8554642981205"/>
        <n v="22.8667114453519"/>
        <n v="22.8796929162431"/>
        <n v="22.8885548073137"/>
        <n v="22.8965524524422"/>
        <n v="22.912143699855"/>
        <n v="22.9567712681229"/>
        <n v="22.9675064423402"/>
        <n v="22.9829317102164"/>
        <n v="22.9890476767461"/>
        <n v="23.0006601514542"/>
        <n v="23.0038183450329"/>
        <n v="23.0580686440363"/>
        <n v="23.0721408973633"/>
        <n v="23.0914377284961"/>
        <n v="23.0921023498517"/>
        <n v="23.1298788184232"/>
        <n v="23.1408916792885"/>
        <n v="23.1890623555704"/>
        <n v="23.2238064956648"/>
        <n v="23.23342028953"/>
        <n v="23.2357264483776"/>
        <n v="23.2506692786298"/>
        <n v="23.2517305524397"/>
        <n v="23.2524230250867"/>
        <n v="23.2889592659292"/>
        <n v="23.2972672867054"/>
        <n v="23.3073342104478"/>
        <n v="23.3130609108735"/>
        <n v="23.3340729721691"/>
        <n v="23.3342430201625"/>
        <n v="23.3406179109325"/>
        <n v="23.3514037068233"/>
        <n v="23.4017589403939"/>
        <n v="23.4202532536636"/>
        <n v="23.4249056489261"/>
        <n v="23.4413787008266"/>
        <n v="23.4433481350042"/>
        <n v="23.4512469073745"/>
        <n v="23.4560841223233"/>
        <n v="23.4581934432374"/>
        <n v="23.4797913733075"/>
        <n v="23.4860354366342"/>
        <n v="23.4870088673471"/>
        <n v="23.4940976552198"/>
        <n v="23.5080021187814"/>
        <n v="23.509697887812"/>
        <n v="23.5113279127855"/>
        <n v="23.5282564541052"/>
        <n v="23.5349282629305"/>
        <n v="23.5391051839767"/>
        <n v="23.5446987659596"/>
        <n v="23.5495122297624"/>
        <n v="23.5763808244815"/>
        <n v="23.585384524908"/>
        <n v="23.589851269602"/>
        <n v="23.5901860074599"/>
        <n v="23.6002987635532"/>
        <n v="23.6307592897618"/>
        <n v="23.6365315875778"/>
        <n v="23.6488097504079"/>
        <n v="23.6532342111706"/>
        <n v="23.6751323378323"/>
        <n v="23.70291637906"/>
        <n v="23.7056585202076"/>
        <n v="23.720283952103"/>
        <n v="23.7219594594857"/>
        <n v="23.7393104552484"/>
        <n v="23.7555750547034"/>
        <n v="23.7637700231396"/>
        <n v="23.7651037518985"/>
        <n v="23.776782687265"/>
        <n v="23.7861710716065"/>
        <n v="23.7906560793202"/>
        <n v="23.7925704107932"/>
        <n v="23.8028930020554"/>
        <n v="23.8172371397802"/>
        <n v="23.8248821762347"/>
        <n v="23.8259145534419"/>
        <n v="23.8318513424462"/>
        <n v="23.8322090104515"/>
        <n v="23.8324559498531"/>
        <n v="23.8338600705706"/>
        <n v="23.8487406612047"/>
        <n v="23.8532666565165"/>
        <n v="23.869049043715"/>
        <n v="23.8700681163147"/>
        <n v="23.8805921766862"/>
        <n v="23.8817401813999"/>
        <n v="23.8955314628631"/>
        <n v="23.9114729031389"/>
        <n v="23.9351126131102"/>
        <n v="23.9355781427171"/>
        <n v="24.015728048174"/>
        <n v="24.0277915685008"/>
        <n v="24.0705673978968"/>
        <n v="24.1197889740865"/>
        <n v="24.1209132230289"/>
        <n v="24.1662839052918"/>
        <n v="24.1845023973111"/>
        <n v="24.1889930907741"/>
        <n v="24.2029071655324"/>
        <n v="24.2047257200396"/>
        <n v="24.2214214439079"/>
        <n v="24.2349244400564"/>
        <n v="24.2393369332555"/>
        <n v="24.2485239641165"/>
        <n v="24.2531536780085"/>
        <n v="24.2663106689967"/>
        <n v="24.2676954824336"/>
        <n v="24.286794819861"/>
        <n v="24.2881956088992"/>
        <n v="24.2919215500679"/>
        <n v="24.2980779376141"/>
        <n v="24.3071653801069"/>
        <n v="24.3073606986932"/>
        <n v="24.3295248542116"/>
        <n v="24.3368110308509"/>
        <n v="24.3462639701259"/>
        <n v="24.3591983596288"/>
        <n v="24.3860039188388"/>
        <n v="24.39332229706"/>
        <n v="24.4376025096536"/>
        <n v="24.4376812778699"/>
        <n v="24.4553261874362"/>
        <n v="24.489335259036"/>
        <n v="24.4910847213405"/>
        <n v="24.5062307994996"/>
        <n v="24.5263957091766"/>
        <n v="24.5317307712907"/>
        <n v="24.5393855494436"/>
        <n v="24.5694119782539"/>
        <n v="24.5743192796378"/>
        <n v="24.5747142471345"/>
        <n v="24.5839468263982"/>
        <n v="24.5972486747961"/>
        <n v="24.6033527917127"/>
        <n v="24.6309742034485"/>
        <n v="24.639869427858"/>
        <n v="24.6690858949391"/>
        <n v="24.7050172539254"/>
        <n v="24.7077989159929"/>
        <n v="24.7108173146973"/>
        <n v="24.7209523685073"/>
        <n v="24.7413798160785"/>
        <n v="24.7764533101211"/>
        <n v="24.7908809287021"/>
        <n v="24.7920222752696"/>
        <n v="24.8005497451334"/>
        <n v="24.8116059701132"/>
        <n v="24.8136131136473"/>
        <n v="24.8149444483026"/>
        <n v="24.8227468627347"/>
        <n v="24.8285512729669"/>
        <n v="24.8467444683432"/>
        <n v="24.8610080607158"/>
        <n v="24.8621189037006"/>
        <n v="24.8781882093831"/>
        <n v="24.8867149913733"/>
        <n v="24.9017914070881"/>
        <n v="24.9052533249958"/>
        <n v="24.9256199742873"/>
        <n v="24.9306537765891"/>
        <n v="24.9638274816449"/>
        <n v="24.979907472155"/>
        <n v="24.9891671399798"/>
        <n v="25.0047921535028"/>
        <n v="25.0088541935421"/>
        <n v="25.0114939518983"/>
        <n v="25.012847750287"/>
        <n v="25.0155115070134"/>
        <n v="25.0274242887055"/>
        <n v="25.0439063695928"/>
        <n v="25.045381558342"/>
        <n v="25.0617483596627"/>
        <n v="25.0667584671565"/>
        <n v="25.070437189802"/>
        <n v="25.0793324306746"/>
        <n v="25.0842163827282"/>
        <n v="25.1337008168819"/>
        <n v="25.1595344421279"/>
        <n v="25.1680982524549"/>
        <n v="25.186661224383"/>
        <n v="25.2102233223682"/>
        <n v="25.219115203891"/>
        <n v="25.2265103649019"/>
        <n v="25.2341505003396"/>
        <n v="25.2436549132607"/>
        <n v="25.2669115481937"/>
        <n v="25.278006943605"/>
        <n v="25.2855181775384"/>
        <n v="25.291481669185"/>
        <n v="25.3165953811018"/>
        <n v="25.3197698756205"/>
        <n v="25.3246302764086"/>
        <n v="25.337501106988"/>
        <n v="25.4098925410934"/>
        <n v="25.4139761878824"/>
        <n v="25.4188918475823"/>
        <n v="25.4205092426085"/>
        <n v="25.429441384092"/>
        <n v="25.4619899435393"/>
        <n v="25.4807512815689"/>
        <n v="25.5188697015945"/>
        <n v="25.5409979859355"/>
        <n v="25.5584103102833"/>
        <n v="25.592056824299"/>
        <n v="25.5955385710159"/>
        <n v="25.6203415046582"/>
        <n v="25.6301547464279"/>
        <n v="25.6363365849459"/>
        <n v="25.6626015703163"/>
        <n v="25.6655356806867"/>
        <n v="25.669331120683"/>
        <n v="25.6756612323952"/>
        <n v="25.6842770196098"/>
        <n v="25.7027192718212"/>
        <n v="25.7295322371363"/>
        <n v="25.7345459485722"/>
        <n v="25.7346293560554"/>
        <n v="25.7351709744265"/>
        <n v="25.7373083097349"/>
        <n v="25.7408394365147"/>
        <n v="25.7413441525616"/>
        <n v="25.7618385345979"/>
        <n v="25.7630530267444"/>
        <n v="25.7703936500711"/>
        <n v="25.80353796781"/>
        <n v="25.8058719935871"/>
        <n v="25.8188430780034"/>
        <n v="25.8253637141457"/>
        <n v="25.8355592924505"/>
        <n v="25.8368267236744"/>
        <n v="25.8626515125178"/>
        <n v="25.8665236251372"/>
        <n v="25.8901924044808"/>
        <n v="25.9248090982678"/>
        <n v="25.9327603312238"/>
        <n v="25.9345864823307"/>
        <n v="25.9720224650849"/>
        <n v="25.9960275287022"/>
        <n v="26.0051718601717"/>
        <n v="26.0323176062063"/>
        <n v="26.0492192649697"/>
        <n v="26.0816131277226"/>
        <n v="26.0899347157585"/>
        <n v="26.1849365766331"/>
        <n v="26.1905599762539"/>
        <n v="26.1927420335019"/>
        <n v="26.2002112778601"/>
        <n v="26.2075088151004"/>
        <n v="26.2347449973845"/>
        <n v="26.2594265423663"/>
        <n v="26.2912823086472"/>
        <n v="26.3140422365708"/>
        <n v="26.3146228463231"/>
        <n v="26.3292436086432"/>
        <n v="26.3384663025216"/>
        <n v="26.340351157219"/>
        <n v="26.3498786529679"/>
        <n v="26.3529597257878"/>
        <n v="26.3728600276477"/>
        <n v="26.376129099456"/>
        <n v="26.400223730539"/>
        <n v="26.4224996212891"/>
        <n v="26.4435524400175"/>
        <n v="26.4731655737595"/>
        <n v="26.4898948960476"/>
        <n v="26.5393495469206"/>
        <n v="26.5592837456269"/>
        <n v="26.5787550274351"/>
        <n v="26.5997941460194"/>
        <n v="26.623195446646"/>
        <n v="26.6331750646293"/>
        <n v="26.6458770225841"/>
        <n v="26.6616036171643"/>
        <n v="26.6706895482649"/>
        <n v="26.683461094304"/>
        <n v="26.6897486974498"/>
        <n v="26.6986524548947"/>
        <n v="26.744154966123"/>
        <n v="26.769747420789"/>
        <n v="26.7718429440828"/>
        <n v="26.7945461185761"/>
        <n v="26.8256926866955"/>
        <n v="26.8296624624772"/>
        <n v="26.8422437596783"/>
        <n v="26.9134803421193"/>
        <n v="26.9754022022148"/>
        <n v="26.9762970098703"/>
        <n v="26.9772107886077"/>
        <n v="27.0263273964308"/>
        <n v="27.0403405445313"/>
        <n v="27.0820452694152"/>
        <n v="27.0874815874811"/>
        <n v="27.1074068646382"/>
        <n v="27.1188136825315"/>
        <n v="27.1235152277697"/>
        <n v="27.1375937831167"/>
        <n v="27.1406048520272"/>
        <n v="27.1644435515444"/>
        <n v="27.1662949553695"/>
        <n v="27.1755914274212"/>
        <n v="27.1891700134696"/>
        <n v="27.1962568324769"/>
        <n v="27.2236040958035"/>
        <n v="27.2437527719514"/>
        <n v="27.270344424943"/>
        <n v="27.2826102181811"/>
        <n v="27.2852497106828"/>
        <n v="27.2852861057724"/>
        <n v="27.3010935689661"/>
        <n v="27.3070414255323"/>
        <n v="27.3202901112433"/>
        <n v="27.3248631546839"/>
        <n v="27.3359121965655"/>
        <n v="27.3422099848309"/>
        <n v="27.3454963031818"/>
        <n v="27.3578781358969"/>
        <n v="27.3589837362271"/>
        <n v="27.3628481549881"/>
        <n v="27.3878891460746"/>
        <n v="27.3938771851494"/>
        <n v="27.3992465171254"/>
        <n v="27.4048122453188"/>
        <n v="27.4142529286655"/>
        <n v="27.4179854178865"/>
        <n v="27.4201880957648"/>
        <n v="27.4349283033854"/>
        <n v="27.4358566932379"/>
        <n v="27.4776244137224"/>
        <n v="27.4818239328229"/>
        <n v="27.5048238308296"/>
        <n v="27.5088243026672"/>
        <n v="27.5101065242124"/>
        <n v="27.5123303161347"/>
        <n v="27.5222183952117"/>
        <n v="27.5368713065711"/>
        <n v="27.5526413043424"/>
        <n v="27.5959716114104"/>
        <n v="27.6039169099714"/>
        <n v="27.6312365129758"/>
        <n v="27.6317904979994"/>
        <n v="27.6589050166671"/>
        <n v="27.6751856911225"/>
        <n v="27.6807908687425"/>
        <n v="27.683901860518"/>
        <n v="27.6868305660465"/>
        <n v="27.7001199296688"/>
        <n v="27.7466954316816"/>
        <n v="27.7676909485333"/>
        <n v="27.7867952990238"/>
        <n v="27.7995413500593"/>
        <n v="27.7995475184112"/>
        <n v="27.8204169737588"/>
        <n v="27.8251939273747"/>
        <n v="27.8281570929742"/>
        <n v="27.8281892743028"/>
        <n v="27.8305588117212"/>
        <n v="27.8929573725999"/>
        <n v="27.8995776840193"/>
        <n v="28.019742242016"/>
        <n v="28.0742165235089"/>
        <n v="28.0886907195437"/>
        <n v="28.0905795601752"/>
        <n v="28.1025930625717"/>
        <n v="28.1042330522715"/>
        <n v="28.1267504711293"/>
        <n v="28.1607147783476"/>
        <n v="28.1611400159157"/>
        <n v="28.1740887511713"/>
        <n v="28.1872213535717"/>
        <n v="28.1954477363123"/>
        <n v="28.2021984836011"/>
        <n v="28.2297014482684"/>
        <n v="28.2488767571704"/>
        <n v="28.2613736284356"/>
        <n v="28.2879423780046"/>
        <n v="28.3189686902727"/>
        <n v="28.3479967523482"/>
        <n v="28.3532211575142"/>
        <n v="28.3547737788954"/>
        <n v="28.3640489593288"/>
        <n v="28.3697853565143"/>
        <n v="28.3850227690496"/>
        <n v="28.4030462466303"/>
        <n v="28.4139307202279"/>
        <n v="28.4631219450963"/>
        <n v="28.4644879517259"/>
        <n v="28.4673027895063"/>
        <n v="28.4680734893579"/>
        <n v="28.4702887302745"/>
        <n v="28.4786100778972"/>
        <n v="28.4867847653479"/>
        <n v="28.5025480987342"/>
        <n v="28.5051144904728"/>
        <n v="28.5153387074829"/>
        <n v="28.5415073003956"/>
        <n v="28.5757673290696"/>
        <n v="28.6331587373174"/>
        <n v="28.6793173826797"/>
        <n v="28.6929170337678"/>
        <n v="28.696109598552"/>
        <n v="28.7045381751917"/>
        <n v="28.7111092060186"/>
        <n v="28.7164669895543"/>
        <n v="28.7178822550022"/>
        <n v="28.7192407672988"/>
        <n v="28.7302025740193"/>
        <n v="28.7368157976591"/>
        <n v="28.7500060421411"/>
        <n v="28.7508012092534"/>
        <n v="28.7536330088467"/>
        <n v="28.7716397444158"/>
        <n v="28.7898348601974"/>
        <n v="28.7986010864272"/>
        <n v="28.8007775031653"/>
        <n v="28.8286500911591"/>
        <n v="28.8561034496293"/>
        <n v="28.8579921712506"/>
        <n v="28.866483321196"/>
        <n v="28.8917751474065"/>
        <n v="28.925075178993"/>
        <n v="28.9320775903548"/>
        <n v="28.9328974075943"/>
        <n v="28.9552569792659"/>
        <n v="28.9809685776419"/>
        <n v="28.9988691546045"/>
        <n v="29.0068885499623"/>
        <n v="29.0079771229933"/>
        <n v="29.0148799971528"/>
        <n v="29.0196434053382"/>
        <n v="29.0267726407551"/>
        <n v="29.0301644764057"/>
        <n v="29.0437028293652"/>
        <n v="29.0589259857785"/>
        <n v="29.0606403709664"/>
        <n v="29.0795436232279"/>
        <n v="29.1284323115865"/>
        <n v="29.1330020174455"/>
        <n v="29.1382902753729"/>
        <n v="29.1495180138453"/>
        <n v="29.1632501919176"/>
        <n v="29.178128955923"/>
        <n v="29.2216278622467"/>
        <n v="29.2372612817422"/>
        <n v="29.2850338262731"/>
        <n v="29.2937175751576"/>
        <n v="29.3139391267189"/>
        <n v="29.3395932439463"/>
        <n v="29.3852091596843"/>
        <n v="29.391752401124"/>
        <n v="29.4121643666922"/>
        <n v="29.4510021510622"/>
        <n v="29.4581353048412"/>
        <n v="29.4717793408244"/>
        <n v="29.4834878890387"/>
        <n v="29.5242294675924"/>
        <n v="29.5296046667873"/>
        <n v="29.5317398134541"/>
        <n v="29.5418730910475"/>
        <n v="29.5576432689687"/>
        <n v="29.5660888958086"/>
        <n v="29.6083259249851"/>
        <n v="29.6094230681151"/>
        <n v="29.6158658963319"/>
        <n v="29.618094832548"/>
        <n v="29.6736048539662"/>
        <n v="29.673885270216"/>
        <n v="29.6995169499772"/>
        <n v="29.7010530582895"/>
        <n v="29.7205616660957"/>
        <n v="29.7252004073338"/>
        <n v="29.7306490119882"/>
        <n v="29.7455605471917"/>
        <n v="29.7768829846442"/>
        <n v="29.791855410869"/>
        <n v="29.8835856724085"/>
        <n v="29.8868064420981"/>
        <n v="29.9907672034311"/>
        <n v="29.9914412363118"/>
        <n v="29.9997395207046"/>
        <n v="30.0046096094436"/>
        <n v="30.0609125959723"/>
        <n v="30.0725118607471"/>
        <n v="30.0837716168605"/>
        <n v="30.0933893904359"/>
        <n v="30.098629262473"/>
        <n v="30.1031014846441"/>
        <n v="30.1097600130223"/>
        <n v="30.1215397663423"/>
        <n v="30.1260207983692"/>
        <n v="30.1665554099978"/>
        <n v="30.169939140915"/>
        <n v="30.1873888106054"/>
        <n v="30.205799889977"/>
        <n v="30.2182929794521"/>
        <n v="30.2350440198309"/>
        <n v="30.2477769970679"/>
        <n v="30.2541448161621"/>
        <n v="30.2756131547881"/>
        <n v="30.2820572753957"/>
        <n v="30.2843158654436"/>
        <n v="30.3107997144113"/>
        <n v="30.3110663662175"/>
        <n v="30.3145710538673"/>
        <n v="30.3436176865328"/>
        <n v="30.3676976451851"/>
        <n v="30.3795527129524"/>
        <n v="30.3990331229788"/>
        <n v="30.4266934866961"/>
        <n v="30.4579411899601"/>
        <n v="30.4648460177331"/>
        <n v="30.4856248382332"/>
        <n v="30.5411501314802"/>
        <n v="30.5548539572507"/>
        <n v="30.5665022294473"/>
        <n v="30.595606301025"/>
        <n v="30.5975553499757"/>
        <n v="30.6107203322503"/>
        <n v="30.6115388711158"/>
        <n v="30.6136654689261"/>
        <n v="30.6207584791593"/>
        <n v="30.6509512360168"/>
        <n v="30.6528578461707"/>
        <n v="30.6640314627136"/>
        <n v="30.6651971918973"/>
        <n v="30.6707364294809"/>
        <n v="30.6742959058821"/>
        <n v="30.6752326016974"/>
        <n v="30.675700770433"/>
        <n v="30.6967795077182"/>
        <n v="30.7149897550962"/>
        <n v="30.727164490039"/>
        <n v="30.7322941419098"/>
        <n v="30.7368733342009"/>
        <n v="30.7641787407562"/>
        <n v="30.7930492948746"/>
        <n v="30.7997514450629"/>
        <n v="30.836761929396"/>
        <n v="30.8459853209622"/>
        <n v="30.8597310921889"/>
        <n v="30.865639133015"/>
        <n v="30.8725180265074"/>
        <n v="30.874881702203"/>
        <n v="30.9244272999504"/>
        <n v="30.9247996250523"/>
        <n v="30.925129263561"/>
        <n v="30.9279346463591"/>
        <n v="30.934695324809"/>
        <n v="30.9384203292104"/>
        <n v="30.9633662210382"/>
        <n v="30.9908757940581"/>
        <n v="31.0118069507419"/>
        <n v="31.0483374793266"/>
        <n v="31.0502589970368"/>
        <n v="31.0522138514885"/>
        <n v="31.0772009271109"/>
        <n v="31.1177212332285"/>
        <n v="31.1255205682607"/>
        <n v="31.1422159511153"/>
        <n v="31.1425985279388"/>
        <n v="31.1576596142668"/>
        <n v="31.1645299262472"/>
        <n v="31.1917489490445"/>
        <n v="31.193212683052"/>
        <n v="31.197161280259"/>
        <n v="31.213491956257"/>
        <n v="31.243782629177"/>
        <n v="31.2653704763174"/>
        <n v="31.2703809962712"/>
        <n v="31.2853152905126"/>
        <n v="31.296341028857"/>
        <n v="31.2981343138611"/>
        <n v="31.3015323932075"/>
        <n v="31.3055767464176"/>
        <n v="31.3389646523008"/>
        <n v="31.3715703948364"/>
        <n v="31.3738641488343"/>
        <n v="31.3813900150929"/>
        <n v="31.3846086518963"/>
        <n v="31.3897580223847"/>
        <n v="31.5189629347169"/>
        <n v="31.526374140926"/>
        <n v="31.5319296173004"/>
        <n v="31.5323569941509"/>
        <n v="31.5479856612832"/>
        <n v="31.5492446934589"/>
        <n v="31.563617290906"/>
        <n v="31.5650620096422"/>
        <n v="31.5701900906487"/>
        <n v="31.6293379825866"/>
        <n v="31.6513880084905"/>
        <n v="31.6565303743482"/>
        <n v="31.6691425849376"/>
        <n v="31.7587039487771"/>
        <n v="31.7805028335139"/>
        <n v="31.7818971727206"/>
        <n v="31.7985344838443"/>
        <n v="31.8209431484648"/>
        <n v="31.8588172071642"/>
        <n v="31.9290229355059"/>
        <n v="31.9320163353416"/>
        <n v="31.9434193794288"/>
        <n v="31.9668544737837"/>
        <n v="31.9685425490154"/>
        <n v="31.9952686860447"/>
        <n v="32.0018657892481"/>
        <n v="32.0314383325605"/>
        <n v="32.0495897018549"/>
        <n v="32.0638925109984"/>
        <n v="32.0655184697393"/>
        <n v="32.0956358520584"/>
        <n v="32.1069428934445"/>
        <n v="32.1124275208487"/>
        <n v="32.1154323989983"/>
        <n v="32.1797911715811"/>
        <n v="32.2054195789397"/>
        <n v="32.2069338646862"/>
        <n v="32.2223216533668"/>
        <n v="32.2295729953688"/>
        <n v="32.2457449658789"/>
        <n v="32.2662116851052"/>
        <n v="32.2691498090652"/>
        <n v="32.3323614710246"/>
        <n v="32.4070450019509"/>
        <n v="32.4305868707047"/>
        <n v="32.4333647468448"/>
        <n v="32.46632701074"/>
        <n v="32.4785603233075"/>
        <n v="32.4903624472827"/>
        <n v="32.5001106363473"/>
        <n v="32.5341122185118"/>
        <n v="32.5387404895974"/>
        <n v="32.5480306770797"/>
        <n v="32.5638673051241"/>
        <n v="32.6089901091749"/>
        <n v="32.6213571577001"/>
        <n v="32.6252819775295"/>
        <n v="32.6361260053915"/>
        <n v="32.6584094223979"/>
        <n v="32.6627807926413"/>
        <n v="32.6759644774125"/>
        <n v="32.6808741153214"/>
        <n v="32.6954185798392"/>
        <n v="32.7104716060758"/>
        <n v="32.7266294857812"/>
        <n v="32.7304474202491"/>
        <n v="32.7383395898383"/>
        <n v="32.73939885873"/>
        <n v="32.7437012128845"/>
        <n v="32.7563879993008"/>
        <n v="32.7694325669318"/>
        <n v="32.8015476788826"/>
        <n v="32.8344355623428"/>
        <n v="32.8575608633041"/>
        <n v="32.9046269463564"/>
        <n v="32.9174994214757"/>
        <n v="32.9200508420527"/>
        <n v="32.9735796543645"/>
        <n v="32.9975665930919"/>
        <n v="32.9975973319357"/>
        <n v="33.0007157879411"/>
        <n v="33.0198586612798"/>
        <n v="33.0320747059266"/>
        <n v="33.0399150513193"/>
        <n v="33.0657656507028"/>
        <n v="33.0893905085049"/>
        <n v="33.0910715553176"/>
        <n v="33.1222554063592"/>
        <n v="33.1223081792326"/>
        <n v="33.1270781705186"/>
        <n v="33.1276255018782"/>
        <n v="33.1529027570623"/>
        <n v="33.1908053743029"/>
        <n v="33.2162025624049"/>
        <n v="33.2261873219449"/>
        <n v="33.2337611312242"/>
        <n v="33.267572281292"/>
        <n v="33.3498047162981"/>
        <n v="33.4350934348396"/>
        <n v="33.447834176118"/>
        <n v="33.4724963241567"/>
        <n v="33.4735285521008"/>
        <n v="33.4749635722242"/>
        <n v="33.5064496078113"/>
        <n v="33.5109880563214"/>
        <n v="33.5121411105074"/>
        <n v="33.526539256411"/>
        <n v="33.5470867404278"/>
        <n v="33.5583846283413"/>
        <n v="33.5721698977085"/>
        <n v="33.5998953001395"/>
        <n v="33.6164999334385"/>
        <n v="33.6222259668316"/>
        <n v="33.6269110409342"/>
        <n v="33.6270958411489"/>
        <n v="33.6735977543211"/>
        <n v="33.6771768420323"/>
        <n v="33.682713753064"/>
        <n v="33.7021096392283"/>
        <n v="33.7223907315928"/>
        <n v="33.7595852279083"/>
        <n v="33.8014538189943"/>
        <n v="33.847306417011"/>
        <n v="33.8544414923903"/>
        <n v="33.8603815276193"/>
        <n v="33.8695300611339"/>
        <n v="33.8765229384366"/>
        <n v="33.9074472996853"/>
        <n v="33.9077319571013"/>
        <n v="33.9161073142693"/>
        <n v="33.9481815133603"/>
        <n v="33.9550771181366"/>
        <n v="33.9752579550297"/>
        <n v="34.0220392364632"/>
        <n v="34.0222357757209"/>
        <n v="34.0331275530794"/>
        <n v="34.051930773063"/>
        <n v="34.0550092943268"/>
        <n v="34.0553451526608"/>
        <n v="34.065879507075"/>
        <n v="34.0709994240502"/>
        <n v="34.1112588914482"/>
        <n v="34.1159540527638"/>
        <n v="34.1219678912141"/>
        <n v="34.1406631461438"/>
        <n v="34.143645162815"/>
        <n v="34.1531703178898"/>
        <n v="34.1606505739047"/>
        <n v="34.1705060144369"/>
        <n v="34.1933418347718"/>
        <n v="34.197651994541"/>
        <n v="34.2084155369437"/>
        <n v="34.2163658306799"/>
        <n v="34.2201605148433"/>
        <n v="34.2246332687854"/>
        <n v="34.2454807533012"/>
        <n v="34.3400972392902"/>
        <n v="34.353243572003"/>
        <n v="34.3870882361234"/>
        <n v="34.4110558535595"/>
        <n v="34.4122086610896"/>
        <n v="34.4217973215601"/>
        <n v="34.4246865046156"/>
        <n v="34.427661906513"/>
        <n v="34.4378233322309"/>
        <n v="34.4435683961729"/>
        <n v="34.444745304857"/>
        <n v="34.4848904458626"/>
        <n v="34.5245808326141"/>
        <n v="34.5338749457466"/>
        <n v="34.5393578953576"/>
        <n v="34.5613034265639"/>
        <n v="34.578652568457"/>
        <n v="34.6706835817702"/>
        <n v="34.6906575168798"/>
        <n v="34.7179494255971"/>
        <n v="34.7203467550644"/>
        <n v="34.7325929749725"/>
        <n v="34.7533833399477"/>
        <n v="34.7536930500248"/>
        <n v="34.762495612023"/>
        <n v="34.7933309177204"/>
        <n v="34.7934144943878"/>
        <n v="34.8079375407567"/>
        <n v="34.8082701891624"/>
        <n v="34.8372442083369"/>
        <n v="34.8385713894733"/>
        <n v="34.847951712841"/>
        <n v="34.9067776295553"/>
        <n v="34.9451964133904"/>
        <n v="34.9659364143426"/>
        <n v="34.9986672927762"/>
        <n v="35.0003784601131"/>
        <n v="35.0435874516584"/>
        <n v="35.0455698993129"/>
        <n v="35.0697006996341"/>
        <n v="35.0839152089652"/>
        <n v="35.0982882099951"/>
        <n v="35.1927884354534"/>
        <n v="35.1943796588533"/>
        <n v="35.2151567524737"/>
        <n v="35.2202014453904"/>
        <n v="35.2951985161688"/>
        <n v="35.3064781469198"/>
        <n v="35.3429558978342"/>
        <n v="35.3632525245998"/>
        <n v="35.424220443405"/>
        <n v="35.4742845144204"/>
        <n v="35.4942031139082"/>
        <n v="35.5064884027351"/>
        <n v="35.5639694390827"/>
        <n v="35.5799097291842"/>
        <n v="35.6212572394087"/>
        <n v="35.6228975376854"/>
        <n v="35.7070713702182"/>
        <n v="35.7072120199508"/>
        <n v="35.7077650219945"/>
        <n v="35.7493498435783"/>
        <n v="35.7563753729993"/>
        <n v="35.7724860433742"/>
        <n v="35.7786644001186"/>
        <n v="35.8362301662735"/>
        <n v="35.8536803058516"/>
        <n v="35.8822090263056"/>
        <n v="35.8916215336421"/>
        <n v="35.9269075623114"/>
        <n v="35.9398550033127"/>
        <n v="35.9607002267591"/>
        <n v="36.0048459636185"/>
        <n v="36.0052044748768"/>
        <n v="36.082096102146"/>
        <n v="36.0982693588278"/>
        <n v="36.0986629192812"/>
        <n v="36.1064079683167"/>
        <n v="36.1178698852737"/>
        <n v="36.1288474832718"/>
        <n v="36.1372500361384"/>
        <n v="36.1572250915884"/>
        <n v="36.1874420595086"/>
        <n v="36.1959168246532"/>
        <n v="36.2082051277674"/>
        <n v="36.23239644882"/>
        <n v="36.239966738832"/>
        <n v="36.2407450931393"/>
        <n v="36.2879117026611"/>
        <n v="36.3414350122392"/>
        <n v="36.3630705818741"/>
        <n v="36.3667828746113"/>
        <n v="36.3900543278904"/>
        <n v="36.4288206888519"/>
        <n v="36.452768340002"/>
        <n v="36.4913132318606"/>
        <n v="36.5083306249134"/>
        <n v="36.6394280908253"/>
        <n v="36.6495527577584"/>
        <n v="36.6508214645804"/>
        <n v="36.6701253467233"/>
        <n v="36.6721575768656"/>
        <n v="36.7057358990992"/>
        <n v="36.7117888772385"/>
        <n v="36.7465817029861"/>
        <n v="36.7662933676366"/>
        <n v="36.7695601571894"/>
        <n v="36.8225096972029"/>
        <n v="36.834259391462"/>
        <n v="36.8539450624636"/>
        <n v="36.8638952104571"/>
        <n v="36.8720948969799"/>
        <n v="36.9006939679187"/>
        <n v="36.9345205078456"/>
        <n v="36.944164464866"/>
        <n v="36.9607052879761"/>
        <n v="36.965449891192"/>
        <n v="36.9990189456007"/>
        <n v="37.0261453406303"/>
        <n v="37.0443910354113"/>
        <n v="37.0657218908267"/>
        <n v="37.0956805785038"/>
        <n v="37.126775536713"/>
        <n v="37.1362511795374"/>
        <n v="37.2354514808827"/>
        <n v="37.2531875954912"/>
        <n v="37.2627401582991"/>
        <n v="37.2796184970666"/>
        <n v="37.3032345736653"/>
        <n v="37.3267267118621"/>
        <n v="37.3498530770948"/>
        <n v="37.3500923851395"/>
        <n v="37.3619443335384"/>
        <n v="37.3739666973387"/>
        <n v="37.4109091295394"/>
        <n v="37.4355766071939"/>
        <n v="37.4578216888516"/>
        <n v="37.4578401930739"/>
        <n v="37.4590005719782"/>
        <n v="37.4632040647288"/>
        <n v="37.5181192771223"/>
        <n v="37.5416657426027"/>
        <n v="37.5513722640768"/>
        <n v="37.5934022531044"/>
        <n v="37.6344050637428"/>
        <n v="37.6702241114151"/>
        <n v="37.7002248951073"/>
        <n v="37.7192852609908"/>
        <n v="37.7273586996126"/>
        <n v="37.7349288157312"/>
        <n v="37.7672828681716"/>
        <n v="37.7826967403543"/>
        <n v="37.8199678716598"/>
        <n v="37.8276123895998"/>
        <n v="37.8460928885493"/>
        <n v="37.9383742235244"/>
        <n v="38.0268604477477"/>
        <n v="38.061888633928"/>
        <n v="38.067163557197"/>
        <n v="38.085271144776"/>
        <n v="38.1141154437164"/>
        <n v="38.1289469408448"/>
        <n v="38.1302531612216"/>
        <n v="38.1542955189262"/>
        <n v="38.1574410052796"/>
        <n v="38.1594318883442"/>
        <n v="38.1596422547731"/>
        <n v="38.174622984041"/>
        <n v="38.2348208539492"/>
        <n v="38.2464227930476"/>
        <n v="38.3124519981355"/>
        <n v="38.3638299275116"/>
        <n v="38.4061201465827"/>
        <n v="38.419781416237"/>
        <n v="38.5609125767328"/>
        <n v="38.5913700424802"/>
        <n v="38.637702302977"/>
        <n v="38.6514489279267"/>
        <n v="38.6670999414409"/>
        <n v="38.6749460727093"/>
        <n v="38.6964389438197"/>
        <n v="38.7048777866632"/>
        <n v="38.7858538616953"/>
        <n v="38.7915289834794"/>
        <n v="38.8583040988377"/>
        <n v="38.863071786502"/>
        <n v="38.8898519977073"/>
        <n v="38.8979668257555"/>
        <n v="38.9218250863876"/>
        <n v="38.9438989383847"/>
        <n v="38.9460400107797"/>
        <n v="38.9972144067191"/>
        <n v="38.9999604254997"/>
        <n v="39.0011599578646"/>
        <n v="39.0941283203623"/>
        <n v="39.1365849674421"/>
        <n v="39.137915025101"/>
        <n v="39.1448440112309"/>
        <n v="39.1532672875424"/>
        <n v="39.1877770949565"/>
        <n v="39.1958068059604"/>
        <n v="39.2735096318368"/>
        <n v="39.2841532166818"/>
        <n v="39.2974030218264"/>
        <n v="39.3063680240798"/>
        <n v="39.3149006521086"/>
        <n v="39.3264556320085"/>
        <n v="39.348765694406"/>
        <n v="39.4142822149836"/>
        <n v="39.4766939283782"/>
        <n v="39.4767447809002"/>
        <n v="39.5057557910193"/>
        <n v="39.5923704642053"/>
        <n v="39.6299085649415"/>
        <n v="39.6431053546785"/>
        <n v="39.7002804396105"/>
        <n v="39.7166197105756"/>
        <n v="39.7214842747522"/>
        <n v="39.7299873869016"/>
        <n v="39.7431136894519"/>
        <n v="39.7769009948115"/>
        <n v="39.8113185947677"/>
        <n v="39.8319056388762"/>
        <n v="39.8485563891594"/>
        <n v="39.8631166550589"/>
        <n v="39.9015966011138"/>
        <n v="39.933926972429"/>
        <n v="39.9377121447537"/>
        <n v="39.9448446744217"/>
        <n v="39.9663440182306"/>
        <n v="39.9676811490877"/>
        <n v="40.0004095546939"/>
        <n v="40.0114763302689"/>
        <n v="40.0268619073071"/>
        <n v="40.0747524867072"/>
        <n v="40.0839228387872"/>
        <n v="40.0850306118536"/>
        <n v="40.0956715350205"/>
        <n v="40.1770717310409"/>
        <n v="40.1994735245231"/>
        <n v="40.3163791893428"/>
        <n v="40.321057984596"/>
        <n v="40.3549448586328"/>
        <n v="40.4202434685865"/>
        <n v="40.4948181328934"/>
        <n v="40.5076432771787"/>
        <n v="40.6426412418967"/>
        <n v="40.660601351097"/>
        <n v="40.6990110372286"/>
        <n v="40.7581063175981"/>
        <n v="40.7900198315886"/>
        <n v="40.8279259455458"/>
        <n v="40.8614377322273"/>
        <n v="40.8757662364951"/>
        <n v="40.9076266002287"/>
        <n v="40.9364695300709"/>
        <n v="40.9461822567893"/>
        <n v="40.9494565075756"/>
        <n v="40.951975331211"/>
        <n v="40.9862524189369"/>
        <n v="40.996279378635"/>
        <n v="41.0264362024532"/>
        <n v="41.0406705359298"/>
        <n v="41.1037913084372"/>
        <n v="41.1178959595108"/>
        <n v="41.1299705948502"/>
        <n v="41.1388146028874"/>
        <n v="41.1491632698824"/>
        <n v="41.1673327777072"/>
        <n v="41.1999141141533"/>
        <n v="41.2106147062205"/>
        <n v="41.2620090831185"/>
        <n v="41.2644834864814"/>
        <n v="41.3002788879849"/>
        <n v="41.3076348289913"/>
        <n v="41.3109727661169"/>
        <n v="41.3553143220276"/>
        <n v="41.3603030667655"/>
        <n v="41.3610183946624"/>
        <n v="41.4303966146251"/>
        <n v="41.4448713707424"/>
        <n v="41.4673804560799"/>
        <n v="41.485866258907"/>
        <n v="41.5516083914429"/>
        <n v="41.5693444360051"/>
        <n v="41.586616218421"/>
        <n v="41.6399257964839"/>
        <n v="41.7120430231544"/>
        <n v="41.7213443682291"/>
        <n v="41.7581678285344"/>
        <n v="41.8022401738825"/>
        <n v="41.8977411360585"/>
        <n v="41.9078548751377"/>
        <n v="41.9787366810644"/>
        <n v="41.9868484822638"/>
        <n v="42.02047541378"/>
        <n v="42.030573823571"/>
        <n v="42.0419501749828"/>
        <n v="42.0933533269763"/>
        <n v="42.1094616429651"/>
        <n v="42.1185182510587"/>
        <n v="42.1312239979777"/>
        <n v="42.2126520279438"/>
        <n v="42.2269980699093"/>
        <n v="42.2313261460007"/>
        <n v="42.251264504447"/>
        <n v="42.2820342597819"/>
        <n v="42.3372833103465"/>
        <n v="42.3494913476008"/>
        <n v="42.3518501226647"/>
        <n v="42.472242177137"/>
        <n v="42.4739090187061"/>
        <n v="42.5091036608994"/>
        <n v="42.51099616217"/>
        <n v="42.5998609344549"/>
        <n v="42.6279370764434"/>
        <n v="42.6791654740416"/>
        <n v="42.7136052970463"/>
        <n v="42.7562308873289"/>
        <n v="42.7595736819739"/>
        <n v="42.8060940911678"/>
        <n v="42.8966426725597"/>
        <n v="42.9081028345061"/>
        <n v="42.9575950539923"/>
        <n v="42.9944690768829"/>
        <n v="43.0043607342632"/>
        <n v="43.0076712128402"/>
        <n v="43.0238092850274"/>
        <n v="43.0353340731676"/>
        <n v="43.0382945348861"/>
        <n v="43.0538593904847"/>
        <n v="43.058405786531"/>
        <n v="43.0668002810303"/>
        <n v="43.0772790723064"/>
        <n v="43.0856616436746"/>
        <n v="43.1558076715908"/>
        <n v="43.1957778941804"/>
        <n v="43.2209357779911"/>
        <n v="43.2465677371637"/>
        <n v="43.2863770029555"/>
        <n v="43.2926523141813"/>
        <n v="43.3266103548156"/>
        <n v="43.3763208509205"/>
        <n v="43.4045847189079"/>
        <n v="43.4907901979292"/>
        <n v="43.6515031661742"/>
        <n v="43.661805248409"/>
        <n v="43.6773007559182"/>
        <n v="43.7710413318233"/>
        <n v="43.7939830404765"/>
        <n v="43.8551333921079"/>
        <n v="43.8880456983748"/>
        <n v="43.961504363001"/>
        <n v="44.0285529704402"/>
        <n v="44.0946291653384"/>
        <n v="44.1046177619735"/>
        <n v="44.1091507616388"/>
        <n v="44.2422123516779"/>
        <n v="44.2483086855906"/>
        <n v="44.2589938089963"/>
        <n v="44.3007459382252"/>
        <n v="44.3576701676592"/>
        <n v="44.4339101267959"/>
        <n v="44.4587244206416"/>
        <n v="44.4635528934472"/>
        <n v="44.4764527433074"/>
        <n v="44.4932800907633"/>
        <n v="44.5030110690778"/>
        <n v="44.5124411711532"/>
        <n v="44.5169861257811"/>
        <n v="44.5706454468814"/>
        <n v="44.5748755772922"/>
        <n v="44.5909665733361"/>
        <n v="44.6272868981447"/>
        <n v="44.6646439113789"/>
        <n v="44.697267437584"/>
        <n v="44.7074033292567"/>
        <n v="44.7239757317327"/>
        <n v="44.763210156523"/>
        <n v="44.7721064051132"/>
        <n v="44.7873489770695"/>
        <n v="44.8145503405348"/>
        <n v="44.8723895612719"/>
        <n v="44.901759607575"/>
        <n v="44.9405818347133"/>
        <n v="44.9687173569475"/>
        <n v="45.0220276176918"/>
        <n v="45.0645063664611"/>
        <n v="45.0819043032522"/>
        <n v="45.1263598297878"/>
        <n v="45.1475951530401"/>
        <n v="45.1550877985134"/>
        <n v="45.1573652093167"/>
        <n v="45.1832441636761"/>
        <n v="45.2343792947935"/>
        <n v="45.2614077570572"/>
        <n v="45.2746979824686"/>
        <n v="45.2977219876629"/>
        <n v="45.3328966738779"/>
        <n v="45.3624612067976"/>
        <n v="45.3963948658995"/>
        <n v="45.4327228551535"/>
        <n v="45.4616725619755"/>
        <n v="45.4983678762816"/>
        <n v="45.5404654416094"/>
        <n v="45.5599054814948"/>
        <n v="45.5912911220902"/>
        <n v="45.6248629645922"/>
        <n v="45.6800848241661"/>
        <n v="45.7105178387797"/>
        <n v="45.7238623502006"/>
        <n v="45.7258564242528"/>
        <n v="45.7390969804193"/>
        <n v="45.7444032273602"/>
        <n v="45.7680374475032"/>
        <n v="45.8772915683402"/>
        <n v="45.9685480062015"/>
        <n v="45.9900034779513"/>
        <n v="46.0031022024365"/>
        <n v="46.0481736144705"/>
        <n v="46.1061720307091"/>
        <n v="46.1079998992954"/>
        <n v="46.1264702628492"/>
        <n v="46.1393288077752"/>
        <n v="46.1907483220793"/>
        <n v="46.2056610630509"/>
        <n v="46.2156947311833"/>
        <n v="46.2503549325005"/>
        <n v="46.2695573297952"/>
        <n v="46.2988077328253"/>
        <n v="46.420062915653"/>
        <n v="46.4898146008107"/>
        <n v="46.5488974165037"/>
        <n v="46.5661326183196"/>
        <n v="46.6020314730201"/>
        <n v="46.6164132425865"/>
        <n v="46.7022527228168"/>
        <n v="46.7055762074704"/>
        <n v="46.7237346293863"/>
        <n v="46.7903586353463"/>
        <n v="46.7978700218162"/>
        <n v="46.9358260773021"/>
        <n v="46.9450890782011"/>
        <n v="46.9592550977474"/>
        <n v="46.9705755729882"/>
        <n v="47.0185187568851"/>
        <n v="47.020272191585"/>
        <n v="47.1474706468227"/>
        <n v="47.1629187747933"/>
        <n v="47.1689446586392"/>
        <n v="47.1909501977536"/>
        <n v="47.215782841746"/>
        <n v="47.231604281592"/>
        <n v="47.3553109708332"/>
        <n v="47.3584662038091"/>
        <n v="47.4076484763115"/>
        <n v="47.4647474470421"/>
        <n v="47.497639646635"/>
        <n v="47.4986687263307"/>
        <n v="47.5075715957044"/>
        <n v="47.5159325722357"/>
        <n v="47.5649075549912"/>
        <n v="47.5852041573834"/>
        <n v="47.6947035124067"/>
        <n v="47.7261316338587"/>
        <n v="47.749675108673"/>
        <n v="47.8034393747091"/>
        <n v="47.8271892338043"/>
        <n v="47.8341306693161"/>
        <n v="47.8364714203649"/>
        <n v="47.9023200185665"/>
        <n v="47.9072039881182"/>
        <n v="47.9594632429829"/>
        <n v="47.996202366809"/>
        <n v="48.0409808728945"/>
        <n v="48.1173368476879"/>
        <n v="48.1418833085211"/>
        <n v="48.1476329827668"/>
        <n v="48.1608254173803"/>
        <n v="48.1891254186378"/>
        <n v="48.2830008378782"/>
        <n v="48.3100571552028"/>
        <n v="48.4344182168"/>
        <n v="48.4593534103684"/>
        <n v="48.4715484441992"/>
        <n v="48.4851614941578"/>
        <n v="48.4927917130197"/>
        <n v="48.5018653851969"/>
        <n v="48.5126613737466"/>
        <n v="48.5324601810721"/>
        <n v="48.5465828679503"/>
        <n v="48.5515285755822"/>
        <n v="48.5800250828105"/>
        <n v="48.6690803677356"/>
        <n v="48.7500978778314"/>
        <n v="48.7895287889395"/>
        <n v="48.8683103732475"/>
        <n v="48.905137331926"/>
        <n v="48.9446257568755"/>
        <n v="48.9626040230254"/>
        <n v="48.9789993820554"/>
        <n v="48.9803425222822"/>
        <n v="49.0139709740383"/>
        <n v="49.0513234980494"/>
        <n v="49.2157625897815"/>
        <n v="49.2381546684932"/>
        <n v="49.2660724914489"/>
        <n v="49.3768696002806"/>
        <n v="49.406651303541"/>
        <n v="49.5210973025248"/>
        <n v="49.5382714389995"/>
        <n v="49.603936175737"/>
        <n v="49.6522830580003"/>
        <n v="49.7480730499511"/>
        <n v="49.7556551237741"/>
        <n v="49.8315885218736"/>
        <n v="49.8366482139671"/>
        <n v="49.8981875673484"/>
        <n v="50.0607459093987"/>
        <n v="50.1576892137174"/>
        <n v="50.1880201950394"/>
        <n v="50.2651619456528"/>
        <n v="50.2679057727323"/>
        <n v="50.2714426248409"/>
        <n v="50.2789450429543"/>
        <n v="50.2809310867174"/>
        <n v="50.3786621217784"/>
        <n v="50.4640570570972"/>
        <n v="50.4648723372172"/>
        <n v="50.4765331146348"/>
        <n v="50.4779852127754"/>
        <n v="50.5007855419946"/>
        <n v="50.5234266296442"/>
        <n v="50.5656443775819"/>
        <n v="50.5736860122888"/>
        <n v="50.6381481684902"/>
        <n v="50.6505712254635"/>
        <n v="50.6737938210822"/>
        <n v="50.7324954136799"/>
        <n v="50.7376044069977"/>
        <n v="50.8147157716602"/>
        <n v="50.8426778701348"/>
        <n v="51.0743004454062"/>
        <n v="51.0788071842562"/>
        <n v="51.0891189445262"/>
        <n v="51.1488560541821"/>
        <n v="51.151475827128"/>
        <n v="51.2081368462367"/>
        <n v="51.2364012575072"/>
        <n v="51.294750764668"/>
        <n v="51.3097231757134"/>
        <n v="51.4081859029063"/>
        <n v="51.6256648832798"/>
        <n v="51.7871168070492"/>
        <n v="51.8381758120226"/>
        <n v="51.9354032301476"/>
        <n v="51.9441849693877"/>
        <n v="51.9587034297363"/>
        <n v="51.9694235709767"/>
        <n v="51.9836044085348"/>
        <n v="52.0248848131635"/>
        <n v="52.0544333380322"/>
        <n v="52.0920578254894"/>
        <n v="52.0992080585952"/>
        <n v="52.1820079740951"/>
        <n v="52.2065382163324"/>
        <n v="52.2669761718569"/>
        <n v="52.2763545397882"/>
        <n v="52.2792979941712"/>
        <n v="52.3558315835835"/>
        <n v="52.363463315928"/>
        <n v="52.4203007873744"/>
        <n v="52.427103611015"/>
        <n v="52.4460156896523"/>
        <n v="52.5879726085608"/>
        <n v="52.621691291172"/>
        <n v="52.6360930173401"/>
        <n v="52.6617945279911"/>
        <n v="52.7456799163398"/>
        <n v="52.7462828983664"/>
        <n v="52.7816799509833"/>
        <n v="52.8492125324871"/>
        <n v="52.9207420673493"/>
        <n v="52.9528849665263"/>
        <n v="52.9529382640969"/>
        <n v="52.9997057513426"/>
        <n v="53.0249259888967"/>
        <n v="53.0286168144514"/>
        <n v="53.0294966819218"/>
        <n v="53.0640511441721"/>
        <n v="53.0795556822283"/>
        <n v="53.1068438974263"/>
        <n v="53.1636003561685"/>
        <n v="53.2096248723912"/>
        <n v="53.3803718735338"/>
        <n v="53.3808026950742"/>
        <n v="53.3920831395525"/>
        <n v="53.4280145027848"/>
        <n v="53.4433378447302"/>
        <n v="53.5567671602919"/>
        <n v="53.6237600121888"/>
        <n v="53.6328865416565"/>
        <n v="53.7547921128319"/>
        <n v="53.757315977676"/>
        <n v="53.7628471966879"/>
        <n v="53.842551078927"/>
        <n v="53.8619685787089"/>
        <n v="53.8971765687572"/>
        <n v="53.9410909822797"/>
        <n v="53.9800172411296"/>
        <n v="53.9880362009384"/>
        <n v="54.0176813499043"/>
        <n v="54.0501510287917"/>
        <n v="54.051893705116"/>
        <n v="54.0549305924498"/>
        <n v="54.0582675388668"/>
        <n v="54.0587356347416"/>
        <n v="54.082460473594"/>
        <n v="54.1108904159495"/>
        <n v="54.1497516628145"/>
        <n v="54.1668418908213"/>
        <n v="54.172292174153"/>
        <n v="54.2196347147929"/>
        <n v="54.2372953289725"/>
        <n v="54.2663099671365"/>
        <n v="54.3675704415368"/>
        <n v="54.4473093247439"/>
        <n v="54.467333333494"/>
        <n v="54.6659572738859"/>
        <n v="54.7290268462159"/>
        <n v="54.7714852631498"/>
        <n v="54.8652571504089"/>
        <n v="54.9090813178799"/>
        <n v="54.9665684944941"/>
        <n v="54.9890407433816"/>
        <n v="55.0160704273548"/>
        <n v="55.1218109284594"/>
        <n v="55.2244305314711"/>
        <n v="55.2832492467426"/>
        <n v="55.2996983767853"/>
        <n v="55.3297408831601"/>
        <n v="55.3368595557624"/>
        <n v="55.3559884911929"/>
        <n v="55.3891326591848"/>
        <n v="55.4593349783601"/>
        <n v="55.5209791431119"/>
        <n v="55.5779462013187"/>
        <n v="55.7456803276066"/>
        <n v="55.7528471334448"/>
        <n v="55.8042790086322"/>
        <n v="55.8258611573233"/>
        <n v="55.9557213010877"/>
        <n v="55.9567626770714"/>
        <n v="56.1491082882412"/>
        <n v="56.3057700751377"/>
        <n v="56.4015494354097"/>
        <n v="56.4861496490061"/>
        <n v="56.4947055929647"/>
        <n v="56.5042833010795"/>
        <n v="56.5361634084252"/>
        <n v="56.5440981233366"/>
        <n v="56.6155231166242"/>
        <n v="56.65194362947"/>
        <n v="56.6822733192546"/>
        <n v="56.7799909308136"/>
        <n v="56.7923686469477"/>
        <n v="56.8577940368146"/>
        <n v="57.0064758245259"/>
        <n v="57.0470913121702"/>
        <n v="57.0928812526761"/>
        <n v="57.1104887904102"/>
        <n v="57.1527502749538"/>
        <n v="57.392902978594"/>
        <n v="57.4527394780903"/>
        <n v="57.4982877296967"/>
        <n v="57.513555402531"/>
        <n v="57.5384343208641"/>
        <n v="57.5475935805035"/>
        <n v="57.5691141568036"/>
        <n v="57.5753423761428"/>
        <n v="57.5761964005206"/>
        <n v="57.7450893317715"/>
        <n v="57.7494613835066"/>
        <n v="57.841878217029"/>
        <n v="57.9092634877239"/>
        <n v="57.9430846973922"/>
        <n v="57.9547218314893"/>
        <n v="57.988011565"/>
        <n v="58.0579389578367"/>
        <n v="58.107684054243"/>
        <n v="58.168538909592"/>
        <n v="58.5054197097654"/>
        <n v="58.5413354541405"/>
        <n v="58.6054266266448"/>
        <n v="58.727552361242"/>
        <n v="58.7991669179176"/>
        <n v="58.8216132868614"/>
        <n v="58.9052611472112"/>
        <n v="58.9796378957163"/>
        <n v="58.9939997110427"/>
        <n v="58.9956110056789"/>
        <n v="59.0445335213593"/>
        <n v="59.1976181238347"/>
        <n v="59.2062065592334"/>
        <n v="59.3307839160858"/>
        <n v="59.3314744770604"/>
        <n v="59.485815565867"/>
        <n v="59.551026260896"/>
        <n v="59.6379893441132"/>
        <n v="59.8417914924188"/>
        <n v="59.8688448738602"/>
        <n v="59.8836914204176"/>
        <n v="59.8981982945539"/>
        <n v="59.9392860373343"/>
        <n v="59.985055463687"/>
        <n v="59.9957048556055"/>
        <n v="60.0816609377815"/>
        <n v="60.1489820447013"/>
        <n v="60.1717530603518"/>
        <n v="60.2529411116002"/>
        <n v="60.2776230232259"/>
        <n v="60.3179041273242"/>
        <n v="60.5787212559683"/>
        <n v="60.6616780919872"/>
        <n v="60.713867257144"/>
        <n v="60.8257161954717"/>
        <n v="60.8422833936997"/>
        <n v="60.918799237629"/>
        <n v="60.9889742846783"/>
        <n v="61.0404719559769"/>
        <n v="61.1279127221581"/>
        <n v="61.1348686552638"/>
        <n v="61.2023502201514"/>
        <n v="61.4064723805579"/>
        <n v="61.4561373146639"/>
        <n v="61.481474811314"/>
        <n v="61.7570799281318"/>
        <n v="61.8255849118256"/>
        <n v="61.8415374852083"/>
        <n v="61.8923656240667"/>
        <n v="61.9149647096702"/>
        <n v="61.950728647336"/>
        <n v="61.9940255364941"/>
        <n v="62.0163050407742"/>
        <n v="62.0945247690452"/>
        <n v="62.2340836202487"/>
        <n v="62.2729434141961"/>
        <n v="62.629169071363"/>
        <n v="62.6461797819105"/>
        <n v="62.6822935215174"/>
        <n v="62.8424970385931"/>
        <n v="62.8673520435256"/>
        <n v="62.880633856397"/>
        <n v="62.8834414586307"/>
        <n v="62.9503730379819"/>
        <n v="62.9605280777259"/>
        <n v="62.9666740904086"/>
        <n v="62.9805945066522"/>
        <n v="63.2082157259751"/>
        <n v="63.5878026409219"/>
        <n v="63.6066492122262"/>
        <n v="63.8197839094824"/>
        <n v="63.9543637899113"/>
        <n v="64.1541198373104"/>
        <n v="64.1630633995135"/>
        <n v="64.2397511538426"/>
        <n v="64.3133189034785"/>
        <n v="64.3159690333717"/>
        <n v="64.5556534485821"/>
        <n v="64.6598891450046"/>
        <n v="64.8093024134008"/>
        <n v="64.864593988881"/>
        <n v="65.0222356802315"/>
        <n v="65.1523688695859"/>
        <n v="65.1791543235408"/>
        <n v="65.2044487162722"/>
        <n v="65.2093990462552"/>
        <n v="65.2800360689615"/>
        <n v="65.3155471461143"/>
        <n v="65.3797063348358"/>
        <n v="65.396860729463"/>
        <n v="65.4429763735416"/>
        <n v="65.53124043639"/>
        <n v="65.8141654432766"/>
        <n v="65.985144310067"/>
        <n v="66.0508416277265"/>
        <n v="66.1485153360401"/>
        <n v="66.1670752459586"/>
        <n v="66.3014778357241"/>
        <n v="66.3016424961316"/>
        <n v="66.3971141825823"/>
        <n v="66.4048710614245"/>
        <n v="66.4151548686202"/>
        <n v="66.5962432011716"/>
        <n v="66.6046413076896"/>
        <n v="66.6936872625801"/>
        <n v="66.7598464821788"/>
        <n v="66.8030754138052"/>
        <n v="66.8736418773242"/>
        <n v="67.0267415040206"/>
        <n v="67.1490398645843"/>
        <n v="67.361903997492"/>
        <n v="67.5156472378971"/>
        <n v="67.5465613393991"/>
        <n v="67.6262146597226"/>
        <n v="67.9153735053018"/>
        <n v="67.9507576821191"/>
        <n v="67.9806710621222"/>
        <n v="68.2065382996101"/>
        <n v="68.4103146715351"/>
        <n v="68.4810550994467"/>
        <n v="68.5097094987157"/>
        <n v="68.7443175419213"/>
        <n v="68.9666820690358"/>
        <n v="69.1784835502099"/>
        <n v="69.2006380174062"/>
        <n v="69.227878308639"/>
        <n v="69.267443217779"/>
        <n v="69.3000468474974"/>
        <n v="69.3066439880786"/>
        <n v="69.3598486247479"/>
        <n v="69.3973929890245"/>
        <n v="69.4846741669936"/>
        <n v="69.5756999837657"/>
        <n v="69.8761844014322"/>
        <n v="69.9157347426621"/>
        <n v="69.9289975873111"/>
        <n v="70.1586683855579"/>
        <n v="70.329819680584"/>
        <n v="70.4185053442442"/>
        <n v="70.7519647659425"/>
        <n v="71.0633032471812"/>
        <n v="71.2745931981316"/>
        <n v="71.2910844136233"/>
        <n v="71.3438247449421"/>
        <n v="71.5475171214559"/>
        <n v="71.5650163537966"/>
        <n v="71.6718339828821"/>
        <n v="71.7764380597055"/>
        <n v="71.7841803542717"/>
        <n v="72.2522394114101"/>
        <n v="72.5998321052905"/>
        <n v="72.7461940682237"/>
        <n v="72.9074695053531"/>
        <n v="72.9459986996866"/>
        <n v="73.0114470220322"/>
        <n v="73.150765797755"/>
        <n v="73.216016170998"/>
        <n v="73.2173949270796"/>
        <n v="73.2237054814071"/>
        <n v="73.3951225129592"/>
        <n v="73.4531125301454"/>
        <n v="73.5148659708975"/>
        <n v="73.7151334453386"/>
        <n v="73.7317213958939"/>
        <n v="73.9085029920011"/>
        <n v="74.0924155521072"/>
        <n v="74.1951288028351"/>
        <n v="74.36599984343"/>
        <n v="74.3873013041336"/>
        <n v="74.4169975945286"/>
        <n v="74.4241945835293"/>
        <n v="74.4716719966492"/>
        <n v="74.6157410228769"/>
        <n v="74.6810956596341"/>
        <n v="74.7772305505267"/>
        <n v="74.7965549427982"/>
        <n v="74.9222854331865"/>
        <n v="74.9254188354231"/>
        <n v="74.9656791221831"/>
        <n v="74.9773959819225"/>
        <n v="75.1791765350476"/>
        <n v="75.2566628798425"/>
        <n v="75.2865868851926"/>
        <n v="75.6156069428494"/>
        <n v="75.7006480858708"/>
        <n v="75.7022950600118"/>
        <n v="75.8020621822644"/>
        <n v="75.8231454343617"/>
        <n v="75.8270365365143"/>
        <n v="75.8283472249316"/>
        <n v="75.8603316954121"/>
        <n v="75.9353826040928"/>
        <n v="75.9672983666566"/>
        <n v="75.9740140651448"/>
        <n v="76.090819670311"/>
        <n v="76.3461272892504"/>
        <n v="76.4478994584875"/>
        <n v="76.5178020731652"/>
        <n v="76.5519806680296"/>
        <n v="76.6534191956586"/>
        <n v="76.9244598036346"/>
        <n v="77.3284584816312"/>
        <n v="77.4304964295812"/>
        <n v="77.7265590916493"/>
        <n v="77.7317171199863"/>
        <n v="77.7384844575256"/>
        <n v="78.129969190976"/>
        <n v="78.1941035896824"/>
        <n v="78.4262769407143"/>
        <n v="78.7778500692229"/>
        <n v="78.8392867788364"/>
        <n v="78.9058719021215"/>
        <n v="78.9147740877238"/>
        <n v="78.960643870905"/>
        <n v="78.9707606327625"/>
        <n v="78.9789827730138"/>
        <n v="78.9926761653758"/>
        <n v="79.0469056663567"/>
        <n v="79.0744698911741"/>
        <n v="79.0745924442198"/>
        <n v="79.1171019638515"/>
        <n v="79.1894669438515"/>
        <n v="79.3451956665511"/>
        <n v="79.5000035632324"/>
        <n v="79.5858974348782"/>
        <n v="79.6746753995113"/>
        <n v="79.7553510379172"/>
        <n v="79.7634157187996"/>
        <n v="79.8156080945636"/>
        <n v="79.9165851097008"/>
        <n v="80.0286191017215"/>
        <n v="80.1245087415562"/>
        <n v="80.1246634538023"/>
        <n v="80.1716359066325"/>
        <n v="80.4849041711836"/>
        <n v="80.5166851213505"/>
        <n v="80.5241808284683"/>
        <n v="80.7873496503731"/>
        <n v="80.7938853942334"/>
        <n v="80.8179432250319"/>
        <n v="81.0337681893861"/>
        <n v="81.0545707482569"/>
        <n v="81.1171780266011"/>
        <n v="81.2917597377626"/>
        <n v="81.3860678181477"/>
        <n v="81.6916595537948"/>
        <n v="82.0647123346249"/>
        <n v="82.1038560148672"/>
        <n v="82.2842006770007"/>
        <n v="82.4294497017671"/>
        <n v="82.4622632040318"/>
        <n v="82.4979913736041"/>
        <n v="82.7315000190211"/>
        <n v="82.9353337670518"/>
        <n v="83.1583865570049"/>
        <n v="83.1900578764818"/>
        <n v="83.2637637207257"/>
        <n v="83.3770050838216"/>
        <n v="83.4942451778845"/>
        <n v="83.6286213829041"/>
        <n v="84.3446788125598"/>
        <n v="85.1014923937206"/>
        <n v="85.1168309629631"/>
        <n v="85.1549102658414"/>
        <n v="85.5407760976226"/>
        <n v="85.869383956266"/>
        <n v="85.9335101580963"/>
        <n v="86.1703294785358"/>
        <n v="86.2200572840445"/>
        <n v="86.483380830915"/>
        <n v="86.8899952318533"/>
        <n v="87.0616325247311"/>
        <n v="87.2451717942152"/>
        <n v="87.5983289059699"/>
        <n v="88.2910933125085"/>
        <n v="88.4439514869499"/>
        <n v="88.5286521905484"/>
        <n v="88.913515346648"/>
        <n v="89.1893619447254"/>
        <n v="89.5163563316462"/>
        <n v="89.7420361511329"/>
        <n v="89.8970910464754"/>
        <n v="90.1597258824326"/>
        <n v="90.2137214726205"/>
        <n v="90.2662552143013"/>
        <n v="90.6081170759984"/>
        <n v="90.7183348260253"/>
        <n v="90.9472518000763"/>
        <n v="91.6002704975269"/>
        <n v="91.6201636590412"/>
        <n v="91.6935800630644"/>
        <n v="92.1270203732436"/>
        <n v="92.6475935616843"/>
        <n v="92.6793354437571"/>
        <n v="92.7598121930725"/>
        <n v="93.5973155282063"/>
        <n v="93.6456801941169"/>
        <n v="93.6956744266364"/>
        <n v="94.0183213540701"/>
        <n v="94.4839640813225"/>
        <n v="94.698138623425"/>
        <n v="94.720225680871"/>
        <n v="94.8758725206322"/>
        <n v="95.0048754743396"/>
        <n v="95.1539390406216"/>
        <n v="95.2368689965028"/>
        <n v="95.477186404906"/>
        <n v="95.5486328151988"/>
        <n v="95.5971861729621"/>
        <n v="95.9592903325528"/>
        <n v="95.9656934632449"/>
        <n v="96.0053646924264"/>
        <n v="96.079847949756"/>
        <n v="96.1222459086889"/>
        <n v="96.3705997331309"/>
        <n v="96.4959787886625"/>
        <n v="96.5906444473581"/>
        <n v="96.6428093708267"/>
        <n v="97.7869521727119"/>
        <n v="97.9849475169339"/>
        <n v="98.010747571175"/>
        <n v="98.0131512127748"/>
        <n v="98.6677296574745"/>
        <n v="98.6716947352382"/>
        <n v="99.762321289641"/>
        <n v="99.8294943518331"/>
        <n v="100.228995562294"/>
        <n v="100.394690484464"/>
        <n v="100.729202446157"/>
        <n v="101.204083747098"/>
        <n v="102.085315030018"/>
        <n v="102.148173550643"/>
        <n v="102.392148698387"/>
        <n v="102.513680738223"/>
        <n v="103.522371378883"/>
        <n v="104.973669541461"/>
        <n v="104.984680084105"/>
        <n v="105.554119992099"/>
        <n v="105.69596937763"/>
        <n v="105.773148655985"/>
        <n v="105.853770777534"/>
        <n v="105.905076013236"/>
        <n v="105.953846779485"/>
        <n v="106.250570871421"/>
        <n v="106.266403020756"/>
        <n v="106.493127925316"/>
        <n v="106.530718266384"/>
        <n v="106.878504583516"/>
        <n v="107.528468990651"/>
        <n v="107.58696880862"/>
        <n v="107.607406527973"/>
        <n v="107.946014657384"/>
        <n v="107.985103949541"/>
        <n v="108.743090811902"/>
        <n v="108.895442629292"/>
        <n v="110.152506838574"/>
        <n v="111.113152812006"/>
        <n v="111.911701709338"/>
        <n v="112.048995657373"/>
        <n v="112.366978016757"/>
        <n v="112.493210268938"/>
        <n v="112.708620925138"/>
        <n v="112.866601400201"/>
        <n v="113.253953404915"/>
        <n v="113.969930509489"/>
        <n v="114.302647126746"/>
        <n v="115.112239749422"/>
        <n v="115.736260638424"/>
        <n v="116.037274202269"/>
        <n v="116.101563917187"/>
        <n v="116.674003980416"/>
        <n v="118.441765731283"/>
        <n v="118.622548543796"/>
        <n v="118.95148694499"/>
        <n v="118.969181350605"/>
        <n v="119.648366032338"/>
        <n v="121.792247061317"/>
        <n v="123.882147300773"/>
        <n v="124.77414113923"/>
        <n v="128.027227306778"/>
        <n v="131.280886725649"/>
        <n v="131.648493369221"/>
        <n v="132.834452915023"/>
        <n v="133.090381409109"/>
        <n v="133.65306664761"/>
        <n v="135.254652362185"/>
        <n v="136.071555896521"/>
        <n v="136.262620375604"/>
        <n v="138.308548674366"/>
        <n v="138.833825298066"/>
        <n v="145.733905013898"/>
        <n v="146.435439063217"/>
        <n v="147.790710349869"/>
        <n v="151.595360244654"/>
        <n v="152.332917266271"/>
        <n v="152.475424670476"/>
        <n v="153.007908969704"/>
        <n v="153.734388424107"/>
        <n v="158.129331757935"/>
        <n v="158.243821096835"/>
        <n v="158.494106489988"/>
        <n v="161.810803100543"/>
        <n v="162.356985424323"/>
        <n v="162.484866790038"/>
        <n v="165.568829423907"/>
        <n v="167.938397919946"/>
        <n v="170.527643301148"/>
        <n v="171.654521094748"/>
        <n v="173.500130074637"/>
        <n v="174.222129064023"/>
        <n v="175.936360004404"/>
        <n v="178.755395517438"/>
        <n v="187.58343063003"/>
        <n v="188.566317530795"/>
        <n v="189.777883800741"/>
        <n v="190.379062956992"/>
        <n v="194.922226374902"/>
        <n v="197.277051948323"/>
        <n v="203.581964933239"/>
        <n v="220.721793314607"/>
        <n v="221.133042804967"/>
        <n v="231.736311485166"/>
        <n v="241.45913149095"/>
        <n v="242.287470589416"/>
        <n v="258.835092094712"/>
        <n v="271.501598882501"/>
        <n v="281.141292573588"/>
        <n v="293.622590434975"/>
        <n v="299.851240781675"/>
        <n v="304.840466563167"/>
        <n v="316.503214172736"/>
        <n v="317.526785411446"/>
        <n v="321.146539093658"/>
        <n v="323.328279277405"/>
        <n v="364.820510178649"/>
        <n v="491.500047209797"/>
        <n v="505.297871991924"/>
      </sharedItems>
    </cacheField>
    <cacheField name="supplier_name" numFmtId="0">
      <sharedItems count="389">
        <s v="Adelanto City Of"/>
        <s v="Alameda County Water District"/>
        <s v="Alco Water Service"/>
        <s v="Alhambra City Of"/>
        <s v="Amador Water Agency"/>
        <s v="American Canyon City Of"/>
        <s v="Anaheim City Of"/>
        <s v="Anderson City Of"/>
        <s v="Antioch City Of"/>
        <s v="Apple Valley Ranchos Water Company"/>
        <s v="Arcadia City Of"/>
        <s v="Arcata City Of"/>
        <s v="Arroyo Grande City Of"/>
        <s v="Arvin Community Service District"/>
        <s v="Atascadero Mutual Water Company"/>
        <s v="Atwater City Of"/>
        <s v="Azusa Light and Water"/>
        <s v="Bakersfield City Of"/>
        <s v="Banning City Of"/>
        <s v="Beaumont - Cherry Valley Water District"/>
        <s v="Bellflower - Somerset Mutual Water Company"/>
        <s v="Benicia City Of"/>
        <s v="Beverly Hills City Of"/>
        <s v="Big Bear Community Services District"/>
        <s v="Big Bear Lake City Of"/>
        <s v="Blythe City Of"/>
        <s v="Brawley City Of"/>
        <s v="Brea City Of"/>
        <s v="Brentwood City Of"/>
        <s v="Buena Park City Of"/>
        <s v="Burbank City Of"/>
        <s v="Burlingame City Of"/>
        <s v="Calaveras County Water District"/>
        <s v="Calexico City Of"/>
        <s v="California American Water Company - Los Angeles Division"/>
        <s v="California American Water Company - Monterey District"/>
        <s v="California American Water Company - Sacramento District"/>
        <s v="California American Water Company - San Diego District"/>
        <s v="California American Water Company - Ventura District"/>
        <s v="California Water Service Company Bakersfield"/>
        <s v="California Water Service Company Bear Gulch"/>
        <s v="California Water Service Company Chico District"/>
        <s v="California Water Service Company Dixon, City of"/>
        <s v="California Water Service Company Dominguez"/>
        <s v="California Water Service Company East Los Angeles"/>
        <s v="California Water Service Company Hermosa/Redondo"/>
        <s v="California Water Service Company King City"/>
        <s v="California Water Service Company Livermore"/>
        <s v="California Water Service Company Los Altos/Suburban"/>
        <s v="California Water Service Company Marysville"/>
        <s v="California Water Service Company Mid Peninsula"/>
        <s v="California Water Service Company Oroville"/>
        <s v="California Water Service Company Palos Verdes"/>
        <s v="California Water Service Company Salinas District"/>
        <s v="California Water Service Company Selma"/>
        <s v="California Water Service Company South San Francisco"/>
        <s v="California Water Service Company Stockton"/>
        <s v="California Water Service Company Visalia"/>
        <s v="California Water Service Company Westlake"/>
        <s v="Camarillo City Of"/>
        <s v="Cambria Community Service District"/>
        <s v="Camrosa Water District"/>
        <s v="Carlsbad Municipal Water District"/>
        <s v="Carmichael Water District"/>
        <s v="Carpinteria Valley Water District"/>
        <s v="Casitas Municipal Water District"/>
        <s v="Ceres City Of"/>
        <s v="Cerritos City Of"/>
        <s v="Chino City Of"/>
        <s v="Chino Hills City Of"/>
        <s v="Chowchilla, City of Water Department"/>
        <s v="Citrus Heights Water District"/>
        <s v="Cloverdale City of"/>
        <s v="Clovis City Of"/>
        <s v="Coachella City Of"/>
        <s v="Coachella Valley Water District"/>
        <s v="Coalinga City Of"/>
        <s v="Coastside County Water District"/>
        <s v="Colton City Of"/>
        <s v="Compton City Of"/>
        <s v="Contra Costa Water District"/>
        <s v="Corona City Of"/>
        <s v="Covina City Of"/>
        <s v="Crescent City"/>
        <s v="Crescenta Valley Community Water District"/>
        <s v="Crestline Village Water District"/>
        <s v="Cucamonga Valley Water District"/>
        <s v="Cupertino City Of"/>
        <s v="Daly City"/>
        <s v="Davis City Of"/>
        <s v="Del Oro Water Company"/>
        <s v="Delano City Of"/>
        <s v="Desert Water Agency"/>
        <s v="Diablo Water District"/>
        <s v="Dinuba City Of"/>
        <s v="Discovery Bay Community Services District"/>
        <s v="Dixon City Of"/>
        <s v="Downey City Of"/>
        <s v="Dublin San Ramon Services District"/>
        <s v="East Bay Municipal Utility District"/>
        <s v="East Niles Community Services District"/>
        <s v="East Palo Alto City Of"/>
        <s v="East Valley Water District"/>
        <s v="Eastern Municipal Water District"/>
        <s v="El Centro City Of"/>
        <s v="El Dorado Irrigation District"/>
        <s v="El Monte City Of"/>
        <s v="El Segundo City Of"/>
        <s v="El Toro Water District"/>
        <s v="Elk Grove Water District"/>
        <s v="Elsinore Valley Municipal Water District"/>
        <s v="Escondido City Of"/>
        <s v="Estero Municipal Improvement District"/>
        <s v="Eureka City Of"/>
        <s v="Exeter City Of"/>
        <s v="Fair Oaks Water District"/>
        <s v="Fairfield City Of"/>
        <s v="Fallbrook Public Utility District"/>
        <s v="Folsom City Of"/>
        <s v="Fortuna City Of"/>
        <s v="Fountain Valley City Of"/>
        <s v="Fresno City Of"/>
        <s v="Fullerton City Of"/>
        <s v="Galt City Of"/>
        <s v="Garden Grove City Of"/>
        <s v="Gilroy City Of"/>
        <s v="Glendale City Of"/>
        <s v="Glendora City Of"/>
        <s v="Golden State Water Company - Artesia"/>
        <s v="Golden State Water Company - Barstow"/>
        <s v="Golden State Water Company - Bay Point"/>
        <s v="Golden State Water Company - Bell-Bell Gardens"/>
        <s v="Golden State Water Company - Claremont"/>
        <s v="Golden State Water Company - Cordova"/>
        <s v="Golden State Water Company - Culver City"/>
        <s v="Golden State Water Company - Florence Graham"/>
        <s v="Golden State Water Company - Norwalk"/>
        <s v="Golden State Water Company - Orcutt"/>
        <s v="Golden State Water Company - Placentia"/>
        <s v="Golden State Water Company - San Dimas"/>
        <s v="Golden State Water Company - Simi Valley"/>
        <s v="Golden State Water Company - South Arcadia"/>
        <s v="Golden State Water Company - South San Gabriel"/>
        <s v="Golden State Water Company - Southwest"/>
        <s v="Golden State Water Company - West Orange"/>
        <s v="Goleta Water District"/>
        <s v="Great Oaks Water Company Incorporated"/>
        <s v="Greenfield City Of"/>
        <s v="Greenfield County Water District"/>
        <s v="Groveland Community Services District"/>
        <s v="Grover Beach City Of"/>
        <s v="Hanford City Of"/>
        <s v="Hawthorne City Of"/>
        <s v="Hayward City Of"/>
        <s v="Healdsburg City Of"/>
        <s v="Helix Water District"/>
        <s v="Hemet City Of"/>
        <s v="Hesperia Water District"/>
        <s v="Hi Desert Water District"/>
        <s v="Hillsborough Town Of"/>
        <s v="Hollister City Of"/>
        <s v="Humboldt Community Services District"/>
        <s v="Huntington Beach City Of"/>
        <s v="Huntington Park City Of"/>
        <s v="Imperial City Of"/>
        <s v="Indian Wells Valley Water District"/>
        <s v="Indio City Of"/>
        <s v="Inglewood City Of"/>
        <s v="Irvine Ranch Water District"/>
        <s v="Jurupa Community Service District"/>
        <s v="Kerman City Of"/>
        <s v="Kingsburg City Of"/>
        <s v="La Habra City Of"/>
        <s v="La Palma City Of"/>
        <s v="La Verne City Of"/>
        <s v="Laguna Beach County Water District"/>
        <s v="Lake Arrowhead Community Services District"/>
        <s v="Lake Hemet Municipal Water District"/>
        <s v="Lakeside Water District"/>
        <s v="Lakewood City Of"/>
        <s v="Lamont Public Utility District"/>
        <s v="Las Virgenes Municipal Water District"/>
        <s v="Lathrop City Of"/>
        <s v="Liberty Utilities (Park Water) Corp"/>
        <s v="Lincoln Avenue Water Company"/>
        <s v="Lincoln City Of"/>
        <s v="Linda County Water District"/>
        <s v="Livermore City Of"/>
        <s v="Livingston City Of"/>
        <s v="Lodi City Of"/>
        <s v="Loma Linda City Of"/>
        <s v="Lomita City Of"/>
        <s v="Lompoc City Of"/>
        <s v="Long Beach City Of"/>
        <s v="Los Angeles City Department Of Water And Power"/>
        <s v="Los Angeles County Waterworks District 29 - Malibu &amp; Marina Del Rey"/>
        <s v="Los Angeles County Waterworks District 40 - Antelope Valley"/>
        <s v="Los Banos City Of"/>
        <s v="Lynwood City Of"/>
        <s v="Madera City Of"/>
        <s v="Mammoth Community Water District"/>
        <s v="Manhattan Beach City Of"/>
        <s v="Manteca City Of"/>
        <s v="Marin Municipal Water District"/>
        <s v="Marina Coast Water District"/>
        <s v="Martinez City Of"/>
        <s v="McKinleyville Community Services District"/>
        <s v="Menlo Park City Of"/>
        <s v="Merced City Of"/>
        <s v="Mesa Water District"/>
        <s v="Mid-Peninsula Water District"/>
        <s v="Millbrae City Of"/>
        <s v="Milpitas City Of"/>
        <s v="Mission Springs Water District"/>
        <s v="Modesto City Of"/>
        <s v="Monrovia City Of"/>
        <s v="Monte Vista Water District"/>
        <s v="Montebello Land And Water Company"/>
        <s v="Montecito Water District"/>
        <s v="Monterey Park City Of"/>
        <s v="Morgan Hill City Of"/>
        <s v="Morro Bay City Of"/>
        <s v="Moulton Niguel Water District"/>
        <s v="Mountain House Community Services District"/>
        <s v="Mountain View City Of"/>
        <s v="Napa City Of"/>
        <s v="Nevada Irrigation District"/>
        <s v="Newman City of"/>
        <s v="Newport Beach City Of"/>
        <s v="Nipomo Community Service District"/>
        <s v="Norco City Of"/>
        <s v="North Coast County Water District"/>
        <s v="North Marin Water District"/>
        <s v="North Tahoe Public Utilities District"/>
        <s v="Norwalk City Of"/>
        <s v="Oakdale City Of"/>
        <s v="Oceanside City Of"/>
        <s v="Oildale Mutual Water Company"/>
        <s v="Olivehurst Public Utilities District"/>
        <s v="Olivenhain Municipal Water District"/>
        <s v="Ontario City Of"/>
        <s v="Orange City Of"/>
        <s v="Orangevale Water Company"/>
        <s v="Orchard Dale Water District"/>
        <s v="Otay Water District"/>
        <s v="Oxnard City Of"/>
        <s v="Padre Dam Municipal Water District"/>
        <s v="Palmdale Water District"/>
        <s v="Palo Alto City Of"/>
        <s v="Paradise Irrigation District"/>
        <s v="Paramount City Of"/>
        <s v="Pasadena City Of"/>
        <s v="Paso Robles City Of"/>
        <s v="Patterson City Of"/>
        <s v="Petaluma City Of"/>
        <s v="Pico Rivera City Of"/>
        <s v="Pico Water District"/>
        <s v="Pismo Beach City Of"/>
        <s v="Pittsburg City Of"/>
        <s v="Placer County Water Agency"/>
        <s v="Pleasanton City Of"/>
        <s v="Pomona City Of"/>
        <s v="Port Hueneme City Of"/>
        <s v="Poway City Of"/>
        <s v="Quartz Hill Water District"/>
        <s v="Ramona Municipal Water District"/>
        <s v="Rancho California Water District"/>
        <s v="Red Bluff City Of"/>
        <s v="Redding City Of"/>
        <s v="Redlands City Of"/>
        <s v="Redwood City"/>
        <s v="Reedley City Of"/>
        <s v="Rialto City Of"/>
        <s v="Rincon Del Diablo Municipal Water District"/>
        <s v="Rio Linda - Elverta Community Water District"/>
        <s v="Rio Vista City Of"/>
        <s v="Ripon City Of"/>
        <s v="Riverbank City Of"/>
        <s v="Riverside City Of"/>
        <s v="Riverside Highland Water Company"/>
        <s v="Rohnert Park City Of"/>
        <s v="Rosamond Community Service District"/>
        <s v="Roseville City Of"/>
        <s v="Rowland Water District"/>
        <s v="Rubidoux Community Service District"/>
        <s v="Rubio Canyon Land And Water Association"/>
        <s v="Running Springs Water District"/>
        <s v="Sacramento City Of"/>
        <s v="Sacramento County Water Agency"/>
        <s v="Sacramento Suburban Water District"/>
        <s v="San Bernardino City Of"/>
        <s v="San Bernardino County Service Area 64 Spring Valley Lake"/>
        <s v="San Bruno City Of"/>
        <s v="San Buenaventura City Of (Ventura)"/>
        <s v="San Clemente City Of"/>
        <s v="San Diego City Of"/>
        <s v="San Dieguito Water District"/>
        <s v="San Fernando City Of"/>
        <s v="San Francisco Public Utilities Commission"/>
        <s v="San Gabriel County Water District"/>
        <s v="San Gabriel Valley Water Company"/>
        <s v="San Gabriel Valley Water Company Fontana Division"/>
        <s v="San Jacinto City Of"/>
        <s v="San Jose City Of"/>
        <s v="San Jose Water Company"/>
        <s v="San Juan Capistrano City Of"/>
        <s v="San Juan Water District"/>
        <s v="San Lorenzo Valley Water District"/>
        <s v="San Luis Obispo City Of"/>
        <s v="Sanger City Of"/>
        <s v="Santa Ana City Of"/>
        <s v="Santa Barbara City Of"/>
        <s v="Santa Clara City Of"/>
        <s v="Santa Clarita Valley Water Agency"/>
        <s v="Santa Cruz City Of"/>
        <s v="Santa Fe Irrigation District"/>
        <s v="Santa Fe Springs City Of"/>
        <s v="Santa Margarita Water District"/>
        <s v="Santa Maria City Of"/>
        <s v="Santa Monica City Of"/>
        <s v="Santa Paula City Of"/>
        <s v="Santa Rosa City Of"/>
        <s v="Scotts Valley Water District"/>
        <s v="Seal Beach City Of"/>
        <s v="Shafter City Of"/>
        <s v="Shasta Lake City Of"/>
        <s v="Sierra Madre City Of"/>
        <s v="Signal Hill City Of"/>
        <s v="Soledad City Of"/>
        <s v="Sonoma City Of"/>
        <s v="Soquel Creek Water District"/>
        <s v="South Coast Water District"/>
        <s v="South Feather Water and Power"/>
        <s v="South Gate City Of"/>
        <s v="South Pasadena City Of"/>
        <s v="South Tahoe Public Utility District"/>
        <s v="Stockton City Of"/>
        <s v="Suburban Water Systems - San Jose Hills"/>
        <s v="Suburban Water Systems - Whittier/La Mirada"/>
        <s v="Suisun - Solano Water Authority"/>
        <s v="Sunny Slope Water Company"/>
        <s v="Sunnyslope County Water District"/>
        <s v="Sunnyvale City Of"/>
        <s v="Susanville City Of"/>
        <s v="Sweetwater Authority"/>
        <s v="Sweetwater Springs Water District"/>
        <s v="Tahoe City Public Utilities District"/>
        <s v="Tehachapi City Of"/>
        <s v="Thermalito Water and Sewer District"/>
        <s v="Thousand Oaks City Of"/>
        <s v="Torrance City Of"/>
        <s v="Trabuco Canyon Water District"/>
        <s v="Tracy City Of"/>
        <s v="Triunfo Sanitation District/Oak Park Water Service"/>
        <s v="Truckee - Donner Public Utilities District"/>
        <s v="Tulare City Of"/>
        <s v="Tuolumne Utilities District"/>
        <s v="Turlock City Of"/>
        <s v="Tustin City Of"/>
        <s v="Twentynine Palms Water District"/>
        <s v="Ukiah City Of"/>
        <s v="Upland City Of"/>
        <s v="Vacaville City Of"/>
        <s v="Vallecitos Water District"/>
        <s v="Vallejo City Of"/>
        <s v="Valley Center Municipal Water District"/>
        <s v="Valley County Water District"/>
        <s v="Valley Of The Moon Water District"/>
        <s v="Valley Water Company"/>
        <s v="Vaughn Water Company"/>
        <s v="Ventura County Waterworks District No 01 - Moorpark"/>
        <s v="Ventura County Waterworks District No 08 - Simi Valley"/>
        <s v="Victorville Water District"/>
        <s v="Vista Irrigation District"/>
        <s v="Walnut Valley Water District"/>
        <s v="Wasco City Of"/>
        <s v="Watsonville City Of"/>
        <s v="West Sacramento City Of"/>
        <s v="West Valley Water District"/>
        <s v="Westborough Water District"/>
        <s v="Western Municipal Water District Of Riverside"/>
        <s v="Westminster City Of"/>
        <s v="Whittier City Of"/>
        <s v="Windsor Town Of"/>
        <s v="Woodland City Of"/>
        <s v="Yorba Linda Water District"/>
        <s v="Yreka City Of"/>
        <s v="Yuba City"/>
        <s v="Yucaipa Valley Water District"/>
      </sharedItems>
    </cacheField>
    <cacheField name="city" numFmtId="0">
      <sharedItems count="369">
        <s v="Alhambra"/>
        <s v="Altadena"/>
        <s v="Anaheim"/>
        <s v="Antelope"/>
        <s v="Antelope, Elk Grove, Sacramento"/>
        <s v="Antelope, Elverta, North Highlands, Roseville, Sacramento"/>
        <s v="Antioch"/>
        <s v="Apple Valley"/>
        <s v="Arcadia"/>
        <s v="Arcadia, Duarte, El Monte, Los Angeles, Pasadena, Rosemead, San Gabriel, San Marino, Temple City"/>
        <s v="Arcadia, Pasadena, San Gabriel, Temple City"/>
        <s v="Arcata"/>
        <s v="Arroyo Grande"/>
        <s v="Arvin"/>
        <s v="Atascadero"/>
        <s v="Atwater"/>
        <s v="Auburn"/>
        <s v="Azusa"/>
        <s v="Bakersfield"/>
        <s v="Baldwin Park"/>
        <s v="Banning"/>
        <s v="Beaumont"/>
        <s v="Bellflower"/>
        <s v="Bellflower - Norwalk"/>
        <s v="Belmont"/>
        <s v="BG Bear Gulch"/>
        <s v="Big Bear City CSD"/>
        <s v="BK Bakersfield"/>
        <s v="BK North Garden"/>
        <s v="Blue Jay"/>
        <s v="Boulder Creek"/>
        <s v="Bradbury, Duarte, Irwindale, Monrovia, Rosemead"/>
        <s v="Brawley"/>
        <s v="Brea"/>
        <s v="Brentwood"/>
        <s v="Buena Park"/>
        <s v="Burbank"/>
        <s v="Burlingame"/>
        <s v="Calabasas"/>
        <s v="Camarillo"/>
        <s v="Cambria"/>
        <s v="Carlsbad"/>
        <s v="Carmichael"/>
        <s v="Carpinteria"/>
        <s v="Ceres"/>
        <s v="Cerritos"/>
        <s v="CH Chico"/>
        <s v="Chino"/>
        <s v="Chowchilla"/>
        <s v="Chula Vista"/>
        <s v="Cilroy, CA 95020"/>
        <s v="Citrus Heights"/>
        <s v="City"/>
        <s v="City of Adelanto"/>
        <s v="City of American Canyon"/>
        <s v="City of Anderson"/>
        <s v="City of Bakersfield"/>
        <s v="City of Benicia"/>
        <s v="City of Beverly Hills"/>
        <s v="CITY OF BIG BEAR LAKE"/>
        <s v="City of Blythe"/>
        <s v="City of Calexico"/>
        <s v="City of Chino Hills"/>
        <s v="City of Cloverdale"/>
        <s v="City of Coachella"/>
        <s v="City of Covina"/>
        <s v="City of Crescent City"/>
        <s v="City of Downey"/>
        <s v="CITY OF EL SEGUNDO"/>
        <s v="City of Eureka"/>
        <s v="City of Hayward"/>
        <s v="City of La Verne"/>
        <s v="City of Lake Elsinore"/>
        <s v="City of Loma Linda"/>
        <s v="City of Long Beach"/>
        <s v="City of Los Angeles"/>
        <s v="City of Lynwood"/>
        <s v="City of Madera"/>
        <s v="City of Manteca"/>
        <s v="City of Martinez"/>
        <s v="City of Menlo Park"/>
        <s v="City of Modesto"/>
        <s v="City of Morgan Hill"/>
        <s v="City of Mountain View"/>
        <s v="City of Newman"/>
        <s v="City of Newport Beach"/>
        <s v="City of Oroville / Butte County"/>
        <s v="City of Petaluma"/>
        <s v="City of Pittsburg"/>
        <s v="City of Poway"/>
        <s v="City of Riverbank"/>
        <s v="City of San Bruno"/>
        <s v="City of San Diego"/>
        <s v="City of San Jacinto"/>
        <s v="City of Sanger"/>
        <s v="City of Santa Ana"/>
        <s v="City of Santa Fe Springs"/>
        <s v="City of Santa Paula"/>
        <s v="City of Shafter"/>
        <s v="City of Stockton"/>
        <s v="City of Wasco"/>
        <s v="Clovis"/>
        <s v="Coalinga"/>
        <s v="Colton CA"/>
        <s v="Compton"/>
        <s v="Concord"/>
        <s v="Corona"/>
        <s v="Coronado, Imperial Beach, Chula Vista, San Diego, San Ysidro"/>
        <s v="Corte Madera"/>
        <s v="Costa Mesa"/>
        <s v="Crestline Village Water District"/>
        <s v="Culver City"/>
        <s v="Cupertino"/>
        <s v="Daly City"/>
        <s v="Davis"/>
        <s v="Delano"/>
        <s v="Desert Hot Springs"/>
        <s v="Discovery Bay"/>
        <s v="DIX Dixon"/>
        <s v="Dixon"/>
        <s v="DOM Dominguez"/>
        <s v="Dublin"/>
        <s v="East Palo Alto"/>
        <s v="El Centro"/>
        <s v="El Monte"/>
        <s v="El Paso de Robles"/>
        <s v="El Verano"/>
        <s v="ELA East Los Angeles"/>
        <s v="Elk Grove"/>
        <s v="Encinitas"/>
        <s v="Escondido"/>
        <s v="Eureka Area"/>
        <s v="Exeter"/>
        <s v="Fair Oaks"/>
        <s v="Fairfield"/>
        <s v="FALLBROOK"/>
        <s v="Folsom"/>
        <s v="Fontana"/>
        <s v="Fortuna"/>
        <s v="Foster City"/>
        <s v="Fountain Valley"/>
        <s v="Fremont"/>
        <s v="Fresno"/>
        <s v="Fullerton"/>
        <s v="Fulton, Larkfield, Santa Rosa,"/>
        <s v="Galt"/>
        <s v="Garden Grove"/>
        <s v="Glendale"/>
        <s v="Glendora"/>
        <s v="Goleta"/>
        <s v="Grand Terrace"/>
        <s v="Granite Bay"/>
        <s v="Grass Valley"/>
        <s v="Greenfield"/>
        <s v="Groveland/Big Oak Flat"/>
        <s v="Grover Beach"/>
        <s v="Guerneville Ca"/>
        <s v="Half Moon Bay"/>
        <s v="Hanford"/>
        <s v="HAW Hawthorne"/>
        <s v="Healdsburg"/>
        <s v="Hemet"/>
        <s v="Hesperia"/>
        <s v="Highland"/>
        <s v="Hollister"/>
        <s v="HR Hermosa Redondo"/>
        <s v="Huntington Beach"/>
        <s v="HUNTINGTON PARK"/>
        <s v="Imperial"/>
        <s v="Indio"/>
        <s v="Inglewood"/>
        <s v="Inglewood, Los Angeles, View Park, Windsor Hills"/>
        <s v="Irvine"/>
        <s v="Jurupa Valley"/>
        <s v="KC King City"/>
        <s v="La Canada Flintridge"/>
        <s v="La Crescenta"/>
        <s v="La Habra"/>
        <s v="La Mesa"/>
        <s v="La Palma"/>
        <s v="Laguna Beach"/>
        <s v="Laguna Hills"/>
        <s v="Lake Forest"/>
        <s v="Lakeside"/>
        <s v="Lamont"/>
        <s v="Lancaster"/>
        <s v="Lancaster/Palmdale"/>
        <s v="LAS Los Altos"/>
        <s v="Lathrop"/>
        <s v="Lincoln"/>
        <s v="LIV Livermore"/>
        <s v="Livermore"/>
        <s v="Livingston"/>
        <s v="Lodi"/>
        <s v="Lomita"/>
        <s v="Lompoc"/>
        <s v="Los Angeles County"/>
        <s v="Los Banos"/>
        <s v="Lynwood"/>
        <s v="Magaila"/>
        <s v="Malibu"/>
        <s v="Mammoth Lakes"/>
        <s v="Manhattan Beach"/>
        <s v="Marina"/>
        <s v="Marysville"/>
        <s v="Mckinleyville"/>
        <s v="Merced"/>
        <s v="Millbrae"/>
        <s v="Milpitas"/>
        <s v="Modesto"/>
        <s v="Monrovia"/>
        <s v="Montclair"/>
        <s v="Montebello"/>
        <s v="Monterey Park"/>
        <s v="Monterey, Pacific Grove, Pebble Beach, Sand City, Seaside, Carmel By The Sea, Carmel Highlands, Carmel Valley, Carmel, Del Rey Oaks, Forest Camel, Presidio Of Monterey,"/>
        <s v="Moorpark"/>
        <s v="Morro Bay"/>
        <s v="MPS San Carlos"/>
        <s v="MPS San Mateo"/>
        <s v="MRL Marysville"/>
        <s v="Municipality"/>
        <s v="Napa"/>
        <s v="Newbury Park, Thousand Oaks, Camarillo, Ojai, Dos Vientos Ranch, Hidden Valley, Malibu"/>
        <s v="Nipomo"/>
        <s v="Norco"/>
        <s v="Norwalk"/>
        <s v="Novato"/>
        <s v="Oak Park"/>
        <s v="Oak View"/>
        <s v="Oakdale"/>
        <s v="Oakland"/>
        <s v="Oakley"/>
        <s v="Oceanside"/>
        <s v="Olivehurst"/>
        <s v="Ontario"/>
        <s v="Orange"/>
        <s v="Orangevale"/>
        <s v="ORO Oroville"/>
        <s v="Oroville"/>
        <s v="Oxnard"/>
        <s v="PACIFICA"/>
        <s v="Palm Desert"/>
        <s v="Palm Springs"/>
        <s v="Palmdale"/>
        <s v="Palo Alto"/>
        <s v="Paradise"/>
        <s v="Paramount"/>
        <s v="Pasadena"/>
        <s v="Patterson"/>
        <s v="Perris"/>
        <s v="Pico Rivera"/>
        <s v="Pismo Beach"/>
        <s v="Placerville"/>
        <s v="Pleasanton"/>
        <s v="Pomona"/>
        <s v="Port Hueneme"/>
        <s v="PV Palos Verdes"/>
        <s v="Ramona"/>
        <s v="Rancho Cordova"/>
        <s v="Rancho Cordova, Sacramento"/>
        <s v="Rancho Cucamonga"/>
        <s v="Rancho Santa Fe"/>
        <s v="Rancho, Cordova"/>
        <s v="Red Bluff"/>
        <s v="Redding"/>
        <s v="Redlands"/>
        <s v="Redwood City"/>
        <s v="Rialto"/>
        <s v="Ridgecrest"/>
        <s v="Rio Linda"/>
        <s v="Rio Vista"/>
        <s v="Ripon"/>
        <s v="Riverside"/>
        <s v="Rohnert Park"/>
        <s v="Rosamond"/>
        <s v="Rosemead"/>
        <s v="Roseville"/>
        <s v="Rowland Heights"/>
        <s v="Running Springs"/>
        <s v="Sacramento"/>
        <s v="Sacramento County"/>
        <s v="Salinas"/>
        <s v="San Andreas"/>
        <s v="San Bernardino"/>
        <s v="San Clemente"/>
        <s v="San Diego"/>
        <s v="San Fernando"/>
        <s v="San Francisco"/>
        <s v="San Jose"/>
        <s v="San José"/>
        <s v="San Luis Obispo"/>
        <s v="San Marcos"/>
        <s v="Santa Barbara"/>
        <s v="Santa Clara"/>
        <s v="Santa Clarita"/>
        <s v="Santa Cruz"/>
        <s v="Santa Margarita Water District"/>
        <s v="Santa Maria"/>
        <s v="Santa Monica"/>
        <s v="Santa Rosa"/>
        <s v="Santee"/>
        <s v="Scotts Valley Water"/>
        <s v="Seal Beach"/>
        <s v="SEL Selma"/>
        <s v="Shasta Lake"/>
        <s v="Sierra Madre"/>
        <s v="Signal Hill"/>
        <s v="Simi Valley"/>
        <s v="SLN Salinas"/>
        <s v="Sonoma"/>
        <s v="Sonora"/>
        <s v="Soquel"/>
        <s v="South Gate"/>
        <s v="South Lake Tahoe"/>
        <s v="South Pasadena"/>
        <s v="South San Francisco"/>
        <s v="Spring Valley"/>
        <s v="Spring Valley Lake, Victorville"/>
        <s v="SSF South San Francisco"/>
        <s v="STK Stockton"/>
        <s v="Stockton"/>
        <s v="Suburban Water Systems - La Mirada"/>
        <s v="Suburban Water Systems - San Jose Hills"/>
        <s v="Suburban Water Systems - Whittier"/>
        <s v="Suisun City"/>
        <s v="Sunnyvale"/>
        <s v="Susanville"/>
        <s v="Sutter Creek"/>
        <s v="Tahoe City"/>
        <s v="Tahoe Vista"/>
        <s v="Tehachapi"/>
        <s v="Temecula"/>
        <s v="Thousand Oaks"/>
        <s v="Torrance Municipal Water"/>
        <s v="Town of Hillsborough"/>
        <s v="Town of Windsor"/>
        <s v="Trabuco Canyon"/>
        <s v="Tracy"/>
        <s v="Truckee"/>
        <s v="Tulare"/>
        <s v="Turlock"/>
        <s v="Tustin"/>
        <s v="Twentynine Palms"/>
        <s v="Ukiah"/>
        <s v="Upland"/>
        <s v="Vacaville"/>
        <s v="Vallejo"/>
        <s v="Valley Center"/>
        <s v="Various"/>
        <s v="Various Cities in Los Angeles"/>
        <s v="Various Cities in Los Angeles County"/>
        <s v="Various cities in Orange County"/>
        <s v="Various Cities in San Bernardino"/>
        <s v="Various Los Angeles County Cities"/>
        <s v="Ventura"/>
        <s v="Victorville"/>
        <s v="VIS Visalia"/>
        <s v="Vista"/>
        <s v="Walnut"/>
        <s v="Watsonville"/>
        <s v="West Sacramento"/>
        <s v="Westminster"/>
        <s v="Whittier"/>
        <s v="WLK Westlake"/>
        <s v="Woodland"/>
        <s v="Yorba Linda"/>
        <s v="Yreka"/>
        <s v="Yuba City"/>
        <s v="Yucca Valley"/>
      </sharedItems>
    </cacheField>
    <cacheField name="yil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41">
  <r>
    <x v="0"/>
    <x v="0"/>
    <x v="1"/>
    <x v="2865"/>
    <x v="1725"/>
    <x v="17"/>
    <x v="2968"/>
    <x v="2776"/>
    <x v="888"/>
    <x v="719"/>
    <x v="1"/>
    <x v="141"/>
    <x v="1"/>
  </r>
  <r>
    <x v="1"/>
    <x v="0"/>
    <x v="4"/>
    <x v="2866"/>
    <x v="1727"/>
    <x v="19"/>
    <x v="3343"/>
    <x v="3322"/>
    <x v="2099"/>
    <x v="1859"/>
    <x v="1"/>
    <x v="141"/>
    <x v="2"/>
  </r>
  <r>
    <x v="2"/>
    <x v="0"/>
    <x v="6"/>
    <x v="2868"/>
    <x v="1743"/>
    <x v="22"/>
    <x v="3367"/>
    <x v="3306"/>
    <x v="2078"/>
    <x v="1962"/>
    <x v="1"/>
    <x v="141"/>
    <x v="3"/>
  </r>
  <r>
    <x v="3"/>
    <x v="0"/>
    <x v="9"/>
    <x v="2867"/>
    <x v="1745"/>
    <x v="26"/>
    <x v="3350"/>
    <x v="3367"/>
    <x v="1985"/>
    <x v="1868"/>
    <x v="1"/>
    <x v="141"/>
    <x v="4"/>
  </r>
  <r>
    <x v="4"/>
    <x v="0"/>
    <x v="12"/>
    <x v="2869"/>
    <x v="1753"/>
    <x v="31"/>
    <x v="3352"/>
    <x v="3372"/>
    <x v="1910"/>
    <x v="1853"/>
    <x v="1"/>
    <x v="141"/>
    <x v="5"/>
  </r>
  <r>
    <x v="5"/>
    <x v="0"/>
    <x v="15"/>
    <x v="2870"/>
    <x v="1755"/>
    <x v="28"/>
    <x v="3299"/>
    <x v="3351"/>
    <x v="1716"/>
    <x v="1550"/>
    <x v="1"/>
    <x v="141"/>
    <x v="6"/>
  </r>
  <r>
    <x v="6"/>
    <x v="0"/>
    <x v="20"/>
    <x v="2871"/>
    <x v="1756"/>
    <x v="30"/>
    <x v="3218"/>
    <x v="3272"/>
    <x v="1526"/>
    <x v="1231"/>
    <x v="1"/>
    <x v="141"/>
    <x v="7"/>
  </r>
  <r>
    <x v="7"/>
    <x v="0"/>
    <x v="25"/>
    <x v="2872"/>
    <x v="1757"/>
    <x v="23"/>
    <x v="3114"/>
    <x v="3313"/>
    <x v="1267"/>
    <x v="921"/>
    <x v="1"/>
    <x v="141"/>
    <x v="8"/>
  </r>
  <r>
    <x v="8"/>
    <x v="0"/>
    <x v="28"/>
    <x v="2873"/>
    <x v="1758"/>
    <x v="43"/>
    <x v="3182"/>
    <x v="3347"/>
    <x v="833"/>
    <x v="1067"/>
    <x v="1"/>
    <x v="141"/>
    <x v="9"/>
  </r>
  <r>
    <x v="9"/>
    <x v="1"/>
    <x v="1"/>
    <x v="1828"/>
    <x v="907"/>
    <x v="24"/>
    <x v="1892"/>
    <x v="1926"/>
    <x v="1656"/>
    <x v="1179"/>
    <x v="47"/>
    <x v="190"/>
    <x v="1"/>
  </r>
  <r>
    <x v="10"/>
    <x v="1"/>
    <x v="4"/>
    <x v="1807"/>
    <x v="898"/>
    <x v="28"/>
    <x v="130"/>
    <x v="393"/>
    <x v="230"/>
    <x v="83"/>
    <x v="47"/>
    <x v="190"/>
    <x v="2"/>
  </r>
  <r>
    <x v="11"/>
    <x v="1"/>
    <x v="6"/>
    <x v="1813"/>
    <x v="901"/>
    <x v="29"/>
    <x v="2103"/>
    <x v="2621"/>
    <x v="1719"/>
    <x v="1526"/>
    <x v="47"/>
    <x v="190"/>
    <x v="3"/>
  </r>
  <r>
    <x v="12"/>
    <x v="1"/>
    <x v="9"/>
    <x v="1792"/>
    <x v="900"/>
    <x v="29"/>
    <x v="2394"/>
    <x v="2940"/>
    <x v="2159"/>
    <x v="2099"/>
    <x v="47"/>
    <x v="190"/>
    <x v="4"/>
  </r>
  <r>
    <x v="13"/>
    <x v="1"/>
    <x v="12"/>
    <x v="1820"/>
    <x v="913"/>
    <x v="29"/>
    <x v="1575"/>
    <x v="2413"/>
    <x v="948"/>
    <x v="830"/>
    <x v="47"/>
    <x v="190"/>
    <x v="5"/>
  </r>
  <r>
    <x v="14"/>
    <x v="1"/>
    <x v="15"/>
    <x v="1824"/>
    <x v="912"/>
    <x v="29"/>
    <x v="1417"/>
    <x v="2322"/>
    <x v="876"/>
    <x v="713"/>
    <x v="47"/>
    <x v="190"/>
    <x v="6"/>
  </r>
  <r>
    <x v="15"/>
    <x v="1"/>
    <x v="20"/>
    <x v="1830"/>
    <x v="910"/>
    <x v="38"/>
    <x v="1957"/>
    <x v="2732"/>
    <x v="1598"/>
    <x v="1295"/>
    <x v="47"/>
    <x v="190"/>
    <x v="7"/>
  </r>
  <r>
    <x v="16"/>
    <x v="1"/>
    <x v="25"/>
    <x v="1829"/>
    <x v="911"/>
    <x v="40"/>
    <x v="1821"/>
    <x v="2610"/>
    <x v="1489"/>
    <x v="1102"/>
    <x v="47"/>
    <x v="190"/>
    <x v="8"/>
  </r>
  <r>
    <x v="17"/>
    <x v="1"/>
    <x v="28"/>
    <x v="1835"/>
    <x v="909"/>
    <x v="30"/>
    <x v="1626"/>
    <x v="2534"/>
    <x v="1120"/>
    <x v="863"/>
    <x v="47"/>
    <x v="190"/>
    <x v="9"/>
  </r>
  <r>
    <x v="18"/>
    <x v="2"/>
    <x v="1"/>
    <x v="2961"/>
    <x v="1842"/>
    <x v="26"/>
    <x v="3497"/>
    <x v="3209"/>
    <x v="2932"/>
    <x v="2578"/>
    <x v="99"/>
    <x v="230"/>
    <x v="1"/>
  </r>
  <r>
    <x v="19"/>
    <x v="2"/>
    <x v="4"/>
    <x v="2953"/>
    <x v="1844"/>
    <x v="33"/>
    <x v="3502"/>
    <x v="3366"/>
    <x v="3079"/>
    <x v="2998"/>
    <x v="99"/>
    <x v="230"/>
    <x v="2"/>
  </r>
  <r>
    <x v="20"/>
    <x v="2"/>
    <x v="6"/>
    <x v="2954"/>
    <x v="1843"/>
    <x v="31"/>
    <x v="3499"/>
    <x v="3273"/>
    <x v="3043"/>
    <x v="2759"/>
    <x v="99"/>
    <x v="230"/>
    <x v="3"/>
  </r>
  <r>
    <x v="21"/>
    <x v="2"/>
    <x v="9"/>
    <x v="2955"/>
    <x v="1845"/>
    <x v="34"/>
    <x v="3495"/>
    <x v="3207"/>
    <x v="2981"/>
    <x v="2537"/>
    <x v="99"/>
    <x v="230"/>
    <x v="4"/>
  </r>
  <r>
    <x v="22"/>
    <x v="2"/>
    <x v="12"/>
    <x v="2956"/>
    <x v="1846"/>
    <x v="34"/>
    <x v="3496"/>
    <x v="3227"/>
    <x v="2849"/>
    <x v="2617"/>
    <x v="99"/>
    <x v="230"/>
    <x v="5"/>
  </r>
  <r>
    <x v="23"/>
    <x v="2"/>
    <x v="15"/>
    <x v="2957"/>
    <x v="1847"/>
    <x v="34"/>
    <x v="3494"/>
    <x v="3246"/>
    <x v="2722"/>
    <x v="2339"/>
    <x v="99"/>
    <x v="230"/>
    <x v="6"/>
  </r>
  <r>
    <x v="24"/>
    <x v="2"/>
    <x v="20"/>
    <x v="2958"/>
    <x v="1848"/>
    <x v="39"/>
    <x v="3491"/>
    <x v="3282"/>
    <x v="2568"/>
    <x v="2049"/>
    <x v="99"/>
    <x v="230"/>
    <x v="7"/>
  </r>
  <r>
    <x v="25"/>
    <x v="2"/>
    <x v="25"/>
    <x v="2960"/>
    <x v="1849"/>
    <x v="40"/>
    <x v="3493"/>
    <x v="3362"/>
    <x v="2574"/>
    <x v="2315"/>
    <x v="99"/>
    <x v="230"/>
    <x v="8"/>
  </r>
  <r>
    <x v="26"/>
    <x v="2"/>
    <x v="28"/>
    <x v="2959"/>
    <x v="1850"/>
    <x v="40"/>
    <x v="3490"/>
    <x v="3312"/>
    <x v="2135"/>
    <x v="1909"/>
    <x v="99"/>
    <x v="230"/>
    <x v="9"/>
  </r>
  <r>
    <x v="27"/>
    <x v="3"/>
    <x v="1"/>
    <x v="2506"/>
    <x v="1273"/>
    <x v="29"/>
    <x v="2261"/>
    <x v="3075"/>
    <x v="1779"/>
    <x v="857"/>
    <x v="153"/>
    <x v="70"/>
    <x v="1"/>
  </r>
  <r>
    <x v="28"/>
    <x v="3"/>
    <x v="4"/>
    <x v="2511"/>
    <x v="1273"/>
    <x v="31"/>
    <x v="3038"/>
    <x v="3394"/>
    <x v="2304"/>
    <x v="2103"/>
    <x v="153"/>
    <x v="70"/>
    <x v="2"/>
  </r>
  <r>
    <x v="29"/>
    <x v="3"/>
    <x v="6"/>
    <x v="2523"/>
    <x v="1288"/>
    <x v="38"/>
    <x v="2681"/>
    <x v="3266"/>
    <x v="1108"/>
    <x v="1339"/>
    <x v="153"/>
    <x v="70"/>
    <x v="3"/>
  </r>
  <r>
    <x v="30"/>
    <x v="3"/>
    <x v="9"/>
    <x v="2531"/>
    <x v="1288"/>
    <x v="39"/>
    <x v="749"/>
    <x v="1981"/>
    <x v="117"/>
    <x v="208"/>
    <x v="153"/>
    <x v="70"/>
    <x v="4"/>
  </r>
  <r>
    <x v="31"/>
    <x v="3"/>
    <x v="12"/>
    <x v="2543"/>
    <x v="1288"/>
    <x v="29"/>
    <x v="2753"/>
    <x v="3302"/>
    <x v="1289"/>
    <x v="1401"/>
    <x v="153"/>
    <x v="70"/>
    <x v="5"/>
  </r>
  <r>
    <x v="32"/>
    <x v="3"/>
    <x v="15"/>
    <x v="2526"/>
    <x v="1288"/>
    <x v="34"/>
    <x v="2910"/>
    <x v="3358"/>
    <x v="1714"/>
    <x v="1736"/>
    <x v="153"/>
    <x v="70"/>
    <x v="6"/>
  </r>
  <r>
    <x v="33"/>
    <x v="3"/>
    <x v="20"/>
    <x v="2529"/>
    <x v="1288"/>
    <x v="24"/>
    <x v="2869"/>
    <x v="3368"/>
    <x v="1682"/>
    <x v="1633"/>
    <x v="153"/>
    <x v="70"/>
    <x v="7"/>
  </r>
  <r>
    <x v="34"/>
    <x v="3"/>
    <x v="25"/>
    <x v="2538"/>
    <x v="1303"/>
    <x v="24"/>
    <x v="2428"/>
    <x v="3243"/>
    <x v="910"/>
    <x v="960"/>
    <x v="153"/>
    <x v="70"/>
    <x v="8"/>
  </r>
  <r>
    <x v="35"/>
    <x v="3"/>
    <x v="28"/>
    <x v="2530"/>
    <x v="1312"/>
    <x v="35"/>
    <x v="2795"/>
    <x v="3395"/>
    <x v="1735"/>
    <x v="1503"/>
    <x v="153"/>
    <x v="70"/>
    <x v="9"/>
  </r>
  <r>
    <x v="36"/>
    <x v="4"/>
    <x v="1"/>
    <x v="1973"/>
    <x v="1160"/>
    <x v="31"/>
    <x v="3297"/>
    <x v="3390"/>
    <x v="3289"/>
    <x v="3339"/>
    <x v="260"/>
    <x v="253"/>
    <x v="1"/>
  </r>
  <r>
    <x v="37"/>
    <x v="4"/>
    <x v="4"/>
    <x v="1988"/>
    <x v="1160"/>
    <x v="32"/>
    <x v="3039"/>
    <x v="3086"/>
    <x v="2613"/>
    <x v="2865"/>
    <x v="260"/>
    <x v="253"/>
    <x v="2"/>
  </r>
  <r>
    <x v="38"/>
    <x v="4"/>
    <x v="6"/>
    <x v="1981"/>
    <x v="1154"/>
    <x v="29"/>
    <x v="1947"/>
    <x v="2182"/>
    <x v="907"/>
    <x v="1049"/>
    <x v="260"/>
    <x v="253"/>
    <x v="3"/>
  </r>
  <r>
    <x v="39"/>
    <x v="4"/>
    <x v="9"/>
    <x v="1987"/>
    <x v="1157"/>
    <x v="30"/>
    <x v="2370"/>
    <x v="2507"/>
    <x v="1487"/>
    <x v="1735"/>
    <x v="260"/>
    <x v="253"/>
    <x v="4"/>
  </r>
  <r>
    <x v="40"/>
    <x v="4"/>
    <x v="12"/>
    <x v="1989"/>
    <x v="1158"/>
    <x v="30"/>
    <x v="2814"/>
    <x v="2898"/>
    <x v="2049"/>
    <x v="2477"/>
    <x v="260"/>
    <x v="253"/>
    <x v="5"/>
  </r>
  <r>
    <x v="41"/>
    <x v="4"/>
    <x v="15"/>
    <x v="1990"/>
    <x v="1162"/>
    <x v="29"/>
    <x v="206"/>
    <x v="464"/>
    <x v="112"/>
    <x v="109"/>
    <x v="260"/>
    <x v="253"/>
    <x v="6"/>
  </r>
  <r>
    <x v="42"/>
    <x v="4"/>
    <x v="20"/>
    <x v="2002"/>
    <x v="1163"/>
    <x v="26"/>
    <x v="2656"/>
    <x v="2808"/>
    <x v="1998"/>
    <x v="2203"/>
    <x v="260"/>
    <x v="253"/>
    <x v="7"/>
  </r>
  <r>
    <x v="43"/>
    <x v="4"/>
    <x v="25"/>
    <x v="1994"/>
    <x v="1163"/>
    <x v="34"/>
    <x v="2604"/>
    <x v="2948"/>
    <x v="1990"/>
    <x v="2118"/>
    <x v="260"/>
    <x v="253"/>
    <x v="8"/>
  </r>
  <r>
    <x v="44"/>
    <x v="4"/>
    <x v="28"/>
    <x v="1995"/>
    <x v="1163"/>
    <x v="34"/>
    <x v="2769"/>
    <x v="3065"/>
    <x v="2118"/>
    <x v="2396"/>
    <x v="260"/>
    <x v="253"/>
    <x v="9"/>
  </r>
  <r>
    <x v="45"/>
    <x v="4"/>
    <x v="30"/>
    <x v="1997"/>
    <x v="1164"/>
    <x v="35"/>
    <x v="2898"/>
    <x v="3147"/>
    <x v="2430"/>
    <x v="2612"/>
    <x v="260"/>
    <x v="253"/>
    <x v="10"/>
  </r>
  <r>
    <x v="46"/>
    <x v="5"/>
    <x v="1"/>
    <x v="1955"/>
    <x v="1114"/>
    <x v="39"/>
    <x v="304"/>
    <x v="920"/>
    <x v="155"/>
    <x v="153"/>
    <x v="98"/>
    <x v="121"/>
    <x v="1"/>
  </r>
  <r>
    <x v="47"/>
    <x v="5"/>
    <x v="3"/>
    <x v="2019"/>
    <x v="1142"/>
    <x v="36"/>
    <x v="1321"/>
    <x v="2364"/>
    <x v="628"/>
    <x v="542"/>
    <x v="98"/>
    <x v="121"/>
    <x v="1"/>
  </r>
  <r>
    <x v="48"/>
    <x v="5"/>
    <x v="5"/>
    <x v="2084"/>
    <x v="1142"/>
    <x v="37"/>
    <x v="1369"/>
    <x v="2439"/>
    <x v="773"/>
    <x v="545"/>
    <x v="98"/>
    <x v="121"/>
    <x v="2"/>
  </r>
  <r>
    <x v="49"/>
    <x v="5"/>
    <x v="8"/>
    <x v="2168"/>
    <x v="1165"/>
    <x v="36"/>
    <x v="1698"/>
    <x v="2562"/>
    <x v="1016"/>
    <x v="669"/>
    <x v="98"/>
    <x v="121"/>
    <x v="3"/>
  </r>
  <r>
    <x v="50"/>
    <x v="5"/>
    <x v="11"/>
    <x v="2172"/>
    <x v="1168"/>
    <x v="36"/>
    <x v="1875"/>
    <x v="2717"/>
    <x v="1139"/>
    <x v="803"/>
    <x v="98"/>
    <x v="121"/>
    <x v="4"/>
  </r>
  <r>
    <x v="51"/>
    <x v="5"/>
    <x v="13"/>
    <x v="2193"/>
    <x v="1172"/>
    <x v="36"/>
    <x v="2023"/>
    <x v="2827"/>
    <x v="1286"/>
    <x v="944"/>
    <x v="98"/>
    <x v="121"/>
    <x v="5"/>
  </r>
  <r>
    <x v="52"/>
    <x v="5"/>
    <x v="17"/>
    <x v="2203"/>
    <x v="1177"/>
    <x v="36"/>
    <x v="2132"/>
    <x v="2930"/>
    <x v="1312"/>
    <x v="1089"/>
    <x v="98"/>
    <x v="121"/>
    <x v="6"/>
  </r>
  <r>
    <x v="53"/>
    <x v="5"/>
    <x v="22"/>
    <x v="2221"/>
    <x v="1178"/>
    <x v="30"/>
    <x v="1844"/>
    <x v="2771"/>
    <x v="635"/>
    <x v="756"/>
    <x v="98"/>
    <x v="121"/>
    <x v="7"/>
  </r>
  <r>
    <x v="54"/>
    <x v="5"/>
    <x v="27"/>
    <x v="2233"/>
    <x v="1178"/>
    <x v="28"/>
    <x v="2178"/>
    <x v="3057"/>
    <x v="1109"/>
    <x v="1120"/>
    <x v="98"/>
    <x v="121"/>
    <x v="8"/>
  </r>
  <r>
    <x v="55"/>
    <x v="5"/>
    <x v="29"/>
    <x v="2256"/>
    <x v="1191"/>
    <x v="27"/>
    <x v="2196"/>
    <x v="3122"/>
    <x v="1174"/>
    <x v="1126"/>
    <x v="98"/>
    <x v="121"/>
    <x v="9"/>
  </r>
  <r>
    <x v="56"/>
    <x v="6"/>
    <x v="1"/>
    <x v="1158"/>
    <x v="622"/>
    <x v="36"/>
    <x v="1891"/>
    <x v="2683"/>
    <x v="2331"/>
    <x v="2252"/>
    <x v="187"/>
    <x v="191"/>
    <x v="1"/>
  </r>
  <r>
    <x v="57"/>
    <x v="6"/>
    <x v="4"/>
    <x v="1165"/>
    <x v="623"/>
    <x v="43"/>
    <x v="1147"/>
    <x v="1955"/>
    <x v="1425"/>
    <x v="1131"/>
    <x v="187"/>
    <x v="191"/>
    <x v="2"/>
  </r>
  <r>
    <x v="58"/>
    <x v="6"/>
    <x v="6"/>
    <x v="1177"/>
    <x v="621"/>
    <x v="42"/>
    <x v="2006"/>
    <x v="2419"/>
    <x v="2350"/>
    <x v="2421"/>
    <x v="187"/>
    <x v="191"/>
    <x v="3"/>
  </r>
  <r>
    <x v="59"/>
    <x v="6"/>
    <x v="9"/>
    <x v="1185"/>
    <x v="621"/>
    <x v="43"/>
    <x v="2262"/>
    <x v="2935"/>
    <x v="2469"/>
    <x v="2787"/>
    <x v="187"/>
    <x v="191"/>
    <x v="4"/>
  </r>
  <r>
    <x v="60"/>
    <x v="6"/>
    <x v="12"/>
    <x v="1187"/>
    <x v="621"/>
    <x v="38"/>
    <x v="2271"/>
    <x v="2985"/>
    <x v="2385"/>
    <x v="2792"/>
    <x v="187"/>
    <x v="191"/>
    <x v="5"/>
  </r>
  <r>
    <x v="61"/>
    <x v="6"/>
    <x v="15"/>
    <x v="1222"/>
    <x v="649"/>
    <x v="38"/>
    <x v="2074"/>
    <x v="2859"/>
    <x v="2353"/>
    <x v="2468"/>
    <x v="187"/>
    <x v="191"/>
    <x v="6"/>
  </r>
  <r>
    <x v="62"/>
    <x v="6"/>
    <x v="20"/>
    <x v="1189"/>
    <x v="649"/>
    <x v="38"/>
    <x v="2338"/>
    <x v="2698"/>
    <x v="2866"/>
    <x v="2874"/>
    <x v="187"/>
    <x v="191"/>
    <x v="7"/>
  </r>
  <r>
    <x v="63"/>
    <x v="6"/>
    <x v="25"/>
    <x v="1191"/>
    <x v="649"/>
    <x v="37"/>
    <x v="2399"/>
    <x v="2822"/>
    <x v="2803"/>
    <x v="2944"/>
    <x v="187"/>
    <x v="191"/>
    <x v="8"/>
  </r>
  <r>
    <x v="64"/>
    <x v="6"/>
    <x v="28"/>
    <x v="1191"/>
    <x v="649"/>
    <x v="39"/>
    <x v="1838"/>
    <x v="2454"/>
    <x v="1953"/>
    <x v="2107"/>
    <x v="187"/>
    <x v="191"/>
    <x v="9"/>
  </r>
  <r>
    <x v="65"/>
    <x v="7"/>
    <x v="4"/>
    <x v="16"/>
    <x v="367"/>
    <x v="24"/>
    <x v="493"/>
    <x v="220"/>
    <x v="3183"/>
    <x v="1664"/>
    <x v="4"/>
    <x v="327"/>
    <x v="2"/>
  </r>
  <r>
    <x v="66"/>
    <x v="7"/>
    <x v="6"/>
    <x v="16"/>
    <x v="367"/>
    <x v="25"/>
    <x v="905"/>
    <x v="401"/>
    <x v="3437"/>
    <x v="2676"/>
    <x v="4"/>
    <x v="327"/>
    <x v="3"/>
  </r>
  <r>
    <x v="67"/>
    <x v="7"/>
    <x v="9"/>
    <x v="16"/>
    <x v="367"/>
    <x v="25"/>
    <x v="786"/>
    <x v="432"/>
    <x v="3415"/>
    <x v="2499"/>
    <x v="4"/>
    <x v="327"/>
    <x v="4"/>
  </r>
  <r>
    <x v="68"/>
    <x v="7"/>
    <x v="12"/>
    <x v="16"/>
    <x v="367"/>
    <x v="24"/>
    <x v="817"/>
    <x v="364"/>
    <x v="3394"/>
    <x v="2541"/>
    <x v="4"/>
    <x v="327"/>
    <x v="5"/>
  </r>
  <r>
    <x v="69"/>
    <x v="7"/>
    <x v="25"/>
    <x v="17"/>
    <x v="389"/>
    <x v="23"/>
    <x v="980"/>
    <x v="773"/>
    <x v="3464"/>
    <x v="2796"/>
    <x v="4"/>
    <x v="327"/>
    <x v="8"/>
  </r>
  <r>
    <x v="70"/>
    <x v="7"/>
    <x v="28"/>
    <x v="17"/>
    <x v="382"/>
    <x v="22"/>
    <x v="909"/>
    <x v="832"/>
    <x v="3438"/>
    <x v="2674"/>
    <x v="4"/>
    <x v="327"/>
    <x v="9"/>
  </r>
  <r>
    <x v="71"/>
    <x v="8"/>
    <x v="1"/>
    <x v="2327"/>
    <x v="1280"/>
    <x v="26"/>
    <x v="2987"/>
    <x v="1384"/>
    <x v="2065"/>
    <x v="2411"/>
    <x v="41"/>
    <x v="46"/>
    <x v="1"/>
  </r>
  <r>
    <x v="72"/>
    <x v="8"/>
    <x v="4"/>
    <x v="2357"/>
    <x v="1341"/>
    <x v="28"/>
    <x v="2771"/>
    <x v="1233"/>
    <x v="1517"/>
    <x v="1911"/>
    <x v="41"/>
    <x v="46"/>
    <x v="2"/>
  </r>
  <r>
    <x v="73"/>
    <x v="8"/>
    <x v="6"/>
    <x v="2372"/>
    <x v="1345"/>
    <x v="29"/>
    <x v="2731"/>
    <x v="1205"/>
    <x v="1434"/>
    <x v="1815"/>
    <x v="41"/>
    <x v="46"/>
    <x v="3"/>
  </r>
  <r>
    <x v="74"/>
    <x v="8"/>
    <x v="9"/>
    <x v="2358"/>
    <x v="1351"/>
    <x v="36"/>
    <x v="2662"/>
    <x v="1195"/>
    <x v="1338"/>
    <x v="1716"/>
    <x v="41"/>
    <x v="46"/>
    <x v="4"/>
  </r>
  <r>
    <x v="75"/>
    <x v="8"/>
    <x v="12"/>
    <x v="2385"/>
    <x v="1359"/>
    <x v="29"/>
    <x v="2905"/>
    <x v="1402"/>
    <x v="1618"/>
    <x v="2110"/>
    <x v="41"/>
    <x v="46"/>
    <x v="5"/>
  </r>
  <r>
    <x v="76"/>
    <x v="8"/>
    <x v="15"/>
    <x v="2392"/>
    <x v="1359"/>
    <x v="29"/>
    <x v="2772"/>
    <x v="1309"/>
    <x v="1379"/>
    <x v="1847"/>
    <x v="41"/>
    <x v="46"/>
    <x v="6"/>
  </r>
  <r>
    <x v="77"/>
    <x v="8"/>
    <x v="20"/>
    <x v="2398"/>
    <x v="1364"/>
    <x v="32"/>
    <x v="3206"/>
    <x v="2032"/>
    <x v="2386"/>
    <x v="2864"/>
    <x v="41"/>
    <x v="46"/>
    <x v="7"/>
  </r>
  <r>
    <x v="78"/>
    <x v="8"/>
    <x v="25"/>
    <x v="2401"/>
    <x v="1371"/>
    <x v="39"/>
    <x v="3314"/>
    <x v="2395"/>
    <x v="2900"/>
    <x v="3148"/>
    <x v="41"/>
    <x v="46"/>
    <x v="8"/>
  </r>
  <r>
    <x v="79"/>
    <x v="8"/>
    <x v="28"/>
    <x v="2408"/>
    <x v="1378"/>
    <x v="38"/>
    <x v="3262"/>
    <x v="2354"/>
    <x v="2621"/>
    <x v="2989"/>
    <x v="41"/>
    <x v="46"/>
    <x v="9"/>
  </r>
  <r>
    <x v="80"/>
    <x v="9"/>
    <x v="1"/>
    <x v="212"/>
    <x v="159"/>
    <x v="26"/>
    <x v="638"/>
    <x v="363"/>
    <x v="1596"/>
    <x v="1686"/>
    <x v="51"/>
    <x v="237"/>
    <x v="1"/>
  </r>
  <r>
    <x v="81"/>
    <x v="9"/>
    <x v="4"/>
    <x v="150"/>
    <x v="160"/>
    <x v="28"/>
    <x v="782"/>
    <x v="496"/>
    <x v="1829"/>
    <x v="2136"/>
    <x v="51"/>
    <x v="237"/>
    <x v="2"/>
  </r>
  <r>
    <x v="82"/>
    <x v="9"/>
    <x v="6"/>
    <x v="156"/>
    <x v="161"/>
    <x v="29"/>
    <x v="755"/>
    <x v="477"/>
    <x v="1710"/>
    <x v="2073"/>
    <x v="51"/>
    <x v="237"/>
    <x v="3"/>
  </r>
  <r>
    <x v="83"/>
    <x v="9"/>
    <x v="9"/>
    <x v="135"/>
    <x v="162"/>
    <x v="27"/>
    <x v="1377"/>
    <x v="882"/>
    <x v="2913"/>
    <x v="3043"/>
    <x v="51"/>
    <x v="237"/>
    <x v="4"/>
  </r>
  <r>
    <x v="84"/>
    <x v="9"/>
    <x v="12"/>
    <x v="168"/>
    <x v="158"/>
    <x v="29"/>
    <x v="914"/>
    <x v="543"/>
    <x v="1804"/>
    <x v="2353"/>
    <x v="51"/>
    <x v="237"/>
    <x v="5"/>
  </r>
  <r>
    <x v="85"/>
    <x v="9"/>
    <x v="15"/>
    <x v="173"/>
    <x v="158"/>
    <x v="29"/>
    <x v="1960"/>
    <x v="1009"/>
    <x v="3105"/>
    <x v="3368"/>
    <x v="51"/>
    <x v="237"/>
    <x v="6"/>
  </r>
  <r>
    <x v="86"/>
    <x v="9"/>
    <x v="20"/>
    <x v="176"/>
    <x v="154"/>
    <x v="30"/>
    <x v="248"/>
    <x v="170"/>
    <x v="540"/>
    <x v="557"/>
    <x v="51"/>
    <x v="237"/>
    <x v="7"/>
  </r>
  <r>
    <x v="87"/>
    <x v="9"/>
    <x v="25"/>
    <x v="174"/>
    <x v="155"/>
    <x v="37"/>
    <x v="1481"/>
    <x v="1163"/>
    <x v="2757"/>
    <x v="3100"/>
    <x v="51"/>
    <x v="237"/>
    <x v="8"/>
  </r>
  <r>
    <x v="88"/>
    <x v="9"/>
    <x v="28"/>
    <x v="189"/>
    <x v="166"/>
    <x v="37"/>
    <x v="1628"/>
    <x v="1102"/>
    <x v="2888"/>
    <x v="3173"/>
    <x v="51"/>
    <x v="237"/>
    <x v="9"/>
  </r>
  <r>
    <x v="89"/>
    <x v="10"/>
    <x v="4"/>
    <x v="752"/>
    <x v="810"/>
    <x v="56"/>
    <x v="2101"/>
    <x v="3482"/>
    <x v="2685"/>
    <x v="3058"/>
    <x v="332"/>
    <x v="238"/>
    <x v="2"/>
  </r>
  <r>
    <x v="90"/>
    <x v="10"/>
    <x v="6"/>
    <x v="727"/>
    <x v="579"/>
    <x v="32"/>
    <x v="2158"/>
    <x v="1237"/>
    <x v="2958"/>
    <x v="3143"/>
    <x v="332"/>
    <x v="238"/>
    <x v="3"/>
  </r>
  <r>
    <x v="91"/>
    <x v="10"/>
    <x v="9"/>
    <x v="724"/>
    <x v="579"/>
    <x v="32"/>
    <x v="2168"/>
    <x v="707"/>
    <x v="2987"/>
    <x v="3150"/>
    <x v="332"/>
    <x v="238"/>
    <x v="4"/>
  </r>
  <r>
    <x v="92"/>
    <x v="10"/>
    <x v="12"/>
    <x v="744"/>
    <x v="579"/>
    <x v="32"/>
    <x v="2346"/>
    <x v="1381"/>
    <x v="3038"/>
    <x v="3258"/>
    <x v="332"/>
    <x v="238"/>
    <x v="5"/>
  </r>
  <r>
    <x v="93"/>
    <x v="10"/>
    <x v="15"/>
    <x v="735"/>
    <x v="583"/>
    <x v="32"/>
    <x v="2265"/>
    <x v="1316"/>
    <x v="2978"/>
    <x v="3205"/>
    <x v="332"/>
    <x v="238"/>
    <x v="6"/>
  </r>
  <r>
    <x v="94"/>
    <x v="10"/>
    <x v="20"/>
    <x v="747"/>
    <x v="583"/>
    <x v="33"/>
    <x v="2384"/>
    <x v="679"/>
    <x v="2853"/>
    <x v="3280"/>
    <x v="332"/>
    <x v="238"/>
    <x v="7"/>
  </r>
  <r>
    <x v="95"/>
    <x v="10"/>
    <x v="25"/>
    <x v="729"/>
    <x v="583"/>
    <x v="30"/>
    <x v="2389"/>
    <x v="2411"/>
    <x v="2899"/>
    <x v="3293"/>
    <x v="332"/>
    <x v="238"/>
    <x v="8"/>
  </r>
  <r>
    <x v="96"/>
    <x v="10"/>
    <x v="28"/>
    <x v="736"/>
    <x v="583"/>
    <x v="35"/>
    <x v="2250"/>
    <x v="2295"/>
    <x v="2745"/>
    <x v="3193"/>
    <x v="332"/>
    <x v="238"/>
    <x v="9"/>
  </r>
  <r>
    <x v="97"/>
    <x v="11"/>
    <x v="1"/>
    <x v="985"/>
    <x v="717"/>
    <x v="18"/>
    <x v="1503"/>
    <x v="272"/>
    <x v="1902"/>
    <x v="1942"/>
    <x v="249"/>
    <x v="245"/>
    <x v="1"/>
  </r>
  <r>
    <x v="98"/>
    <x v="11"/>
    <x v="4"/>
    <x v="990"/>
    <x v="717"/>
    <x v="24"/>
    <x v="897"/>
    <x v="156"/>
    <x v="616"/>
    <x v="978"/>
    <x v="249"/>
    <x v="245"/>
    <x v="2"/>
  </r>
  <r>
    <x v="99"/>
    <x v="11"/>
    <x v="6"/>
    <x v="1193"/>
    <x v="716"/>
    <x v="17"/>
    <x v="2052"/>
    <x v="650"/>
    <x v="3396"/>
    <x v="2479"/>
    <x v="249"/>
    <x v="245"/>
    <x v="3"/>
  </r>
  <r>
    <x v="100"/>
    <x v="11"/>
    <x v="9"/>
    <x v="1195"/>
    <x v="705"/>
    <x v="3"/>
    <x v="3260"/>
    <x v="1962"/>
    <x v="3508"/>
    <x v="3479"/>
    <x v="249"/>
    <x v="245"/>
    <x v="4"/>
  </r>
  <r>
    <x v="101"/>
    <x v="11"/>
    <x v="12"/>
    <x v="1247"/>
    <x v="707"/>
    <x v="2"/>
    <x v="3128"/>
    <x v="1617"/>
    <x v="3509"/>
    <x v="3444"/>
    <x v="249"/>
    <x v="245"/>
    <x v="5"/>
  </r>
  <r>
    <x v="102"/>
    <x v="11"/>
    <x v="15"/>
    <x v="1288"/>
    <x v="708"/>
    <x v="4"/>
    <x v="2842"/>
    <x v="2350"/>
    <x v="3506"/>
    <x v="3235"/>
    <x v="249"/>
    <x v="245"/>
    <x v="6"/>
  </r>
  <r>
    <x v="103"/>
    <x v="11"/>
    <x v="20"/>
    <x v="1347"/>
    <x v="707"/>
    <x v="13"/>
    <x v="3280"/>
    <x v="2850"/>
    <x v="3504"/>
    <x v="3470"/>
    <x v="249"/>
    <x v="245"/>
    <x v="7"/>
  </r>
  <r>
    <x v="104"/>
    <x v="11"/>
    <x v="25"/>
    <x v="1368"/>
    <x v="707"/>
    <x v="10"/>
    <x v="3010"/>
    <x v="2696"/>
    <x v="3476"/>
    <x v="3333"/>
    <x v="249"/>
    <x v="245"/>
    <x v="8"/>
  </r>
  <r>
    <x v="105"/>
    <x v="11"/>
    <x v="28"/>
    <x v="1400"/>
    <x v="716"/>
    <x v="13"/>
    <x v="3016"/>
    <x v="2685"/>
    <x v="3471"/>
    <x v="3318"/>
    <x v="249"/>
    <x v="245"/>
    <x v="9"/>
  </r>
  <r>
    <x v="106"/>
    <x v="12"/>
    <x v="12"/>
    <x v="22"/>
    <x v="127"/>
    <x v="36"/>
    <x v="278"/>
    <x v="55"/>
    <x v="353"/>
    <x v="800"/>
    <x v="348"/>
    <x v="86"/>
    <x v="5"/>
  </r>
  <r>
    <x v="107"/>
    <x v="12"/>
    <x v="15"/>
    <x v="27"/>
    <x v="127"/>
    <x v="36"/>
    <x v="512"/>
    <x v="90"/>
    <x v="819"/>
    <x v="1710"/>
    <x v="348"/>
    <x v="86"/>
    <x v="6"/>
  </r>
  <r>
    <x v="108"/>
    <x v="12"/>
    <x v="20"/>
    <x v="28"/>
    <x v="127"/>
    <x v="22"/>
    <x v="226"/>
    <x v="66"/>
    <x v="317"/>
    <x v="621"/>
    <x v="348"/>
    <x v="86"/>
    <x v="7"/>
  </r>
  <r>
    <x v="109"/>
    <x v="12"/>
    <x v="25"/>
    <x v="33"/>
    <x v="127"/>
    <x v="24"/>
    <x v="293"/>
    <x v="105"/>
    <x v="435"/>
    <x v="852"/>
    <x v="348"/>
    <x v="86"/>
    <x v="8"/>
  </r>
  <r>
    <x v="110"/>
    <x v="12"/>
    <x v="28"/>
    <x v="46"/>
    <x v="127"/>
    <x v="31"/>
    <x v="408"/>
    <x v="161"/>
    <x v="667"/>
    <x v="1306"/>
    <x v="348"/>
    <x v="86"/>
    <x v="9"/>
  </r>
  <r>
    <x v="111"/>
    <x v="13"/>
    <x v="1"/>
    <x v="400"/>
    <x v="188"/>
    <x v="18"/>
    <x v="739"/>
    <x v="955"/>
    <x v="3286"/>
    <x v="1606"/>
    <x v="90"/>
    <x v="199"/>
    <x v="1"/>
  </r>
  <r>
    <x v="112"/>
    <x v="13"/>
    <x v="4"/>
    <x v="401"/>
    <x v="186"/>
    <x v="20"/>
    <x v="793"/>
    <x v="996"/>
    <x v="3293"/>
    <x v="1730"/>
    <x v="90"/>
    <x v="199"/>
    <x v="2"/>
  </r>
  <r>
    <x v="113"/>
    <x v="13"/>
    <x v="6"/>
    <x v="402"/>
    <x v="186"/>
    <x v="20"/>
    <x v="659"/>
    <x v="844"/>
    <x v="3315"/>
    <x v="1429"/>
    <x v="90"/>
    <x v="199"/>
    <x v="3"/>
  </r>
  <r>
    <x v="114"/>
    <x v="13"/>
    <x v="9"/>
    <x v="406"/>
    <x v="186"/>
    <x v="20"/>
    <x v="601"/>
    <x v="891"/>
    <x v="3453"/>
    <x v="1251"/>
    <x v="90"/>
    <x v="199"/>
    <x v="4"/>
  </r>
  <r>
    <x v="115"/>
    <x v="13"/>
    <x v="12"/>
    <x v="407"/>
    <x v="186"/>
    <x v="20"/>
    <x v="502"/>
    <x v="901"/>
    <x v="3249"/>
    <x v="990"/>
    <x v="90"/>
    <x v="199"/>
    <x v="5"/>
  </r>
  <r>
    <x v="116"/>
    <x v="13"/>
    <x v="15"/>
    <x v="410"/>
    <x v="186"/>
    <x v="20"/>
    <x v="698"/>
    <x v="1157"/>
    <x v="3243"/>
    <x v="1522"/>
    <x v="90"/>
    <x v="199"/>
    <x v="6"/>
  </r>
  <r>
    <x v="117"/>
    <x v="13"/>
    <x v="20"/>
    <x v="413"/>
    <x v="186"/>
    <x v="21"/>
    <x v="648"/>
    <x v="1321"/>
    <x v="3295"/>
    <x v="1395"/>
    <x v="90"/>
    <x v="199"/>
    <x v="7"/>
  </r>
  <r>
    <x v="118"/>
    <x v="13"/>
    <x v="25"/>
    <x v="409"/>
    <x v="186"/>
    <x v="21"/>
    <x v="806"/>
    <x v="1410"/>
    <x v="3414"/>
    <x v="1742"/>
    <x v="90"/>
    <x v="199"/>
    <x v="8"/>
  </r>
  <r>
    <x v="119"/>
    <x v="13"/>
    <x v="28"/>
    <x v="409"/>
    <x v="193"/>
    <x v="23"/>
    <x v="690"/>
    <x v="1322"/>
    <x v="3425"/>
    <x v="1508"/>
    <x v="90"/>
    <x v="199"/>
    <x v="9"/>
  </r>
  <r>
    <x v="120"/>
    <x v="14"/>
    <x v="3"/>
    <x v="143"/>
    <x v="405"/>
    <x v="19"/>
    <x v="2192"/>
    <x v="1849"/>
    <x v="3472"/>
    <x v="3450"/>
    <x v="32"/>
    <x v="282"/>
    <x v="1"/>
  </r>
  <r>
    <x v="121"/>
    <x v="14"/>
    <x v="5"/>
    <x v="149"/>
    <x v="421"/>
    <x v="27"/>
    <x v="2508"/>
    <x v="1226"/>
    <x v="3487"/>
    <x v="3480"/>
    <x v="32"/>
    <x v="282"/>
    <x v="2"/>
  </r>
  <r>
    <x v="122"/>
    <x v="14"/>
    <x v="8"/>
    <x v="152"/>
    <x v="421"/>
    <x v="27"/>
    <x v="2687"/>
    <x v="1294"/>
    <x v="3496"/>
    <x v="3492"/>
    <x v="32"/>
    <x v="282"/>
    <x v="3"/>
  </r>
  <r>
    <x v="123"/>
    <x v="14"/>
    <x v="11"/>
    <x v="179"/>
    <x v="423"/>
    <x v="31"/>
    <x v="2272"/>
    <x v="2172"/>
    <x v="3470"/>
    <x v="3456"/>
    <x v="32"/>
    <x v="282"/>
    <x v="4"/>
  </r>
  <r>
    <x v="124"/>
    <x v="14"/>
    <x v="13"/>
    <x v="276"/>
    <x v="424"/>
    <x v="30"/>
    <x v="2811"/>
    <x v="1622"/>
    <x v="3499"/>
    <x v="3494"/>
    <x v="32"/>
    <x v="282"/>
    <x v="5"/>
  </r>
  <r>
    <x v="125"/>
    <x v="14"/>
    <x v="17"/>
    <x v="188"/>
    <x v="424"/>
    <x v="35"/>
    <x v="2309"/>
    <x v="1400"/>
    <x v="3473"/>
    <x v="3458"/>
    <x v="32"/>
    <x v="282"/>
    <x v="6"/>
  </r>
  <r>
    <x v="126"/>
    <x v="14"/>
    <x v="22"/>
    <x v="178"/>
    <x v="431"/>
    <x v="30"/>
    <x v="981"/>
    <x v="596"/>
    <x v="2373"/>
    <x v="2488"/>
    <x v="32"/>
    <x v="282"/>
    <x v="7"/>
  </r>
  <r>
    <x v="127"/>
    <x v="14"/>
    <x v="27"/>
    <x v="184"/>
    <x v="430"/>
    <x v="30"/>
    <x v="1850"/>
    <x v="1379"/>
    <x v="3284"/>
    <x v="3323"/>
    <x v="32"/>
    <x v="282"/>
    <x v="8"/>
  </r>
  <r>
    <x v="128"/>
    <x v="14"/>
    <x v="29"/>
    <x v="181"/>
    <x v="424"/>
    <x v="29"/>
    <x v="2077"/>
    <x v="1444"/>
    <x v="3410"/>
    <x v="3408"/>
    <x v="32"/>
    <x v="282"/>
    <x v="9"/>
  </r>
  <r>
    <x v="129"/>
    <x v="15"/>
    <x v="3"/>
    <x v="603"/>
    <x v="598"/>
    <x v="22"/>
    <x v="2460"/>
    <x v="2078"/>
    <x v="3500"/>
    <x v="3391"/>
    <x v="32"/>
    <x v="282"/>
    <x v="1"/>
  </r>
  <r>
    <x v="130"/>
    <x v="15"/>
    <x v="5"/>
    <x v="573"/>
    <x v="609"/>
    <x v="26"/>
    <x v="2307"/>
    <x v="1308"/>
    <x v="3495"/>
    <x v="3343"/>
    <x v="32"/>
    <x v="282"/>
    <x v="2"/>
  </r>
  <r>
    <x v="131"/>
    <x v="15"/>
    <x v="8"/>
    <x v="575"/>
    <x v="609"/>
    <x v="26"/>
    <x v="2144"/>
    <x v="1135"/>
    <x v="3489"/>
    <x v="3233"/>
    <x v="32"/>
    <x v="282"/>
    <x v="3"/>
  </r>
  <r>
    <x v="132"/>
    <x v="15"/>
    <x v="11"/>
    <x v="596"/>
    <x v="610"/>
    <x v="29"/>
    <x v="1270"/>
    <x v="1430"/>
    <x v="3352"/>
    <x v="2228"/>
    <x v="32"/>
    <x v="282"/>
    <x v="4"/>
  </r>
  <r>
    <x v="133"/>
    <x v="15"/>
    <x v="13"/>
    <x v="563"/>
    <x v="611"/>
    <x v="29"/>
    <x v="2397"/>
    <x v="1300"/>
    <x v="3505"/>
    <x v="3385"/>
    <x v="32"/>
    <x v="282"/>
    <x v="5"/>
  </r>
  <r>
    <x v="134"/>
    <x v="15"/>
    <x v="17"/>
    <x v="609"/>
    <x v="611"/>
    <x v="36"/>
    <x v="995"/>
    <x v="637"/>
    <x v="3283"/>
    <x v="1691"/>
    <x v="32"/>
    <x v="282"/>
    <x v="6"/>
  </r>
  <r>
    <x v="135"/>
    <x v="15"/>
    <x v="22"/>
    <x v="594"/>
    <x v="617"/>
    <x v="27"/>
    <x v="1711"/>
    <x v="1015"/>
    <x v="3448"/>
    <x v="2812"/>
    <x v="32"/>
    <x v="282"/>
    <x v="7"/>
  </r>
  <r>
    <x v="136"/>
    <x v="15"/>
    <x v="27"/>
    <x v="599"/>
    <x v="618"/>
    <x v="28"/>
    <x v="1809"/>
    <x v="1996"/>
    <x v="3450"/>
    <x v="2925"/>
    <x v="32"/>
    <x v="282"/>
    <x v="8"/>
  </r>
  <r>
    <x v="137"/>
    <x v="15"/>
    <x v="29"/>
    <x v="595"/>
    <x v="611"/>
    <x v="29"/>
    <x v="1959"/>
    <x v="1972"/>
    <x v="3474"/>
    <x v="3080"/>
    <x v="32"/>
    <x v="282"/>
    <x v="9"/>
  </r>
  <r>
    <x v="138"/>
    <x v="16"/>
    <x v="13"/>
    <x v="20"/>
    <x v="111"/>
    <x v="30"/>
    <x v="2256"/>
    <x v="1040"/>
    <x v="3486"/>
    <x v="3472"/>
    <x v="32"/>
    <x v="282"/>
    <x v="5"/>
  </r>
  <r>
    <x v="139"/>
    <x v="17"/>
    <x v="0"/>
    <x v="2421"/>
    <x v="1176"/>
    <x v="20"/>
    <x v="116"/>
    <x v="300"/>
    <x v="2651"/>
    <x v="58"/>
    <x v="8"/>
    <x v="6"/>
    <x v="0"/>
  </r>
  <r>
    <x v="140"/>
    <x v="17"/>
    <x v="3"/>
    <x v="2432"/>
    <x v="1259"/>
    <x v="25"/>
    <x v="2844"/>
    <x v="3233"/>
    <x v="3117"/>
    <x v="1888"/>
    <x v="8"/>
    <x v="6"/>
    <x v="1"/>
  </r>
  <r>
    <x v="141"/>
    <x v="17"/>
    <x v="5"/>
    <x v="2435"/>
    <x v="1241"/>
    <x v="26"/>
    <x v="1706"/>
    <x v="2205"/>
    <x v="2807"/>
    <x v="530"/>
    <x v="8"/>
    <x v="6"/>
    <x v="2"/>
  </r>
  <r>
    <x v="142"/>
    <x v="17"/>
    <x v="8"/>
    <x v="2436"/>
    <x v="1237"/>
    <x v="26"/>
    <x v="323"/>
    <x v="732"/>
    <x v="2598"/>
    <x v="119"/>
    <x v="8"/>
    <x v="6"/>
    <x v="3"/>
  </r>
  <r>
    <x v="143"/>
    <x v="17"/>
    <x v="11"/>
    <x v="2439"/>
    <x v="1306"/>
    <x v="26"/>
    <x v="563"/>
    <x v="962"/>
    <x v="2648"/>
    <x v="183"/>
    <x v="8"/>
    <x v="6"/>
    <x v="4"/>
  </r>
  <r>
    <x v="144"/>
    <x v="17"/>
    <x v="13"/>
    <x v="2446"/>
    <x v="1296"/>
    <x v="26"/>
    <x v="1049"/>
    <x v="1752"/>
    <x v="2748"/>
    <x v="297"/>
    <x v="8"/>
    <x v="6"/>
    <x v="5"/>
  </r>
  <r>
    <x v="145"/>
    <x v="17"/>
    <x v="17"/>
    <x v="2459"/>
    <x v="1320"/>
    <x v="27"/>
    <x v="2641"/>
    <x v="2900"/>
    <x v="3040"/>
    <x v="1455"/>
    <x v="8"/>
    <x v="6"/>
    <x v="6"/>
  </r>
  <r>
    <x v="146"/>
    <x v="17"/>
    <x v="22"/>
    <x v="2466"/>
    <x v="1319"/>
    <x v="17"/>
    <x v="1055"/>
    <x v="1668"/>
    <x v="2742"/>
    <x v="288"/>
    <x v="8"/>
    <x v="6"/>
    <x v="7"/>
  </r>
  <r>
    <x v="147"/>
    <x v="17"/>
    <x v="27"/>
    <x v="2485"/>
    <x v="1321"/>
    <x v="12"/>
    <x v="2639"/>
    <x v="3013"/>
    <x v="3325"/>
    <x v="1407"/>
    <x v="8"/>
    <x v="6"/>
    <x v="8"/>
  </r>
  <r>
    <x v="148"/>
    <x v="17"/>
    <x v="29"/>
    <x v="2489"/>
    <x v="1266"/>
    <x v="33"/>
    <x v="3031"/>
    <x v="1462"/>
    <x v="3192"/>
    <x v="2174"/>
    <x v="8"/>
    <x v="6"/>
    <x v="9"/>
  </r>
  <r>
    <x v="149"/>
    <x v="18"/>
    <x v="1"/>
    <x v="454"/>
    <x v="87"/>
    <x v="39"/>
    <x v="925"/>
    <x v="1755"/>
    <x v="2636"/>
    <x v="1869"/>
    <x v="130"/>
    <x v="258"/>
    <x v="1"/>
  </r>
  <r>
    <x v="150"/>
    <x v="18"/>
    <x v="4"/>
    <x v="468"/>
    <x v="98"/>
    <x v="40"/>
    <x v="840"/>
    <x v="1785"/>
    <x v="2130"/>
    <x v="1685"/>
    <x v="130"/>
    <x v="258"/>
    <x v="2"/>
  </r>
  <r>
    <x v="151"/>
    <x v="18"/>
    <x v="6"/>
    <x v="477"/>
    <x v="100"/>
    <x v="40"/>
    <x v="843"/>
    <x v="1747"/>
    <x v="2224"/>
    <x v="1687"/>
    <x v="130"/>
    <x v="258"/>
    <x v="3"/>
  </r>
  <r>
    <x v="152"/>
    <x v="18"/>
    <x v="9"/>
    <x v="477"/>
    <x v="97"/>
    <x v="39"/>
    <x v="761"/>
    <x v="1695"/>
    <x v="2253"/>
    <x v="1548"/>
    <x v="130"/>
    <x v="258"/>
    <x v="4"/>
  </r>
  <r>
    <x v="153"/>
    <x v="18"/>
    <x v="12"/>
    <x v="480"/>
    <x v="89"/>
    <x v="36"/>
    <x v="681"/>
    <x v="1623"/>
    <x v="1976"/>
    <x v="1373"/>
    <x v="130"/>
    <x v="258"/>
    <x v="5"/>
  </r>
  <r>
    <x v="154"/>
    <x v="18"/>
    <x v="15"/>
    <x v="480"/>
    <x v="88"/>
    <x v="38"/>
    <x v="832"/>
    <x v="1766"/>
    <x v="2291"/>
    <x v="1665"/>
    <x v="130"/>
    <x v="258"/>
    <x v="6"/>
  </r>
  <r>
    <x v="155"/>
    <x v="18"/>
    <x v="20"/>
    <x v="482"/>
    <x v="90"/>
    <x v="38"/>
    <x v="625"/>
    <x v="1670"/>
    <x v="1637"/>
    <x v="1227"/>
    <x v="130"/>
    <x v="258"/>
    <x v="7"/>
  </r>
  <r>
    <x v="156"/>
    <x v="18"/>
    <x v="25"/>
    <x v="484"/>
    <x v="91"/>
    <x v="38"/>
    <x v="485"/>
    <x v="1554"/>
    <x v="1219"/>
    <x v="894"/>
    <x v="130"/>
    <x v="258"/>
    <x v="8"/>
  </r>
  <r>
    <x v="157"/>
    <x v="18"/>
    <x v="28"/>
    <x v="485"/>
    <x v="118"/>
    <x v="38"/>
    <x v="326"/>
    <x v="1273"/>
    <x v="707"/>
    <x v="562"/>
    <x v="130"/>
    <x v="258"/>
    <x v="9"/>
  </r>
  <r>
    <x v="158"/>
    <x v="19"/>
    <x v="1"/>
    <x v="2810"/>
    <x v="1697"/>
    <x v="29"/>
    <x v="3226"/>
    <x v="2510"/>
    <x v="2292"/>
    <x v="1845"/>
    <x v="80"/>
    <x v="105"/>
    <x v="1"/>
  </r>
  <r>
    <x v="159"/>
    <x v="19"/>
    <x v="4"/>
    <x v="2814"/>
    <x v="1698"/>
    <x v="32"/>
    <x v="3220"/>
    <x v="2370"/>
    <x v="2079"/>
    <x v="1782"/>
    <x v="80"/>
    <x v="105"/>
    <x v="2"/>
  </r>
  <r>
    <x v="160"/>
    <x v="19"/>
    <x v="6"/>
    <x v="2816"/>
    <x v="1698"/>
    <x v="32"/>
    <x v="3245"/>
    <x v="2425"/>
    <x v="2111"/>
    <x v="1885"/>
    <x v="80"/>
    <x v="105"/>
    <x v="3"/>
  </r>
  <r>
    <x v="161"/>
    <x v="19"/>
    <x v="9"/>
    <x v="2815"/>
    <x v="1698"/>
    <x v="33"/>
    <x v="3291"/>
    <x v="2538"/>
    <x v="2312"/>
    <x v="2071"/>
    <x v="80"/>
    <x v="105"/>
    <x v="4"/>
  </r>
  <r>
    <x v="162"/>
    <x v="19"/>
    <x v="12"/>
    <x v="2817"/>
    <x v="1687"/>
    <x v="33"/>
    <x v="3329"/>
    <x v="2620"/>
    <x v="2439"/>
    <x v="2317"/>
    <x v="80"/>
    <x v="105"/>
    <x v="5"/>
  </r>
  <r>
    <x v="163"/>
    <x v="19"/>
    <x v="15"/>
    <x v="2819"/>
    <x v="1688"/>
    <x v="33"/>
    <x v="3229"/>
    <x v="2576"/>
    <x v="2122"/>
    <x v="1804"/>
    <x v="80"/>
    <x v="105"/>
    <x v="6"/>
  </r>
  <r>
    <x v="164"/>
    <x v="19"/>
    <x v="20"/>
    <x v="2818"/>
    <x v="1690"/>
    <x v="25"/>
    <x v="3272"/>
    <x v="2713"/>
    <x v="2311"/>
    <x v="2000"/>
    <x v="80"/>
    <x v="105"/>
    <x v="7"/>
  </r>
  <r>
    <x v="165"/>
    <x v="19"/>
    <x v="25"/>
    <x v="2813"/>
    <x v="1693"/>
    <x v="21"/>
    <x v="3327"/>
    <x v="2947"/>
    <x v="2659"/>
    <x v="2323"/>
    <x v="80"/>
    <x v="105"/>
    <x v="8"/>
  </r>
  <r>
    <x v="166"/>
    <x v="19"/>
    <x v="28"/>
    <x v="2812"/>
    <x v="1695"/>
    <x v="25"/>
    <x v="3401"/>
    <x v="3136"/>
    <x v="2976"/>
    <x v="2842"/>
    <x v="80"/>
    <x v="105"/>
    <x v="9"/>
  </r>
  <r>
    <x v="167"/>
    <x v="20"/>
    <x v="1"/>
    <x v="1999"/>
    <x v="1092"/>
    <x v="21"/>
    <x v="2620"/>
    <x v="3010"/>
    <x v="2644"/>
    <x v="2139"/>
    <x v="28"/>
    <x v="34"/>
    <x v="1"/>
  </r>
  <r>
    <x v="168"/>
    <x v="20"/>
    <x v="4"/>
    <x v="2030"/>
    <x v="1170"/>
    <x v="25"/>
    <x v="2784"/>
    <x v="3088"/>
    <x v="2633"/>
    <x v="2388"/>
    <x v="28"/>
    <x v="34"/>
    <x v="2"/>
  </r>
  <r>
    <x v="169"/>
    <x v="20"/>
    <x v="6"/>
    <x v="2188"/>
    <x v="1181"/>
    <x v="25"/>
    <x v="2671"/>
    <x v="3035"/>
    <x v="2425"/>
    <x v="1963"/>
    <x v="28"/>
    <x v="34"/>
    <x v="3"/>
  </r>
  <r>
    <x v="170"/>
    <x v="20"/>
    <x v="9"/>
    <x v="2200"/>
    <x v="1191"/>
    <x v="24"/>
    <x v="2697"/>
    <x v="3046"/>
    <x v="2424"/>
    <x v="1982"/>
    <x v="28"/>
    <x v="34"/>
    <x v="4"/>
  </r>
  <r>
    <x v="171"/>
    <x v="20"/>
    <x v="12"/>
    <x v="2266"/>
    <x v="1191"/>
    <x v="25"/>
    <x v="2647"/>
    <x v="1572"/>
    <x v="2157"/>
    <x v="1840"/>
    <x v="28"/>
    <x v="34"/>
    <x v="5"/>
  </r>
  <r>
    <x v="172"/>
    <x v="20"/>
    <x v="15"/>
    <x v="2232"/>
    <x v="1204"/>
    <x v="23"/>
    <x v="3083"/>
    <x v="3168"/>
    <x v="2926"/>
    <x v="2719"/>
    <x v="28"/>
    <x v="34"/>
    <x v="6"/>
  </r>
  <r>
    <x v="173"/>
    <x v="20"/>
    <x v="20"/>
    <x v="2354"/>
    <x v="1208"/>
    <x v="35"/>
    <x v="2994"/>
    <x v="3187"/>
    <x v="2808"/>
    <x v="2391"/>
    <x v="28"/>
    <x v="34"/>
    <x v="7"/>
  </r>
  <r>
    <x v="174"/>
    <x v="20"/>
    <x v="25"/>
    <x v="2335"/>
    <x v="1212"/>
    <x v="38"/>
    <x v="2978"/>
    <x v="3059"/>
    <x v="2846"/>
    <x v="2361"/>
    <x v="28"/>
    <x v="34"/>
    <x v="8"/>
  </r>
  <r>
    <x v="175"/>
    <x v="20"/>
    <x v="28"/>
    <x v="2445"/>
    <x v="1217"/>
    <x v="37"/>
    <x v="2965"/>
    <x v="3361"/>
    <x v="2789"/>
    <x v="2082"/>
    <x v="28"/>
    <x v="34"/>
    <x v="9"/>
  </r>
  <r>
    <x v="176"/>
    <x v="21"/>
    <x v="1"/>
    <x v="1139"/>
    <x v="332"/>
    <x v="19"/>
    <x v="1434"/>
    <x v="911"/>
    <x v="2534"/>
    <x v="1569"/>
    <x v="205"/>
    <x v="79"/>
    <x v="1"/>
  </r>
  <r>
    <x v="177"/>
    <x v="21"/>
    <x v="4"/>
    <x v="1157"/>
    <x v="638"/>
    <x v="24"/>
    <x v="2594"/>
    <x v="1562"/>
    <x v="3228"/>
    <x v="3155"/>
    <x v="205"/>
    <x v="79"/>
    <x v="2"/>
  </r>
  <r>
    <x v="178"/>
    <x v="21"/>
    <x v="6"/>
    <x v="1155"/>
    <x v="628"/>
    <x v="25"/>
    <x v="2887"/>
    <x v="1832"/>
    <x v="3363"/>
    <x v="3347"/>
    <x v="205"/>
    <x v="79"/>
    <x v="3"/>
  </r>
  <r>
    <x v="179"/>
    <x v="21"/>
    <x v="9"/>
    <x v="1159"/>
    <x v="555"/>
    <x v="32"/>
    <x v="2974"/>
    <x v="1885"/>
    <x v="3456"/>
    <x v="3384"/>
    <x v="205"/>
    <x v="79"/>
    <x v="4"/>
  </r>
  <r>
    <x v="180"/>
    <x v="21"/>
    <x v="12"/>
    <x v="1163"/>
    <x v="538"/>
    <x v="13"/>
    <x v="2605"/>
    <x v="1667"/>
    <x v="3232"/>
    <x v="3157"/>
    <x v="205"/>
    <x v="79"/>
    <x v="5"/>
  </r>
  <r>
    <x v="181"/>
    <x v="21"/>
    <x v="15"/>
    <x v="1161"/>
    <x v="539"/>
    <x v="13"/>
    <x v="2459"/>
    <x v="1600"/>
    <x v="3131"/>
    <x v="3046"/>
    <x v="205"/>
    <x v="79"/>
    <x v="6"/>
  </r>
  <r>
    <x v="182"/>
    <x v="21"/>
    <x v="20"/>
    <x v="1209"/>
    <x v="541"/>
    <x v="30"/>
    <x v="2740"/>
    <x v="1918"/>
    <x v="3303"/>
    <x v="3215"/>
    <x v="205"/>
    <x v="79"/>
    <x v="7"/>
  </r>
  <r>
    <x v="183"/>
    <x v="21"/>
    <x v="25"/>
    <x v="1173"/>
    <x v="546"/>
    <x v="29"/>
    <x v="2495"/>
    <x v="2959"/>
    <x v="3359"/>
    <x v="3074"/>
    <x v="205"/>
    <x v="79"/>
    <x v="8"/>
  </r>
  <r>
    <x v="184"/>
    <x v="21"/>
    <x v="28"/>
    <x v="1175"/>
    <x v="547"/>
    <x v="29"/>
    <x v="2788"/>
    <x v="3102"/>
    <x v="3419"/>
    <x v="3263"/>
    <x v="205"/>
    <x v="79"/>
    <x v="9"/>
  </r>
  <r>
    <x v="185"/>
    <x v="22"/>
    <x v="1"/>
    <x v="1343"/>
    <x v="730"/>
    <x v="23"/>
    <x v="201"/>
    <x v="371"/>
    <x v="136"/>
    <x v="166"/>
    <x v="93"/>
    <x v="231"/>
    <x v="1"/>
  </r>
  <r>
    <x v="186"/>
    <x v="22"/>
    <x v="4"/>
    <x v="1290"/>
    <x v="803"/>
    <x v="30"/>
    <x v="1726"/>
    <x v="1895"/>
    <x v="1746"/>
    <x v="1785"/>
    <x v="93"/>
    <x v="231"/>
    <x v="2"/>
  </r>
  <r>
    <x v="187"/>
    <x v="22"/>
    <x v="6"/>
    <x v="1360"/>
    <x v="803"/>
    <x v="36"/>
    <x v="1581"/>
    <x v="1858"/>
    <x v="1341"/>
    <x v="1447"/>
    <x v="93"/>
    <x v="231"/>
    <x v="3"/>
  </r>
  <r>
    <x v="188"/>
    <x v="22"/>
    <x v="9"/>
    <x v="1374"/>
    <x v="810"/>
    <x v="48"/>
    <x v="1445"/>
    <x v="1780"/>
    <x v="1324"/>
    <x v="1261"/>
    <x v="93"/>
    <x v="231"/>
    <x v="4"/>
  </r>
  <r>
    <x v="189"/>
    <x v="22"/>
    <x v="12"/>
    <x v="1387"/>
    <x v="736"/>
    <x v="44"/>
    <x v="2154"/>
    <x v="2640"/>
    <x v="2139"/>
    <x v="2350"/>
    <x v="93"/>
    <x v="231"/>
    <x v="5"/>
  </r>
  <r>
    <x v="190"/>
    <x v="22"/>
    <x v="15"/>
    <x v="1427"/>
    <x v="778"/>
    <x v="42"/>
    <x v="1735"/>
    <x v="2319"/>
    <x v="1451"/>
    <x v="1530"/>
    <x v="93"/>
    <x v="231"/>
    <x v="6"/>
  </r>
  <r>
    <x v="191"/>
    <x v="22"/>
    <x v="20"/>
    <x v="1471"/>
    <x v="778"/>
    <x v="33"/>
    <x v="1802"/>
    <x v="2484"/>
    <x v="1720"/>
    <x v="1591"/>
    <x v="93"/>
    <x v="231"/>
    <x v="7"/>
  </r>
  <r>
    <x v="192"/>
    <x v="22"/>
    <x v="25"/>
    <x v="1497"/>
    <x v="778"/>
    <x v="46"/>
    <x v="483"/>
    <x v="1434"/>
    <x v="2050"/>
    <x v="325"/>
    <x v="93"/>
    <x v="231"/>
    <x v="8"/>
  </r>
  <r>
    <x v="193"/>
    <x v="22"/>
    <x v="28"/>
    <x v="1507"/>
    <x v="802"/>
    <x v="44"/>
    <x v="667"/>
    <x v="1682"/>
    <x v="1996"/>
    <x v="441"/>
    <x v="93"/>
    <x v="231"/>
    <x v="9"/>
  </r>
  <r>
    <x v="194"/>
    <x v="23"/>
    <x v="3"/>
    <x v="1810"/>
    <x v="974"/>
    <x v="26"/>
    <x v="2118"/>
    <x v="2254"/>
    <x v="1677"/>
    <x v="1558"/>
    <x v="258"/>
    <x v="88"/>
    <x v="1"/>
  </r>
  <r>
    <x v="195"/>
    <x v="23"/>
    <x v="5"/>
    <x v="1811"/>
    <x v="975"/>
    <x v="25"/>
    <x v="2198"/>
    <x v="2496"/>
    <x v="1749"/>
    <x v="1711"/>
    <x v="258"/>
    <x v="88"/>
    <x v="2"/>
  </r>
  <r>
    <x v="196"/>
    <x v="23"/>
    <x v="8"/>
    <x v="1814"/>
    <x v="987"/>
    <x v="33"/>
    <x v="2437"/>
    <x v="2755"/>
    <x v="2141"/>
    <x v="2123"/>
    <x v="258"/>
    <x v="88"/>
    <x v="3"/>
  </r>
  <r>
    <x v="197"/>
    <x v="23"/>
    <x v="11"/>
    <x v="1821"/>
    <x v="991"/>
    <x v="39"/>
    <x v="2720"/>
    <x v="2928"/>
    <x v="2500"/>
    <x v="2563"/>
    <x v="258"/>
    <x v="88"/>
    <x v="4"/>
  </r>
  <r>
    <x v="198"/>
    <x v="23"/>
    <x v="13"/>
    <x v="1844"/>
    <x v="993"/>
    <x v="39"/>
    <x v="1976"/>
    <x v="2436"/>
    <x v="1136"/>
    <x v="1303"/>
    <x v="258"/>
    <x v="88"/>
    <x v="5"/>
  </r>
  <r>
    <x v="199"/>
    <x v="23"/>
    <x v="17"/>
    <x v="1846"/>
    <x v="992"/>
    <x v="39"/>
    <x v="2517"/>
    <x v="2853"/>
    <x v="2421"/>
    <x v="2237"/>
    <x v="258"/>
    <x v="88"/>
    <x v="6"/>
  </r>
  <r>
    <x v="200"/>
    <x v="23"/>
    <x v="22"/>
    <x v="1854"/>
    <x v="995"/>
    <x v="42"/>
    <x v="3070"/>
    <x v="3276"/>
    <x v="3180"/>
    <x v="3069"/>
    <x v="258"/>
    <x v="88"/>
    <x v="7"/>
  </r>
  <r>
    <x v="201"/>
    <x v="23"/>
    <x v="27"/>
    <x v="1854"/>
    <x v="995"/>
    <x v="42"/>
    <x v="3094"/>
    <x v="3327"/>
    <x v="3144"/>
    <x v="3098"/>
    <x v="258"/>
    <x v="88"/>
    <x v="8"/>
  </r>
  <r>
    <x v="202"/>
    <x v="23"/>
    <x v="29"/>
    <x v="1857"/>
    <x v="1000"/>
    <x v="40"/>
    <x v="3060"/>
    <x v="3264"/>
    <x v="3216"/>
    <x v="3056"/>
    <x v="258"/>
    <x v="88"/>
    <x v="9"/>
  </r>
  <r>
    <x v="203"/>
    <x v="24"/>
    <x v="3"/>
    <x v="563"/>
    <x v="80"/>
    <x v="26"/>
    <x v="655"/>
    <x v="240"/>
    <x v="870"/>
    <x v="1150"/>
    <x v="95"/>
    <x v="117"/>
    <x v="1"/>
  </r>
  <r>
    <x v="204"/>
    <x v="24"/>
    <x v="5"/>
    <x v="601"/>
    <x v="80"/>
    <x v="36"/>
    <x v="769"/>
    <x v="412"/>
    <x v="1325"/>
    <x v="1318"/>
    <x v="95"/>
    <x v="117"/>
    <x v="2"/>
  </r>
  <r>
    <x v="205"/>
    <x v="24"/>
    <x v="8"/>
    <x v="610"/>
    <x v="80"/>
    <x v="24"/>
    <x v="305"/>
    <x v="167"/>
    <x v="457"/>
    <x v="449"/>
    <x v="95"/>
    <x v="117"/>
    <x v="3"/>
  </r>
  <r>
    <x v="206"/>
    <x v="24"/>
    <x v="11"/>
    <x v="614"/>
    <x v="80"/>
    <x v="24"/>
    <x v="1475"/>
    <x v="704"/>
    <x v="2358"/>
    <x v="2505"/>
    <x v="95"/>
    <x v="117"/>
    <x v="4"/>
  </r>
  <r>
    <x v="207"/>
    <x v="24"/>
    <x v="13"/>
    <x v="612"/>
    <x v="80"/>
    <x v="39"/>
    <x v="1474"/>
    <x v="741"/>
    <x v="2296"/>
    <x v="2509"/>
    <x v="95"/>
    <x v="117"/>
    <x v="5"/>
  </r>
  <r>
    <x v="208"/>
    <x v="24"/>
    <x v="17"/>
    <x v="613"/>
    <x v="80"/>
    <x v="39"/>
    <x v="1251"/>
    <x v="690"/>
    <x v="2136"/>
    <x v="2156"/>
    <x v="95"/>
    <x v="117"/>
    <x v="6"/>
  </r>
  <r>
    <x v="209"/>
    <x v="24"/>
    <x v="22"/>
    <x v="616"/>
    <x v="80"/>
    <x v="47"/>
    <x v="669"/>
    <x v="514"/>
    <x v="1099"/>
    <x v="1086"/>
    <x v="95"/>
    <x v="117"/>
    <x v="7"/>
  </r>
  <r>
    <x v="210"/>
    <x v="24"/>
    <x v="27"/>
    <x v="620"/>
    <x v="80"/>
    <x v="37"/>
    <x v="2076"/>
    <x v="1356"/>
    <x v="3135"/>
    <x v="3146"/>
    <x v="95"/>
    <x v="117"/>
    <x v="8"/>
  </r>
  <r>
    <x v="211"/>
    <x v="24"/>
    <x v="29"/>
    <x v="623"/>
    <x v="87"/>
    <x v="44"/>
    <x v="1830"/>
    <x v="1182"/>
    <x v="2864"/>
    <x v="2908"/>
    <x v="95"/>
    <x v="117"/>
    <x v="9"/>
  </r>
  <r>
    <x v="212"/>
    <x v="25"/>
    <x v="1"/>
    <x v="281"/>
    <x v="422"/>
    <x v="11"/>
    <x v="1621"/>
    <x v="541"/>
    <x v="3179"/>
    <x v="3094"/>
    <x v="83"/>
    <x v="66"/>
    <x v="1"/>
  </r>
  <r>
    <x v="213"/>
    <x v="25"/>
    <x v="4"/>
    <x v="126"/>
    <x v="318"/>
    <x v="16"/>
    <x v="1482"/>
    <x v="434"/>
    <x v="3302"/>
    <x v="3139"/>
    <x v="83"/>
    <x v="66"/>
    <x v="2"/>
  </r>
  <r>
    <x v="214"/>
    <x v="25"/>
    <x v="6"/>
    <x v="113"/>
    <x v="318"/>
    <x v="16"/>
    <x v="1813"/>
    <x v="569"/>
    <x v="3351"/>
    <x v="3340"/>
    <x v="83"/>
    <x v="66"/>
    <x v="3"/>
  </r>
  <r>
    <x v="215"/>
    <x v="25"/>
    <x v="9"/>
    <x v="63"/>
    <x v="318"/>
    <x v="17"/>
    <x v="1570"/>
    <x v="460"/>
    <x v="3247"/>
    <x v="3257"/>
    <x v="83"/>
    <x v="66"/>
    <x v="4"/>
  </r>
  <r>
    <x v="216"/>
    <x v="25"/>
    <x v="12"/>
    <x v="207"/>
    <x v="322"/>
    <x v="17"/>
    <x v="1713"/>
    <x v="563"/>
    <x v="3334"/>
    <x v="3216"/>
    <x v="83"/>
    <x v="66"/>
    <x v="5"/>
  </r>
  <r>
    <x v="217"/>
    <x v="25"/>
    <x v="15"/>
    <x v="106"/>
    <x v="318"/>
    <x v="18"/>
    <x v="2004"/>
    <x v="623"/>
    <x v="3422"/>
    <x v="3409"/>
    <x v="83"/>
    <x v="66"/>
    <x v="6"/>
  </r>
  <r>
    <x v="218"/>
    <x v="25"/>
    <x v="20"/>
    <x v="122"/>
    <x v="317"/>
    <x v="20"/>
    <x v="1886"/>
    <x v="536"/>
    <x v="3430"/>
    <x v="3360"/>
    <x v="83"/>
    <x v="66"/>
    <x v="7"/>
  </r>
  <r>
    <x v="219"/>
    <x v="25"/>
    <x v="25"/>
    <x v="141"/>
    <x v="317"/>
    <x v="20"/>
    <x v="2138"/>
    <x v="695"/>
    <x v="3463"/>
    <x v="3438"/>
    <x v="83"/>
    <x v="66"/>
    <x v="8"/>
  </r>
  <r>
    <x v="220"/>
    <x v="25"/>
    <x v="28"/>
    <x v="148"/>
    <x v="414"/>
    <x v="20"/>
    <x v="2112"/>
    <x v="790"/>
    <x v="3462"/>
    <x v="3430"/>
    <x v="83"/>
    <x v="66"/>
    <x v="9"/>
  </r>
  <r>
    <x v="221"/>
    <x v="26"/>
    <x v="1"/>
    <x v="2570"/>
    <x v="1783"/>
    <x v="34"/>
    <x v="3404"/>
    <x v="2237"/>
    <x v="3407"/>
    <x v="3240"/>
    <x v="105"/>
    <x v="252"/>
    <x v="1"/>
  </r>
  <r>
    <x v="222"/>
    <x v="26"/>
    <x v="4"/>
    <x v="2577"/>
    <x v="1768"/>
    <x v="38"/>
    <x v="3412"/>
    <x v="2432"/>
    <x v="3390"/>
    <x v="3346"/>
    <x v="105"/>
    <x v="252"/>
    <x v="2"/>
  </r>
  <r>
    <x v="223"/>
    <x v="26"/>
    <x v="6"/>
    <x v="2576"/>
    <x v="1771"/>
    <x v="27"/>
    <x v="3415"/>
    <x v="2463"/>
    <x v="3426"/>
    <x v="3362"/>
    <x v="105"/>
    <x v="252"/>
    <x v="3"/>
  </r>
  <r>
    <x v="224"/>
    <x v="26"/>
    <x v="9"/>
    <x v="2581"/>
    <x v="1770"/>
    <x v="26"/>
    <x v="3424"/>
    <x v="2582"/>
    <x v="3447"/>
    <x v="3386"/>
    <x v="105"/>
    <x v="252"/>
    <x v="4"/>
  </r>
  <r>
    <x v="225"/>
    <x v="26"/>
    <x v="12"/>
    <x v="2589"/>
    <x v="1770"/>
    <x v="29"/>
    <x v="3433"/>
    <x v="2623"/>
    <x v="3393"/>
    <x v="3402"/>
    <x v="105"/>
    <x v="252"/>
    <x v="5"/>
  </r>
  <r>
    <x v="226"/>
    <x v="26"/>
    <x v="15"/>
    <x v="2594"/>
    <x v="1770"/>
    <x v="28"/>
    <x v="3464"/>
    <x v="2865"/>
    <x v="3444"/>
    <x v="3461"/>
    <x v="105"/>
    <x v="252"/>
    <x v="6"/>
  </r>
  <r>
    <x v="227"/>
    <x v="26"/>
    <x v="20"/>
    <x v="2613"/>
    <x v="1769"/>
    <x v="25"/>
    <x v="3411"/>
    <x v="2676"/>
    <x v="3353"/>
    <x v="3279"/>
    <x v="105"/>
    <x v="252"/>
    <x v="7"/>
  </r>
  <r>
    <x v="228"/>
    <x v="26"/>
    <x v="25"/>
    <x v="2593"/>
    <x v="1772"/>
    <x v="35"/>
    <x v="3345"/>
    <x v="2469"/>
    <x v="3222"/>
    <x v="2922"/>
    <x v="105"/>
    <x v="252"/>
    <x v="8"/>
  </r>
  <r>
    <x v="229"/>
    <x v="26"/>
    <x v="28"/>
    <x v="2613"/>
    <x v="1773"/>
    <x v="39"/>
    <x v="3303"/>
    <x v="2422"/>
    <x v="3120"/>
    <x v="2691"/>
    <x v="105"/>
    <x v="252"/>
    <x v="9"/>
  </r>
  <r>
    <x v="230"/>
    <x v="27"/>
    <x v="1"/>
    <x v="1510"/>
    <x v="975"/>
    <x v="16"/>
    <x v="2982"/>
    <x v="1810"/>
    <x v="3358"/>
    <x v="3206"/>
    <x v="335"/>
    <x v="313"/>
    <x v="1"/>
  </r>
  <r>
    <x v="231"/>
    <x v="27"/>
    <x v="4"/>
    <x v="1514"/>
    <x v="975"/>
    <x v="20"/>
    <x v="2945"/>
    <x v="1806"/>
    <x v="3308"/>
    <x v="3178"/>
    <x v="335"/>
    <x v="313"/>
    <x v="2"/>
  </r>
  <r>
    <x v="232"/>
    <x v="27"/>
    <x v="6"/>
    <x v="1524"/>
    <x v="975"/>
    <x v="27"/>
    <x v="3068"/>
    <x v="1894"/>
    <x v="3371"/>
    <x v="3296"/>
    <x v="335"/>
    <x v="313"/>
    <x v="3"/>
  </r>
  <r>
    <x v="233"/>
    <x v="27"/>
    <x v="9"/>
    <x v="1516"/>
    <x v="975"/>
    <x v="24"/>
    <x v="2563"/>
    <x v="1546"/>
    <x v="2999"/>
    <x v="2775"/>
    <x v="335"/>
    <x v="313"/>
    <x v="4"/>
  </r>
  <r>
    <x v="234"/>
    <x v="27"/>
    <x v="12"/>
    <x v="1576"/>
    <x v="975"/>
    <x v="23"/>
    <x v="2764"/>
    <x v="1613"/>
    <x v="3127"/>
    <x v="2936"/>
    <x v="335"/>
    <x v="313"/>
    <x v="5"/>
  </r>
  <r>
    <x v="235"/>
    <x v="27"/>
    <x v="15"/>
    <x v="1581"/>
    <x v="975"/>
    <x v="23"/>
    <x v="2363"/>
    <x v="1673"/>
    <x v="2850"/>
    <x v="2433"/>
    <x v="335"/>
    <x v="313"/>
    <x v="6"/>
  </r>
  <r>
    <x v="236"/>
    <x v="27"/>
    <x v="20"/>
    <x v="1583"/>
    <x v="975"/>
    <x v="18"/>
    <x v="2284"/>
    <x v="1547"/>
    <x v="2747"/>
    <x v="2269"/>
    <x v="335"/>
    <x v="313"/>
    <x v="7"/>
  </r>
  <r>
    <x v="237"/>
    <x v="27"/>
    <x v="25"/>
    <x v="1791"/>
    <x v="966"/>
    <x v="21"/>
    <x v="2542"/>
    <x v="1803"/>
    <x v="3107"/>
    <x v="2355"/>
    <x v="335"/>
    <x v="313"/>
    <x v="8"/>
  </r>
  <r>
    <x v="238"/>
    <x v="27"/>
    <x v="28"/>
    <x v="1794"/>
    <x v="966"/>
    <x v="25"/>
    <x v="2331"/>
    <x v="1900"/>
    <x v="2854"/>
    <x v="1956"/>
    <x v="335"/>
    <x v="313"/>
    <x v="9"/>
  </r>
  <r>
    <x v="239"/>
    <x v="28"/>
    <x v="1"/>
    <x v="2460"/>
    <x v="1462"/>
    <x v="30"/>
    <x v="410"/>
    <x v="507"/>
    <x v="338"/>
    <x v="142"/>
    <x v="73"/>
    <x v="101"/>
    <x v="1"/>
  </r>
  <r>
    <x v="240"/>
    <x v="28"/>
    <x v="4"/>
    <x v="2490"/>
    <x v="1478"/>
    <x v="35"/>
    <x v="881"/>
    <x v="914"/>
    <x v="538"/>
    <x v="240"/>
    <x v="73"/>
    <x v="101"/>
    <x v="2"/>
  </r>
  <r>
    <x v="241"/>
    <x v="28"/>
    <x v="6"/>
    <x v="2513"/>
    <x v="1495"/>
    <x v="33"/>
    <x v="2484"/>
    <x v="1367"/>
    <x v="893"/>
    <x v="1116"/>
    <x v="73"/>
    <x v="101"/>
    <x v="3"/>
  </r>
  <r>
    <x v="242"/>
    <x v="28"/>
    <x v="9"/>
    <x v="2522"/>
    <x v="1504"/>
    <x v="36"/>
    <x v="2382"/>
    <x v="1441"/>
    <x v="1124"/>
    <x v="952"/>
    <x v="73"/>
    <x v="101"/>
    <x v="4"/>
  </r>
  <r>
    <x v="243"/>
    <x v="28"/>
    <x v="12"/>
    <x v="2554"/>
    <x v="1505"/>
    <x v="51"/>
    <x v="2208"/>
    <x v="1288"/>
    <x v="665"/>
    <x v="727"/>
    <x v="73"/>
    <x v="101"/>
    <x v="5"/>
  </r>
  <r>
    <x v="244"/>
    <x v="28"/>
    <x v="15"/>
    <x v="2560"/>
    <x v="1522"/>
    <x v="37"/>
    <x v="212"/>
    <x v="152"/>
    <x v="219"/>
    <x v="81"/>
    <x v="73"/>
    <x v="101"/>
    <x v="6"/>
  </r>
  <r>
    <x v="245"/>
    <x v="28"/>
    <x v="20"/>
    <x v="2567"/>
    <x v="1525"/>
    <x v="34"/>
    <x v="1053"/>
    <x v="714"/>
    <x v="469"/>
    <x v="251"/>
    <x v="73"/>
    <x v="101"/>
    <x v="7"/>
  </r>
  <r>
    <x v="246"/>
    <x v="28"/>
    <x v="25"/>
    <x v="2568"/>
    <x v="1542"/>
    <x v="34"/>
    <x v="810"/>
    <x v="719"/>
    <x v="472"/>
    <x v="209"/>
    <x v="73"/>
    <x v="101"/>
    <x v="8"/>
  </r>
  <r>
    <x v="247"/>
    <x v="28"/>
    <x v="28"/>
    <x v="2569"/>
    <x v="1545"/>
    <x v="36"/>
    <x v="1312"/>
    <x v="1097"/>
    <x v="354"/>
    <x v="308"/>
    <x v="73"/>
    <x v="101"/>
    <x v="9"/>
  </r>
  <r>
    <x v="248"/>
    <x v="29"/>
    <x v="3"/>
    <x v="171"/>
    <x v="371"/>
    <x v="18"/>
    <x v="1122"/>
    <x v="1160"/>
    <x v="2254"/>
    <x v="2711"/>
    <x v="76"/>
    <x v="102"/>
    <x v="1"/>
  </r>
  <r>
    <x v="249"/>
    <x v="29"/>
    <x v="5"/>
    <x v="171"/>
    <x v="371"/>
    <x v="18"/>
    <x v="144"/>
    <x v="158"/>
    <x v="801"/>
    <x v="273"/>
    <x v="76"/>
    <x v="102"/>
    <x v="2"/>
  </r>
  <r>
    <x v="250"/>
    <x v="29"/>
    <x v="8"/>
    <x v="203"/>
    <x v="372"/>
    <x v="19"/>
    <x v="1785"/>
    <x v="1559"/>
    <x v="2882"/>
    <x v="3260"/>
    <x v="76"/>
    <x v="102"/>
    <x v="3"/>
  </r>
  <r>
    <x v="251"/>
    <x v="29"/>
    <x v="11"/>
    <x v="205"/>
    <x v="373"/>
    <x v="30"/>
    <x v="1302"/>
    <x v="1276"/>
    <x v="2370"/>
    <x v="2891"/>
    <x v="76"/>
    <x v="102"/>
    <x v="4"/>
  </r>
  <r>
    <x v="252"/>
    <x v="29"/>
    <x v="13"/>
    <x v="239"/>
    <x v="372"/>
    <x v="31"/>
    <x v="1898"/>
    <x v="2035"/>
    <x v="2841"/>
    <x v="3324"/>
    <x v="76"/>
    <x v="102"/>
    <x v="5"/>
  </r>
  <r>
    <x v="253"/>
    <x v="29"/>
    <x v="17"/>
    <x v="239"/>
    <x v="372"/>
    <x v="22"/>
    <x v="1950"/>
    <x v="1910"/>
    <x v="3312"/>
    <x v="3345"/>
    <x v="76"/>
    <x v="102"/>
    <x v="6"/>
  </r>
  <r>
    <x v="254"/>
    <x v="29"/>
    <x v="22"/>
    <x v="239"/>
    <x v="372"/>
    <x v="30"/>
    <x v="1598"/>
    <x v="1850"/>
    <x v="3234"/>
    <x v="3137"/>
    <x v="76"/>
    <x v="102"/>
    <x v="7"/>
  </r>
  <r>
    <x v="255"/>
    <x v="29"/>
    <x v="27"/>
    <x v="239"/>
    <x v="372"/>
    <x v="30"/>
    <x v="2210"/>
    <x v="2250"/>
    <x v="3377"/>
    <x v="3437"/>
    <x v="76"/>
    <x v="102"/>
    <x v="8"/>
  </r>
  <r>
    <x v="256"/>
    <x v="29"/>
    <x v="29"/>
    <x v="250"/>
    <x v="372"/>
    <x v="26"/>
    <x v="2421"/>
    <x v="2347"/>
    <x v="3319"/>
    <x v="3465"/>
    <x v="76"/>
    <x v="102"/>
    <x v="9"/>
  </r>
  <r>
    <x v="257"/>
    <x v="30"/>
    <x v="1"/>
    <x v="2903"/>
    <x v="1802"/>
    <x v="32"/>
    <x v="3480"/>
    <x v="3162"/>
    <x v="1933"/>
    <x v="2815"/>
    <x v="121"/>
    <x v="142"/>
    <x v="1"/>
  </r>
  <r>
    <x v="258"/>
    <x v="30"/>
    <x v="4"/>
    <x v="2908"/>
    <x v="1805"/>
    <x v="32"/>
    <x v="3485"/>
    <x v="3283"/>
    <x v="2045"/>
    <x v="2956"/>
    <x v="121"/>
    <x v="142"/>
    <x v="2"/>
  </r>
  <r>
    <x v="259"/>
    <x v="30"/>
    <x v="6"/>
    <x v="2910"/>
    <x v="1806"/>
    <x v="32"/>
    <x v="3478"/>
    <x v="3224"/>
    <x v="1783"/>
    <x v="2767"/>
    <x v="121"/>
    <x v="142"/>
    <x v="3"/>
  </r>
  <r>
    <x v="260"/>
    <x v="30"/>
    <x v="12"/>
    <x v="2911"/>
    <x v="1807"/>
    <x v="46"/>
    <x v="3462"/>
    <x v="3109"/>
    <x v="1799"/>
    <x v="2522"/>
    <x v="121"/>
    <x v="142"/>
    <x v="5"/>
  </r>
  <r>
    <x v="261"/>
    <x v="30"/>
    <x v="15"/>
    <x v="2912"/>
    <x v="1808"/>
    <x v="31"/>
    <x v="3472"/>
    <x v="3028"/>
    <x v="1626"/>
    <x v="2646"/>
    <x v="121"/>
    <x v="142"/>
    <x v="6"/>
  </r>
  <r>
    <x v="262"/>
    <x v="30"/>
    <x v="20"/>
    <x v="2917"/>
    <x v="1809"/>
    <x v="37"/>
    <x v="3477"/>
    <x v="2883"/>
    <x v="1721"/>
    <x v="2656"/>
    <x v="121"/>
    <x v="142"/>
    <x v="7"/>
  </r>
  <r>
    <x v="263"/>
    <x v="30"/>
    <x v="25"/>
    <x v="2923"/>
    <x v="1810"/>
    <x v="22"/>
    <x v="3448"/>
    <x v="3049"/>
    <x v="1992"/>
    <x v="2147"/>
    <x v="121"/>
    <x v="142"/>
    <x v="8"/>
  </r>
  <r>
    <x v="264"/>
    <x v="30"/>
    <x v="28"/>
    <x v="2900"/>
    <x v="1811"/>
    <x v="42"/>
    <x v="3475"/>
    <x v="3225"/>
    <x v="2025"/>
    <x v="2765"/>
    <x v="121"/>
    <x v="142"/>
    <x v="9"/>
  </r>
  <r>
    <x v="265"/>
    <x v="31"/>
    <x v="1"/>
    <x v="124"/>
    <x v="130"/>
    <x v="24"/>
    <x v="330"/>
    <x v="127"/>
    <x v="2513"/>
    <x v="834"/>
    <x v="170"/>
    <x v="52"/>
    <x v="1"/>
  </r>
  <r>
    <x v="266"/>
    <x v="31"/>
    <x v="4"/>
    <x v="133"/>
    <x v="130"/>
    <x v="30"/>
    <x v="884"/>
    <x v="293"/>
    <x v="2940"/>
    <x v="2364"/>
    <x v="170"/>
    <x v="52"/>
    <x v="2"/>
  </r>
  <r>
    <x v="267"/>
    <x v="31"/>
    <x v="6"/>
    <x v="159"/>
    <x v="130"/>
    <x v="38"/>
    <x v="1275"/>
    <x v="416"/>
    <x v="3182"/>
    <x v="2901"/>
    <x v="170"/>
    <x v="52"/>
    <x v="3"/>
  </r>
  <r>
    <x v="268"/>
    <x v="31"/>
    <x v="9"/>
    <x v="191"/>
    <x v="174"/>
    <x v="27"/>
    <x v="1338"/>
    <x v="529"/>
    <x v="3203"/>
    <x v="2955"/>
    <x v="170"/>
    <x v="52"/>
    <x v="4"/>
  </r>
  <r>
    <x v="269"/>
    <x v="31"/>
    <x v="12"/>
    <x v="194"/>
    <x v="174"/>
    <x v="31"/>
    <x v="1343"/>
    <x v="577"/>
    <x v="3102"/>
    <x v="2958"/>
    <x v="170"/>
    <x v="52"/>
    <x v="5"/>
  </r>
  <r>
    <x v="270"/>
    <x v="31"/>
    <x v="15"/>
    <x v="175"/>
    <x v="182"/>
    <x v="35"/>
    <x v="819"/>
    <x v="265"/>
    <x v="1763"/>
    <x v="2164"/>
    <x v="170"/>
    <x v="52"/>
    <x v="6"/>
  </r>
  <r>
    <x v="271"/>
    <x v="31"/>
    <x v="20"/>
    <x v="206"/>
    <x v="182"/>
    <x v="36"/>
    <x v="1076"/>
    <x v="498"/>
    <x v="3046"/>
    <x v="2624"/>
    <x v="170"/>
    <x v="52"/>
    <x v="7"/>
  </r>
  <r>
    <x v="272"/>
    <x v="31"/>
    <x v="25"/>
    <x v="235"/>
    <x v="182"/>
    <x v="37"/>
    <x v="922"/>
    <x v="438"/>
    <x v="3041"/>
    <x v="2279"/>
    <x v="170"/>
    <x v="52"/>
    <x v="8"/>
  </r>
  <r>
    <x v="273"/>
    <x v="31"/>
    <x v="28"/>
    <x v="252"/>
    <x v="182"/>
    <x v="38"/>
    <x v="668"/>
    <x v="324"/>
    <x v="2770"/>
    <x v="1739"/>
    <x v="170"/>
    <x v="52"/>
    <x v="9"/>
  </r>
  <r>
    <x v="274"/>
    <x v="32"/>
    <x v="1"/>
    <x v="131"/>
    <x v="147"/>
    <x v="11"/>
    <x v="3298"/>
    <x v="1566"/>
    <x v="3510"/>
    <x v="3515"/>
    <x v="171"/>
    <x v="52"/>
    <x v="1"/>
  </r>
  <r>
    <x v="275"/>
    <x v="32"/>
    <x v="4"/>
    <x v="129"/>
    <x v="147"/>
    <x v="13"/>
    <x v="1260"/>
    <x v="418"/>
    <x v="2671"/>
    <x v="2932"/>
    <x v="171"/>
    <x v="52"/>
    <x v="2"/>
  </r>
  <r>
    <x v="276"/>
    <x v="32"/>
    <x v="6"/>
    <x v="136"/>
    <x v="171"/>
    <x v="13"/>
    <x v="1034"/>
    <x v="318"/>
    <x v="2263"/>
    <x v="2653"/>
    <x v="171"/>
    <x v="52"/>
    <x v="3"/>
  </r>
  <r>
    <x v="277"/>
    <x v="32"/>
    <x v="9"/>
    <x v="142"/>
    <x v="215"/>
    <x v="13"/>
    <x v="992"/>
    <x v="310"/>
    <x v="2197"/>
    <x v="2558"/>
    <x v="171"/>
    <x v="52"/>
    <x v="4"/>
  </r>
  <r>
    <x v="278"/>
    <x v="32"/>
    <x v="12"/>
    <x v="215"/>
    <x v="215"/>
    <x v="13"/>
    <x v="1477"/>
    <x v="879"/>
    <x v="2801"/>
    <x v="3064"/>
    <x v="171"/>
    <x v="52"/>
    <x v="5"/>
  </r>
  <r>
    <x v="279"/>
    <x v="32"/>
    <x v="15"/>
    <x v="211"/>
    <x v="215"/>
    <x v="19"/>
    <x v="1732"/>
    <x v="639"/>
    <x v="3175"/>
    <x v="3227"/>
    <x v="171"/>
    <x v="52"/>
    <x v="6"/>
  </r>
  <r>
    <x v="280"/>
    <x v="32"/>
    <x v="20"/>
    <x v="246"/>
    <x v="215"/>
    <x v="16"/>
    <x v="1759"/>
    <x v="726"/>
    <x v="3163"/>
    <x v="3225"/>
    <x v="171"/>
    <x v="52"/>
    <x v="7"/>
  </r>
  <r>
    <x v="281"/>
    <x v="32"/>
    <x v="25"/>
    <x v="260"/>
    <x v="215"/>
    <x v="30"/>
    <x v="934"/>
    <x v="421"/>
    <x v="2571"/>
    <x v="2266"/>
    <x v="171"/>
    <x v="52"/>
    <x v="8"/>
  </r>
  <r>
    <x v="282"/>
    <x v="32"/>
    <x v="28"/>
    <x v="265"/>
    <x v="215"/>
    <x v="40"/>
    <x v="926"/>
    <x v="392"/>
    <x v="2396"/>
    <x v="2229"/>
    <x v="171"/>
    <x v="52"/>
    <x v="9"/>
  </r>
  <r>
    <x v="283"/>
    <x v="33"/>
    <x v="1"/>
    <x v="711"/>
    <x v="315"/>
    <x v="26"/>
    <x v="1442"/>
    <x v="618"/>
    <x v="2071"/>
    <x v="2324"/>
    <x v="54"/>
    <x v="303"/>
    <x v="1"/>
  </r>
  <r>
    <x v="284"/>
    <x v="33"/>
    <x v="4"/>
    <x v="687"/>
    <x v="320"/>
    <x v="27"/>
    <x v="1770"/>
    <x v="687"/>
    <x v="2471"/>
    <x v="2770"/>
    <x v="54"/>
    <x v="303"/>
    <x v="2"/>
  </r>
  <r>
    <x v="285"/>
    <x v="33"/>
    <x v="6"/>
    <x v="695"/>
    <x v="326"/>
    <x v="28"/>
    <x v="1220"/>
    <x v="414"/>
    <x v="1678"/>
    <x v="1973"/>
    <x v="54"/>
    <x v="303"/>
    <x v="3"/>
  </r>
  <r>
    <x v="286"/>
    <x v="33"/>
    <x v="9"/>
    <x v="675"/>
    <x v="327"/>
    <x v="28"/>
    <x v="1420"/>
    <x v="530"/>
    <x v="1995"/>
    <x v="2342"/>
    <x v="54"/>
    <x v="303"/>
    <x v="4"/>
  </r>
  <r>
    <x v="287"/>
    <x v="33"/>
    <x v="12"/>
    <x v="707"/>
    <x v="328"/>
    <x v="36"/>
    <x v="2016"/>
    <x v="816"/>
    <x v="2861"/>
    <x v="3027"/>
    <x v="54"/>
    <x v="303"/>
    <x v="5"/>
  </r>
  <r>
    <x v="288"/>
    <x v="33"/>
    <x v="15"/>
    <x v="710"/>
    <x v="328"/>
    <x v="30"/>
    <x v="660"/>
    <x v="256"/>
    <x v="1212"/>
    <x v="955"/>
    <x v="54"/>
    <x v="303"/>
    <x v="6"/>
  </r>
  <r>
    <x v="289"/>
    <x v="33"/>
    <x v="20"/>
    <x v="715"/>
    <x v="335"/>
    <x v="28"/>
    <x v="70"/>
    <x v="52"/>
    <x v="402"/>
    <x v="88"/>
    <x v="54"/>
    <x v="303"/>
    <x v="7"/>
  </r>
  <r>
    <x v="290"/>
    <x v="33"/>
    <x v="25"/>
    <x v="718"/>
    <x v="336"/>
    <x v="37"/>
    <x v="636"/>
    <x v="355"/>
    <x v="1297"/>
    <x v="892"/>
    <x v="54"/>
    <x v="303"/>
    <x v="8"/>
  </r>
  <r>
    <x v="291"/>
    <x v="33"/>
    <x v="28"/>
    <x v="725"/>
    <x v="338"/>
    <x v="37"/>
    <x v="674"/>
    <x v="376"/>
    <x v="1419"/>
    <x v="966"/>
    <x v="54"/>
    <x v="303"/>
    <x v="9"/>
  </r>
  <r>
    <x v="292"/>
    <x v="34"/>
    <x v="1"/>
    <x v="637"/>
    <x v="323"/>
    <x v="21"/>
    <x v="2496"/>
    <x v="1340"/>
    <x v="3365"/>
    <x v="3388"/>
    <x v="271"/>
    <x v="52"/>
    <x v="1"/>
  </r>
  <r>
    <x v="293"/>
    <x v="34"/>
    <x v="4"/>
    <x v="660"/>
    <x v="323"/>
    <x v="19"/>
    <x v="3027"/>
    <x v="1808"/>
    <x v="3478"/>
    <x v="3483"/>
    <x v="271"/>
    <x v="52"/>
    <x v="2"/>
  </r>
  <r>
    <x v="294"/>
    <x v="34"/>
    <x v="6"/>
    <x v="657"/>
    <x v="323"/>
    <x v="26"/>
    <x v="3142"/>
    <x v="1592"/>
    <x v="3488"/>
    <x v="3497"/>
    <x v="271"/>
    <x v="52"/>
    <x v="3"/>
  </r>
  <r>
    <x v="295"/>
    <x v="34"/>
    <x v="9"/>
    <x v="653"/>
    <x v="323"/>
    <x v="26"/>
    <x v="3056"/>
    <x v="1938"/>
    <x v="3490"/>
    <x v="3489"/>
    <x v="271"/>
    <x v="52"/>
    <x v="4"/>
  </r>
  <r>
    <x v="296"/>
    <x v="34"/>
    <x v="12"/>
    <x v="622"/>
    <x v="324"/>
    <x v="26"/>
    <x v="2851"/>
    <x v="1478"/>
    <x v="3491"/>
    <x v="3466"/>
    <x v="271"/>
    <x v="52"/>
    <x v="5"/>
  </r>
  <r>
    <x v="297"/>
    <x v="34"/>
    <x v="15"/>
    <x v="602"/>
    <x v="340"/>
    <x v="26"/>
    <x v="3021"/>
    <x v="1563"/>
    <x v="3481"/>
    <x v="3487"/>
    <x v="271"/>
    <x v="52"/>
    <x v="6"/>
  </r>
  <r>
    <x v="298"/>
    <x v="34"/>
    <x v="20"/>
    <x v="626"/>
    <x v="370"/>
    <x v="25"/>
    <x v="3268"/>
    <x v="1998"/>
    <x v="3494"/>
    <x v="3505"/>
    <x v="271"/>
    <x v="52"/>
    <x v="7"/>
  </r>
  <r>
    <x v="299"/>
    <x v="34"/>
    <x v="25"/>
    <x v="646"/>
    <x v="405"/>
    <x v="26"/>
    <x v="3304"/>
    <x v="2082"/>
    <x v="3501"/>
    <x v="3507"/>
    <x v="271"/>
    <x v="52"/>
    <x v="8"/>
  </r>
  <r>
    <x v="300"/>
    <x v="34"/>
    <x v="28"/>
    <x v="659"/>
    <x v="405"/>
    <x v="22"/>
    <x v="3221"/>
    <x v="2251"/>
    <x v="3492"/>
    <x v="3502"/>
    <x v="271"/>
    <x v="52"/>
    <x v="9"/>
  </r>
  <r>
    <x v="301"/>
    <x v="35"/>
    <x v="3"/>
    <x v="717"/>
    <x v="299"/>
    <x v="28"/>
    <x v="1113"/>
    <x v="1411"/>
    <x v="1156"/>
    <x v="1757"/>
    <x v="309"/>
    <x v="94"/>
    <x v="1"/>
  </r>
  <r>
    <x v="302"/>
    <x v="35"/>
    <x v="5"/>
    <x v="721"/>
    <x v="299"/>
    <x v="28"/>
    <x v="285"/>
    <x v="511"/>
    <x v="351"/>
    <x v="386"/>
    <x v="309"/>
    <x v="94"/>
    <x v="2"/>
  </r>
  <r>
    <x v="303"/>
    <x v="35"/>
    <x v="8"/>
    <x v="737"/>
    <x v="299"/>
    <x v="39"/>
    <x v="1826"/>
    <x v="1927"/>
    <x v="2110"/>
    <x v="2774"/>
    <x v="309"/>
    <x v="94"/>
    <x v="3"/>
  </r>
  <r>
    <x v="304"/>
    <x v="35"/>
    <x v="11"/>
    <x v="749"/>
    <x v="299"/>
    <x v="39"/>
    <x v="2105"/>
    <x v="2037"/>
    <x v="2372"/>
    <x v="3066"/>
    <x v="309"/>
    <x v="94"/>
    <x v="4"/>
  </r>
  <r>
    <x v="305"/>
    <x v="35"/>
    <x v="13"/>
    <x v="750"/>
    <x v="299"/>
    <x v="39"/>
    <x v="112"/>
    <x v="173"/>
    <x v="273"/>
    <x v="131"/>
    <x v="309"/>
    <x v="94"/>
    <x v="5"/>
  </r>
  <r>
    <x v="306"/>
    <x v="35"/>
    <x v="17"/>
    <x v="755"/>
    <x v="299"/>
    <x v="40"/>
    <x v="1666"/>
    <x v="1833"/>
    <x v="2502"/>
    <x v="2543"/>
    <x v="309"/>
    <x v="94"/>
    <x v="6"/>
  </r>
  <r>
    <x v="307"/>
    <x v="35"/>
    <x v="22"/>
    <x v="756"/>
    <x v="301"/>
    <x v="29"/>
    <x v="1916"/>
    <x v="649"/>
    <x v="2743"/>
    <x v="2854"/>
    <x v="309"/>
    <x v="94"/>
    <x v="7"/>
  </r>
  <r>
    <x v="308"/>
    <x v="35"/>
    <x v="27"/>
    <x v="772"/>
    <x v="301"/>
    <x v="39"/>
    <x v="2746"/>
    <x v="1239"/>
    <x v="3238"/>
    <x v="3419"/>
    <x v="309"/>
    <x v="94"/>
    <x v="8"/>
  </r>
  <r>
    <x v="309"/>
    <x v="35"/>
    <x v="29"/>
    <x v="763"/>
    <x v="301"/>
    <x v="28"/>
    <x v="2430"/>
    <x v="1202"/>
    <x v="3049"/>
    <x v="3297"/>
    <x v="309"/>
    <x v="94"/>
    <x v="9"/>
  </r>
  <r>
    <x v="310"/>
    <x v="36"/>
    <x v="1"/>
    <x v="606"/>
    <x v="269"/>
    <x v="23"/>
    <x v="1365"/>
    <x v="1525"/>
    <x v="3382"/>
    <x v="2383"/>
    <x v="11"/>
    <x v="11"/>
    <x v="1"/>
  </r>
  <r>
    <x v="311"/>
    <x v="36"/>
    <x v="4"/>
    <x v="604"/>
    <x v="269"/>
    <x v="25"/>
    <x v="1398"/>
    <x v="1625"/>
    <x v="3403"/>
    <x v="2434"/>
    <x v="11"/>
    <x v="11"/>
    <x v="2"/>
  </r>
  <r>
    <x v="312"/>
    <x v="36"/>
    <x v="6"/>
    <x v="614"/>
    <x v="282"/>
    <x v="20"/>
    <x v="2019"/>
    <x v="1941"/>
    <x v="3449"/>
    <x v="3104"/>
    <x v="11"/>
    <x v="11"/>
    <x v="3"/>
  </r>
  <r>
    <x v="313"/>
    <x v="36"/>
    <x v="9"/>
    <x v="632"/>
    <x v="283"/>
    <x v="21"/>
    <x v="1635"/>
    <x v="1901"/>
    <x v="3366"/>
    <x v="2673"/>
    <x v="11"/>
    <x v="11"/>
    <x v="4"/>
  </r>
  <r>
    <x v="314"/>
    <x v="36"/>
    <x v="12"/>
    <x v="633"/>
    <x v="285"/>
    <x v="20"/>
    <x v="1742"/>
    <x v="2054"/>
    <x v="3355"/>
    <x v="2798"/>
    <x v="11"/>
    <x v="11"/>
    <x v="5"/>
  </r>
  <r>
    <x v="315"/>
    <x v="36"/>
    <x v="15"/>
    <x v="641"/>
    <x v="290"/>
    <x v="25"/>
    <x v="1622"/>
    <x v="2067"/>
    <x v="3304"/>
    <x v="2639"/>
    <x v="11"/>
    <x v="11"/>
    <x v="6"/>
  </r>
  <r>
    <x v="316"/>
    <x v="36"/>
    <x v="20"/>
    <x v="608"/>
    <x v="291"/>
    <x v="23"/>
    <x v="1038"/>
    <x v="1743"/>
    <x v="2931"/>
    <x v="1824"/>
    <x v="11"/>
    <x v="11"/>
    <x v="7"/>
  </r>
  <r>
    <x v="317"/>
    <x v="36"/>
    <x v="25"/>
    <x v="656"/>
    <x v="294"/>
    <x v="20"/>
    <x v="1655"/>
    <x v="2137"/>
    <x v="3276"/>
    <x v="2668"/>
    <x v="11"/>
    <x v="11"/>
    <x v="8"/>
  </r>
  <r>
    <x v="318"/>
    <x v="36"/>
    <x v="28"/>
    <x v="652"/>
    <x v="294"/>
    <x v="20"/>
    <x v="2553"/>
    <x v="2864"/>
    <x v="3483"/>
    <x v="3404"/>
    <x v="11"/>
    <x v="11"/>
    <x v="9"/>
  </r>
  <r>
    <x v="319"/>
    <x v="37"/>
    <x v="1"/>
    <x v="1153"/>
    <x v="627"/>
    <x v="13"/>
    <x v="1307"/>
    <x v="2152"/>
    <x v="2477"/>
    <x v="1353"/>
    <x v="113"/>
    <x v="69"/>
    <x v="1"/>
  </r>
  <r>
    <x v="320"/>
    <x v="37"/>
    <x v="4"/>
    <x v="1130"/>
    <x v="627"/>
    <x v="13"/>
    <x v="1658"/>
    <x v="2288"/>
    <x v="2911"/>
    <x v="1918"/>
    <x v="113"/>
    <x v="69"/>
    <x v="2"/>
  </r>
  <r>
    <x v="321"/>
    <x v="37"/>
    <x v="6"/>
    <x v="1131"/>
    <x v="627"/>
    <x v="13"/>
    <x v="1549"/>
    <x v="2083"/>
    <x v="2696"/>
    <x v="1765"/>
    <x v="113"/>
    <x v="69"/>
    <x v="3"/>
  </r>
  <r>
    <x v="322"/>
    <x v="37"/>
    <x v="9"/>
    <x v="1139"/>
    <x v="627"/>
    <x v="13"/>
    <x v="1954"/>
    <x v="2290"/>
    <x v="3092"/>
    <x v="2408"/>
    <x v="113"/>
    <x v="69"/>
    <x v="4"/>
  </r>
  <r>
    <x v="323"/>
    <x v="37"/>
    <x v="12"/>
    <x v="1139"/>
    <x v="627"/>
    <x v="13"/>
    <x v="1905"/>
    <x v="2398"/>
    <x v="3139"/>
    <x v="2310"/>
    <x v="113"/>
    <x v="69"/>
    <x v="5"/>
  </r>
  <r>
    <x v="324"/>
    <x v="37"/>
    <x v="15"/>
    <x v="1140"/>
    <x v="627"/>
    <x v="13"/>
    <x v="1358"/>
    <x v="2048"/>
    <x v="2884"/>
    <x v="1466"/>
    <x v="113"/>
    <x v="69"/>
    <x v="6"/>
  </r>
  <r>
    <x v="325"/>
    <x v="37"/>
    <x v="20"/>
    <x v="1140"/>
    <x v="626"/>
    <x v="13"/>
    <x v="1496"/>
    <x v="2225"/>
    <x v="2793"/>
    <x v="1671"/>
    <x v="113"/>
    <x v="69"/>
    <x v="7"/>
  </r>
  <r>
    <x v="326"/>
    <x v="37"/>
    <x v="25"/>
    <x v="1152"/>
    <x v="626"/>
    <x v="13"/>
    <x v="1764"/>
    <x v="2448"/>
    <x v="3074"/>
    <x v="2061"/>
    <x v="113"/>
    <x v="69"/>
    <x v="8"/>
  </r>
  <r>
    <x v="327"/>
    <x v="37"/>
    <x v="28"/>
    <x v="1179"/>
    <x v="572"/>
    <x v="21"/>
    <x v="1682"/>
    <x v="2453"/>
    <x v="3282"/>
    <x v="1882"/>
    <x v="113"/>
    <x v="69"/>
    <x v="9"/>
  </r>
  <r>
    <x v="328"/>
    <x v="38"/>
    <x v="1"/>
    <x v="321"/>
    <x v="187"/>
    <x v="18"/>
    <x v="1218"/>
    <x v="1067"/>
    <x v="3239"/>
    <x v="2630"/>
    <x v="119"/>
    <x v="138"/>
    <x v="1"/>
  </r>
  <r>
    <x v="329"/>
    <x v="38"/>
    <x v="4"/>
    <x v="350"/>
    <x v="183"/>
    <x v="21"/>
    <x v="1188"/>
    <x v="566"/>
    <x v="3233"/>
    <x v="2561"/>
    <x v="119"/>
    <x v="138"/>
    <x v="2"/>
  </r>
  <r>
    <x v="330"/>
    <x v="38"/>
    <x v="6"/>
    <x v="355"/>
    <x v="208"/>
    <x v="21"/>
    <x v="1663"/>
    <x v="841"/>
    <x v="3435"/>
    <x v="3065"/>
    <x v="119"/>
    <x v="138"/>
    <x v="3"/>
  </r>
  <r>
    <x v="331"/>
    <x v="38"/>
    <x v="9"/>
    <x v="360"/>
    <x v="208"/>
    <x v="21"/>
    <x v="424"/>
    <x v="245"/>
    <x v="2052"/>
    <x v="859"/>
    <x v="119"/>
    <x v="138"/>
    <x v="4"/>
  </r>
  <r>
    <x v="332"/>
    <x v="38"/>
    <x v="12"/>
    <x v="369"/>
    <x v="211"/>
    <x v="15"/>
    <x v="219"/>
    <x v="177"/>
    <x v="1176"/>
    <x v="422"/>
    <x v="119"/>
    <x v="138"/>
    <x v="5"/>
  </r>
  <r>
    <x v="333"/>
    <x v="38"/>
    <x v="15"/>
    <x v="374"/>
    <x v="198"/>
    <x v="18"/>
    <x v="902"/>
    <x v="492"/>
    <x v="2948"/>
    <x v="1988"/>
    <x v="119"/>
    <x v="138"/>
    <x v="6"/>
  </r>
  <r>
    <x v="334"/>
    <x v="38"/>
    <x v="20"/>
    <x v="398"/>
    <x v="200"/>
    <x v="23"/>
    <x v="942"/>
    <x v="582"/>
    <x v="3023"/>
    <x v="2013"/>
    <x v="119"/>
    <x v="138"/>
    <x v="7"/>
  </r>
  <r>
    <x v="335"/>
    <x v="38"/>
    <x v="25"/>
    <x v="388"/>
    <x v="200"/>
    <x v="26"/>
    <x v="870"/>
    <x v="603"/>
    <x v="2942"/>
    <x v="1900"/>
    <x v="119"/>
    <x v="138"/>
    <x v="8"/>
  </r>
  <r>
    <x v="336"/>
    <x v="38"/>
    <x v="28"/>
    <x v="380"/>
    <x v="231"/>
    <x v="28"/>
    <x v="915"/>
    <x v="696"/>
    <x v="3032"/>
    <x v="1986"/>
    <x v="119"/>
    <x v="138"/>
    <x v="9"/>
  </r>
  <r>
    <x v="337"/>
    <x v="39"/>
    <x v="1"/>
    <x v="895"/>
    <x v="295"/>
    <x v="20"/>
    <x v="2179"/>
    <x v="2263"/>
    <x v="3446"/>
    <x v="3028"/>
    <x v="161"/>
    <x v="131"/>
    <x v="1"/>
  </r>
  <r>
    <x v="338"/>
    <x v="39"/>
    <x v="4"/>
    <x v="897"/>
    <x v="455"/>
    <x v="20"/>
    <x v="2189"/>
    <x v="2315"/>
    <x v="3460"/>
    <x v="3037"/>
    <x v="161"/>
    <x v="131"/>
    <x v="2"/>
  </r>
  <r>
    <x v="339"/>
    <x v="39"/>
    <x v="6"/>
    <x v="906"/>
    <x v="455"/>
    <x v="20"/>
    <x v="2373"/>
    <x v="2573"/>
    <x v="3477"/>
    <x v="3181"/>
    <x v="161"/>
    <x v="131"/>
    <x v="3"/>
  </r>
  <r>
    <x v="340"/>
    <x v="39"/>
    <x v="9"/>
    <x v="910"/>
    <x v="455"/>
    <x v="25"/>
    <x v="2011"/>
    <x v="2331"/>
    <x v="3461"/>
    <x v="2799"/>
    <x v="161"/>
    <x v="131"/>
    <x v="4"/>
  </r>
  <r>
    <x v="341"/>
    <x v="39"/>
    <x v="12"/>
    <x v="923"/>
    <x v="455"/>
    <x v="32"/>
    <x v="1823"/>
    <x v="2348"/>
    <x v="3440"/>
    <x v="2550"/>
    <x v="161"/>
    <x v="131"/>
    <x v="5"/>
  </r>
  <r>
    <x v="342"/>
    <x v="39"/>
    <x v="15"/>
    <x v="929"/>
    <x v="455"/>
    <x v="37"/>
    <x v="1297"/>
    <x v="2222"/>
    <x v="3384"/>
    <x v="1727"/>
    <x v="161"/>
    <x v="131"/>
    <x v="6"/>
  </r>
  <r>
    <x v="343"/>
    <x v="39"/>
    <x v="20"/>
    <x v="922"/>
    <x v="461"/>
    <x v="30"/>
    <x v="1168"/>
    <x v="1959"/>
    <x v="3404"/>
    <x v="1535"/>
    <x v="161"/>
    <x v="131"/>
    <x v="7"/>
  </r>
  <r>
    <x v="344"/>
    <x v="39"/>
    <x v="25"/>
    <x v="924"/>
    <x v="461"/>
    <x v="31"/>
    <x v="1130"/>
    <x v="1879"/>
    <x v="3399"/>
    <x v="1472"/>
    <x v="161"/>
    <x v="131"/>
    <x v="8"/>
  </r>
  <r>
    <x v="345"/>
    <x v="39"/>
    <x v="28"/>
    <x v="924"/>
    <x v="461"/>
    <x v="31"/>
    <x v="1373"/>
    <x v="2217"/>
    <x v="3431"/>
    <x v="1875"/>
    <x v="161"/>
    <x v="131"/>
    <x v="9"/>
  </r>
  <r>
    <x v="346"/>
    <x v="40"/>
    <x v="1"/>
    <x v="627"/>
    <x v="293"/>
    <x v="19"/>
    <x v="751"/>
    <x v="1181"/>
    <x v="2264"/>
    <x v="1230"/>
    <x v="206"/>
    <x v="205"/>
    <x v="1"/>
  </r>
  <r>
    <x v="347"/>
    <x v="40"/>
    <x v="4"/>
    <x v="648"/>
    <x v="296"/>
    <x v="24"/>
    <x v="873"/>
    <x v="1272"/>
    <x v="3138"/>
    <x v="1404"/>
    <x v="206"/>
    <x v="205"/>
    <x v="2"/>
  </r>
  <r>
    <x v="348"/>
    <x v="40"/>
    <x v="6"/>
    <x v="663"/>
    <x v="296"/>
    <x v="23"/>
    <x v="946"/>
    <x v="1497"/>
    <x v="3087"/>
    <x v="1519"/>
    <x v="206"/>
    <x v="205"/>
    <x v="3"/>
  </r>
  <r>
    <x v="349"/>
    <x v="40"/>
    <x v="9"/>
    <x v="665"/>
    <x v="305"/>
    <x v="30"/>
    <x v="620"/>
    <x v="1214"/>
    <x v="2837"/>
    <x v="914"/>
    <x v="206"/>
    <x v="205"/>
    <x v="4"/>
  </r>
  <r>
    <x v="350"/>
    <x v="40"/>
    <x v="12"/>
    <x v="704"/>
    <x v="305"/>
    <x v="30"/>
    <x v="758"/>
    <x v="1417"/>
    <x v="2979"/>
    <x v="1134"/>
    <x v="206"/>
    <x v="205"/>
    <x v="5"/>
  </r>
  <r>
    <x v="351"/>
    <x v="40"/>
    <x v="15"/>
    <x v="670"/>
    <x v="312"/>
    <x v="30"/>
    <x v="1096"/>
    <x v="1618"/>
    <x v="3212"/>
    <x v="1805"/>
    <x v="206"/>
    <x v="205"/>
    <x v="6"/>
  </r>
  <r>
    <x v="352"/>
    <x v="40"/>
    <x v="20"/>
    <x v="673"/>
    <x v="312"/>
    <x v="26"/>
    <x v="949"/>
    <x v="1578"/>
    <x v="3197"/>
    <x v="1510"/>
    <x v="206"/>
    <x v="205"/>
    <x v="7"/>
  </r>
  <r>
    <x v="353"/>
    <x v="40"/>
    <x v="25"/>
    <x v="678"/>
    <x v="312"/>
    <x v="12"/>
    <x v="1169"/>
    <x v="1790"/>
    <x v="3301"/>
    <x v="1920"/>
    <x v="206"/>
    <x v="205"/>
    <x v="8"/>
  </r>
  <r>
    <x v="354"/>
    <x v="40"/>
    <x v="28"/>
    <x v="681"/>
    <x v="312"/>
    <x v="12"/>
    <x v="1140"/>
    <x v="1805"/>
    <x v="3285"/>
    <x v="1880"/>
    <x v="206"/>
    <x v="205"/>
    <x v="9"/>
  </r>
  <r>
    <x v="355"/>
    <x v="41"/>
    <x v="1"/>
    <x v="778"/>
    <x v="380"/>
    <x v="27"/>
    <x v="2033"/>
    <x v="410"/>
    <x v="2330"/>
    <x v="2952"/>
    <x v="26"/>
    <x v="32"/>
    <x v="1"/>
  </r>
  <r>
    <x v="356"/>
    <x v="41"/>
    <x v="4"/>
    <x v="820"/>
    <x v="380"/>
    <x v="28"/>
    <x v="1795"/>
    <x v="322"/>
    <x v="2255"/>
    <x v="2628"/>
    <x v="26"/>
    <x v="32"/>
    <x v="2"/>
  </r>
  <r>
    <x v="357"/>
    <x v="41"/>
    <x v="6"/>
    <x v="890"/>
    <x v="380"/>
    <x v="21"/>
    <x v="2434"/>
    <x v="628"/>
    <x v="2833"/>
    <x v="3220"/>
    <x v="26"/>
    <x v="32"/>
    <x v="3"/>
  </r>
  <r>
    <x v="358"/>
    <x v="41"/>
    <x v="9"/>
    <x v="946"/>
    <x v="380"/>
    <x v="28"/>
    <x v="2355"/>
    <x v="1041"/>
    <x v="2924"/>
    <x v="3142"/>
    <x v="26"/>
    <x v="32"/>
    <x v="4"/>
  </r>
  <r>
    <x v="359"/>
    <x v="41"/>
    <x v="12"/>
    <x v="981"/>
    <x v="380"/>
    <x v="29"/>
    <x v="2890"/>
    <x v="1429"/>
    <x v="3265"/>
    <x v="3411"/>
    <x v="26"/>
    <x v="32"/>
    <x v="5"/>
  </r>
  <r>
    <x v="360"/>
    <x v="41"/>
    <x v="15"/>
    <x v="1029"/>
    <x v="380"/>
    <x v="34"/>
    <x v="2606"/>
    <x v="1266"/>
    <x v="2919"/>
    <x v="3229"/>
    <x v="26"/>
    <x v="32"/>
    <x v="6"/>
  </r>
  <r>
    <x v="361"/>
    <x v="41"/>
    <x v="20"/>
    <x v="1085"/>
    <x v="380"/>
    <x v="41"/>
    <x v="2759"/>
    <x v="1520"/>
    <x v="3009"/>
    <x v="3308"/>
    <x v="26"/>
    <x v="32"/>
    <x v="7"/>
  </r>
  <r>
    <x v="362"/>
    <x v="41"/>
    <x v="25"/>
    <x v="1142"/>
    <x v="380"/>
    <x v="37"/>
    <x v="2073"/>
    <x v="1161"/>
    <x v="2092"/>
    <x v="2570"/>
    <x v="26"/>
    <x v="32"/>
    <x v="8"/>
  </r>
  <r>
    <x v="363"/>
    <x v="41"/>
    <x v="28"/>
    <x v="1142"/>
    <x v="380"/>
    <x v="37"/>
    <x v="2614"/>
    <x v="1634"/>
    <x v="2936"/>
    <x v="3176"/>
    <x v="26"/>
    <x v="32"/>
    <x v="9"/>
  </r>
  <r>
    <x v="364"/>
    <x v="42"/>
    <x v="1"/>
    <x v="975"/>
    <x v="108"/>
    <x v="8"/>
    <x v="259"/>
    <x v="187"/>
    <x v="2297"/>
    <x v="268"/>
    <x v="33"/>
    <x v="61"/>
    <x v="1"/>
  </r>
  <r>
    <x v="365"/>
    <x v="42"/>
    <x v="4"/>
    <x v="961"/>
    <x v="415"/>
    <x v="19"/>
    <x v="1594"/>
    <x v="495"/>
    <x v="708"/>
    <x v="2126"/>
    <x v="33"/>
    <x v="61"/>
    <x v="2"/>
  </r>
  <r>
    <x v="366"/>
    <x v="42"/>
    <x v="6"/>
    <x v="959"/>
    <x v="415"/>
    <x v="24"/>
    <x v="3213"/>
    <x v="1729"/>
    <x v="3400"/>
    <x v="3490"/>
    <x v="33"/>
    <x v="61"/>
    <x v="3"/>
  </r>
  <r>
    <x v="367"/>
    <x v="42"/>
    <x v="9"/>
    <x v="967"/>
    <x v="415"/>
    <x v="24"/>
    <x v="1087"/>
    <x v="452"/>
    <x v="693"/>
    <x v="1337"/>
    <x v="33"/>
    <x v="61"/>
    <x v="4"/>
  </r>
  <r>
    <x v="368"/>
    <x v="42"/>
    <x v="12"/>
    <x v="978"/>
    <x v="415"/>
    <x v="24"/>
    <x v="1751"/>
    <x v="747"/>
    <x v="1604"/>
    <x v="2344"/>
    <x v="33"/>
    <x v="61"/>
    <x v="5"/>
  </r>
  <r>
    <x v="369"/>
    <x v="42"/>
    <x v="15"/>
    <x v="980"/>
    <x v="415"/>
    <x v="24"/>
    <x v="1478"/>
    <x v="641"/>
    <x v="1241"/>
    <x v="1924"/>
    <x v="33"/>
    <x v="61"/>
    <x v="6"/>
  </r>
  <r>
    <x v="370"/>
    <x v="42"/>
    <x v="20"/>
    <x v="979"/>
    <x v="415"/>
    <x v="24"/>
    <x v="1550"/>
    <x v="689"/>
    <x v="1429"/>
    <x v="2026"/>
    <x v="33"/>
    <x v="61"/>
    <x v="7"/>
  </r>
  <r>
    <x v="371"/>
    <x v="42"/>
    <x v="25"/>
    <x v="982"/>
    <x v="415"/>
    <x v="26"/>
    <x v="1161"/>
    <x v="512"/>
    <x v="1233"/>
    <x v="1415"/>
    <x v="33"/>
    <x v="61"/>
    <x v="8"/>
  </r>
  <r>
    <x v="372"/>
    <x v="42"/>
    <x v="28"/>
    <x v="987"/>
    <x v="415"/>
    <x v="28"/>
    <x v="2229"/>
    <x v="1220"/>
    <x v="2699"/>
    <x v="2973"/>
    <x v="33"/>
    <x v="61"/>
    <x v="9"/>
  </r>
  <r>
    <x v="373"/>
    <x v="42"/>
    <x v="30"/>
    <x v="987"/>
    <x v="415"/>
    <x v="30"/>
    <x v="1331"/>
    <x v="694"/>
    <x v="1504"/>
    <x v="1676"/>
    <x v="33"/>
    <x v="61"/>
    <x v="10"/>
  </r>
  <r>
    <x v="374"/>
    <x v="43"/>
    <x v="1"/>
    <x v="1125"/>
    <x v="493"/>
    <x v="10"/>
    <x v="1571"/>
    <x v="473"/>
    <x v="1915"/>
    <x v="1809"/>
    <x v="104"/>
    <x v="123"/>
    <x v="1"/>
  </r>
  <r>
    <x v="375"/>
    <x v="43"/>
    <x v="4"/>
    <x v="1133"/>
    <x v="493"/>
    <x v="17"/>
    <x v="911"/>
    <x v="281"/>
    <x v="416"/>
    <x v="826"/>
    <x v="104"/>
    <x v="123"/>
    <x v="2"/>
  </r>
  <r>
    <x v="376"/>
    <x v="43"/>
    <x v="6"/>
    <x v="1125"/>
    <x v="493"/>
    <x v="12"/>
    <x v="3362"/>
    <x v="1753"/>
    <x v="3482"/>
    <x v="3500"/>
    <x v="104"/>
    <x v="123"/>
    <x v="3"/>
  </r>
  <r>
    <x v="377"/>
    <x v="43"/>
    <x v="9"/>
    <x v="1125"/>
    <x v="493"/>
    <x v="12"/>
    <x v="3257"/>
    <x v="1530"/>
    <x v="3458"/>
    <x v="3484"/>
    <x v="104"/>
    <x v="123"/>
    <x v="4"/>
  </r>
  <r>
    <x v="378"/>
    <x v="43"/>
    <x v="12"/>
    <x v="1147"/>
    <x v="493"/>
    <x v="17"/>
    <x v="1775"/>
    <x v="580"/>
    <x v="1087"/>
    <x v="2088"/>
    <x v="104"/>
    <x v="123"/>
    <x v="5"/>
  </r>
  <r>
    <x v="379"/>
    <x v="43"/>
    <x v="15"/>
    <x v="1150"/>
    <x v="493"/>
    <x v="20"/>
    <x v="3045"/>
    <x v="1645"/>
    <x v="3113"/>
    <x v="3426"/>
    <x v="104"/>
    <x v="123"/>
    <x v="6"/>
  </r>
  <r>
    <x v="380"/>
    <x v="43"/>
    <x v="20"/>
    <x v="1147"/>
    <x v="493"/>
    <x v="18"/>
    <x v="3157"/>
    <x v="1508"/>
    <x v="3372"/>
    <x v="3463"/>
    <x v="104"/>
    <x v="123"/>
    <x v="7"/>
  </r>
  <r>
    <x v="381"/>
    <x v="43"/>
    <x v="25"/>
    <x v="1147"/>
    <x v="493"/>
    <x v="18"/>
    <x v="2792"/>
    <x v="1175"/>
    <x v="3318"/>
    <x v="3294"/>
    <x v="104"/>
    <x v="123"/>
    <x v="8"/>
  </r>
  <r>
    <x v="382"/>
    <x v="43"/>
    <x v="28"/>
    <x v="1147"/>
    <x v="493"/>
    <x v="17"/>
    <x v="2983"/>
    <x v="1326"/>
    <x v="3316"/>
    <x v="3397"/>
    <x v="104"/>
    <x v="123"/>
    <x v="9"/>
  </r>
  <r>
    <x v="383"/>
    <x v="43"/>
    <x v="30"/>
    <x v="1147"/>
    <x v="493"/>
    <x v="25"/>
    <x v="3058"/>
    <x v="1698"/>
    <x v="3374"/>
    <x v="3435"/>
    <x v="104"/>
    <x v="123"/>
    <x v="10"/>
  </r>
  <r>
    <x v="384"/>
    <x v="44"/>
    <x v="1"/>
    <x v="536"/>
    <x v="171"/>
    <x v="53"/>
    <x v="1600"/>
    <x v="1418"/>
    <x v="3019"/>
    <x v="2794"/>
    <x v="164"/>
    <x v="168"/>
    <x v="1"/>
  </r>
  <r>
    <x v="385"/>
    <x v="44"/>
    <x v="4"/>
    <x v="570"/>
    <x v="171"/>
    <x v="4"/>
    <x v="1613"/>
    <x v="766"/>
    <x v="2784"/>
    <x v="2746"/>
    <x v="164"/>
    <x v="168"/>
    <x v="2"/>
  </r>
  <r>
    <x v="386"/>
    <x v="44"/>
    <x v="6"/>
    <x v="586"/>
    <x v="171"/>
    <x v="4"/>
    <x v="1811"/>
    <x v="872"/>
    <x v="2941"/>
    <x v="2946"/>
    <x v="164"/>
    <x v="168"/>
    <x v="3"/>
  </r>
  <r>
    <x v="387"/>
    <x v="44"/>
    <x v="9"/>
    <x v="597"/>
    <x v="171"/>
    <x v="4"/>
    <x v="1730"/>
    <x v="820"/>
    <x v="2896"/>
    <x v="2837"/>
    <x v="164"/>
    <x v="168"/>
    <x v="4"/>
  </r>
  <r>
    <x v="388"/>
    <x v="44"/>
    <x v="12"/>
    <x v="661"/>
    <x v="171"/>
    <x v="4"/>
    <x v="1929"/>
    <x v="929"/>
    <x v="3014"/>
    <x v="2970"/>
    <x v="164"/>
    <x v="168"/>
    <x v="5"/>
  </r>
  <r>
    <x v="389"/>
    <x v="44"/>
    <x v="15"/>
    <x v="701"/>
    <x v="171"/>
    <x v="4"/>
    <x v="153"/>
    <x v="80"/>
    <x v="408"/>
    <x v="206"/>
    <x v="164"/>
    <x v="168"/>
    <x v="6"/>
  </r>
  <r>
    <x v="390"/>
    <x v="44"/>
    <x v="20"/>
    <x v="711"/>
    <x v="171"/>
    <x v="4"/>
    <x v="156"/>
    <x v="81"/>
    <x v="413"/>
    <x v="207"/>
    <x v="164"/>
    <x v="168"/>
    <x v="7"/>
  </r>
  <r>
    <x v="391"/>
    <x v="44"/>
    <x v="25"/>
    <x v="733"/>
    <x v="246"/>
    <x v="11"/>
    <x v="237"/>
    <x v="124"/>
    <x v="672"/>
    <x v="305"/>
    <x v="164"/>
    <x v="168"/>
    <x v="8"/>
  </r>
  <r>
    <x v="392"/>
    <x v="44"/>
    <x v="28"/>
    <x v="745"/>
    <x v="246"/>
    <x v="14"/>
    <x v="340"/>
    <x v="171"/>
    <x v="610"/>
    <x v="444"/>
    <x v="164"/>
    <x v="168"/>
    <x v="9"/>
  </r>
  <r>
    <x v="393"/>
    <x v="45"/>
    <x v="1"/>
    <x v="185"/>
    <x v="136"/>
    <x v="25"/>
    <x v="1848"/>
    <x v="1732"/>
    <x v="3159"/>
    <x v="3320"/>
    <x v="13"/>
    <x v="13"/>
    <x v="1"/>
  </r>
  <r>
    <x v="394"/>
    <x v="45"/>
    <x v="4"/>
    <x v="263"/>
    <x v="153"/>
    <x v="23"/>
    <x v="1692"/>
    <x v="3482"/>
    <x v="3084"/>
    <x v="3171"/>
    <x v="13"/>
    <x v="13"/>
    <x v="2"/>
  </r>
  <r>
    <x v="395"/>
    <x v="45"/>
    <x v="6"/>
    <x v="263"/>
    <x v="153"/>
    <x v="30"/>
    <x v="1537"/>
    <x v="1234"/>
    <x v="2753"/>
    <x v="3077"/>
    <x v="13"/>
    <x v="13"/>
    <x v="3"/>
  </r>
  <r>
    <x v="396"/>
    <x v="45"/>
    <x v="9"/>
    <x v="275"/>
    <x v="189"/>
    <x v="30"/>
    <x v="1462"/>
    <x v="3482"/>
    <x v="2709"/>
    <x v="2971"/>
    <x v="13"/>
    <x v="13"/>
    <x v="4"/>
  </r>
  <r>
    <x v="397"/>
    <x v="45"/>
    <x v="12"/>
    <x v="275"/>
    <x v="189"/>
    <x v="34"/>
    <x v="1071"/>
    <x v="3482"/>
    <x v="2080"/>
    <x v="2498"/>
    <x v="13"/>
    <x v="13"/>
    <x v="5"/>
  </r>
  <r>
    <x v="398"/>
    <x v="45"/>
    <x v="15"/>
    <x v="275"/>
    <x v="189"/>
    <x v="30"/>
    <x v="1502"/>
    <x v="3482"/>
    <x v="2642"/>
    <x v="3022"/>
    <x v="13"/>
    <x v="13"/>
    <x v="6"/>
  </r>
  <r>
    <x v="399"/>
    <x v="45"/>
    <x v="20"/>
    <x v="346"/>
    <x v="189"/>
    <x v="34"/>
    <x v="1219"/>
    <x v="431"/>
    <x v="2286"/>
    <x v="2600"/>
    <x v="13"/>
    <x v="13"/>
    <x v="7"/>
  </r>
  <r>
    <x v="400"/>
    <x v="45"/>
    <x v="25"/>
    <x v="303"/>
    <x v="189"/>
    <x v="34"/>
    <x v="807"/>
    <x v="429"/>
    <x v="2180"/>
    <x v="1926"/>
    <x v="13"/>
    <x v="13"/>
    <x v="8"/>
  </r>
  <r>
    <x v="401"/>
    <x v="46"/>
    <x v="1"/>
    <x v="2834"/>
    <x v="1703"/>
    <x v="24"/>
    <x v="3389"/>
    <x v="2984"/>
    <x v="1842"/>
    <x v="2607"/>
    <x v="39"/>
    <x v="27"/>
    <x v="1"/>
  </r>
  <r>
    <x v="402"/>
    <x v="46"/>
    <x v="4"/>
    <x v="2838"/>
    <x v="1703"/>
    <x v="25"/>
    <x v="3418"/>
    <x v="3221"/>
    <x v="2530"/>
    <x v="3083"/>
    <x v="39"/>
    <x v="27"/>
    <x v="2"/>
  </r>
  <r>
    <x v="403"/>
    <x v="46"/>
    <x v="6"/>
    <x v="2840"/>
    <x v="1713"/>
    <x v="26"/>
    <x v="3440"/>
    <x v="3259"/>
    <x v="2732"/>
    <x v="3196"/>
    <x v="39"/>
    <x v="27"/>
    <x v="3"/>
  </r>
  <r>
    <x v="404"/>
    <x v="46"/>
    <x v="9"/>
    <x v="2843"/>
    <x v="1714"/>
    <x v="28"/>
    <x v="3301"/>
    <x v="2880"/>
    <x v="1452"/>
    <x v="2011"/>
    <x v="39"/>
    <x v="27"/>
    <x v="4"/>
  </r>
  <r>
    <x v="405"/>
    <x v="46"/>
    <x v="12"/>
    <x v="2844"/>
    <x v="1715"/>
    <x v="28"/>
    <x v="3432"/>
    <x v="3308"/>
    <x v="2617"/>
    <x v="3138"/>
    <x v="39"/>
    <x v="27"/>
    <x v="5"/>
  </r>
  <r>
    <x v="406"/>
    <x v="46"/>
    <x v="15"/>
    <x v="2839"/>
    <x v="1715"/>
    <x v="30"/>
    <x v="3405"/>
    <x v="3166"/>
    <x v="2166"/>
    <x v="2781"/>
    <x v="39"/>
    <x v="27"/>
    <x v="6"/>
  </r>
  <r>
    <x v="407"/>
    <x v="46"/>
    <x v="20"/>
    <x v="2842"/>
    <x v="1716"/>
    <x v="27"/>
    <x v="3323"/>
    <x v="3037"/>
    <x v="1655"/>
    <x v="2181"/>
    <x v="39"/>
    <x v="27"/>
    <x v="7"/>
  </r>
  <r>
    <x v="408"/>
    <x v="46"/>
    <x v="25"/>
    <x v="2841"/>
    <x v="1718"/>
    <x v="32"/>
    <x v="3373"/>
    <x v="3127"/>
    <x v="1984"/>
    <x v="2456"/>
    <x v="39"/>
    <x v="27"/>
    <x v="8"/>
  </r>
  <r>
    <x v="409"/>
    <x v="46"/>
    <x v="28"/>
    <x v="2845"/>
    <x v="1721"/>
    <x v="32"/>
    <x v="3425"/>
    <x v="3336"/>
    <x v="2705"/>
    <x v="3093"/>
    <x v="39"/>
    <x v="27"/>
    <x v="9"/>
  </r>
  <r>
    <x v="410"/>
    <x v="47"/>
    <x v="3"/>
    <x v="1052"/>
    <x v="556"/>
    <x v="24"/>
    <x v="1656"/>
    <x v="811"/>
    <x v="1579"/>
    <x v="2041"/>
    <x v="91"/>
    <x v="115"/>
    <x v="1"/>
  </r>
  <r>
    <x v="411"/>
    <x v="47"/>
    <x v="5"/>
    <x v="1070"/>
    <x v="508"/>
    <x v="25"/>
    <x v="2518"/>
    <x v="1380"/>
    <x v="2922"/>
    <x v="3161"/>
    <x v="91"/>
    <x v="115"/>
    <x v="2"/>
  </r>
  <r>
    <x v="412"/>
    <x v="47"/>
    <x v="8"/>
    <x v="1080"/>
    <x v="517"/>
    <x v="25"/>
    <x v="2699"/>
    <x v="1587"/>
    <x v="2950"/>
    <x v="3272"/>
    <x v="91"/>
    <x v="115"/>
    <x v="3"/>
  </r>
  <r>
    <x v="413"/>
    <x v="47"/>
    <x v="11"/>
    <x v="1093"/>
    <x v="517"/>
    <x v="23"/>
    <x v="2651"/>
    <x v="1643"/>
    <x v="2983"/>
    <x v="3224"/>
    <x v="91"/>
    <x v="115"/>
    <x v="4"/>
  </r>
  <r>
    <x v="414"/>
    <x v="47"/>
    <x v="13"/>
    <x v="1134"/>
    <x v="517"/>
    <x v="27"/>
    <x v="3033"/>
    <x v="2238"/>
    <x v="3258"/>
    <x v="3425"/>
    <x v="91"/>
    <x v="115"/>
    <x v="5"/>
  </r>
  <r>
    <x v="415"/>
    <x v="47"/>
    <x v="14"/>
    <x v="1134"/>
    <x v="517"/>
    <x v="27"/>
    <x v="2970"/>
    <x v="2158"/>
    <x v="3226"/>
    <x v="3396"/>
    <x v="91"/>
    <x v="115"/>
    <x v="5"/>
  </r>
  <r>
    <x v="416"/>
    <x v="47"/>
    <x v="17"/>
    <x v="1151"/>
    <x v="522"/>
    <x v="26"/>
    <x v="2808"/>
    <x v="1897"/>
    <x v="3045"/>
    <x v="3305"/>
    <x v="91"/>
    <x v="115"/>
    <x v="6"/>
  </r>
  <r>
    <x v="417"/>
    <x v="47"/>
    <x v="22"/>
    <x v="1198"/>
    <x v="531"/>
    <x v="22"/>
    <x v="2573"/>
    <x v="1829"/>
    <x v="2956"/>
    <x v="3117"/>
    <x v="91"/>
    <x v="115"/>
    <x v="7"/>
  </r>
  <r>
    <x v="418"/>
    <x v="47"/>
    <x v="27"/>
    <x v="1166"/>
    <x v="537"/>
    <x v="21"/>
    <x v="2816"/>
    <x v="2160"/>
    <x v="2985"/>
    <x v="3289"/>
    <x v="91"/>
    <x v="115"/>
    <x v="8"/>
  </r>
  <r>
    <x v="419"/>
    <x v="47"/>
    <x v="29"/>
    <x v="1174"/>
    <x v="537"/>
    <x v="30"/>
    <x v="1382"/>
    <x v="402"/>
    <x v="1209"/>
    <x v="1441"/>
    <x v="91"/>
    <x v="115"/>
    <x v="9"/>
  </r>
  <r>
    <x v="420"/>
    <x v="48"/>
    <x v="1"/>
    <x v="911"/>
    <x v="503"/>
    <x v="26"/>
    <x v="2358"/>
    <x v="1974"/>
    <x v="2249"/>
    <x v="3170"/>
    <x v="100"/>
    <x v="18"/>
    <x v="1"/>
  </r>
  <r>
    <x v="421"/>
    <x v="48"/>
    <x v="4"/>
    <x v="920"/>
    <x v="503"/>
    <x v="26"/>
    <x v="1497"/>
    <x v="1661"/>
    <x v="963"/>
    <x v="2083"/>
    <x v="100"/>
    <x v="18"/>
    <x v="2"/>
  </r>
  <r>
    <x v="422"/>
    <x v="48"/>
    <x v="6"/>
    <x v="921"/>
    <x v="553"/>
    <x v="26"/>
    <x v="10"/>
    <x v="17"/>
    <x v="15"/>
    <x v="7"/>
    <x v="100"/>
    <x v="18"/>
    <x v="3"/>
  </r>
  <r>
    <x v="423"/>
    <x v="48"/>
    <x v="9"/>
    <x v="921"/>
    <x v="553"/>
    <x v="26"/>
    <x v="5"/>
    <x v="3"/>
    <x v="2"/>
    <x v="0"/>
    <x v="100"/>
    <x v="18"/>
    <x v="4"/>
  </r>
  <r>
    <x v="424"/>
    <x v="48"/>
    <x v="12"/>
    <x v="932"/>
    <x v="537"/>
    <x v="26"/>
    <x v="1912"/>
    <x v="1889"/>
    <x v="1722"/>
    <x v="2640"/>
    <x v="100"/>
    <x v="18"/>
    <x v="5"/>
  </r>
  <r>
    <x v="425"/>
    <x v="48"/>
    <x v="15"/>
    <x v="937"/>
    <x v="558"/>
    <x v="30"/>
    <x v="2066"/>
    <x v="2002"/>
    <x v="1673"/>
    <x v="2836"/>
    <x v="100"/>
    <x v="18"/>
    <x v="6"/>
  </r>
  <r>
    <x v="426"/>
    <x v="48"/>
    <x v="27"/>
    <x v="938"/>
    <x v="544"/>
    <x v="26"/>
    <x v="1261"/>
    <x v="1719"/>
    <x v="1670"/>
    <x v="1641"/>
    <x v="100"/>
    <x v="18"/>
    <x v="8"/>
  </r>
  <r>
    <x v="427"/>
    <x v="49"/>
    <x v="3"/>
    <x v="37"/>
    <x v="7"/>
    <x v="12"/>
    <x v="1675"/>
    <x v="899"/>
    <x v="2616"/>
    <x v="3341"/>
    <x v="180"/>
    <x v="184"/>
    <x v="1"/>
  </r>
  <r>
    <x v="428"/>
    <x v="49"/>
    <x v="4"/>
    <x v="232"/>
    <x v="10"/>
    <x v="43"/>
    <x v="1642"/>
    <x v="3482"/>
    <x v="2546"/>
    <x v="3167"/>
    <x v="180"/>
    <x v="184"/>
    <x v="2"/>
  </r>
  <r>
    <x v="429"/>
    <x v="49"/>
    <x v="5"/>
    <x v="37"/>
    <x v="7"/>
    <x v="12"/>
    <x v="1508"/>
    <x v="828"/>
    <x v="2606"/>
    <x v="3252"/>
    <x v="180"/>
    <x v="184"/>
    <x v="2"/>
  </r>
  <r>
    <x v="430"/>
    <x v="49"/>
    <x v="8"/>
    <x v="37"/>
    <x v="7"/>
    <x v="12"/>
    <x v="1131"/>
    <x v="1188"/>
    <x v="1851"/>
    <x v="2969"/>
    <x v="180"/>
    <x v="184"/>
    <x v="3"/>
  </r>
  <r>
    <x v="431"/>
    <x v="49"/>
    <x v="11"/>
    <x v="37"/>
    <x v="7"/>
    <x v="12"/>
    <x v="2286"/>
    <x v="2126"/>
    <x v="3209"/>
    <x v="3475"/>
    <x v="180"/>
    <x v="184"/>
    <x v="4"/>
  </r>
  <r>
    <x v="432"/>
    <x v="49"/>
    <x v="13"/>
    <x v="40"/>
    <x v="7"/>
    <x v="20"/>
    <x v="1659"/>
    <x v="1619"/>
    <x v="2366"/>
    <x v="3338"/>
    <x v="180"/>
    <x v="184"/>
    <x v="5"/>
  </r>
  <r>
    <x v="433"/>
    <x v="49"/>
    <x v="17"/>
    <x v="37"/>
    <x v="7"/>
    <x v="20"/>
    <x v="472"/>
    <x v="142"/>
    <x v="897"/>
    <x v="1598"/>
    <x v="180"/>
    <x v="184"/>
    <x v="6"/>
  </r>
  <r>
    <x v="434"/>
    <x v="49"/>
    <x v="22"/>
    <x v="37"/>
    <x v="7"/>
    <x v="15"/>
    <x v="224"/>
    <x v="141"/>
    <x v="208"/>
    <x v="610"/>
    <x v="180"/>
    <x v="184"/>
    <x v="7"/>
  </r>
  <r>
    <x v="435"/>
    <x v="49"/>
    <x v="27"/>
    <x v="41"/>
    <x v="7"/>
    <x v="22"/>
    <x v="517"/>
    <x v="470"/>
    <x v="285"/>
    <x v="1721"/>
    <x v="180"/>
    <x v="184"/>
    <x v="8"/>
  </r>
  <r>
    <x v="436"/>
    <x v="49"/>
    <x v="29"/>
    <x v="41"/>
    <x v="7"/>
    <x v="39"/>
    <x v="160"/>
    <x v="96"/>
    <x v="58"/>
    <x v="391"/>
    <x v="180"/>
    <x v="184"/>
    <x v="9"/>
  </r>
  <r>
    <x v="437"/>
    <x v="50"/>
    <x v="1"/>
    <x v="1273"/>
    <x v="573"/>
    <x v="16"/>
    <x v="1196"/>
    <x v="290"/>
    <x v="406"/>
    <x v="1057"/>
    <x v="237"/>
    <x v="18"/>
    <x v="1"/>
  </r>
  <r>
    <x v="438"/>
    <x v="50"/>
    <x v="4"/>
    <x v="1274"/>
    <x v="573"/>
    <x v="16"/>
    <x v="1167"/>
    <x v="283"/>
    <x v="357"/>
    <x v="1017"/>
    <x v="237"/>
    <x v="18"/>
    <x v="2"/>
  </r>
  <r>
    <x v="439"/>
    <x v="50"/>
    <x v="6"/>
    <x v="1287"/>
    <x v="582"/>
    <x v="16"/>
    <x v="447"/>
    <x v="349"/>
    <x v="309"/>
    <x v="376"/>
    <x v="237"/>
    <x v="18"/>
    <x v="3"/>
  </r>
  <r>
    <x v="440"/>
    <x v="50"/>
    <x v="9"/>
    <x v="1272"/>
    <x v="604"/>
    <x v="16"/>
    <x v="365"/>
    <x v="661"/>
    <x v="343"/>
    <x v="299"/>
    <x v="237"/>
    <x v="18"/>
    <x v="4"/>
  </r>
  <r>
    <x v="441"/>
    <x v="50"/>
    <x v="12"/>
    <x v="1312"/>
    <x v="634"/>
    <x v="16"/>
    <x v="287"/>
    <x v="381"/>
    <x v="305"/>
    <x v="233"/>
    <x v="237"/>
    <x v="18"/>
    <x v="5"/>
  </r>
  <r>
    <x v="442"/>
    <x v="50"/>
    <x v="15"/>
    <x v="1406"/>
    <x v="641"/>
    <x v="12"/>
    <x v="268"/>
    <x v="377"/>
    <x v="290"/>
    <x v="210"/>
    <x v="237"/>
    <x v="18"/>
    <x v="6"/>
  </r>
  <r>
    <x v="443"/>
    <x v="50"/>
    <x v="20"/>
    <x v="1399"/>
    <x v="674"/>
    <x v="18"/>
    <x v="1117"/>
    <x v="1473"/>
    <x v="760"/>
    <x v="814"/>
    <x v="237"/>
    <x v="18"/>
    <x v="7"/>
  </r>
  <r>
    <x v="444"/>
    <x v="50"/>
    <x v="25"/>
    <x v="1425"/>
    <x v="686"/>
    <x v="18"/>
    <x v="1070"/>
    <x v="1145"/>
    <x v="859"/>
    <x v="824"/>
    <x v="237"/>
    <x v="18"/>
    <x v="8"/>
  </r>
  <r>
    <x v="445"/>
    <x v="50"/>
    <x v="28"/>
    <x v="1508"/>
    <x v="747"/>
    <x v="18"/>
    <x v="1410"/>
    <x v="792"/>
    <x v="757"/>
    <x v="1008"/>
    <x v="237"/>
    <x v="18"/>
    <x v="9"/>
  </r>
  <r>
    <x v="446"/>
    <x v="51"/>
    <x v="3"/>
    <x v="1326"/>
    <x v="915"/>
    <x v="36"/>
    <x v="2469"/>
    <x v="1075"/>
    <x v="2681"/>
    <x v="2896"/>
    <x v="165"/>
    <x v="268"/>
    <x v="1"/>
  </r>
  <r>
    <x v="447"/>
    <x v="51"/>
    <x v="5"/>
    <x v="1401"/>
    <x v="1027"/>
    <x v="37"/>
    <x v="2096"/>
    <x v="668"/>
    <x v="1889"/>
    <x v="2214"/>
    <x v="165"/>
    <x v="268"/>
    <x v="2"/>
  </r>
  <r>
    <x v="448"/>
    <x v="51"/>
    <x v="8"/>
    <x v="1378"/>
    <x v="1067"/>
    <x v="38"/>
    <x v="2209"/>
    <x v="684"/>
    <x v="2210"/>
    <x v="2480"/>
    <x v="165"/>
    <x v="268"/>
    <x v="3"/>
  </r>
  <r>
    <x v="449"/>
    <x v="51"/>
    <x v="11"/>
    <x v="1397"/>
    <x v="1031"/>
    <x v="38"/>
    <x v="2316"/>
    <x v="775"/>
    <x v="2427"/>
    <x v="2579"/>
    <x v="165"/>
    <x v="268"/>
    <x v="4"/>
  </r>
  <r>
    <x v="450"/>
    <x v="51"/>
    <x v="13"/>
    <x v="1376"/>
    <x v="1070"/>
    <x v="36"/>
    <x v="1685"/>
    <x v="398"/>
    <x v="2327"/>
    <x v="1560"/>
    <x v="165"/>
    <x v="268"/>
    <x v="5"/>
  </r>
  <r>
    <x v="451"/>
    <x v="51"/>
    <x v="17"/>
    <x v="1381"/>
    <x v="1070"/>
    <x v="36"/>
    <x v="137"/>
    <x v="54"/>
    <x v="1282"/>
    <x v="108"/>
    <x v="165"/>
    <x v="268"/>
    <x v="6"/>
  </r>
  <r>
    <x v="452"/>
    <x v="51"/>
    <x v="22"/>
    <x v="1376"/>
    <x v="1034"/>
    <x v="32"/>
    <x v="1244"/>
    <x v="484"/>
    <x v="2124"/>
    <x v="981"/>
    <x v="165"/>
    <x v="268"/>
    <x v="7"/>
  </r>
  <r>
    <x v="453"/>
    <x v="51"/>
    <x v="27"/>
    <x v="1383"/>
    <x v="1089"/>
    <x v="31"/>
    <x v="1871"/>
    <x v="890"/>
    <x v="2677"/>
    <x v="1861"/>
    <x v="165"/>
    <x v="268"/>
    <x v="8"/>
  </r>
  <r>
    <x v="454"/>
    <x v="51"/>
    <x v="29"/>
    <x v="1384"/>
    <x v="1080"/>
    <x v="34"/>
    <x v="2368"/>
    <x v="1184"/>
    <x v="2618"/>
    <x v="2689"/>
    <x v="165"/>
    <x v="268"/>
    <x v="9"/>
  </r>
  <r>
    <x v="455"/>
    <x v="52"/>
    <x v="1"/>
    <x v="447"/>
    <x v="363"/>
    <x v="25"/>
    <x v="830"/>
    <x v="1550"/>
    <x v="1924"/>
    <x v="1701"/>
    <x v="281"/>
    <x v="274"/>
    <x v="1"/>
  </r>
  <r>
    <x v="456"/>
    <x v="52"/>
    <x v="4"/>
    <x v="447"/>
    <x v="363"/>
    <x v="25"/>
    <x v="1060"/>
    <x v="1735"/>
    <x v="2287"/>
    <x v="2192"/>
    <x v="281"/>
    <x v="274"/>
    <x v="2"/>
  </r>
  <r>
    <x v="457"/>
    <x v="52"/>
    <x v="6"/>
    <x v="459"/>
    <x v="369"/>
    <x v="24"/>
    <x v="1052"/>
    <x v="311"/>
    <x v="2271"/>
    <x v="2154"/>
    <x v="281"/>
    <x v="274"/>
    <x v="3"/>
  </r>
  <r>
    <x v="458"/>
    <x v="52"/>
    <x v="9"/>
    <x v="466"/>
    <x v="389"/>
    <x v="19"/>
    <x v="1290"/>
    <x v="491"/>
    <x v="2665"/>
    <x v="2530"/>
    <x v="281"/>
    <x v="274"/>
    <x v="4"/>
  </r>
  <r>
    <x v="459"/>
    <x v="52"/>
    <x v="12"/>
    <x v="486"/>
    <x v="395"/>
    <x v="23"/>
    <x v="1223"/>
    <x v="408"/>
    <x v="2487"/>
    <x v="2410"/>
    <x v="281"/>
    <x v="274"/>
    <x v="5"/>
  </r>
  <r>
    <x v="460"/>
    <x v="52"/>
    <x v="15"/>
    <x v="491"/>
    <x v="400"/>
    <x v="28"/>
    <x v="1164"/>
    <x v="677"/>
    <x v="1921"/>
    <x v="2280"/>
    <x v="281"/>
    <x v="274"/>
    <x v="6"/>
  </r>
  <r>
    <x v="461"/>
    <x v="52"/>
    <x v="20"/>
    <x v="507"/>
    <x v="408"/>
    <x v="27"/>
    <x v="1299"/>
    <x v="746"/>
    <x v="2214"/>
    <x v="2455"/>
    <x v="281"/>
    <x v="274"/>
    <x v="7"/>
  </r>
  <r>
    <x v="462"/>
    <x v="52"/>
    <x v="25"/>
    <x v="512"/>
    <x v="410"/>
    <x v="32"/>
    <x v="1198"/>
    <x v="601"/>
    <x v="2242"/>
    <x v="2302"/>
    <x v="281"/>
    <x v="274"/>
    <x v="8"/>
  </r>
  <r>
    <x v="463"/>
    <x v="52"/>
    <x v="28"/>
    <x v="550"/>
    <x v="413"/>
    <x v="28"/>
    <x v="1535"/>
    <x v="810"/>
    <x v="2639"/>
    <x v="2706"/>
    <x v="281"/>
    <x v="274"/>
    <x v="9"/>
  </r>
  <r>
    <x v="464"/>
    <x v="53"/>
    <x v="1"/>
    <x v="405"/>
    <x v="439"/>
    <x v="16"/>
    <x v="1987"/>
    <x v="260"/>
    <x v="2765"/>
    <x v="3242"/>
    <x v="324"/>
    <x v="98"/>
    <x v="1"/>
  </r>
  <r>
    <x v="465"/>
    <x v="53"/>
    <x v="4"/>
    <x v="366"/>
    <x v="439"/>
    <x v="23"/>
    <x v="2311"/>
    <x v="1374"/>
    <x v="2763"/>
    <x v="3427"/>
    <x v="324"/>
    <x v="98"/>
    <x v="2"/>
  </r>
  <r>
    <x v="466"/>
    <x v="53"/>
    <x v="6"/>
    <x v="366"/>
    <x v="439"/>
    <x v="24"/>
    <x v="188"/>
    <x v="114"/>
    <x v="169"/>
    <x v="326"/>
    <x v="324"/>
    <x v="98"/>
    <x v="3"/>
  </r>
  <r>
    <x v="467"/>
    <x v="53"/>
    <x v="9"/>
    <x v="397"/>
    <x v="447"/>
    <x v="24"/>
    <x v="331"/>
    <x v="296"/>
    <x v="299"/>
    <x v="622"/>
    <x v="324"/>
    <x v="98"/>
    <x v="4"/>
  </r>
  <r>
    <x v="468"/>
    <x v="53"/>
    <x v="12"/>
    <x v="410"/>
    <x v="433"/>
    <x v="21"/>
    <x v="118"/>
    <x v="95"/>
    <x v="151"/>
    <x v="186"/>
    <x v="324"/>
    <x v="98"/>
    <x v="5"/>
  </r>
  <r>
    <x v="469"/>
    <x v="53"/>
    <x v="15"/>
    <x v="410"/>
    <x v="296"/>
    <x v="21"/>
    <x v="2027"/>
    <x v="3482"/>
    <x v="2391"/>
    <x v="3278"/>
    <x v="324"/>
    <x v="98"/>
    <x v="6"/>
  </r>
  <r>
    <x v="470"/>
    <x v="53"/>
    <x v="20"/>
    <x v="426"/>
    <x v="296"/>
    <x v="23"/>
    <x v="147"/>
    <x v="123"/>
    <x v="63"/>
    <x v="231"/>
    <x v="324"/>
    <x v="98"/>
    <x v="7"/>
  </r>
  <r>
    <x v="471"/>
    <x v="53"/>
    <x v="25"/>
    <x v="419"/>
    <x v="296"/>
    <x v="23"/>
    <x v="971"/>
    <x v="1036"/>
    <x v="626"/>
    <x v="2046"/>
    <x v="324"/>
    <x v="98"/>
    <x v="8"/>
  </r>
  <r>
    <x v="472"/>
    <x v="53"/>
    <x v="28"/>
    <x v="439"/>
    <x v="504"/>
    <x v="31"/>
    <x v="2398"/>
    <x v="1774"/>
    <x v="2961"/>
    <x v="3432"/>
    <x v="324"/>
    <x v="98"/>
    <x v="9"/>
  </r>
  <r>
    <x v="473"/>
    <x v="54"/>
    <x v="1"/>
    <x v="14"/>
    <x v="84"/>
    <x v="21"/>
    <x v="1411"/>
    <x v="642"/>
    <x v="3364"/>
    <x v="3210"/>
    <x v="347"/>
    <x v="330"/>
    <x v="1"/>
  </r>
  <r>
    <x v="474"/>
    <x v="54"/>
    <x v="4"/>
    <x v="14"/>
    <x v="84"/>
    <x v="22"/>
    <x v="790"/>
    <x v="342"/>
    <x v="3160"/>
    <x v="2508"/>
    <x v="347"/>
    <x v="330"/>
    <x v="2"/>
  </r>
  <r>
    <x v="475"/>
    <x v="54"/>
    <x v="6"/>
    <x v="99"/>
    <x v="147"/>
    <x v="37"/>
    <x v="990"/>
    <x v="439"/>
    <x v="3274"/>
    <x v="2632"/>
    <x v="347"/>
    <x v="330"/>
    <x v="3"/>
  </r>
  <r>
    <x v="476"/>
    <x v="54"/>
    <x v="12"/>
    <x v="93"/>
    <x v="147"/>
    <x v="38"/>
    <x v="1308"/>
    <x v="458"/>
    <x v="3078"/>
    <x v="3035"/>
    <x v="347"/>
    <x v="330"/>
    <x v="5"/>
  </r>
  <r>
    <x v="477"/>
    <x v="55"/>
    <x v="1"/>
    <x v="429"/>
    <x v="251"/>
    <x v="22"/>
    <x v="604"/>
    <x v="548"/>
    <x v="906"/>
    <x v="1219"/>
    <x v="375"/>
    <x v="100"/>
    <x v="1"/>
  </r>
  <r>
    <x v="478"/>
    <x v="55"/>
    <x v="6"/>
    <x v="462"/>
    <x v="281"/>
    <x v="31"/>
    <x v="125"/>
    <x v="73"/>
    <x v="209"/>
    <x v="202"/>
    <x v="375"/>
    <x v="100"/>
    <x v="3"/>
  </r>
  <r>
    <x v="479"/>
    <x v="55"/>
    <x v="9"/>
    <x v="462"/>
    <x v="281"/>
    <x v="31"/>
    <x v="125"/>
    <x v="379"/>
    <x v="209"/>
    <x v="202"/>
    <x v="375"/>
    <x v="100"/>
    <x v="4"/>
  </r>
  <r>
    <x v="480"/>
    <x v="55"/>
    <x v="12"/>
    <x v="488"/>
    <x v="292"/>
    <x v="18"/>
    <x v="2174"/>
    <x v="936"/>
    <x v="3178"/>
    <x v="3334"/>
    <x v="375"/>
    <x v="100"/>
    <x v="5"/>
  </r>
  <r>
    <x v="481"/>
    <x v="55"/>
    <x v="15"/>
    <x v="488"/>
    <x v="292"/>
    <x v="18"/>
    <x v="23"/>
    <x v="30"/>
    <x v="14"/>
    <x v="12"/>
    <x v="375"/>
    <x v="100"/>
    <x v="6"/>
  </r>
  <r>
    <x v="482"/>
    <x v="55"/>
    <x v="20"/>
    <x v="498"/>
    <x v="292"/>
    <x v="18"/>
    <x v="2400"/>
    <x v="1510"/>
    <x v="3288"/>
    <x v="3410"/>
    <x v="375"/>
    <x v="100"/>
    <x v="7"/>
  </r>
  <r>
    <x v="483"/>
    <x v="55"/>
    <x v="25"/>
    <x v="535"/>
    <x v="292"/>
    <x v="18"/>
    <x v="2274"/>
    <x v="1604"/>
    <x v="3279"/>
    <x v="3350"/>
    <x v="375"/>
    <x v="100"/>
    <x v="8"/>
  </r>
  <r>
    <x v="484"/>
    <x v="56"/>
    <x v="1"/>
    <x v="3"/>
    <x v="64"/>
    <x v="23"/>
    <x v="454"/>
    <x v="973"/>
    <x v="1137"/>
    <x v="1588"/>
    <x v="148"/>
    <x v="18"/>
    <x v="1"/>
  </r>
  <r>
    <x v="485"/>
    <x v="56"/>
    <x v="4"/>
    <x v="12"/>
    <x v="64"/>
    <x v="23"/>
    <x v="504"/>
    <x v="1042"/>
    <x v="1328"/>
    <x v="1715"/>
    <x v="148"/>
    <x v="18"/>
    <x v="2"/>
  </r>
  <r>
    <x v="486"/>
    <x v="56"/>
    <x v="6"/>
    <x v="21"/>
    <x v="77"/>
    <x v="23"/>
    <x v="663"/>
    <x v="1271"/>
    <x v="1834"/>
    <x v="2212"/>
    <x v="148"/>
    <x v="18"/>
    <x v="3"/>
  </r>
  <r>
    <x v="487"/>
    <x v="56"/>
    <x v="9"/>
    <x v="57"/>
    <x v="78"/>
    <x v="23"/>
    <x v="740"/>
    <x v="1393"/>
    <x v="2072"/>
    <x v="2309"/>
    <x v="148"/>
    <x v="18"/>
    <x v="4"/>
  </r>
  <r>
    <x v="488"/>
    <x v="56"/>
    <x v="12"/>
    <x v="70"/>
    <x v="78"/>
    <x v="25"/>
    <x v="592"/>
    <x v="1190"/>
    <x v="1849"/>
    <x v="1833"/>
    <x v="148"/>
    <x v="18"/>
    <x v="5"/>
  </r>
  <r>
    <x v="489"/>
    <x v="56"/>
    <x v="15"/>
    <x v="92"/>
    <x v="78"/>
    <x v="25"/>
    <x v="1079"/>
    <x v="1708"/>
    <x v="2559"/>
    <x v="2793"/>
    <x v="148"/>
    <x v="18"/>
    <x v="6"/>
  </r>
  <r>
    <x v="490"/>
    <x v="56"/>
    <x v="20"/>
    <x v="92"/>
    <x v="69"/>
    <x v="34"/>
    <x v="1301"/>
    <x v="1539"/>
    <x v="2881"/>
    <x v="3038"/>
    <x v="148"/>
    <x v="18"/>
    <x v="7"/>
  </r>
  <r>
    <x v="491"/>
    <x v="56"/>
    <x v="25"/>
    <x v="96"/>
    <x v="69"/>
    <x v="34"/>
    <x v="1584"/>
    <x v="1761"/>
    <x v="3128"/>
    <x v="3218"/>
    <x v="148"/>
    <x v="18"/>
    <x v="8"/>
  </r>
  <r>
    <x v="492"/>
    <x v="56"/>
    <x v="28"/>
    <x v="101"/>
    <x v="70"/>
    <x v="34"/>
    <x v="1199"/>
    <x v="1521"/>
    <x v="2920"/>
    <x v="2905"/>
    <x v="148"/>
    <x v="18"/>
    <x v="9"/>
  </r>
  <r>
    <x v="493"/>
    <x v="56"/>
    <x v="30"/>
    <x v="104"/>
    <x v="70"/>
    <x v="41"/>
    <x v="1344"/>
    <x v="1628"/>
    <x v="3058"/>
    <x v="3068"/>
    <x v="148"/>
    <x v="18"/>
    <x v="10"/>
  </r>
  <r>
    <x v="494"/>
    <x v="57"/>
    <x v="1"/>
    <x v="1194"/>
    <x v="873"/>
    <x v="39"/>
    <x v="2148"/>
    <x v="3482"/>
    <x v="2061"/>
    <x v="2626"/>
    <x v="369"/>
    <x v="18"/>
    <x v="1"/>
  </r>
  <r>
    <x v="495"/>
    <x v="57"/>
    <x v="4"/>
    <x v="1215"/>
    <x v="883"/>
    <x v="22"/>
    <x v="2117"/>
    <x v="3482"/>
    <x v="2294"/>
    <x v="2544"/>
    <x v="369"/>
    <x v="18"/>
    <x v="2"/>
  </r>
  <r>
    <x v="496"/>
    <x v="57"/>
    <x v="6"/>
    <x v="1236"/>
    <x v="883"/>
    <x v="19"/>
    <x v="1176"/>
    <x v="1500"/>
    <x v="1123"/>
    <x v="1090"/>
    <x v="369"/>
    <x v="18"/>
    <x v="3"/>
  </r>
  <r>
    <x v="497"/>
    <x v="57"/>
    <x v="9"/>
    <x v="1261"/>
    <x v="886"/>
    <x v="19"/>
    <x v="1467"/>
    <x v="1162"/>
    <x v="1520"/>
    <x v="1458"/>
    <x v="369"/>
    <x v="18"/>
    <x v="4"/>
  </r>
  <r>
    <x v="498"/>
    <x v="57"/>
    <x v="12"/>
    <x v="1264"/>
    <x v="889"/>
    <x v="19"/>
    <x v="2049"/>
    <x v="1586"/>
    <x v="2017"/>
    <x v="2389"/>
    <x v="369"/>
    <x v="18"/>
    <x v="5"/>
  </r>
  <r>
    <x v="499"/>
    <x v="58"/>
    <x v="1"/>
    <x v="2652"/>
    <x v="1485"/>
    <x v="21"/>
    <x v="1443"/>
    <x v="988"/>
    <x v="322"/>
    <x v="307"/>
    <x v="17"/>
    <x v="56"/>
    <x v="1"/>
  </r>
  <r>
    <x v="500"/>
    <x v="58"/>
    <x v="4"/>
    <x v="2662"/>
    <x v="1531"/>
    <x v="24"/>
    <x v="3232"/>
    <x v="2141"/>
    <x v="1475"/>
    <x v="2352"/>
    <x v="17"/>
    <x v="56"/>
    <x v="2"/>
  </r>
  <r>
    <x v="501"/>
    <x v="58"/>
    <x v="6"/>
    <x v="2647"/>
    <x v="1537"/>
    <x v="31"/>
    <x v="2"/>
    <x v="6"/>
    <x v="9"/>
    <x v="4"/>
    <x v="17"/>
    <x v="56"/>
    <x v="3"/>
  </r>
  <r>
    <x v="502"/>
    <x v="58"/>
    <x v="9"/>
    <x v="2670"/>
    <x v="1541"/>
    <x v="26"/>
    <x v="3062"/>
    <x v="1818"/>
    <x v="973"/>
    <x v="1724"/>
    <x v="17"/>
    <x v="56"/>
    <x v="4"/>
  </r>
  <r>
    <x v="503"/>
    <x v="58"/>
    <x v="12"/>
    <x v="2685"/>
    <x v="1553"/>
    <x v="30"/>
    <x v="3270"/>
    <x v="2206"/>
    <x v="1476"/>
    <x v="2467"/>
    <x v="17"/>
    <x v="56"/>
    <x v="5"/>
  </r>
  <r>
    <x v="504"/>
    <x v="58"/>
    <x v="15"/>
    <x v="2715"/>
    <x v="1557"/>
    <x v="27"/>
    <x v="3365"/>
    <x v="2447"/>
    <x v="1854"/>
    <x v="2817"/>
    <x v="17"/>
    <x v="56"/>
    <x v="6"/>
  </r>
  <r>
    <x v="505"/>
    <x v="58"/>
    <x v="20"/>
    <x v="2726"/>
    <x v="1559"/>
    <x v="31"/>
    <x v="3029"/>
    <x v="2177"/>
    <x v="887"/>
    <x v="1493"/>
    <x v="17"/>
    <x v="56"/>
    <x v="7"/>
  </r>
  <r>
    <x v="506"/>
    <x v="58"/>
    <x v="25"/>
    <x v="2730"/>
    <x v="1565"/>
    <x v="32"/>
    <x v="3178"/>
    <x v="2633"/>
    <x v="1292"/>
    <x v="1946"/>
    <x v="17"/>
    <x v="56"/>
    <x v="8"/>
  </r>
  <r>
    <x v="507"/>
    <x v="58"/>
    <x v="28"/>
    <x v="2732"/>
    <x v="1572"/>
    <x v="29"/>
    <x v="3347"/>
    <x v="2922"/>
    <x v="1880"/>
    <x v="2701"/>
    <x v="17"/>
    <x v="56"/>
    <x v="9"/>
  </r>
  <r>
    <x v="508"/>
    <x v="58"/>
    <x v="30"/>
    <x v="2784"/>
    <x v="1586"/>
    <x v="24"/>
    <x v="3451"/>
    <x v="3345"/>
    <x v="3072"/>
    <x v="3381"/>
    <x v="17"/>
    <x v="56"/>
    <x v="10"/>
  </r>
  <r>
    <x v="509"/>
    <x v="59"/>
    <x v="1"/>
    <x v="755"/>
    <x v="483"/>
    <x v="24"/>
    <x v="2294"/>
    <x v="1696"/>
    <x v="1848"/>
    <x v="3204"/>
    <x v="39"/>
    <x v="28"/>
    <x v="1"/>
  </r>
  <r>
    <x v="510"/>
    <x v="59"/>
    <x v="4"/>
    <x v="712"/>
    <x v="505"/>
    <x v="25"/>
    <x v="2597"/>
    <x v="1970"/>
    <x v="2783"/>
    <x v="3401"/>
    <x v="39"/>
    <x v="28"/>
    <x v="2"/>
  </r>
  <r>
    <x v="511"/>
    <x v="59"/>
    <x v="6"/>
    <x v="742"/>
    <x v="506"/>
    <x v="26"/>
    <x v="1392"/>
    <x v="1043"/>
    <x v="864"/>
    <x v="2180"/>
    <x v="39"/>
    <x v="28"/>
    <x v="3"/>
  </r>
  <r>
    <x v="512"/>
    <x v="59"/>
    <x v="9"/>
    <x v="738"/>
    <x v="507"/>
    <x v="28"/>
    <x v="321"/>
    <x v="321"/>
    <x v="294"/>
    <x v="428"/>
    <x v="39"/>
    <x v="28"/>
    <x v="4"/>
  </r>
  <r>
    <x v="513"/>
    <x v="59"/>
    <x v="12"/>
    <x v="739"/>
    <x v="509"/>
    <x v="28"/>
    <x v="1388"/>
    <x v="1155"/>
    <x v="1005"/>
    <x v="2163"/>
    <x v="39"/>
    <x v="28"/>
    <x v="5"/>
  </r>
  <r>
    <x v="514"/>
    <x v="59"/>
    <x v="15"/>
    <x v="948"/>
    <x v="509"/>
    <x v="30"/>
    <x v="2115"/>
    <x v="1693"/>
    <x v="1944"/>
    <x v="2890"/>
    <x v="39"/>
    <x v="28"/>
    <x v="6"/>
  </r>
  <r>
    <x v="515"/>
    <x v="59"/>
    <x v="20"/>
    <x v="964"/>
    <x v="516"/>
    <x v="25"/>
    <x v="974"/>
    <x v="983"/>
    <x v="697"/>
    <x v="1132"/>
    <x v="39"/>
    <x v="28"/>
    <x v="7"/>
  </r>
  <r>
    <x v="516"/>
    <x v="59"/>
    <x v="25"/>
    <x v="962"/>
    <x v="520"/>
    <x v="27"/>
    <x v="290"/>
    <x v="353"/>
    <x v="329"/>
    <x v="312"/>
    <x v="39"/>
    <x v="28"/>
    <x v="8"/>
  </r>
  <r>
    <x v="517"/>
    <x v="59"/>
    <x v="28"/>
    <x v="965"/>
    <x v="525"/>
    <x v="27"/>
    <x v="378"/>
    <x v="445"/>
    <x v="362"/>
    <x v="412"/>
    <x v="39"/>
    <x v="28"/>
    <x v="9"/>
  </r>
  <r>
    <x v="518"/>
    <x v="60"/>
    <x v="1"/>
    <x v="1725"/>
    <x v="868"/>
    <x v="26"/>
    <x v="194"/>
    <x v="69"/>
    <x v="157"/>
    <x v="118"/>
    <x v="151"/>
    <x v="158"/>
    <x v="1"/>
  </r>
  <r>
    <x v="519"/>
    <x v="60"/>
    <x v="4"/>
    <x v="1747"/>
    <x v="973"/>
    <x v="26"/>
    <x v="3084"/>
    <x v="1329"/>
    <x v="2910"/>
    <x v="3179"/>
    <x v="151"/>
    <x v="158"/>
    <x v="2"/>
  </r>
  <r>
    <x v="520"/>
    <x v="60"/>
    <x v="6"/>
    <x v="1747"/>
    <x v="871"/>
    <x v="27"/>
    <x v="3177"/>
    <x v="1480"/>
    <x v="3037"/>
    <x v="3312"/>
    <x v="151"/>
    <x v="158"/>
    <x v="3"/>
  </r>
  <r>
    <x v="521"/>
    <x v="60"/>
    <x v="9"/>
    <x v="1758"/>
    <x v="875"/>
    <x v="27"/>
    <x v="2283"/>
    <x v="709"/>
    <x v="1317"/>
    <x v="1971"/>
    <x v="151"/>
    <x v="158"/>
    <x v="4"/>
  </r>
  <r>
    <x v="522"/>
    <x v="60"/>
    <x v="12"/>
    <x v="1740"/>
    <x v="891"/>
    <x v="24"/>
    <x v="1574"/>
    <x v="1647"/>
    <x v="499"/>
    <x v="939"/>
    <x v="151"/>
    <x v="158"/>
    <x v="5"/>
  </r>
  <r>
    <x v="523"/>
    <x v="60"/>
    <x v="15"/>
    <x v="1740"/>
    <x v="891"/>
    <x v="24"/>
    <x v="991"/>
    <x v="1277"/>
    <x v="257"/>
    <x v="519"/>
    <x v="151"/>
    <x v="158"/>
    <x v="6"/>
  </r>
  <r>
    <x v="524"/>
    <x v="60"/>
    <x v="20"/>
    <x v="1787"/>
    <x v="908"/>
    <x v="19"/>
    <x v="676"/>
    <x v="336"/>
    <x v="139"/>
    <x v="354"/>
    <x v="151"/>
    <x v="158"/>
    <x v="7"/>
  </r>
  <r>
    <x v="525"/>
    <x v="60"/>
    <x v="25"/>
    <x v="1793"/>
    <x v="916"/>
    <x v="18"/>
    <x v="2629"/>
    <x v="1581"/>
    <x v="1792"/>
    <x v="2485"/>
    <x v="151"/>
    <x v="158"/>
    <x v="8"/>
  </r>
  <r>
    <x v="526"/>
    <x v="60"/>
    <x v="28"/>
    <x v="1802"/>
    <x v="920"/>
    <x v="21"/>
    <x v="3138"/>
    <x v="3012"/>
    <x v="2895"/>
    <x v="3197"/>
    <x v="151"/>
    <x v="158"/>
    <x v="9"/>
  </r>
  <r>
    <x v="527"/>
    <x v="61"/>
    <x v="1"/>
    <x v="161"/>
    <x v="50"/>
    <x v="16"/>
    <x v="1610"/>
    <x v="280"/>
    <x v="3188"/>
    <x v="3182"/>
    <x v="343"/>
    <x v="326"/>
    <x v="1"/>
  </r>
  <r>
    <x v="528"/>
    <x v="61"/>
    <x v="4"/>
    <x v="161"/>
    <x v="50"/>
    <x v="16"/>
    <x v="1151"/>
    <x v="305"/>
    <x v="3254"/>
    <x v="2758"/>
    <x v="343"/>
    <x v="326"/>
    <x v="2"/>
  </r>
  <r>
    <x v="529"/>
    <x v="61"/>
    <x v="6"/>
    <x v="163"/>
    <x v="50"/>
    <x v="17"/>
    <x v="1629"/>
    <x v="444"/>
    <x v="3356"/>
    <x v="3192"/>
    <x v="343"/>
    <x v="326"/>
    <x v="3"/>
  </r>
  <r>
    <x v="530"/>
    <x v="61"/>
    <x v="9"/>
    <x v="165"/>
    <x v="50"/>
    <x v="20"/>
    <x v="1491"/>
    <x v="419"/>
    <x v="3275"/>
    <x v="3111"/>
    <x v="343"/>
    <x v="326"/>
    <x v="4"/>
  </r>
  <r>
    <x v="531"/>
    <x v="62"/>
    <x v="3"/>
    <x v="1795"/>
    <x v="621"/>
    <x v="24"/>
    <x v="1385"/>
    <x v="1390"/>
    <x v="609"/>
    <x v="708"/>
    <x v="3"/>
    <x v="0"/>
    <x v="1"/>
  </r>
  <r>
    <x v="532"/>
    <x v="62"/>
    <x v="5"/>
    <x v="1762"/>
    <x v="621"/>
    <x v="24"/>
    <x v="88"/>
    <x v="107"/>
    <x v="130"/>
    <x v="68"/>
    <x v="3"/>
    <x v="0"/>
    <x v="2"/>
  </r>
  <r>
    <x v="533"/>
    <x v="62"/>
    <x v="8"/>
    <x v="1795"/>
    <x v="703"/>
    <x v="20"/>
    <x v="766"/>
    <x v="1002"/>
    <x v="312"/>
    <x v="393"/>
    <x v="3"/>
    <x v="0"/>
    <x v="3"/>
  </r>
  <r>
    <x v="534"/>
    <x v="62"/>
    <x v="11"/>
    <x v="1795"/>
    <x v="703"/>
    <x v="29"/>
    <x v="2711"/>
    <x v="2230"/>
    <x v="2460"/>
    <x v="2589"/>
    <x v="3"/>
    <x v="0"/>
    <x v="4"/>
  </r>
  <r>
    <x v="535"/>
    <x v="62"/>
    <x v="13"/>
    <x v="1795"/>
    <x v="703"/>
    <x v="36"/>
    <x v="2320"/>
    <x v="2043"/>
    <x v="1757"/>
    <x v="1939"/>
    <x v="3"/>
    <x v="0"/>
    <x v="5"/>
  </r>
  <r>
    <x v="536"/>
    <x v="62"/>
    <x v="17"/>
    <x v="1819"/>
    <x v="703"/>
    <x v="34"/>
    <x v="1769"/>
    <x v="1601"/>
    <x v="940"/>
    <x v="1031"/>
    <x v="3"/>
    <x v="0"/>
    <x v="6"/>
  </r>
  <r>
    <x v="537"/>
    <x v="62"/>
    <x v="22"/>
    <x v="1800"/>
    <x v="703"/>
    <x v="33"/>
    <x v="2237"/>
    <x v="1987"/>
    <x v="1864"/>
    <x v="1803"/>
    <x v="3"/>
    <x v="0"/>
    <x v="7"/>
  </r>
  <r>
    <x v="538"/>
    <x v="62"/>
    <x v="27"/>
    <x v="1789"/>
    <x v="703"/>
    <x v="27"/>
    <x v="2135"/>
    <x v="1712"/>
    <x v="1661"/>
    <x v="1636"/>
    <x v="3"/>
    <x v="0"/>
    <x v="8"/>
  </r>
  <r>
    <x v="539"/>
    <x v="62"/>
    <x v="29"/>
    <x v="1771"/>
    <x v="703"/>
    <x v="32"/>
    <x v="2190"/>
    <x v="2293"/>
    <x v="1641"/>
    <x v="1774"/>
    <x v="3"/>
    <x v="0"/>
    <x v="9"/>
  </r>
  <r>
    <x v="540"/>
    <x v="63"/>
    <x v="1"/>
    <x v="1509"/>
    <x v="647"/>
    <x v="28"/>
    <x v="2404"/>
    <x v="1023"/>
    <x v="2357"/>
    <x v="2566"/>
    <x v="10"/>
    <x v="8"/>
    <x v="1"/>
  </r>
  <r>
    <x v="541"/>
    <x v="63"/>
    <x v="4"/>
    <x v="1466"/>
    <x v="647"/>
    <x v="37"/>
    <x v="2485"/>
    <x v="1052"/>
    <x v="2851"/>
    <x v="2731"/>
    <x v="10"/>
    <x v="8"/>
    <x v="2"/>
  </r>
  <r>
    <x v="542"/>
    <x v="63"/>
    <x v="6"/>
    <x v="1511"/>
    <x v="647"/>
    <x v="26"/>
    <x v="1368"/>
    <x v="479"/>
    <x v="877"/>
    <x v="976"/>
    <x v="10"/>
    <x v="8"/>
    <x v="3"/>
  </r>
  <r>
    <x v="543"/>
    <x v="63"/>
    <x v="9"/>
    <x v="1513"/>
    <x v="647"/>
    <x v="26"/>
    <x v="524"/>
    <x v="183"/>
    <x v="575"/>
    <x v="352"/>
    <x v="10"/>
    <x v="8"/>
    <x v="4"/>
  </r>
  <r>
    <x v="544"/>
    <x v="63"/>
    <x v="22"/>
    <x v="1580"/>
    <x v="660"/>
    <x v="24"/>
    <x v="2680"/>
    <x v="2224"/>
    <x v="1940"/>
    <x v="2843"/>
    <x v="10"/>
    <x v="8"/>
    <x v="7"/>
  </r>
  <r>
    <x v="545"/>
    <x v="64"/>
    <x v="1"/>
    <x v="1216"/>
    <x v="401"/>
    <x v="45"/>
    <x v="1780"/>
    <x v="1699"/>
    <x v="2076"/>
    <x v="1969"/>
    <x v="128"/>
    <x v="353"/>
    <x v="1"/>
  </r>
  <r>
    <x v="546"/>
    <x v="64"/>
    <x v="4"/>
    <x v="1228"/>
    <x v="394"/>
    <x v="38"/>
    <x v="1921"/>
    <x v="1841"/>
    <x v="2989"/>
    <x v="2207"/>
    <x v="128"/>
    <x v="353"/>
    <x v="2"/>
  </r>
  <r>
    <x v="547"/>
    <x v="64"/>
    <x v="6"/>
    <x v="1232"/>
    <x v="389"/>
    <x v="38"/>
    <x v="890"/>
    <x v="1074"/>
    <x v="889"/>
    <x v="737"/>
    <x v="128"/>
    <x v="353"/>
    <x v="3"/>
  </r>
  <r>
    <x v="548"/>
    <x v="64"/>
    <x v="9"/>
    <x v="1233"/>
    <x v="390"/>
    <x v="37"/>
    <x v="426"/>
    <x v="750"/>
    <x v="563"/>
    <x v="374"/>
    <x v="128"/>
    <x v="353"/>
    <x v="4"/>
  </r>
  <r>
    <x v="549"/>
    <x v="64"/>
    <x v="12"/>
    <x v="1237"/>
    <x v="344"/>
    <x v="36"/>
    <x v="643"/>
    <x v="1024"/>
    <x v="704"/>
    <x v="537"/>
    <x v="128"/>
    <x v="353"/>
    <x v="5"/>
  </r>
  <r>
    <x v="550"/>
    <x v="64"/>
    <x v="15"/>
    <x v="1238"/>
    <x v="350"/>
    <x v="40"/>
    <x v="438"/>
    <x v="735"/>
    <x v="505"/>
    <x v="388"/>
    <x v="128"/>
    <x v="353"/>
    <x v="6"/>
  </r>
  <r>
    <x v="551"/>
    <x v="64"/>
    <x v="20"/>
    <x v="1239"/>
    <x v="347"/>
    <x v="40"/>
    <x v="726"/>
    <x v="1153"/>
    <x v="885"/>
    <x v="606"/>
    <x v="128"/>
    <x v="353"/>
    <x v="7"/>
  </r>
  <r>
    <x v="552"/>
    <x v="64"/>
    <x v="25"/>
    <x v="1245"/>
    <x v="346"/>
    <x v="41"/>
    <x v="738"/>
    <x v="1108"/>
    <x v="775"/>
    <x v="612"/>
    <x v="128"/>
    <x v="353"/>
    <x v="8"/>
  </r>
  <r>
    <x v="553"/>
    <x v="64"/>
    <x v="28"/>
    <x v="1248"/>
    <x v="445"/>
    <x v="41"/>
    <x v="1005"/>
    <x v="1306"/>
    <x v="1354"/>
    <x v="858"/>
    <x v="128"/>
    <x v="353"/>
    <x v="9"/>
  </r>
  <r>
    <x v="554"/>
    <x v="65"/>
    <x v="1"/>
    <x v="2793"/>
    <x v="1702"/>
    <x v="25"/>
    <x v="3118"/>
    <x v="2701"/>
    <x v="2114"/>
    <x v="1570"/>
    <x v="196"/>
    <x v="186"/>
    <x v="1"/>
  </r>
  <r>
    <x v="555"/>
    <x v="66"/>
    <x v="1"/>
    <x v="2056"/>
    <x v="1116"/>
    <x v="20"/>
    <x v="3264"/>
    <x v="2700"/>
    <x v="2929"/>
    <x v="3232"/>
    <x v="16"/>
    <x v="17"/>
    <x v="1"/>
  </r>
  <r>
    <x v="556"/>
    <x v="66"/>
    <x v="4"/>
    <x v="2069"/>
    <x v="1116"/>
    <x v="37"/>
    <x v="3330"/>
    <x v="2851"/>
    <x v="3104"/>
    <x v="3354"/>
    <x v="16"/>
    <x v="17"/>
    <x v="2"/>
  </r>
  <r>
    <x v="557"/>
    <x v="66"/>
    <x v="6"/>
    <x v="2065"/>
    <x v="1116"/>
    <x v="42"/>
    <x v="3271"/>
    <x v="2862"/>
    <x v="3036"/>
    <x v="3250"/>
    <x v="16"/>
    <x v="17"/>
    <x v="3"/>
  </r>
  <r>
    <x v="558"/>
    <x v="66"/>
    <x v="9"/>
    <x v="2158"/>
    <x v="1074"/>
    <x v="43"/>
    <x v="3286"/>
    <x v="2950"/>
    <x v="3015"/>
    <x v="3219"/>
    <x v="16"/>
    <x v="17"/>
    <x v="4"/>
  </r>
  <r>
    <x v="559"/>
    <x v="66"/>
    <x v="12"/>
    <x v="2145"/>
    <x v="1074"/>
    <x v="41"/>
    <x v="3391"/>
    <x v="3199"/>
    <x v="3207"/>
    <x v="3416"/>
    <x v="16"/>
    <x v="17"/>
    <x v="5"/>
  </r>
  <r>
    <x v="560"/>
    <x v="66"/>
    <x v="15"/>
    <x v="2145"/>
    <x v="1074"/>
    <x v="47"/>
    <x v="3371"/>
    <x v="3310"/>
    <x v="3147"/>
    <x v="3392"/>
    <x v="16"/>
    <x v="17"/>
    <x v="6"/>
  </r>
  <r>
    <x v="561"/>
    <x v="66"/>
    <x v="20"/>
    <x v="2080"/>
    <x v="1072"/>
    <x v="39"/>
    <x v="2993"/>
    <x v="2708"/>
    <x v="1639"/>
    <x v="2688"/>
    <x v="16"/>
    <x v="17"/>
    <x v="7"/>
  </r>
  <r>
    <x v="562"/>
    <x v="66"/>
    <x v="25"/>
    <x v="2073"/>
    <x v="1072"/>
    <x v="39"/>
    <x v="3357"/>
    <x v="3197"/>
    <x v="3153"/>
    <x v="3378"/>
    <x v="16"/>
    <x v="17"/>
    <x v="8"/>
  </r>
  <r>
    <x v="563"/>
    <x v="66"/>
    <x v="28"/>
    <x v="2075"/>
    <x v="1075"/>
    <x v="38"/>
    <x v="3397"/>
    <x v="3277"/>
    <x v="3256"/>
    <x v="3448"/>
    <x v="16"/>
    <x v="17"/>
    <x v="9"/>
  </r>
  <r>
    <x v="564"/>
    <x v="67"/>
    <x v="1"/>
    <x v="1373"/>
    <x v="512"/>
    <x v="21"/>
    <x v="985"/>
    <x v="1105"/>
    <x v="758"/>
    <x v="721"/>
    <x v="366"/>
    <x v="19"/>
    <x v="1"/>
  </r>
  <r>
    <x v="565"/>
    <x v="67"/>
    <x v="4"/>
    <x v="1404"/>
    <x v="512"/>
    <x v="25"/>
    <x v="1103"/>
    <x v="1289"/>
    <x v="553"/>
    <x v="807"/>
    <x v="366"/>
    <x v="19"/>
    <x v="2"/>
  </r>
  <r>
    <x v="566"/>
    <x v="67"/>
    <x v="6"/>
    <x v="1404"/>
    <x v="512"/>
    <x v="23"/>
    <x v="1232"/>
    <x v="1353"/>
    <x v="1034"/>
    <x v="932"/>
    <x v="366"/>
    <x v="19"/>
    <x v="3"/>
  </r>
  <r>
    <x v="567"/>
    <x v="67"/>
    <x v="9"/>
    <x v="1404"/>
    <x v="512"/>
    <x v="23"/>
    <x v="1670"/>
    <x v="1117"/>
    <x v="1698"/>
    <x v="1504"/>
    <x v="366"/>
    <x v="19"/>
    <x v="4"/>
  </r>
  <r>
    <x v="568"/>
    <x v="67"/>
    <x v="12"/>
    <x v="1396"/>
    <x v="512"/>
    <x v="27"/>
    <x v="2281"/>
    <x v="2367"/>
    <x v="2223"/>
    <x v="2539"/>
    <x v="366"/>
    <x v="19"/>
    <x v="5"/>
  </r>
  <r>
    <x v="569"/>
    <x v="67"/>
    <x v="15"/>
    <x v="1396"/>
    <x v="512"/>
    <x v="33"/>
    <x v="1806"/>
    <x v="1872"/>
    <x v="1893"/>
    <x v="1729"/>
    <x v="366"/>
    <x v="19"/>
    <x v="6"/>
  </r>
  <r>
    <x v="570"/>
    <x v="67"/>
    <x v="20"/>
    <x v="1386"/>
    <x v="510"/>
    <x v="24"/>
    <x v="1946"/>
    <x v="1880"/>
    <x v="1608"/>
    <x v="1966"/>
    <x v="366"/>
    <x v="19"/>
    <x v="7"/>
  </r>
  <r>
    <x v="571"/>
    <x v="67"/>
    <x v="25"/>
    <x v="1386"/>
    <x v="510"/>
    <x v="16"/>
    <x v="2477"/>
    <x v="2517"/>
    <x v="2675"/>
    <x v="2825"/>
    <x v="366"/>
    <x v="19"/>
    <x v="8"/>
  </r>
  <r>
    <x v="572"/>
    <x v="67"/>
    <x v="28"/>
    <x v="1394"/>
    <x v="510"/>
    <x v="23"/>
    <x v="2005"/>
    <x v="2095"/>
    <x v="1707"/>
    <x v="2040"/>
    <x v="366"/>
    <x v="19"/>
    <x v="9"/>
  </r>
  <r>
    <x v="573"/>
    <x v="68"/>
    <x v="1"/>
    <x v="822"/>
    <x v="251"/>
    <x v="45"/>
    <x v="363"/>
    <x v="534"/>
    <x v="440"/>
    <x v="443"/>
    <x v="131"/>
    <x v="353"/>
    <x v="1"/>
  </r>
  <r>
    <x v="574"/>
    <x v="68"/>
    <x v="4"/>
    <x v="815"/>
    <x v="251"/>
    <x v="38"/>
    <x v="1209"/>
    <x v="1296"/>
    <x v="1486"/>
    <x v="1743"/>
    <x v="131"/>
    <x v="353"/>
    <x v="2"/>
  </r>
  <r>
    <x v="575"/>
    <x v="68"/>
    <x v="6"/>
    <x v="816"/>
    <x v="251"/>
    <x v="38"/>
    <x v="1617"/>
    <x v="1672"/>
    <x v="1945"/>
    <x v="2390"/>
    <x v="131"/>
    <x v="353"/>
    <x v="3"/>
  </r>
  <r>
    <x v="576"/>
    <x v="68"/>
    <x v="9"/>
    <x v="817"/>
    <x v="252"/>
    <x v="38"/>
    <x v="1700"/>
    <x v="1737"/>
    <x v="2120"/>
    <x v="2494"/>
    <x v="131"/>
    <x v="353"/>
    <x v="4"/>
  </r>
  <r>
    <x v="577"/>
    <x v="68"/>
    <x v="12"/>
    <x v="828"/>
    <x v="222"/>
    <x v="38"/>
    <x v="1554"/>
    <x v="1674"/>
    <x v="1928"/>
    <x v="2275"/>
    <x v="131"/>
    <x v="353"/>
    <x v="5"/>
  </r>
  <r>
    <x v="578"/>
    <x v="68"/>
    <x v="15"/>
    <x v="840"/>
    <x v="221"/>
    <x v="41"/>
    <x v="1624"/>
    <x v="1893"/>
    <x v="2109"/>
    <x v="2365"/>
    <x v="131"/>
    <x v="353"/>
    <x v="6"/>
  </r>
  <r>
    <x v="579"/>
    <x v="68"/>
    <x v="20"/>
    <x v="839"/>
    <x v="219"/>
    <x v="40"/>
    <x v="1683"/>
    <x v="1977"/>
    <x v="2145"/>
    <x v="2452"/>
    <x v="131"/>
    <x v="353"/>
    <x v="7"/>
  </r>
  <r>
    <x v="580"/>
    <x v="68"/>
    <x v="25"/>
    <x v="848"/>
    <x v="220"/>
    <x v="41"/>
    <x v="1064"/>
    <x v="1527"/>
    <x v="1508"/>
    <x v="1474"/>
    <x v="131"/>
    <x v="353"/>
    <x v="8"/>
  </r>
  <r>
    <x v="581"/>
    <x v="68"/>
    <x v="28"/>
    <x v="853"/>
    <x v="253"/>
    <x v="40"/>
    <x v="1115"/>
    <x v="1605"/>
    <x v="1395"/>
    <x v="1540"/>
    <x v="131"/>
    <x v="353"/>
    <x v="9"/>
  </r>
  <r>
    <x v="582"/>
    <x v="69"/>
    <x v="1"/>
    <x v="776"/>
    <x v="199"/>
    <x v="25"/>
    <x v="30"/>
    <x v="37"/>
    <x v="16"/>
    <x v="26"/>
    <x v="20"/>
    <x v="22"/>
    <x v="1"/>
  </r>
  <r>
    <x v="583"/>
    <x v="69"/>
    <x v="4"/>
    <x v="754"/>
    <x v="199"/>
    <x v="20"/>
    <x v="359"/>
    <x v="84"/>
    <x v="180"/>
    <x v="466"/>
    <x v="20"/>
    <x v="22"/>
    <x v="2"/>
  </r>
  <r>
    <x v="584"/>
    <x v="69"/>
    <x v="6"/>
    <x v="754"/>
    <x v="199"/>
    <x v="32"/>
    <x v="871"/>
    <x v="157"/>
    <x v="473"/>
    <x v="1241"/>
    <x v="20"/>
    <x v="22"/>
    <x v="3"/>
  </r>
  <r>
    <x v="585"/>
    <x v="69"/>
    <x v="9"/>
    <x v="754"/>
    <x v="199"/>
    <x v="39"/>
    <x v="467"/>
    <x v="261"/>
    <x v="407"/>
    <x v="615"/>
    <x v="20"/>
    <x v="22"/>
    <x v="4"/>
  </r>
  <r>
    <x v="586"/>
    <x v="69"/>
    <x v="12"/>
    <x v="894"/>
    <x v="199"/>
    <x v="40"/>
    <x v="272"/>
    <x v="449"/>
    <x v="161"/>
    <x v="309"/>
    <x v="20"/>
    <x v="22"/>
    <x v="5"/>
  </r>
  <r>
    <x v="587"/>
    <x v="69"/>
    <x v="15"/>
    <x v="770"/>
    <x v="199"/>
    <x v="45"/>
    <x v="141"/>
    <x v="207"/>
    <x v="98"/>
    <x v="169"/>
    <x v="20"/>
    <x v="22"/>
    <x v="6"/>
  </r>
  <r>
    <x v="588"/>
    <x v="69"/>
    <x v="20"/>
    <x v="770"/>
    <x v="199"/>
    <x v="33"/>
    <x v="377"/>
    <x v="682"/>
    <x v="304"/>
    <x v="481"/>
    <x v="20"/>
    <x v="22"/>
    <x v="7"/>
  </r>
  <r>
    <x v="589"/>
    <x v="69"/>
    <x v="25"/>
    <x v="797"/>
    <x v="401"/>
    <x v="35"/>
    <x v="300"/>
    <x v="634"/>
    <x v="227"/>
    <x v="389"/>
    <x v="20"/>
    <x v="22"/>
    <x v="8"/>
  </r>
  <r>
    <x v="590"/>
    <x v="69"/>
    <x v="28"/>
    <x v="799"/>
    <x v="199"/>
    <x v="38"/>
    <x v="427"/>
    <x v="853"/>
    <x v="253"/>
    <x v="533"/>
    <x v="20"/>
    <x v="22"/>
    <x v="9"/>
  </r>
  <r>
    <x v="591"/>
    <x v="70"/>
    <x v="3"/>
    <x v="2407"/>
    <x v="1210"/>
    <x v="21"/>
    <x v="3198"/>
    <x v="3023"/>
    <x v="2172"/>
    <x v="2835"/>
    <x v="313"/>
    <x v="294"/>
    <x v="1"/>
  </r>
  <r>
    <x v="592"/>
    <x v="70"/>
    <x v="5"/>
    <x v="2407"/>
    <x v="1210"/>
    <x v="30"/>
    <x v="2930"/>
    <x v="2730"/>
    <x v="1280"/>
    <x v="2101"/>
    <x v="313"/>
    <x v="294"/>
    <x v="2"/>
  </r>
  <r>
    <x v="593"/>
    <x v="70"/>
    <x v="8"/>
    <x v="2390"/>
    <x v="1210"/>
    <x v="30"/>
    <x v="3315"/>
    <x v="3222"/>
    <x v="2579"/>
    <x v="3162"/>
    <x v="313"/>
    <x v="294"/>
    <x v="3"/>
  </r>
  <r>
    <x v="594"/>
    <x v="70"/>
    <x v="11"/>
    <x v="2441"/>
    <x v="1207"/>
    <x v="30"/>
    <x v="3225"/>
    <x v="3070"/>
    <x v="2187"/>
    <x v="2847"/>
    <x v="313"/>
    <x v="294"/>
    <x v="4"/>
  </r>
  <r>
    <x v="595"/>
    <x v="70"/>
    <x v="13"/>
    <x v="2449"/>
    <x v="1235"/>
    <x v="29"/>
    <x v="3387"/>
    <x v="3270"/>
    <x v="2712"/>
    <x v="3277"/>
    <x v="313"/>
    <x v="294"/>
    <x v="5"/>
  </r>
  <r>
    <x v="596"/>
    <x v="70"/>
    <x v="17"/>
    <x v="2448"/>
    <x v="1238"/>
    <x v="31"/>
    <x v="3011"/>
    <x v="3031"/>
    <x v="1384"/>
    <x v="2201"/>
    <x v="313"/>
    <x v="294"/>
    <x v="6"/>
  </r>
  <r>
    <x v="597"/>
    <x v="70"/>
    <x v="22"/>
    <x v="2455"/>
    <x v="1238"/>
    <x v="31"/>
    <x v="3283"/>
    <x v="3341"/>
    <x v="2562"/>
    <x v="2978"/>
    <x v="313"/>
    <x v="294"/>
    <x v="7"/>
  </r>
  <r>
    <x v="598"/>
    <x v="70"/>
    <x v="27"/>
    <x v="2457"/>
    <x v="1238"/>
    <x v="31"/>
    <x v="3337"/>
    <x v="3412"/>
    <x v="2848"/>
    <x v="3151"/>
    <x v="313"/>
    <x v="294"/>
    <x v="8"/>
  </r>
  <r>
    <x v="599"/>
    <x v="71"/>
    <x v="1"/>
    <x v="1630"/>
    <x v="766"/>
    <x v="30"/>
    <x v="1738"/>
    <x v="1611"/>
    <x v="1063"/>
    <x v="1282"/>
    <x v="67"/>
    <x v="45"/>
    <x v="1"/>
  </r>
  <r>
    <x v="600"/>
    <x v="71"/>
    <x v="4"/>
    <x v="1611"/>
    <x v="765"/>
    <x v="30"/>
    <x v="2327"/>
    <x v="2059"/>
    <x v="2560"/>
    <x v="2308"/>
    <x v="67"/>
    <x v="45"/>
    <x v="2"/>
  </r>
  <r>
    <x v="601"/>
    <x v="71"/>
    <x v="6"/>
    <x v="1658"/>
    <x v="765"/>
    <x v="35"/>
    <x v="1016"/>
    <x v="1120"/>
    <x v="1207"/>
    <x v="576"/>
    <x v="67"/>
    <x v="45"/>
    <x v="3"/>
  </r>
  <r>
    <x v="602"/>
    <x v="71"/>
    <x v="9"/>
    <x v="1660"/>
    <x v="765"/>
    <x v="41"/>
    <x v="1357"/>
    <x v="1383"/>
    <x v="1416"/>
    <x v="815"/>
    <x v="67"/>
    <x v="45"/>
    <x v="4"/>
  </r>
  <r>
    <x v="603"/>
    <x v="71"/>
    <x v="12"/>
    <x v="1660"/>
    <x v="770"/>
    <x v="35"/>
    <x v="567"/>
    <x v="793"/>
    <x v="821"/>
    <x v="327"/>
    <x v="67"/>
    <x v="45"/>
    <x v="5"/>
  </r>
  <r>
    <x v="604"/>
    <x v="71"/>
    <x v="15"/>
    <x v="1646"/>
    <x v="770"/>
    <x v="34"/>
    <x v="1646"/>
    <x v="1679"/>
    <x v="1815"/>
    <x v="1135"/>
    <x v="67"/>
    <x v="45"/>
    <x v="6"/>
  </r>
  <r>
    <x v="605"/>
    <x v="71"/>
    <x v="20"/>
    <x v="1647"/>
    <x v="770"/>
    <x v="37"/>
    <x v="875"/>
    <x v="1251"/>
    <x v="970"/>
    <x v="494"/>
    <x v="67"/>
    <x v="45"/>
    <x v="7"/>
  </r>
  <r>
    <x v="606"/>
    <x v="71"/>
    <x v="25"/>
    <x v="1633"/>
    <x v="735"/>
    <x v="28"/>
    <x v="2613"/>
    <x v="2613"/>
    <x v="3025"/>
    <x v="2703"/>
    <x v="67"/>
    <x v="45"/>
    <x v="8"/>
  </r>
  <r>
    <x v="607"/>
    <x v="71"/>
    <x v="28"/>
    <x v="1633"/>
    <x v="735"/>
    <x v="29"/>
    <x v="2545"/>
    <x v="2477"/>
    <x v="2874"/>
    <x v="2619"/>
    <x v="67"/>
    <x v="45"/>
    <x v="9"/>
  </r>
  <r>
    <x v="608"/>
    <x v="72"/>
    <x v="20"/>
    <x v="29"/>
    <x v="13"/>
    <x v="19"/>
    <x v="699"/>
    <x v="1141"/>
    <x v="2133"/>
    <x v="2299"/>
    <x v="34"/>
    <x v="10"/>
    <x v="7"/>
  </r>
  <r>
    <x v="609"/>
    <x v="73"/>
    <x v="6"/>
    <x v="746"/>
    <x v="47"/>
    <x v="33"/>
    <x v="343"/>
    <x v="755"/>
    <x v="465"/>
    <x v="450"/>
    <x v="183"/>
    <x v="104"/>
    <x v="3"/>
  </r>
  <r>
    <x v="610"/>
    <x v="73"/>
    <x v="9"/>
    <x v="764"/>
    <x v="178"/>
    <x v="45"/>
    <x v="461"/>
    <x v="875"/>
    <x v="1162"/>
    <x v="598"/>
    <x v="183"/>
    <x v="104"/>
    <x v="4"/>
  </r>
  <r>
    <x v="611"/>
    <x v="73"/>
    <x v="12"/>
    <x v="759"/>
    <x v="178"/>
    <x v="49"/>
    <x v="356"/>
    <x v="908"/>
    <x v="384"/>
    <x v="461"/>
    <x v="183"/>
    <x v="104"/>
    <x v="5"/>
  </r>
  <r>
    <x v="612"/>
    <x v="73"/>
    <x v="15"/>
    <x v="760"/>
    <x v="178"/>
    <x v="48"/>
    <x v="134"/>
    <x v="327"/>
    <x v="91"/>
    <x v="161"/>
    <x v="183"/>
    <x v="104"/>
    <x v="6"/>
  </r>
  <r>
    <x v="613"/>
    <x v="73"/>
    <x v="20"/>
    <x v="762"/>
    <x v="178"/>
    <x v="42"/>
    <x v="2304"/>
    <x v="2757"/>
    <x v="3360"/>
    <x v="3212"/>
    <x v="183"/>
    <x v="104"/>
    <x v="7"/>
  </r>
  <r>
    <x v="614"/>
    <x v="73"/>
    <x v="25"/>
    <x v="758"/>
    <x v="204"/>
    <x v="41"/>
    <x v="495"/>
    <x v="1223"/>
    <x v="737"/>
    <x v="637"/>
    <x v="183"/>
    <x v="104"/>
    <x v="8"/>
  </r>
  <r>
    <x v="615"/>
    <x v="73"/>
    <x v="28"/>
    <x v="757"/>
    <x v="180"/>
    <x v="46"/>
    <x v="614"/>
    <x v="1431"/>
    <x v="1028"/>
    <x v="795"/>
    <x v="183"/>
    <x v="104"/>
    <x v="9"/>
  </r>
  <r>
    <x v="616"/>
    <x v="74"/>
    <x v="1"/>
    <x v="1285"/>
    <x v="581"/>
    <x v="38"/>
    <x v="1774"/>
    <x v="2335"/>
    <x v="996"/>
    <x v="1865"/>
    <x v="132"/>
    <x v="349"/>
    <x v="1"/>
  </r>
  <r>
    <x v="617"/>
    <x v="74"/>
    <x v="4"/>
    <x v="1276"/>
    <x v="687"/>
    <x v="35"/>
    <x v="2709"/>
    <x v="2855"/>
    <x v="2343"/>
    <x v="3159"/>
    <x v="132"/>
    <x v="349"/>
    <x v="2"/>
  </r>
  <r>
    <x v="618"/>
    <x v="74"/>
    <x v="6"/>
    <x v="1280"/>
    <x v="656"/>
    <x v="34"/>
    <x v="2455"/>
    <x v="2647"/>
    <x v="2126"/>
    <x v="2923"/>
    <x v="132"/>
    <x v="349"/>
    <x v="3"/>
  </r>
  <r>
    <x v="619"/>
    <x v="74"/>
    <x v="9"/>
    <x v="1281"/>
    <x v="657"/>
    <x v="39"/>
    <x v="2061"/>
    <x v="2360"/>
    <x v="1680"/>
    <x v="2379"/>
    <x v="132"/>
    <x v="349"/>
    <x v="4"/>
  </r>
  <r>
    <x v="620"/>
    <x v="74"/>
    <x v="12"/>
    <x v="1284"/>
    <x v="635"/>
    <x v="38"/>
    <x v="2505"/>
    <x v="2520"/>
    <x v="2069"/>
    <x v="2980"/>
    <x v="132"/>
    <x v="349"/>
    <x v="5"/>
  </r>
  <r>
    <x v="621"/>
    <x v="74"/>
    <x v="15"/>
    <x v="1286"/>
    <x v="633"/>
    <x v="40"/>
    <x v="1105"/>
    <x v="1567"/>
    <x v="494"/>
    <x v="930"/>
    <x v="132"/>
    <x v="349"/>
    <x v="6"/>
  </r>
  <r>
    <x v="622"/>
    <x v="74"/>
    <x v="20"/>
    <x v="1291"/>
    <x v="633"/>
    <x v="40"/>
    <x v="1447"/>
    <x v="1793"/>
    <x v="734"/>
    <x v="1378"/>
    <x v="132"/>
    <x v="349"/>
    <x v="7"/>
  </r>
  <r>
    <x v="623"/>
    <x v="74"/>
    <x v="25"/>
    <x v="1295"/>
    <x v="636"/>
    <x v="31"/>
    <x v="1460"/>
    <x v="2028"/>
    <x v="920"/>
    <x v="1388"/>
    <x v="132"/>
    <x v="349"/>
    <x v="8"/>
  </r>
  <r>
    <x v="624"/>
    <x v="74"/>
    <x v="28"/>
    <x v="1300"/>
    <x v="748"/>
    <x v="31"/>
    <x v="1569"/>
    <x v="2162"/>
    <x v="1046"/>
    <x v="1533"/>
    <x v="132"/>
    <x v="349"/>
    <x v="9"/>
  </r>
  <r>
    <x v="625"/>
    <x v="75"/>
    <x v="5"/>
    <x v="1618"/>
    <x v="614"/>
    <x v="15"/>
    <x v="2131"/>
    <x v="2767"/>
    <x v="3208"/>
    <x v="1948"/>
    <x v="79"/>
    <x v="104"/>
    <x v="2"/>
  </r>
  <r>
    <x v="626"/>
    <x v="75"/>
    <x v="8"/>
    <x v="1527"/>
    <x v="606"/>
    <x v="15"/>
    <x v="42"/>
    <x v="44"/>
    <x v="2188"/>
    <x v="41"/>
    <x v="79"/>
    <x v="104"/>
    <x v="3"/>
  </r>
  <r>
    <x v="627"/>
    <x v="75"/>
    <x v="11"/>
    <x v="1504"/>
    <x v="614"/>
    <x v="27"/>
    <x v="2288"/>
    <x v="2871"/>
    <x v="2374"/>
    <x v="2402"/>
    <x v="79"/>
    <x v="104"/>
    <x v="4"/>
  </r>
  <r>
    <x v="628"/>
    <x v="75"/>
    <x v="13"/>
    <x v="1618"/>
    <x v="614"/>
    <x v="28"/>
    <x v="1722"/>
    <x v="2457"/>
    <x v="1482"/>
    <x v="1286"/>
    <x v="79"/>
    <x v="104"/>
    <x v="5"/>
  </r>
  <r>
    <x v="629"/>
    <x v="75"/>
    <x v="17"/>
    <x v="1561"/>
    <x v="591"/>
    <x v="30"/>
    <x v="2267"/>
    <x v="2482"/>
    <x v="1978"/>
    <x v="2282"/>
    <x v="79"/>
    <x v="104"/>
    <x v="6"/>
  </r>
  <r>
    <x v="630"/>
    <x v="76"/>
    <x v="4"/>
    <x v="953"/>
    <x v="354"/>
    <x v="33"/>
    <x v="1413"/>
    <x v="1749"/>
    <x v="2235"/>
    <x v="1873"/>
    <x v="84"/>
    <x v="176"/>
    <x v="2"/>
  </r>
  <r>
    <x v="631"/>
    <x v="76"/>
    <x v="6"/>
    <x v="953"/>
    <x v="354"/>
    <x v="29"/>
    <x v="715"/>
    <x v="1180"/>
    <x v="1462"/>
    <x v="794"/>
    <x v="84"/>
    <x v="176"/>
    <x v="3"/>
  </r>
  <r>
    <x v="632"/>
    <x v="76"/>
    <x v="9"/>
    <x v="941"/>
    <x v="383"/>
    <x v="34"/>
    <x v="1702"/>
    <x v="2178"/>
    <x v="2525"/>
    <x v="2328"/>
    <x v="84"/>
    <x v="176"/>
    <x v="4"/>
  </r>
  <r>
    <x v="633"/>
    <x v="76"/>
    <x v="12"/>
    <x v="942"/>
    <x v="384"/>
    <x v="34"/>
    <x v="1664"/>
    <x v="2106"/>
    <x v="2329"/>
    <x v="2259"/>
    <x v="84"/>
    <x v="176"/>
    <x v="5"/>
  </r>
  <r>
    <x v="634"/>
    <x v="76"/>
    <x v="15"/>
    <x v="943"/>
    <x v="386"/>
    <x v="38"/>
    <x v="1563"/>
    <x v="2038"/>
    <x v="2252"/>
    <x v="2125"/>
    <x v="84"/>
    <x v="176"/>
    <x v="6"/>
  </r>
  <r>
    <x v="635"/>
    <x v="76"/>
    <x v="20"/>
    <x v="944"/>
    <x v="387"/>
    <x v="30"/>
    <x v="808"/>
    <x v="1425"/>
    <x v="1279"/>
    <x v="925"/>
    <x v="84"/>
    <x v="176"/>
    <x v="7"/>
  </r>
  <r>
    <x v="636"/>
    <x v="76"/>
    <x v="25"/>
    <x v="972"/>
    <x v="388"/>
    <x v="29"/>
    <x v="1772"/>
    <x v="2211"/>
    <x v="2760"/>
    <x v="2397"/>
    <x v="84"/>
    <x v="176"/>
    <x v="8"/>
  </r>
  <r>
    <x v="637"/>
    <x v="76"/>
    <x v="28"/>
    <x v="973"/>
    <x v="388"/>
    <x v="30"/>
    <x v="1050"/>
    <x v="1847"/>
    <x v="1706"/>
    <x v="1266"/>
    <x v="84"/>
    <x v="176"/>
    <x v="9"/>
  </r>
  <r>
    <x v="638"/>
    <x v="77"/>
    <x v="1"/>
    <x v="1103"/>
    <x v="444"/>
    <x v="36"/>
    <x v="1114"/>
    <x v="2052"/>
    <x v="1003"/>
    <x v="1148"/>
    <x v="134"/>
    <x v="111"/>
    <x v="1"/>
  </r>
  <r>
    <x v="639"/>
    <x v="77"/>
    <x v="4"/>
    <x v="1103"/>
    <x v="444"/>
    <x v="40"/>
    <x v="1211"/>
    <x v="2173"/>
    <x v="1114"/>
    <x v="1307"/>
    <x v="134"/>
    <x v="111"/>
    <x v="2"/>
  </r>
  <r>
    <x v="640"/>
    <x v="77"/>
    <x v="6"/>
    <x v="1102"/>
    <x v="443"/>
    <x v="40"/>
    <x v="689"/>
    <x v="1709"/>
    <x v="545"/>
    <x v="646"/>
    <x v="134"/>
    <x v="111"/>
    <x v="3"/>
  </r>
  <r>
    <x v="641"/>
    <x v="77"/>
    <x v="9"/>
    <x v="1107"/>
    <x v="443"/>
    <x v="40"/>
    <x v="760"/>
    <x v="1807"/>
    <x v="630"/>
    <x v="711"/>
    <x v="134"/>
    <x v="111"/>
    <x v="4"/>
  </r>
  <r>
    <x v="642"/>
    <x v="77"/>
    <x v="12"/>
    <x v="1112"/>
    <x v="382"/>
    <x v="40"/>
    <x v="953"/>
    <x v="1997"/>
    <x v="846"/>
    <x v="910"/>
    <x v="134"/>
    <x v="111"/>
    <x v="5"/>
  </r>
  <r>
    <x v="643"/>
    <x v="77"/>
    <x v="15"/>
    <x v="1116"/>
    <x v="377"/>
    <x v="42"/>
    <x v="862"/>
    <x v="1936"/>
    <x v="709"/>
    <x v="793"/>
    <x v="134"/>
    <x v="111"/>
    <x v="6"/>
  </r>
  <r>
    <x v="644"/>
    <x v="77"/>
    <x v="20"/>
    <x v="1119"/>
    <x v="377"/>
    <x v="36"/>
    <x v="1035"/>
    <x v="2164"/>
    <x v="994"/>
    <x v="1040"/>
    <x v="134"/>
    <x v="111"/>
    <x v="7"/>
  </r>
  <r>
    <x v="645"/>
    <x v="77"/>
    <x v="25"/>
    <x v="1118"/>
    <x v="378"/>
    <x v="36"/>
    <x v="1422"/>
    <x v="2503"/>
    <x v="1495"/>
    <x v="1601"/>
    <x v="134"/>
    <x v="111"/>
    <x v="8"/>
  </r>
  <r>
    <x v="646"/>
    <x v="77"/>
    <x v="28"/>
    <x v="1123"/>
    <x v="449"/>
    <x v="40"/>
    <x v="859"/>
    <x v="2085"/>
    <x v="739"/>
    <x v="787"/>
    <x v="134"/>
    <x v="111"/>
    <x v="9"/>
  </r>
  <r>
    <x v="647"/>
    <x v="78"/>
    <x v="1"/>
    <x v="2479"/>
    <x v="1282"/>
    <x v="20"/>
    <x v="3041"/>
    <x v="3297"/>
    <x v="1393"/>
    <x v="2213"/>
    <x v="43"/>
    <x v="120"/>
    <x v="1"/>
  </r>
  <r>
    <x v="648"/>
    <x v="78"/>
    <x v="4"/>
    <x v="2482"/>
    <x v="1281"/>
    <x v="28"/>
    <x v="2642"/>
    <x v="3135"/>
    <x v="858"/>
    <x v="1423"/>
    <x v="43"/>
    <x v="120"/>
    <x v="2"/>
  </r>
  <r>
    <x v="649"/>
    <x v="78"/>
    <x v="6"/>
    <x v="2481"/>
    <x v="1283"/>
    <x v="35"/>
    <x v="2673"/>
    <x v="3160"/>
    <x v="795"/>
    <x v="1459"/>
    <x v="43"/>
    <x v="120"/>
    <x v="3"/>
  </r>
  <r>
    <x v="650"/>
    <x v="78"/>
    <x v="9"/>
    <x v="2453"/>
    <x v="1284"/>
    <x v="35"/>
    <x v="1190"/>
    <x v="2199"/>
    <x v="328"/>
    <x v="344"/>
    <x v="43"/>
    <x v="120"/>
    <x v="4"/>
  </r>
  <r>
    <x v="651"/>
    <x v="78"/>
    <x v="12"/>
    <x v="2484"/>
    <x v="1286"/>
    <x v="35"/>
    <x v="2852"/>
    <x v="3258"/>
    <x v="1107"/>
    <x v="1771"/>
    <x v="43"/>
    <x v="120"/>
    <x v="5"/>
  </r>
  <r>
    <x v="652"/>
    <x v="78"/>
    <x v="15"/>
    <x v="2491"/>
    <x v="1286"/>
    <x v="37"/>
    <x v="1999"/>
    <x v="2737"/>
    <x v="526"/>
    <x v="648"/>
    <x v="43"/>
    <x v="120"/>
    <x v="6"/>
  </r>
  <r>
    <x v="653"/>
    <x v="78"/>
    <x v="20"/>
    <x v="2494"/>
    <x v="1289"/>
    <x v="38"/>
    <x v="2068"/>
    <x v="2820"/>
    <x v="585"/>
    <x v="698"/>
    <x v="43"/>
    <x v="120"/>
    <x v="7"/>
  </r>
  <r>
    <x v="654"/>
    <x v="78"/>
    <x v="25"/>
    <x v="2498"/>
    <x v="1291"/>
    <x v="38"/>
    <x v="688"/>
    <x v="1754"/>
    <x v="153"/>
    <x v="211"/>
    <x v="43"/>
    <x v="120"/>
    <x v="8"/>
  </r>
  <r>
    <x v="655"/>
    <x v="78"/>
    <x v="28"/>
    <x v="2501"/>
    <x v="1290"/>
    <x v="38"/>
    <x v="94"/>
    <x v="304"/>
    <x v="210"/>
    <x v="50"/>
    <x v="43"/>
    <x v="120"/>
    <x v="9"/>
  </r>
  <r>
    <x v="656"/>
    <x v="79"/>
    <x v="3"/>
    <x v="2049"/>
    <x v="1039"/>
    <x v="36"/>
    <x v="2789"/>
    <x v="2256"/>
    <x v="1986"/>
    <x v="2354"/>
    <x v="97"/>
    <x v="67"/>
    <x v="1"/>
  </r>
  <r>
    <x v="657"/>
    <x v="79"/>
    <x v="5"/>
    <x v="2050"/>
    <x v="1039"/>
    <x v="41"/>
    <x v="2306"/>
    <x v="1945"/>
    <x v="1201"/>
    <x v="1523"/>
    <x v="97"/>
    <x v="67"/>
    <x v="2"/>
  </r>
  <r>
    <x v="658"/>
    <x v="79"/>
    <x v="8"/>
    <x v="2057"/>
    <x v="1039"/>
    <x v="35"/>
    <x v="2452"/>
    <x v="2108"/>
    <x v="1246"/>
    <x v="1766"/>
    <x v="97"/>
    <x v="67"/>
    <x v="3"/>
  </r>
  <r>
    <x v="659"/>
    <x v="79"/>
    <x v="11"/>
    <x v="2068"/>
    <x v="1039"/>
    <x v="35"/>
    <x v="945"/>
    <x v="1032"/>
    <x v="276"/>
    <x v="373"/>
    <x v="97"/>
    <x v="67"/>
    <x v="4"/>
  </r>
  <r>
    <x v="660"/>
    <x v="80"/>
    <x v="1"/>
    <x v="2267"/>
    <x v="1041"/>
    <x v="26"/>
    <x v="327"/>
    <x v="430"/>
    <x v="80"/>
    <x v="138"/>
    <x v="44"/>
    <x v="127"/>
    <x v="1"/>
  </r>
  <r>
    <x v="661"/>
    <x v="80"/>
    <x v="4"/>
    <x v="2250"/>
    <x v="1042"/>
    <x v="28"/>
    <x v="234"/>
    <x v="459"/>
    <x v="239"/>
    <x v="106"/>
    <x v="44"/>
    <x v="127"/>
    <x v="2"/>
  </r>
  <r>
    <x v="662"/>
    <x v="80"/>
    <x v="6"/>
    <x v="2252"/>
    <x v="1043"/>
    <x v="32"/>
    <x v="1160"/>
    <x v="1523"/>
    <x v="427"/>
    <x v="408"/>
    <x v="44"/>
    <x v="127"/>
    <x v="3"/>
  </r>
  <r>
    <x v="663"/>
    <x v="80"/>
    <x v="9"/>
    <x v="2217"/>
    <x v="1044"/>
    <x v="31"/>
    <x v="1637"/>
    <x v="1878"/>
    <x v="684"/>
    <x v="614"/>
    <x v="44"/>
    <x v="127"/>
    <x v="4"/>
  </r>
  <r>
    <x v="664"/>
    <x v="80"/>
    <x v="12"/>
    <x v="2260"/>
    <x v="1047"/>
    <x v="31"/>
    <x v="2246"/>
    <x v="2423"/>
    <x v="1251"/>
    <x v="1184"/>
    <x v="44"/>
    <x v="127"/>
    <x v="5"/>
  </r>
  <r>
    <x v="665"/>
    <x v="80"/>
    <x v="15"/>
    <x v="2265"/>
    <x v="1046"/>
    <x v="33"/>
    <x v="1909"/>
    <x v="2219"/>
    <x v="861"/>
    <x v="776"/>
    <x v="44"/>
    <x v="127"/>
    <x v="6"/>
  </r>
  <r>
    <x v="666"/>
    <x v="80"/>
    <x v="20"/>
    <x v="2270"/>
    <x v="1050"/>
    <x v="32"/>
    <x v="2367"/>
    <x v="2519"/>
    <x v="1510"/>
    <x v="1380"/>
    <x v="44"/>
    <x v="127"/>
    <x v="7"/>
  </r>
  <r>
    <x v="667"/>
    <x v="80"/>
    <x v="25"/>
    <x v="2268"/>
    <x v="1054"/>
    <x v="39"/>
    <x v="834"/>
    <x v="1292"/>
    <x v="446"/>
    <x v="280"/>
    <x v="44"/>
    <x v="127"/>
    <x v="8"/>
  </r>
  <r>
    <x v="668"/>
    <x v="80"/>
    <x v="28"/>
    <x v="2275"/>
    <x v="1053"/>
    <x v="34"/>
    <x v="1884"/>
    <x v="2093"/>
    <x v="905"/>
    <x v="758"/>
    <x v="44"/>
    <x v="127"/>
    <x v="9"/>
  </r>
  <r>
    <x v="669"/>
    <x v="81"/>
    <x v="1"/>
    <x v="132"/>
    <x v="49"/>
    <x v="28"/>
    <x v="1288"/>
    <x v="846"/>
    <x v="2589"/>
    <x v="2948"/>
    <x v="106"/>
    <x v="124"/>
    <x v="1"/>
  </r>
  <r>
    <x v="670"/>
    <x v="81"/>
    <x v="4"/>
    <x v="140"/>
    <x v="49"/>
    <x v="23"/>
    <x v="1736"/>
    <x v="827"/>
    <x v="3044"/>
    <x v="3273"/>
    <x v="106"/>
    <x v="124"/>
    <x v="2"/>
  </r>
  <r>
    <x v="671"/>
    <x v="81"/>
    <x v="8"/>
    <x v="160"/>
    <x v="49"/>
    <x v="25"/>
    <x v="597"/>
    <x v="259"/>
    <x v="2057"/>
    <x v="1629"/>
    <x v="106"/>
    <x v="124"/>
    <x v="3"/>
  </r>
  <r>
    <x v="672"/>
    <x v="81"/>
    <x v="11"/>
    <x v="128"/>
    <x v="49"/>
    <x v="37"/>
    <x v="1490"/>
    <x v="754"/>
    <x v="3129"/>
    <x v="3145"/>
    <x v="106"/>
    <x v="124"/>
    <x v="4"/>
  </r>
  <r>
    <x v="673"/>
    <x v="81"/>
    <x v="13"/>
    <x v="217"/>
    <x v="99"/>
    <x v="42"/>
    <x v="1046"/>
    <x v="985"/>
    <x v="2503"/>
    <x v="2571"/>
    <x v="106"/>
    <x v="124"/>
    <x v="5"/>
  </r>
  <r>
    <x v="674"/>
    <x v="81"/>
    <x v="17"/>
    <x v="218"/>
    <x v="99"/>
    <x v="42"/>
    <x v="1149"/>
    <x v="1011"/>
    <x v="2809"/>
    <x v="2708"/>
    <x v="106"/>
    <x v="124"/>
    <x v="6"/>
  </r>
  <r>
    <x v="675"/>
    <x v="81"/>
    <x v="22"/>
    <x v="220"/>
    <x v="83"/>
    <x v="22"/>
    <x v="1078"/>
    <x v="1176"/>
    <x v="2703"/>
    <x v="2611"/>
    <x v="106"/>
    <x v="124"/>
    <x v="7"/>
  </r>
  <r>
    <x v="676"/>
    <x v="82"/>
    <x v="1"/>
    <x v="2688"/>
    <x v="1518"/>
    <x v="31"/>
    <x v="3333"/>
    <x v="3379"/>
    <x v="2624"/>
    <x v="2735"/>
    <x v="300"/>
    <x v="124"/>
    <x v="1"/>
  </r>
  <r>
    <x v="677"/>
    <x v="82"/>
    <x v="4"/>
    <x v="2706"/>
    <x v="1517"/>
    <x v="30"/>
    <x v="2948"/>
    <x v="3052"/>
    <x v="572"/>
    <x v="1346"/>
    <x v="300"/>
    <x v="124"/>
    <x v="2"/>
  </r>
  <r>
    <x v="678"/>
    <x v="82"/>
    <x v="6"/>
    <x v="2709"/>
    <x v="1511"/>
    <x v="31"/>
    <x v="545"/>
    <x v="1178"/>
    <x v="114"/>
    <x v="128"/>
    <x v="300"/>
    <x v="124"/>
    <x v="3"/>
  </r>
  <r>
    <x v="679"/>
    <x v="82"/>
    <x v="9"/>
    <x v="2718"/>
    <x v="1528"/>
    <x v="31"/>
    <x v="1492"/>
    <x v="2179"/>
    <x v="145"/>
    <x v="290"/>
    <x v="300"/>
    <x v="124"/>
    <x v="4"/>
  </r>
  <r>
    <x v="680"/>
    <x v="82"/>
    <x v="12"/>
    <x v="2720"/>
    <x v="1529"/>
    <x v="31"/>
    <x v="2308"/>
    <x v="2785"/>
    <x v="248"/>
    <x v="613"/>
    <x v="300"/>
    <x v="124"/>
    <x v="5"/>
  </r>
  <r>
    <x v="681"/>
    <x v="82"/>
    <x v="15"/>
    <x v="2721"/>
    <x v="1530"/>
    <x v="31"/>
    <x v="2008"/>
    <x v="2631"/>
    <x v="389"/>
    <x v="457"/>
    <x v="300"/>
    <x v="124"/>
    <x v="6"/>
  </r>
  <r>
    <x v="682"/>
    <x v="82"/>
    <x v="20"/>
    <x v="2722"/>
    <x v="1526"/>
    <x v="17"/>
    <x v="3077"/>
    <x v="3307"/>
    <x v="1084"/>
    <x v="1630"/>
    <x v="300"/>
    <x v="124"/>
    <x v="7"/>
  </r>
  <r>
    <x v="683"/>
    <x v="82"/>
    <x v="25"/>
    <x v="2739"/>
    <x v="1558"/>
    <x v="37"/>
    <x v="2650"/>
    <x v="3108"/>
    <x v="761"/>
    <x v="847"/>
    <x v="300"/>
    <x v="124"/>
    <x v="8"/>
  </r>
  <r>
    <x v="684"/>
    <x v="82"/>
    <x v="28"/>
    <x v="2741"/>
    <x v="1564"/>
    <x v="36"/>
    <x v="2702"/>
    <x v="3192"/>
    <x v="587"/>
    <x v="900"/>
    <x v="300"/>
    <x v="124"/>
    <x v="9"/>
  </r>
  <r>
    <x v="685"/>
    <x v="83"/>
    <x v="1"/>
    <x v="494"/>
    <x v="122"/>
    <x v="24"/>
    <x v="2441"/>
    <x v="2988"/>
    <x v="2416"/>
    <x v="3417"/>
    <x v="107"/>
    <x v="68"/>
    <x v="1"/>
  </r>
  <r>
    <x v="686"/>
    <x v="83"/>
    <x v="4"/>
    <x v="457"/>
    <x v="122"/>
    <x v="33"/>
    <x v="47"/>
    <x v="57"/>
    <x v="95"/>
    <x v="49"/>
    <x v="107"/>
    <x v="68"/>
    <x v="2"/>
  </r>
  <r>
    <x v="687"/>
    <x v="83"/>
    <x v="6"/>
    <x v="457"/>
    <x v="122"/>
    <x v="35"/>
    <x v="158"/>
    <x v="523"/>
    <x v="31"/>
    <x v="239"/>
    <x v="107"/>
    <x v="68"/>
    <x v="3"/>
  </r>
  <r>
    <x v="688"/>
    <x v="83"/>
    <x v="9"/>
    <x v="465"/>
    <x v="122"/>
    <x v="39"/>
    <x v="114"/>
    <x v="347"/>
    <x v="28"/>
    <x v="171"/>
    <x v="107"/>
    <x v="68"/>
    <x v="4"/>
  </r>
  <r>
    <x v="689"/>
    <x v="83"/>
    <x v="12"/>
    <x v="451"/>
    <x v="122"/>
    <x v="40"/>
    <x v="96"/>
    <x v="298"/>
    <x v="164"/>
    <x v="147"/>
    <x v="107"/>
    <x v="68"/>
    <x v="5"/>
  </r>
  <r>
    <x v="690"/>
    <x v="83"/>
    <x v="15"/>
    <x v="456"/>
    <x v="122"/>
    <x v="40"/>
    <x v="403"/>
    <x v="1299"/>
    <x v="125"/>
    <x v="736"/>
    <x v="107"/>
    <x v="68"/>
    <x v="6"/>
  </r>
  <r>
    <x v="691"/>
    <x v="83"/>
    <x v="20"/>
    <x v="456"/>
    <x v="122"/>
    <x v="37"/>
    <x v="1687"/>
    <x v="2566"/>
    <x v="944"/>
    <x v="2983"/>
    <x v="107"/>
    <x v="68"/>
    <x v="7"/>
  </r>
  <r>
    <x v="692"/>
    <x v="83"/>
    <x v="25"/>
    <x v="455"/>
    <x v="122"/>
    <x v="37"/>
    <x v="1414"/>
    <x v="2446"/>
    <x v="600"/>
    <x v="2698"/>
    <x v="107"/>
    <x v="68"/>
    <x v="8"/>
  </r>
  <r>
    <x v="693"/>
    <x v="83"/>
    <x v="28"/>
    <x v="487"/>
    <x v="189"/>
    <x v="44"/>
    <x v="69"/>
    <x v="194"/>
    <x v="40"/>
    <x v="100"/>
    <x v="107"/>
    <x v="68"/>
    <x v="9"/>
  </r>
  <r>
    <x v="694"/>
    <x v="83"/>
    <x v="30"/>
    <x v="487"/>
    <x v="189"/>
    <x v="41"/>
    <x v="52"/>
    <x v="103"/>
    <x v="24"/>
    <x v="60"/>
    <x v="107"/>
    <x v="68"/>
    <x v="10"/>
  </r>
  <r>
    <x v="695"/>
    <x v="84"/>
    <x v="3"/>
    <x v="1098"/>
    <x v="370"/>
    <x v="44"/>
    <x v="1155"/>
    <x v="592"/>
    <x v="1754"/>
    <x v="1223"/>
    <x v="255"/>
    <x v="250"/>
    <x v="1"/>
  </r>
  <r>
    <x v="696"/>
    <x v="84"/>
    <x v="5"/>
    <x v="1075"/>
    <x v="370"/>
    <x v="37"/>
    <x v="180"/>
    <x v="211"/>
    <x v="177"/>
    <x v="177"/>
    <x v="255"/>
    <x v="250"/>
    <x v="2"/>
  </r>
  <r>
    <x v="697"/>
    <x v="84"/>
    <x v="8"/>
    <x v="1075"/>
    <x v="370"/>
    <x v="39"/>
    <x v="644"/>
    <x v="1654"/>
    <x v="549"/>
    <x v="620"/>
    <x v="255"/>
    <x v="250"/>
    <x v="3"/>
  </r>
  <r>
    <x v="698"/>
    <x v="84"/>
    <x v="11"/>
    <x v="1075"/>
    <x v="370"/>
    <x v="34"/>
    <x v="189"/>
    <x v="234"/>
    <x v="159"/>
    <x v="184"/>
    <x v="255"/>
    <x v="250"/>
    <x v="4"/>
  </r>
  <r>
    <x v="699"/>
    <x v="84"/>
    <x v="17"/>
    <x v="1076"/>
    <x v="370"/>
    <x v="30"/>
    <x v="208"/>
    <x v="309"/>
    <x v="170"/>
    <x v="220"/>
    <x v="255"/>
    <x v="250"/>
    <x v="6"/>
  </r>
  <r>
    <x v="700"/>
    <x v="84"/>
    <x v="22"/>
    <x v="1095"/>
    <x v="321"/>
    <x v="26"/>
    <x v="1097"/>
    <x v="1360"/>
    <x v="1189"/>
    <x v="1138"/>
    <x v="255"/>
    <x v="250"/>
    <x v="7"/>
  </r>
  <r>
    <x v="701"/>
    <x v="84"/>
    <x v="27"/>
    <x v="1076"/>
    <x v="370"/>
    <x v="26"/>
    <x v="195"/>
    <x v="292"/>
    <x v="1204"/>
    <x v="197"/>
    <x v="255"/>
    <x v="250"/>
    <x v="8"/>
  </r>
  <r>
    <x v="702"/>
    <x v="84"/>
    <x v="29"/>
    <x v="1076"/>
    <x v="370"/>
    <x v="33"/>
    <x v="412"/>
    <x v="699"/>
    <x v="318"/>
    <x v="410"/>
    <x v="255"/>
    <x v="250"/>
    <x v="9"/>
  </r>
  <r>
    <x v="703"/>
    <x v="85"/>
    <x v="1"/>
    <x v="2475"/>
    <x v="1327"/>
    <x v="35"/>
    <x v="2457"/>
    <x v="2963"/>
    <x v="529"/>
    <x v="1152"/>
    <x v="126"/>
    <x v="147"/>
    <x v="1"/>
  </r>
  <r>
    <x v="704"/>
    <x v="85"/>
    <x v="4"/>
    <x v="2472"/>
    <x v="1304"/>
    <x v="26"/>
    <x v="2668"/>
    <x v="3064"/>
    <x v="652"/>
    <x v="1471"/>
    <x v="126"/>
    <x v="147"/>
    <x v="2"/>
  </r>
  <r>
    <x v="705"/>
    <x v="85"/>
    <x v="6"/>
    <x v="2474"/>
    <x v="1305"/>
    <x v="27"/>
    <x v="2482"/>
    <x v="2962"/>
    <x v="461"/>
    <x v="1200"/>
    <x v="126"/>
    <x v="147"/>
    <x v="3"/>
  </r>
  <r>
    <x v="706"/>
    <x v="85"/>
    <x v="9"/>
    <x v="2516"/>
    <x v="1302"/>
    <x v="25"/>
    <x v="658"/>
    <x v="1571"/>
    <x v="85"/>
    <x v="199"/>
    <x v="126"/>
    <x v="147"/>
    <x v="4"/>
  </r>
  <r>
    <x v="707"/>
    <x v="85"/>
    <x v="12"/>
    <x v="2467"/>
    <x v="1270"/>
    <x v="27"/>
    <x v="2492"/>
    <x v="3001"/>
    <x v="478"/>
    <x v="1234"/>
    <x v="126"/>
    <x v="147"/>
    <x v="5"/>
  </r>
  <r>
    <x v="708"/>
    <x v="85"/>
    <x v="15"/>
    <x v="2504"/>
    <x v="1295"/>
    <x v="28"/>
    <x v="2095"/>
    <x v="2747"/>
    <x v="238"/>
    <x v="705"/>
    <x v="126"/>
    <x v="147"/>
    <x v="6"/>
  </r>
  <r>
    <x v="709"/>
    <x v="85"/>
    <x v="20"/>
    <x v="2502"/>
    <x v="1277"/>
    <x v="31"/>
    <x v="783"/>
    <x v="1782"/>
    <x v="65"/>
    <x v="226"/>
    <x v="126"/>
    <x v="147"/>
    <x v="7"/>
  </r>
  <r>
    <x v="710"/>
    <x v="85"/>
    <x v="25"/>
    <x v="2503"/>
    <x v="1279"/>
    <x v="32"/>
    <x v="2236"/>
    <x v="2902"/>
    <x v="401"/>
    <x v="842"/>
    <x v="126"/>
    <x v="147"/>
    <x v="8"/>
  </r>
  <r>
    <x v="711"/>
    <x v="85"/>
    <x v="28"/>
    <x v="2478"/>
    <x v="1274"/>
    <x v="31"/>
    <x v="3093"/>
    <x v="3392"/>
    <x v="1547"/>
    <x v="2370"/>
    <x v="126"/>
    <x v="147"/>
    <x v="9"/>
  </r>
  <r>
    <x v="712"/>
    <x v="86"/>
    <x v="3"/>
    <x v="1437"/>
    <x v="893"/>
    <x v="21"/>
    <x v="3105"/>
    <x v="2604"/>
    <x v="3134"/>
    <x v="3357"/>
    <x v="127"/>
    <x v="148"/>
    <x v="1"/>
  </r>
  <r>
    <x v="713"/>
    <x v="86"/>
    <x v="5"/>
    <x v="1437"/>
    <x v="893"/>
    <x v="24"/>
    <x v="3034"/>
    <x v="2353"/>
    <x v="2944"/>
    <x v="3292"/>
    <x v="127"/>
    <x v="148"/>
    <x v="2"/>
  </r>
  <r>
    <x v="714"/>
    <x v="86"/>
    <x v="8"/>
    <x v="1437"/>
    <x v="893"/>
    <x v="27"/>
    <x v="2337"/>
    <x v="2227"/>
    <x v="1736"/>
    <x v="2538"/>
    <x v="127"/>
    <x v="148"/>
    <x v="3"/>
  </r>
  <r>
    <x v="715"/>
    <x v="86"/>
    <x v="11"/>
    <x v="1449"/>
    <x v="893"/>
    <x v="25"/>
    <x v="596"/>
    <x v="745"/>
    <x v="140"/>
    <x v="407"/>
    <x v="127"/>
    <x v="148"/>
    <x v="4"/>
  </r>
  <r>
    <x v="716"/>
    <x v="86"/>
    <x v="13"/>
    <x v="1456"/>
    <x v="893"/>
    <x v="28"/>
    <x v="2593"/>
    <x v="2919"/>
    <x v="1837"/>
    <x v="2866"/>
    <x v="127"/>
    <x v="148"/>
    <x v="5"/>
  </r>
  <r>
    <x v="717"/>
    <x v="86"/>
    <x v="17"/>
    <x v="1441"/>
    <x v="838"/>
    <x v="38"/>
    <x v="2526"/>
    <x v="2485"/>
    <x v="3112"/>
    <x v="2791"/>
    <x v="127"/>
    <x v="148"/>
    <x v="6"/>
  </r>
  <r>
    <x v="718"/>
    <x v="86"/>
    <x v="22"/>
    <x v="1443"/>
    <x v="838"/>
    <x v="21"/>
    <x v="3048"/>
    <x v="2336"/>
    <x v="3177"/>
    <x v="3315"/>
    <x v="127"/>
    <x v="148"/>
    <x v="7"/>
  </r>
  <r>
    <x v="719"/>
    <x v="86"/>
    <x v="27"/>
    <x v="1446"/>
    <x v="891"/>
    <x v="33"/>
    <x v="3193"/>
    <x v="3066"/>
    <x v="3338"/>
    <x v="3428"/>
    <x v="127"/>
    <x v="148"/>
    <x v="8"/>
  </r>
  <r>
    <x v="720"/>
    <x v="86"/>
    <x v="29"/>
    <x v="1481"/>
    <x v="1155"/>
    <x v="33"/>
    <x v="3204"/>
    <x v="2389"/>
    <x v="3273"/>
    <x v="3429"/>
    <x v="127"/>
    <x v="148"/>
    <x v="9"/>
  </r>
  <r>
    <x v="721"/>
    <x v="87"/>
    <x v="1"/>
    <x v="685"/>
    <x v="141"/>
    <x v="22"/>
    <x v="1021"/>
    <x v="1716"/>
    <x v="1490"/>
    <x v="1655"/>
    <x v="152"/>
    <x v="159"/>
    <x v="1"/>
  </r>
  <r>
    <x v="722"/>
    <x v="87"/>
    <x v="4"/>
    <x v="669"/>
    <x v="142"/>
    <x v="23"/>
    <x v="753"/>
    <x v="1553"/>
    <x v="1039"/>
    <x v="1173"/>
    <x v="152"/>
    <x v="159"/>
    <x v="2"/>
  </r>
  <r>
    <x v="723"/>
    <x v="87"/>
    <x v="6"/>
    <x v="676"/>
    <x v="145"/>
    <x v="34"/>
    <x v="139"/>
    <x v="378"/>
    <x v="274"/>
    <x v="178"/>
    <x v="152"/>
    <x v="159"/>
    <x v="3"/>
  </r>
  <r>
    <x v="724"/>
    <x v="87"/>
    <x v="9"/>
    <x v="639"/>
    <x v="144"/>
    <x v="36"/>
    <x v="594"/>
    <x v="1487"/>
    <x v="878"/>
    <x v="879"/>
    <x v="152"/>
    <x v="159"/>
    <x v="4"/>
  </r>
  <r>
    <x v="725"/>
    <x v="87"/>
    <x v="12"/>
    <x v="679"/>
    <x v="143"/>
    <x v="38"/>
    <x v="577"/>
    <x v="1552"/>
    <x v="800"/>
    <x v="812"/>
    <x v="152"/>
    <x v="159"/>
    <x v="5"/>
  </r>
  <r>
    <x v="726"/>
    <x v="87"/>
    <x v="15"/>
    <x v="680"/>
    <x v="146"/>
    <x v="37"/>
    <x v="333"/>
    <x v="1151"/>
    <x v="544"/>
    <x v="463"/>
    <x v="152"/>
    <x v="159"/>
    <x v="6"/>
  </r>
  <r>
    <x v="727"/>
    <x v="87"/>
    <x v="20"/>
    <x v="682"/>
    <x v="135"/>
    <x v="37"/>
    <x v="796"/>
    <x v="1871"/>
    <x v="1172"/>
    <x v="1242"/>
    <x v="152"/>
    <x v="159"/>
    <x v="7"/>
  </r>
  <r>
    <x v="728"/>
    <x v="87"/>
    <x v="25"/>
    <x v="683"/>
    <x v="148"/>
    <x v="37"/>
    <x v="1014"/>
    <x v="2196"/>
    <x v="1597"/>
    <x v="1649"/>
    <x v="152"/>
    <x v="159"/>
    <x v="8"/>
  </r>
  <r>
    <x v="729"/>
    <x v="87"/>
    <x v="28"/>
    <x v="688"/>
    <x v="149"/>
    <x v="37"/>
    <x v="853"/>
    <x v="1714"/>
    <x v="1275"/>
    <x v="1315"/>
    <x v="152"/>
    <x v="159"/>
    <x v="9"/>
  </r>
  <r>
    <x v="730"/>
    <x v="88"/>
    <x v="1"/>
    <x v="531"/>
    <x v="84"/>
    <x v="29"/>
    <x v="957"/>
    <x v="1208"/>
    <x v="881"/>
    <x v="1797"/>
    <x v="163"/>
    <x v="167"/>
    <x v="1"/>
  </r>
  <r>
    <x v="731"/>
    <x v="88"/>
    <x v="4"/>
    <x v="578"/>
    <x v="263"/>
    <x v="32"/>
    <x v="599"/>
    <x v="1477"/>
    <x v="724"/>
    <x v="980"/>
    <x v="163"/>
    <x v="167"/>
    <x v="2"/>
  </r>
  <r>
    <x v="732"/>
    <x v="88"/>
    <x v="6"/>
    <x v="556"/>
    <x v="93"/>
    <x v="36"/>
    <x v="607"/>
    <x v="924"/>
    <x v="756"/>
    <x v="1039"/>
    <x v="163"/>
    <x v="167"/>
    <x v="3"/>
  </r>
  <r>
    <x v="733"/>
    <x v="88"/>
    <x v="9"/>
    <x v="554"/>
    <x v="224"/>
    <x v="35"/>
    <x v="1329"/>
    <x v="1718"/>
    <x v="1859"/>
    <x v="2449"/>
    <x v="163"/>
    <x v="167"/>
    <x v="4"/>
  </r>
  <r>
    <x v="734"/>
    <x v="88"/>
    <x v="12"/>
    <x v="546"/>
    <x v="92"/>
    <x v="30"/>
    <x v="1088"/>
    <x v="1573"/>
    <x v="1128"/>
    <x v="2042"/>
    <x v="163"/>
    <x v="167"/>
    <x v="5"/>
  </r>
  <r>
    <x v="735"/>
    <x v="88"/>
    <x v="15"/>
    <x v="543"/>
    <x v="92"/>
    <x v="31"/>
    <x v="1779"/>
    <x v="2011"/>
    <x v="2260"/>
    <x v="2975"/>
    <x v="163"/>
    <x v="167"/>
    <x v="6"/>
  </r>
  <r>
    <x v="736"/>
    <x v="88"/>
    <x v="20"/>
    <x v="564"/>
    <x v="92"/>
    <x v="24"/>
    <x v="1245"/>
    <x v="1789"/>
    <x v="1457"/>
    <x v="2272"/>
    <x v="163"/>
    <x v="167"/>
    <x v="7"/>
  </r>
  <r>
    <x v="737"/>
    <x v="88"/>
    <x v="25"/>
    <x v="551"/>
    <x v="225"/>
    <x v="21"/>
    <x v="752"/>
    <x v="1396"/>
    <x v="791"/>
    <x v="1385"/>
    <x v="163"/>
    <x v="167"/>
    <x v="8"/>
  </r>
  <r>
    <x v="738"/>
    <x v="88"/>
    <x v="28"/>
    <x v="551"/>
    <x v="210"/>
    <x v="21"/>
    <x v="1171"/>
    <x v="1795"/>
    <x v="1772"/>
    <x v="2178"/>
    <x v="163"/>
    <x v="167"/>
    <x v="9"/>
  </r>
  <r>
    <x v="739"/>
    <x v="89"/>
    <x v="1"/>
    <x v="1643"/>
    <x v="606"/>
    <x v="25"/>
    <x v="184"/>
    <x v="932"/>
    <x v="120"/>
    <x v="124"/>
    <x v="167"/>
    <x v="170"/>
    <x v="1"/>
  </r>
  <r>
    <x v="740"/>
    <x v="89"/>
    <x v="4"/>
    <x v="1648"/>
    <x v="606"/>
    <x v="30"/>
    <x v="2225"/>
    <x v="3178"/>
    <x v="1647"/>
    <x v="2065"/>
    <x v="167"/>
    <x v="170"/>
    <x v="2"/>
  </r>
  <r>
    <x v="741"/>
    <x v="89"/>
    <x v="6"/>
    <x v="1649"/>
    <x v="606"/>
    <x v="31"/>
    <x v="848"/>
    <x v="2258"/>
    <x v="524"/>
    <x v="480"/>
    <x v="167"/>
    <x v="170"/>
    <x v="3"/>
  </r>
  <r>
    <x v="742"/>
    <x v="89"/>
    <x v="9"/>
    <x v="1644"/>
    <x v="606"/>
    <x v="32"/>
    <x v="865"/>
    <x v="2242"/>
    <x v="308"/>
    <x v="490"/>
    <x v="167"/>
    <x v="170"/>
    <x v="4"/>
  </r>
  <r>
    <x v="743"/>
    <x v="89"/>
    <x v="12"/>
    <x v="1639"/>
    <x v="606"/>
    <x v="34"/>
    <x v="64"/>
    <x v="244"/>
    <x v="203"/>
    <x v="51"/>
    <x v="167"/>
    <x v="170"/>
    <x v="5"/>
  </r>
  <r>
    <x v="744"/>
    <x v="89"/>
    <x v="15"/>
    <x v="1653"/>
    <x v="606"/>
    <x v="38"/>
    <x v="282"/>
    <x v="1454"/>
    <x v="245"/>
    <x v="181"/>
    <x v="167"/>
    <x v="170"/>
    <x v="6"/>
  </r>
  <r>
    <x v="745"/>
    <x v="89"/>
    <x v="20"/>
    <x v="1655"/>
    <x v="606"/>
    <x v="41"/>
    <x v="437"/>
    <x v="1888"/>
    <x v="399"/>
    <x v="259"/>
    <x v="167"/>
    <x v="170"/>
    <x v="7"/>
  </r>
  <r>
    <x v="746"/>
    <x v="89"/>
    <x v="25"/>
    <x v="1652"/>
    <x v="606"/>
    <x v="44"/>
    <x v="1902"/>
    <x v="2794"/>
    <x v="1524"/>
    <x v="1484"/>
    <x v="167"/>
    <x v="170"/>
    <x v="8"/>
  </r>
  <r>
    <x v="747"/>
    <x v="89"/>
    <x v="28"/>
    <x v="1645"/>
    <x v="606"/>
    <x v="47"/>
    <x v="1709"/>
    <x v="3084"/>
    <x v="1288"/>
    <x v="1199"/>
    <x v="167"/>
    <x v="170"/>
    <x v="9"/>
  </r>
  <r>
    <x v="748"/>
    <x v="89"/>
    <x v="30"/>
    <x v="1650"/>
    <x v="606"/>
    <x v="47"/>
    <x v="1606"/>
    <x v="3142"/>
    <x v="1072"/>
    <x v="1088"/>
    <x v="167"/>
    <x v="170"/>
    <x v="10"/>
  </r>
  <r>
    <x v="749"/>
    <x v="90"/>
    <x v="1"/>
    <x v="708"/>
    <x v="228"/>
    <x v="37"/>
    <x v="701"/>
    <x v="1146"/>
    <x v="1453"/>
    <x v="1034"/>
    <x v="34"/>
    <x v="171"/>
    <x v="1"/>
  </r>
  <r>
    <x v="750"/>
    <x v="90"/>
    <x v="4"/>
    <x v="689"/>
    <x v="229"/>
    <x v="36"/>
    <x v="1249"/>
    <x v="1776"/>
    <x v="2059"/>
    <x v="2039"/>
    <x v="34"/>
    <x v="171"/>
    <x v="2"/>
  </r>
  <r>
    <x v="751"/>
    <x v="90"/>
    <x v="6"/>
    <x v="676"/>
    <x v="228"/>
    <x v="38"/>
    <x v="1309"/>
    <x v="1898"/>
    <x v="2150"/>
    <x v="2137"/>
    <x v="34"/>
    <x v="171"/>
    <x v="3"/>
  </r>
  <r>
    <x v="752"/>
    <x v="90"/>
    <x v="9"/>
    <x v="713"/>
    <x v="217"/>
    <x v="39"/>
    <x v="1995"/>
    <x v="2540"/>
    <x v="3143"/>
    <x v="2999"/>
    <x v="34"/>
    <x v="171"/>
    <x v="4"/>
  </r>
  <r>
    <x v="753"/>
    <x v="90"/>
    <x v="12"/>
    <x v="766"/>
    <x v="234"/>
    <x v="29"/>
    <x v="986"/>
    <x v="1703"/>
    <x v="2596"/>
    <x v="1425"/>
    <x v="34"/>
    <x v="171"/>
    <x v="5"/>
  </r>
  <r>
    <x v="754"/>
    <x v="90"/>
    <x v="15"/>
    <x v="684"/>
    <x v="233"/>
    <x v="26"/>
    <x v="1714"/>
    <x v="2139"/>
    <x v="2756"/>
    <x v="2704"/>
    <x v="34"/>
    <x v="171"/>
    <x v="6"/>
  </r>
  <r>
    <x v="755"/>
    <x v="90"/>
    <x v="20"/>
    <x v="677"/>
    <x v="230"/>
    <x v="26"/>
    <x v="1572"/>
    <x v="2232"/>
    <x v="2710"/>
    <x v="2551"/>
    <x v="34"/>
    <x v="171"/>
    <x v="7"/>
  </r>
  <r>
    <x v="756"/>
    <x v="90"/>
    <x v="25"/>
    <x v="618"/>
    <x v="232"/>
    <x v="25"/>
    <x v="1318"/>
    <x v="2044"/>
    <x v="2519"/>
    <x v="2423"/>
    <x v="34"/>
    <x v="171"/>
    <x v="8"/>
  </r>
  <r>
    <x v="757"/>
    <x v="90"/>
    <x v="28"/>
    <x v="647"/>
    <x v="232"/>
    <x v="28"/>
    <x v="1075"/>
    <x v="2013"/>
    <x v="2077"/>
    <x v="1810"/>
    <x v="34"/>
    <x v="171"/>
    <x v="9"/>
  </r>
  <r>
    <x v="758"/>
    <x v="91"/>
    <x v="15"/>
    <x v="1635"/>
    <x v="643"/>
    <x v="37"/>
    <x v="1789"/>
    <x v="1846"/>
    <x v="1565"/>
    <x v="1340"/>
    <x v="338"/>
    <x v="321"/>
    <x v="6"/>
  </r>
  <r>
    <x v="759"/>
    <x v="91"/>
    <x v="20"/>
    <x v="1624"/>
    <x v="645"/>
    <x v="29"/>
    <x v="2511"/>
    <x v="2543"/>
    <x v="1947"/>
    <x v="2595"/>
    <x v="338"/>
    <x v="321"/>
    <x v="7"/>
  </r>
  <r>
    <x v="760"/>
    <x v="91"/>
    <x v="25"/>
    <x v="1631"/>
    <x v="648"/>
    <x v="24"/>
    <x v="823"/>
    <x v="1080"/>
    <x v="175"/>
    <x v="475"/>
    <x v="338"/>
    <x v="321"/>
    <x v="8"/>
  </r>
  <r>
    <x v="761"/>
    <x v="91"/>
    <x v="28"/>
    <x v="1632"/>
    <x v="648"/>
    <x v="27"/>
    <x v="2080"/>
    <x v="2204"/>
    <x v="1151"/>
    <x v="1831"/>
    <x v="338"/>
    <x v="321"/>
    <x v="9"/>
  </r>
  <r>
    <x v="762"/>
    <x v="92"/>
    <x v="3"/>
    <x v="1006"/>
    <x v="719"/>
    <x v="34"/>
    <x v="2381"/>
    <x v="2815"/>
    <x v="2786"/>
    <x v="3112"/>
    <x v="174"/>
    <x v="71"/>
    <x v="1"/>
  </r>
  <r>
    <x v="763"/>
    <x v="92"/>
    <x v="8"/>
    <x v="1008"/>
    <x v="719"/>
    <x v="38"/>
    <x v="475"/>
    <x v="1159"/>
    <x v="1291"/>
    <x v="500"/>
    <x v="174"/>
    <x v="71"/>
    <x v="3"/>
  </r>
  <r>
    <x v="764"/>
    <x v="92"/>
    <x v="11"/>
    <x v="1009"/>
    <x v="719"/>
    <x v="40"/>
    <x v="2085"/>
    <x v="2625"/>
    <x v="2547"/>
    <x v="2755"/>
    <x v="174"/>
    <x v="71"/>
    <x v="4"/>
  </r>
  <r>
    <x v="765"/>
    <x v="92"/>
    <x v="13"/>
    <x v="1011"/>
    <x v="587"/>
    <x v="28"/>
    <x v="1814"/>
    <x v="2402"/>
    <x v="2241"/>
    <x v="2392"/>
    <x v="174"/>
    <x v="71"/>
    <x v="5"/>
  </r>
  <r>
    <x v="766"/>
    <x v="92"/>
    <x v="17"/>
    <x v="1012"/>
    <x v="588"/>
    <x v="41"/>
    <x v="2401"/>
    <x v="2892"/>
    <x v="2878"/>
    <x v="3122"/>
    <x v="174"/>
    <x v="71"/>
    <x v="6"/>
  </r>
  <r>
    <x v="767"/>
    <x v="92"/>
    <x v="22"/>
    <x v="1014"/>
    <x v="589"/>
    <x v="20"/>
    <x v="1504"/>
    <x v="2359"/>
    <x v="2019"/>
    <x v="1910"/>
    <x v="174"/>
    <x v="71"/>
    <x v="7"/>
  </r>
  <r>
    <x v="768"/>
    <x v="92"/>
    <x v="27"/>
    <x v="997"/>
    <x v="589"/>
    <x v="23"/>
    <x v="1804"/>
    <x v="2537"/>
    <x v="2232"/>
    <x v="2409"/>
    <x v="174"/>
    <x v="71"/>
    <x v="8"/>
  </r>
  <r>
    <x v="769"/>
    <x v="92"/>
    <x v="29"/>
    <x v="983"/>
    <x v="589"/>
    <x v="21"/>
    <x v="1643"/>
    <x v="2410"/>
    <x v="712"/>
    <x v="2158"/>
    <x v="174"/>
    <x v="71"/>
    <x v="9"/>
  </r>
  <r>
    <x v="770"/>
    <x v="93"/>
    <x v="1"/>
    <x v="327"/>
    <x v="124"/>
    <x v="17"/>
    <x v="588"/>
    <x v="751"/>
    <x v="1378"/>
    <x v="1328"/>
    <x v="184"/>
    <x v="1"/>
    <x v="1"/>
  </r>
  <r>
    <x v="771"/>
    <x v="93"/>
    <x v="4"/>
    <x v="328"/>
    <x v="124"/>
    <x v="27"/>
    <x v="952"/>
    <x v="1165"/>
    <x v="2762"/>
    <x v="2155"/>
    <x v="184"/>
    <x v="1"/>
    <x v="2"/>
  </r>
  <r>
    <x v="772"/>
    <x v="93"/>
    <x v="6"/>
    <x v="328"/>
    <x v="124"/>
    <x v="28"/>
    <x v="463"/>
    <x v="551"/>
    <x v="1762"/>
    <x v="1020"/>
    <x v="184"/>
    <x v="1"/>
    <x v="3"/>
  </r>
  <r>
    <x v="773"/>
    <x v="93"/>
    <x v="9"/>
    <x v="329"/>
    <x v="124"/>
    <x v="17"/>
    <x v="1353"/>
    <x v="1362"/>
    <x v="2761"/>
    <x v="2802"/>
    <x v="184"/>
    <x v="1"/>
    <x v="4"/>
  </r>
  <r>
    <x v="774"/>
    <x v="93"/>
    <x v="12"/>
    <x v="329"/>
    <x v="124"/>
    <x v="30"/>
    <x v="585"/>
    <x v="839"/>
    <x v="1285"/>
    <x v="1320"/>
    <x v="184"/>
    <x v="1"/>
    <x v="5"/>
  </r>
  <r>
    <x v="775"/>
    <x v="93"/>
    <x v="15"/>
    <x v="329"/>
    <x v="124"/>
    <x v="30"/>
    <x v="703"/>
    <x v="1327"/>
    <x v="1389"/>
    <x v="1661"/>
    <x v="184"/>
    <x v="1"/>
    <x v="6"/>
  </r>
  <r>
    <x v="776"/>
    <x v="93"/>
    <x v="20"/>
    <x v="329"/>
    <x v="124"/>
    <x v="7"/>
    <x v="413"/>
    <x v="1676"/>
    <x v="662"/>
    <x v="868"/>
    <x v="184"/>
    <x v="1"/>
    <x v="7"/>
  </r>
  <r>
    <x v="777"/>
    <x v="93"/>
    <x v="25"/>
    <x v="329"/>
    <x v="124"/>
    <x v="8"/>
    <x v="630"/>
    <x v="2089"/>
    <x v="1616"/>
    <x v="1448"/>
    <x v="184"/>
    <x v="1"/>
    <x v="8"/>
  </r>
  <r>
    <x v="778"/>
    <x v="93"/>
    <x v="28"/>
    <x v="330"/>
    <x v="124"/>
    <x v="15"/>
    <x v="1090"/>
    <x v="2548"/>
    <x v="2408"/>
    <x v="2436"/>
    <x v="184"/>
    <x v="1"/>
    <x v="9"/>
  </r>
  <r>
    <x v="779"/>
    <x v="94"/>
    <x v="3"/>
    <x v="2875"/>
    <x v="1731"/>
    <x v="34"/>
    <x v="3090"/>
    <x v="3211"/>
    <x v="612"/>
    <x v="790"/>
    <x v="193"/>
    <x v="74"/>
    <x v="1"/>
  </r>
  <r>
    <x v="780"/>
    <x v="94"/>
    <x v="5"/>
    <x v="2878"/>
    <x v="1732"/>
    <x v="33"/>
    <x v="2676"/>
    <x v="2966"/>
    <x v="337"/>
    <x v="473"/>
    <x v="193"/>
    <x v="74"/>
    <x v="2"/>
  </r>
  <r>
    <x v="781"/>
    <x v="94"/>
    <x v="8"/>
    <x v="2880"/>
    <x v="1734"/>
    <x v="30"/>
    <x v="768"/>
    <x v="1560"/>
    <x v="143"/>
    <x v="104"/>
    <x v="193"/>
    <x v="74"/>
    <x v="3"/>
  </r>
  <r>
    <x v="782"/>
    <x v="94"/>
    <x v="11"/>
    <x v="2877"/>
    <x v="1735"/>
    <x v="34"/>
    <x v="3116"/>
    <x v="3284"/>
    <x v="830"/>
    <x v="848"/>
    <x v="193"/>
    <x v="74"/>
    <x v="4"/>
  </r>
  <r>
    <x v="783"/>
    <x v="94"/>
    <x v="13"/>
    <x v="2876"/>
    <x v="1736"/>
    <x v="24"/>
    <x v="1509"/>
    <x v="2218"/>
    <x v="259"/>
    <x v="187"/>
    <x v="193"/>
    <x v="74"/>
    <x v="5"/>
  </r>
  <r>
    <x v="784"/>
    <x v="94"/>
    <x v="17"/>
    <x v="2879"/>
    <x v="1736"/>
    <x v="28"/>
    <x v="1463"/>
    <x v="2202"/>
    <x v="162"/>
    <x v="176"/>
    <x v="193"/>
    <x v="74"/>
    <x v="6"/>
  </r>
  <r>
    <x v="785"/>
    <x v="94"/>
    <x v="22"/>
    <x v="2881"/>
    <x v="1729"/>
    <x v="31"/>
    <x v="2063"/>
    <x v="2673"/>
    <x v="187"/>
    <x v="262"/>
    <x v="193"/>
    <x v="74"/>
    <x v="7"/>
  </r>
  <r>
    <x v="786"/>
    <x v="94"/>
    <x v="27"/>
    <x v="2882"/>
    <x v="1739"/>
    <x v="32"/>
    <x v="2868"/>
    <x v="3188"/>
    <x v="288"/>
    <x v="561"/>
    <x v="193"/>
    <x v="74"/>
    <x v="8"/>
  </r>
  <r>
    <x v="787"/>
    <x v="94"/>
    <x v="29"/>
    <x v="2874"/>
    <x v="1730"/>
    <x v="37"/>
    <x v="1135"/>
    <x v="2081"/>
    <x v="78"/>
    <x v="143"/>
    <x v="193"/>
    <x v="74"/>
    <x v="9"/>
  </r>
  <r>
    <x v="788"/>
    <x v="95"/>
    <x v="3"/>
    <x v="2962"/>
    <x v="1851"/>
    <x v="37"/>
    <x v="3508"/>
    <x v="3478"/>
    <x v="2046"/>
    <x v="2501"/>
    <x v="194"/>
    <x v="75"/>
    <x v="1"/>
  </r>
  <r>
    <x v="789"/>
    <x v="95"/>
    <x v="5"/>
    <x v="2963"/>
    <x v="1852"/>
    <x v="40"/>
    <x v="3511"/>
    <x v="3473"/>
    <x v="2295"/>
    <x v="2616"/>
    <x v="194"/>
    <x v="75"/>
    <x v="2"/>
  </r>
  <r>
    <x v="790"/>
    <x v="95"/>
    <x v="8"/>
    <x v="2964"/>
    <x v="1853"/>
    <x v="43"/>
    <x v="3507"/>
    <x v="3472"/>
    <x v="1899"/>
    <x v="2375"/>
    <x v="194"/>
    <x v="75"/>
    <x v="3"/>
  </r>
  <r>
    <x v="791"/>
    <x v="95"/>
    <x v="11"/>
    <x v="2965"/>
    <x v="1854"/>
    <x v="46"/>
    <x v="3505"/>
    <x v="3469"/>
    <x v="1594"/>
    <x v="2077"/>
    <x v="194"/>
    <x v="75"/>
    <x v="4"/>
  </r>
  <r>
    <x v="792"/>
    <x v="95"/>
    <x v="13"/>
    <x v="2966"/>
    <x v="1855"/>
    <x v="44"/>
    <x v="3506"/>
    <x v="3475"/>
    <x v="1536"/>
    <x v="2227"/>
    <x v="194"/>
    <x v="75"/>
    <x v="5"/>
  </r>
  <r>
    <x v="793"/>
    <x v="95"/>
    <x v="17"/>
    <x v="2967"/>
    <x v="1856"/>
    <x v="44"/>
    <x v="3509"/>
    <x v="3479"/>
    <x v="1857"/>
    <x v="2492"/>
    <x v="194"/>
    <x v="75"/>
    <x v="6"/>
  </r>
  <r>
    <x v="794"/>
    <x v="95"/>
    <x v="22"/>
    <x v="2968"/>
    <x v="1857"/>
    <x v="34"/>
    <x v="3500"/>
    <x v="3474"/>
    <x v="1654"/>
    <x v="1770"/>
    <x v="194"/>
    <x v="75"/>
    <x v="7"/>
  </r>
  <r>
    <x v="795"/>
    <x v="95"/>
    <x v="27"/>
    <x v="2969"/>
    <x v="1858"/>
    <x v="42"/>
    <x v="3504"/>
    <x v="3471"/>
    <x v="1793"/>
    <x v="2015"/>
    <x v="194"/>
    <x v="75"/>
    <x v="8"/>
  </r>
  <r>
    <x v="796"/>
    <x v="95"/>
    <x v="29"/>
    <x v="2970"/>
    <x v="1859"/>
    <x v="38"/>
    <x v="3503"/>
    <x v="3476"/>
    <x v="2021"/>
    <x v="1950"/>
    <x v="194"/>
    <x v="75"/>
    <x v="9"/>
  </r>
  <r>
    <x v="797"/>
    <x v="96"/>
    <x v="6"/>
    <x v="2723"/>
    <x v="1699"/>
    <x v="36"/>
    <x v="3379"/>
    <x v="3161"/>
    <x v="2040"/>
    <x v="2892"/>
    <x v="196"/>
    <x v="196"/>
    <x v="3"/>
  </r>
  <r>
    <x v="798"/>
    <x v="96"/>
    <x v="9"/>
    <x v="2727"/>
    <x v="1700"/>
    <x v="36"/>
    <x v="3311"/>
    <x v="3117"/>
    <x v="1882"/>
    <x v="2559"/>
    <x v="196"/>
    <x v="196"/>
    <x v="4"/>
  </r>
  <r>
    <x v="799"/>
    <x v="96"/>
    <x v="12"/>
    <x v="2731"/>
    <x v="1684"/>
    <x v="36"/>
    <x v="3152"/>
    <x v="2533"/>
    <x v="1214"/>
    <x v="1864"/>
    <x v="196"/>
    <x v="196"/>
    <x v="5"/>
  </r>
  <r>
    <x v="800"/>
    <x v="96"/>
    <x v="15"/>
    <x v="2734"/>
    <x v="1685"/>
    <x v="33"/>
    <x v="2888"/>
    <x v="2585"/>
    <x v="659"/>
    <x v="1167"/>
    <x v="196"/>
    <x v="196"/>
    <x v="6"/>
  </r>
  <r>
    <x v="801"/>
    <x v="96"/>
    <x v="20"/>
    <x v="2737"/>
    <x v="1686"/>
    <x v="25"/>
    <x v="3133"/>
    <x v="2844"/>
    <x v="595"/>
    <x v="1760"/>
    <x v="196"/>
    <x v="196"/>
    <x v="7"/>
  </r>
  <r>
    <x v="802"/>
    <x v="96"/>
    <x v="25"/>
    <x v="2740"/>
    <x v="1689"/>
    <x v="26"/>
    <x v="2748"/>
    <x v="2691"/>
    <x v="741"/>
    <x v="947"/>
    <x v="196"/>
    <x v="196"/>
    <x v="8"/>
  </r>
  <r>
    <x v="803"/>
    <x v="96"/>
    <x v="28"/>
    <x v="2747"/>
    <x v="1696"/>
    <x v="27"/>
    <x v="2797"/>
    <x v="2638"/>
    <x v="715"/>
    <x v="997"/>
    <x v="196"/>
    <x v="196"/>
    <x v="9"/>
  </r>
  <r>
    <x v="804"/>
    <x v="97"/>
    <x v="1"/>
    <x v="286"/>
    <x v="49"/>
    <x v="21"/>
    <x v="624"/>
    <x v="1427"/>
    <x v="1758"/>
    <x v="1505"/>
    <x v="191"/>
    <x v="194"/>
    <x v="1"/>
  </r>
  <r>
    <x v="805"/>
    <x v="97"/>
    <x v="4"/>
    <x v="290"/>
    <x v="49"/>
    <x v="24"/>
    <x v="439"/>
    <x v="1171"/>
    <x v="1521"/>
    <x v="991"/>
    <x v="191"/>
    <x v="194"/>
    <x v="2"/>
  </r>
  <r>
    <x v="806"/>
    <x v="97"/>
    <x v="6"/>
    <x v="296"/>
    <x v="52"/>
    <x v="31"/>
    <x v="514"/>
    <x v="1325"/>
    <x v="1102"/>
    <x v="1195"/>
    <x v="191"/>
    <x v="194"/>
    <x v="3"/>
  </r>
  <r>
    <x v="807"/>
    <x v="97"/>
    <x v="9"/>
    <x v="296"/>
    <x v="56"/>
    <x v="49"/>
    <x v="458"/>
    <x v="1923"/>
    <x v="1329"/>
    <x v="1037"/>
    <x v="191"/>
    <x v="194"/>
    <x v="4"/>
  </r>
  <r>
    <x v="808"/>
    <x v="97"/>
    <x v="12"/>
    <x v="310"/>
    <x v="56"/>
    <x v="44"/>
    <x v="186"/>
    <x v="702"/>
    <x v="481"/>
    <x v="346"/>
    <x v="191"/>
    <x v="194"/>
    <x v="5"/>
  </r>
  <r>
    <x v="809"/>
    <x v="97"/>
    <x v="15"/>
    <x v="325"/>
    <x v="56"/>
    <x v="44"/>
    <x v="136"/>
    <x v="510"/>
    <x v="586"/>
    <x v="234"/>
    <x v="191"/>
    <x v="194"/>
    <x v="6"/>
  </r>
  <r>
    <x v="810"/>
    <x v="97"/>
    <x v="20"/>
    <x v="315"/>
    <x v="56"/>
    <x v="12"/>
    <x v="471"/>
    <x v="1489"/>
    <x v="932"/>
    <x v="1076"/>
    <x v="191"/>
    <x v="194"/>
    <x v="7"/>
  </r>
  <r>
    <x v="811"/>
    <x v="97"/>
    <x v="25"/>
    <x v="315"/>
    <x v="56"/>
    <x v="12"/>
    <x v="531"/>
    <x v="1631"/>
    <x v="1077"/>
    <x v="1207"/>
    <x v="191"/>
    <x v="194"/>
    <x v="8"/>
  </r>
  <r>
    <x v="812"/>
    <x v="97"/>
    <x v="28"/>
    <x v="322"/>
    <x v="56"/>
    <x v="12"/>
    <x v="695"/>
    <x v="1905"/>
    <x v="1675"/>
    <x v="1659"/>
    <x v="191"/>
    <x v="194"/>
    <x v="9"/>
  </r>
  <r>
    <x v="813"/>
    <x v="98"/>
    <x v="1"/>
    <x v="1108"/>
    <x v="341"/>
    <x v="45"/>
    <x v="1433"/>
    <x v="1388"/>
    <x v="1652"/>
    <x v="1619"/>
    <x v="135"/>
    <x v="353"/>
    <x v="1"/>
  </r>
  <r>
    <x v="814"/>
    <x v="98"/>
    <x v="4"/>
    <x v="1104"/>
    <x v="341"/>
    <x v="38"/>
    <x v="1721"/>
    <x v="1684"/>
    <x v="2084"/>
    <x v="2066"/>
    <x v="135"/>
    <x v="353"/>
    <x v="2"/>
  </r>
  <r>
    <x v="815"/>
    <x v="98"/>
    <x v="6"/>
    <x v="1120"/>
    <x v="342"/>
    <x v="38"/>
    <x v="1543"/>
    <x v="1513"/>
    <x v="1785"/>
    <x v="1775"/>
    <x v="135"/>
    <x v="353"/>
    <x v="3"/>
  </r>
  <r>
    <x v="816"/>
    <x v="98"/>
    <x v="9"/>
    <x v="1124"/>
    <x v="342"/>
    <x v="38"/>
    <x v="1170"/>
    <x v="1330"/>
    <x v="1344"/>
    <x v="1211"/>
    <x v="135"/>
    <x v="353"/>
    <x v="4"/>
  </r>
  <r>
    <x v="817"/>
    <x v="98"/>
    <x v="12"/>
    <x v="1126"/>
    <x v="298"/>
    <x v="38"/>
    <x v="1226"/>
    <x v="1422"/>
    <x v="1315"/>
    <x v="1290"/>
    <x v="135"/>
    <x v="353"/>
    <x v="5"/>
  </r>
  <r>
    <x v="818"/>
    <x v="98"/>
    <x v="15"/>
    <x v="1128"/>
    <x v="301"/>
    <x v="34"/>
    <x v="730"/>
    <x v="1071"/>
    <x v="702"/>
    <x v="666"/>
    <x v="135"/>
    <x v="353"/>
    <x v="6"/>
  </r>
  <r>
    <x v="819"/>
    <x v="98"/>
    <x v="20"/>
    <x v="1127"/>
    <x v="301"/>
    <x v="40"/>
    <x v="1059"/>
    <x v="1406"/>
    <x v="1182"/>
    <x v="1053"/>
    <x v="135"/>
    <x v="353"/>
    <x v="7"/>
  </r>
  <r>
    <x v="820"/>
    <x v="98"/>
    <x v="25"/>
    <x v="1129"/>
    <x v="302"/>
    <x v="40"/>
    <x v="1516"/>
    <x v="2061"/>
    <x v="1958"/>
    <x v="1717"/>
    <x v="135"/>
    <x v="353"/>
    <x v="8"/>
  </r>
  <r>
    <x v="821"/>
    <x v="98"/>
    <x v="28"/>
    <x v="1135"/>
    <x v="397"/>
    <x v="41"/>
    <x v="1356"/>
    <x v="2074"/>
    <x v="1662"/>
    <x v="1462"/>
    <x v="135"/>
    <x v="353"/>
    <x v="9"/>
  </r>
  <r>
    <x v="822"/>
    <x v="99"/>
    <x v="1"/>
    <x v="1022"/>
    <x v="345"/>
    <x v="23"/>
    <x v="1278"/>
    <x v="2004"/>
    <x v="2060"/>
    <x v="1515"/>
    <x v="198"/>
    <x v="76"/>
    <x v="1"/>
  </r>
  <r>
    <x v="823"/>
    <x v="99"/>
    <x v="4"/>
    <x v="1026"/>
    <x v="345"/>
    <x v="23"/>
    <x v="1660"/>
    <x v="2299"/>
    <x v="2158"/>
    <x v="2087"/>
    <x v="198"/>
    <x v="76"/>
    <x v="2"/>
  </r>
  <r>
    <x v="824"/>
    <x v="99"/>
    <x v="6"/>
    <x v="1032"/>
    <x v="345"/>
    <x v="15"/>
    <x v="1068"/>
    <x v="2138"/>
    <x v="2293"/>
    <x v="1183"/>
    <x v="198"/>
    <x v="76"/>
    <x v="3"/>
  </r>
  <r>
    <x v="825"/>
    <x v="99"/>
    <x v="9"/>
    <x v="1036"/>
    <x v="345"/>
    <x v="22"/>
    <x v="781"/>
    <x v="1852"/>
    <x v="1861"/>
    <x v="781"/>
    <x v="198"/>
    <x v="76"/>
    <x v="4"/>
  </r>
  <r>
    <x v="826"/>
    <x v="99"/>
    <x v="12"/>
    <x v="1028"/>
    <x v="345"/>
    <x v="20"/>
    <x v="1546"/>
    <x v="1543"/>
    <x v="2250"/>
    <x v="1913"/>
    <x v="198"/>
    <x v="76"/>
    <x v="5"/>
  </r>
  <r>
    <x v="827"/>
    <x v="99"/>
    <x v="15"/>
    <x v="1028"/>
    <x v="345"/>
    <x v="23"/>
    <x v="148"/>
    <x v="655"/>
    <x v="144"/>
    <x v="144"/>
    <x v="198"/>
    <x v="76"/>
    <x v="6"/>
  </r>
  <r>
    <x v="828"/>
    <x v="99"/>
    <x v="20"/>
    <x v="1044"/>
    <x v="345"/>
    <x v="25"/>
    <x v="1734"/>
    <x v="1758"/>
    <x v="1873"/>
    <x v="2179"/>
    <x v="198"/>
    <x v="76"/>
    <x v="7"/>
  </r>
  <r>
    <x v="829"/>
    <x v="100"/>
    <x v="3"/>
    <x v="1464"/>
    <x v="430"/>
    <x v="27"/>
    <x v="733"/>
    <x v="1915"/>
    <x v="832"/>
    <x v="491"/>
    <x v="201"/>
    <x v="202"/>
    <x v="1"/>
  </r>
  <r>
    <x v="830"/>
    <x v="100"/>
    <x v="5"/>
    <x v="1450"/>
    <x v="430"/>
    <x v="31"/>
    <x v="221"/>
    <x v="1158"/>
    <x v="339"/>
    <x v="168"/>
    <x v="201"/>
    <x v="202"/>
    <x v="2"/>
  </r>
  <r>
    <x v="831"/>
    <x v="100"/>
    <x v="8"/>
    <x v="1454"/>
    <x v="434"/>
    <x v="31"/>
    <x v="110"/>
    <x v="465"/>
    <x v="247"/>
    <x v="89"/>
    <x v="201"/>
    <x v="202"/>
    <x v="3"/>
  </r>
  <r>
    <x v="832"/>
    <x v="100"/>
    <x v="11"/>
    <x v="1478"/>
    <x v="434"/>
    <x v="28"/>
    <x v="398"/>
    <x v="1072"/>
    <x v="438"/>
    <x v="269"/>
    <x v="201"/>
    <x v="202"/>
    <x v="4"/>
  </r>
  <r>
    <x v="833"/>
    <x v="100"/>
    <x v="13"/>
    <x v="1474"/>
    <x v="556"/>
    <x v="31"/>
    <x v="1611"/>
    <x v="2583"/>
    <x v="1954"/>
    <x v="1313"/>
    <x v="201"/>
    <x v="202"/>
    <x v="5"/>
  </r>
  <r>
    <x v="834"/>
    <x v="100"/>
    <x v="17"/>
    <x v="1462"/>
    <x v="556"/>
    <x v="33"/>
    <x v="27"/>
    <x v="19"/>
    <x v="26"/>
    <x v="31"/>
    <x v="201"/>
    <x v="202"/>
    <x v="6"/>
  </r>
  <r>
    <x v="835"/>
    <x v="100"/>
    <x v="22"/>
    <x v="1464"/>
    <x v="556"/>
    <x v="33"/>
    <x v="1397"/>
    <x v="2014"/>
    <x v="1571"/>
    <x v="1043"/>
    <x v="201"/>
    <x v="202"/>
    <x v="7"/>
  </r>
  <r>
    <x v="836"/>
    <x v="100"/>
    <x v="27"/>
    <x v="1473"/>
    <x v="450"/>
    <x v="33"/>
    <x v="1162"/>
    <x v="2392"/>
    <x v="1187"/>
    <x v="789"/>
    <x v="201"/>
    <x v="202"/>
    <x v="8"/>
  </r>
  <r>
    <x v="837"/>
    <x v="100"/>
    <x v="29"/>
    <x v="1473"/>
    <x v="450"/>
    <x v="21"/>
    <x v="759"/>
    <x v="2031"/>
    <x v="604"/>
    <x v="504"/>
    <x v="201"/>
    <x v="202"/>
    <x v="9"/>
  </r>
  <r>
    <x v="838"/>
    <x v="101"/>
    <x v="1"/>
    <x v="1106"/>
    <x v="282"/>
    <x v="23"/>
    <x v="1154"/>
    <x v="576"/>
    <x v="979"/>
    <x v="1205"/>
    <x v="215"/>
    <x v="210"/>
    <x v="1"/>
  </r>
  <r>
    <x v="839"/>
    <x v="101"/>
    <x v="4"/>
    <x v="1113"/>
    <x v="282"/>
    <x v="20"/>
    <x v="1065"/>
    <x v="475"/>
    <x v="990"/>
    <x v="1091"/>
    <x v="215"/>
    <x v="210"/>
    <x v="2"/>
  </r>
  <r>
    <x v="840"/>
    <x v="101"/>
    <x v="6"/>
    <x v="1079"/>
    <x v="612"/>
    <x v="30"/>
    <x v="1310"/>
    <x v="1147"/>
    <x v="1002"/>
    <x v="1468"/>
    <x v="215"/>
    <x v="210"/>
    <x v="3"/>
  </r>
  <r>
    <x v="841"/>
    <x v="101"/>
    <x v="9"/>
    <x v="1160"/>
    <x v="616"/>
    <x v="30"/>
    <x v="1258"/>
    <x v="1124"/>
    <x v="1004"/>
    <x v="1297"/>
    <x v="215"/>
    <x v="210"/>
    <x v="4"/>
  </r>
  <r>
    <x v="842"/>
    <x v="101"/>
    <x v="12"/>
    <x v="1160"/>
    <x v="451"/>
    <x v="37"/>
    <x v="166"/>
    <x v="162"/>
    <x v="213"/>
    <x v="150"/>
    <x v="215"/>
    <x v="210"/>
    <x v="5"/>
  </r>
  <r>
    <x v="843"/>
    <x v="101"/>
    <x v="20"/>
    <x v="1166"/>
    <x v="451"/>
    <x v="31"/>
    <x v="120"/>
    <x v="137"/>
    <x v="42"/>
    <x v="107"/>
    <x v="215"/>
    <x v="210"/>
    <x v="7"/>
  </r>
  <r>
    <x v="844"/>
    <x v="101"/>
    <x v="25"/>
    <x v="1166"/>
    <x v="451"/>
    <x v="31"/>
    <x v="498"/>
    <x v="671"/>
    <x v="131"/>
    <x v="446"/>
    <x v="215"/>
    <x v="210"/>
    <x v="8"/>
  </r>
  <r>
    <x v="845"/>
    <x v="101"/>
    <x v="28"/>
    <x v="1121"/>
    <x v="451"/>
    <x v="29"/>
    <x v="997"/>
    <x v="1193"/>
    <x v="325"/>
    <x v="963"/>
    <x v="215"/>
    <x v="210"/>
    <x v="9"/>
  </r>
  <r>
    <x v="846"/>
    <x v="102"/>
    <x v="3"/>
    <x v="192"/>
    <x v="63"/>
    <x v="20"/>
    <x v="1436"/>
    <x v="1598"/>
    <x v="2683"/>
    <x v="3051"/>
    <x v="217"/>
    <x v="212"/>
    <x v="1"/>
  </r>
  <r>
    <x v="847"/>
    <x v="102"/>
    <x v="5"/>
    <x v="237"/>
    <x v="68"/>
    <x v="29"/>
    <x v="967"/>
    <x v="1236"/>
    <x v="2590"/>
    <x v="2398"/>
    <x v="217"/>
    <x v="212"/>
    <x v="2"/>
  </r>
  <r>
    <x v="848"/>
    <x v="102"/>
    <x v="8"/>
    <x v="249"/>
    <x v="68"/>
    <x v="23"/>
    <x v="743"/>
    <x v="1038"/>
    <x v="2402"/>
    <x v="1921"/>
    <x v="217"/>
    <x v="212"/>
    <x v="3"/>
  </r>
  <r>
    <x v="849"/>
    <x v="102"/>
    <x v="11"/>
    <x v="253"/>
    <x v="68"/>
    <x v="33"/>
    <x v="906"/>
    <x v="1536"/>
    <x v="2540"/>
    <x v="2233"/>
    <x v="217"/>
    <x v="212"/>
    <x v="4"/>
  </r>
  <r>
    <x v="850"/>
    <x v="102"/>
    <x v="13"/>
    <x v="256"/>
    <x v="68"/>
    <x v="34"/>
    <x v="940"/>
    <x v="1635"/>
    <x v="2605"/>
    <x v="2305"/>
    <x v="217"/>
    <x v="212"/>
    <x v="5"/>
  </r>
  <r>
    <x v="851"/>
    <x v="102"/>
    <x v="17"/>
    <x v="258"/>
    <x v="68"/>
    <x v="34"/>
    <x v="691"/>
    <x v="1401"/>
    <x v="2447"/>
    <x v="1794"/>
    <x v="217"/>
    <x v="212"/>
    <x v="6"/>
  </r>
  <r>
    <x v="852"/>
    <x v="102"/>
    <x v="22"/>
    <x v="242"/>
    <x v="68"/>
    <x v="27"/>
    <x v="256"/>
    <x v="765"/>
    <x v="1784"/>
    <x v="544"/>
    <x v="217"/>
    <x v="212"/>
    <x v="7"/>
  </r>
  <r>
    <x v="853"/>
    <x v="102"/>
    <x v="27"/>
    <x v="236"/>
    <x v="68"/>
    <x v="30"/>
    <x v="642"/>
    <x v="1409"/>
    <x v="2403"/>
    <x v="1678"/>
    <x v="217"/>
    <x v="212"/>
    <x v="8"/>
  </r>
  <r>
    <x v="854"/>
    <x v="102"/>
    <x v="29"/>
    <x v="238"/>
    <x v="68"/>
    <x v="31"/>
    <x v="779"/>
    <x v="1570"/>
    <x v="2521"/>
    <x v="2016"/>
    <x v="217"/>
    <x v="212"/>
    <x v="9"/>
  </r>
  <r>
    <x v="855"/>
    <x v="103"/>
    <x v="1"/>
    <x v="1439"/>
    <x v="535"/>
    <x v="32"/>
    <x v="1864"/>
    <x v="344"/>
    <x v="1011"/>
    <x v="1709"/>
    <x v="219"/>
    <x v="213"/>
    <x v="1"/>
  </r>
  <r>
    <x v="856"/>
    <x v="103"/>
    <x v="4"/>
    <x v="1448"/>
    <x v="542"/>
    <x v="34"/>
    <x v="2260"/>
    <x v="1854"/>
    <x v="1853"/>
    <x v="2419"/>
    <x v="219"/>
    <x v="213"/>
    <x v="2"/>
  </r>
  <r>
    <x v="857"/>
    <x v="103"/>
    <x v="6"/>
    <x v="1458"/>
    <x v="542"/>
    <x v="34"/>
    <x v="2388"/>
    <x v="2329"/>
    <x v="2175"/>
    <x v="2601"/>
    <x v="219"/>
    <x v="213"/>
    <x v="3"/>
  </r>
  <r>
    <x v="858"/>
    <x v="103"/>
    <x v="9"/>
    <x v="1460"/>
    <x v="542"/>
    <x v="34"/>
    <x v="2504"/>
    <x v="2494"/>
    <x v="2436"/>
    <x v="2750"/>
    <x v="219"/>
    <x v="213"/>
    <x v="4"/>
  </r>
  <r>
    <x v="859"/>
    <x v="103"/>
    <x v="12"/>
    <x v="1462"/>
    <x v="542"/>
    <x v="34"/>
    <x v="2075"/>
    <x v="1786"/>
    <x v="1542"/>
    <x v="2044"/>
    <x v="219"/>
    <x v="213"/>
    <x v="5"/>
  </r>
  <r>
    <x v="860"/>
    <x v="104"/>
    <x v="3"/>
    <x v="170"/>
    <x v="197"/>
    <x v="31"/>
    <x v="901"/>
    <x v="405"/>
    <x v="875"/>
    <x v="2341"/>
    <x v="313"/>
    <x v="294"/>
    <x v="1"/>
  </r>
  <r>
    <x v="861"/>
    <x v="104"/>
    <x v="5"/>
    <x v="170"/>
    <x v="197"/>
    <x v="24"/>
    <x v="1158"/>
    <x v="604"/>
    <x v="1537"/>
    <x v="2757"/>
    <x v="313"/>
    <x v="294"/>
    <x v="2"/>
  </r>
  <r>
    <x v="862"/>
    <x v="104"/>
    <x v="8"/>
    <x v="213"/>
    <x v="199"/>
    <x v="20"/>
    <x v="857"/>
    <x v="1078"/>
    <x v="1163"/>
    <x v="2198"/>
    <x v="313"/>
    <x v="294"/>
    <x v="3"/>
  </r>
  <r>
    <x v="863"/>
    <x v="104"/>
    <x v="11"/>
    <x v="177"/>
    <x v="163"/>
    <x v="26"/>
    <x v="885"/>
    <x v="605"/>
    <x v="1511"/>
    <x v="2278"/>
    <x v="313"/>
    <x v="294"/>
    <x v="4"/>
  </r>
  <r>
    <x v="864"/>
    <x v="104"/>
    <x v="13"/>
    <x v="198"/>
    <x v="164"/>
    <x v="26"/>
    <x v="813"/>
    <x v="933"/>
    <x v="639"/>
    <x v="2127"/>
    <x v="313"/>
    <x v="294"/>
    <x v="5"/>
  </r>
  <r>
    <x v="865"/>
    <x v="104"/>
    <x v="17"/>
    <x v="202"/>
    <x v="179"/>
    <x v="27"/>
    <x v="640"/>
    <x v="1183"/>
    <x v="602"/>
    <x v="1733"/>
    <x v="313"/>
    <x v="294"/>
    <x v="6"/>
  </r>
  <r>
    <x v="866"/>
    <x v="104"/>
    <x v="22"/>
    <x v="223"/>
    <x v="179"/>
    <x v="33"/>
    <x v="509"/>
    <x v="770"/>
    <x v="405"/>
    <x v="1312"/>
    <x v="313"/>
    <x v="294"/>
    <x v="7"/>
  </r>
  <r>
    <x v="867"/>
    <x v="104"/>
    <x v="27"/>
    <x v="259"/>
    <x v="179"/>
    <x v="32"/>
    <x v="1511"/>
    <x v="2171"/>
    <x v="1724"/>
    <x v="3057"/>
    <x v="313"/>
    <x v="294"/>
    <x v="8"/>
  </r>
  <r>
    <x v="868"/>
    <x v="105"/>
    <x v="1"/>
    <x v="1083"/>
    <x v="316"/>
    <x v="42"/>
    <x v="838"/>
    <x v="1199"/>
    <x v="1397"/>
    <x v="797"/>
    <x v="136"/>
    <x v="353"/>
    <x v="1"/>
  </r>
  <r>
    <x v="869"/>
    <x v="105"/>
    <x v="4"/>
    <x v="1078"/>
    <x v="316"/>
    <x v="38"/>
    <x v="1246"/>
    <x v="1685"/>
    <x v="1555"/>
    <x v="1391"/>
    <x v="136"/>
    <x v="353"/>
    <x v="2"/>
  </r>
  <r>
    <x v="870"/>
    <x v="105"/>
    <x v="6"/>
    <x v="1082"/>
    <x v="313"/>
    <x v="38"/>
    <x v="1107"/>
    <x v="1359"/>
    <x v="1406"/>
    <x v="1181"/>
    <x v="136"/>
    <x v="353"/>
    <x v="3"/>
  </r>
  <r>
    <x v="871"/>
    <x v="105"/>
    <x v="9"/>
    <x v="1084"/>
    <x v="313"/>
    <x v="38"/>
    <x v="746"/>
    <x v="1369"/>
    <x v="931"/>
    <x v="722"/>
    <x v="136"/>
    <x v="353"/>
    <x v="4"/>
  </r>
  <r>
    <x v="872"/>
    <x v="105"/>
    <x v="12"/>
    <x v="1086"/>
    <x v="286"/>
    <x v="38"/>
    <x v="627"/>
    <x v="1204"/>
    <x v="653"/>
    <x v="589"/>
    <x v="136"/>
    <x v="353"/>
    <x v="5"/>
  </r>
  <r>
    <x v="873"/>
    <x v="105"/>
    <x v="15"/>
    <x v="1089"/>
    <x v="286"/>
    <x v="37"/>
    <x v="672"/>
    <x v="1376"/>
    <x v="720"/>
    <x v="642"/>
    <x v="136"/>
    <x v="353"/>
    <x v="6"/>
  </r>
  <r>
    <x v="874"/>
    <x v="105"/>
    <x v="20"/>
    <x v="1087"/>
    <x v="289"/>
    <x v="41"/>
    <x v="693"/>
    <x v="1370"/>
    <x v="706"/>
    <x v="668"/>
    <x v="136"/>
    <x v="353"/>
    <x v="7"/>
  </r>
  <r>
    <x v="875"/>
    <x v="105"/>
    <x v="25"/>
    <x v="1088"/>
    <x v="288"/>
    <x v="41"/>
    <x v="518"/>
    <x v="1122"/>
    <x v="569"/>
    <x v="496"/>
    <x v="136"/>
    <x v="353"/>
    <x v="8"/>
  </r>
  <r>
    <x v="876"/>
    <x v="105"/>
    <x v="28"/>
    <x v="1090"/>
    <x v="374"/>
    <x v="40"/>
    <x v="1092"/>
    <x v="1662"/>
    <x v="1491"/>
    <x v="1136"/>
    <x v="136"/>
    <x v="353"/>
    <x v="9"/>
  </r>
  <r>
    <x v="877"/>
    <x v="106"/>
    <x v="2"/>
    <x v="276"/>
    <x v="49"/>
    <x v="24"/>
    <x v="1185"/>
    <x v="1524"/>
    <x v="2775"/>
    <x v="2549"/>
    <x v="243"/>
    <x v="362"/>
    <x v="1"/>
  </r>
  <r>
    <x v="878"/>
    <x v="106"/>
    <x v="7"/>
    <x v="278"/>
    <x v="49"/>
    <x v="39"/>
    <x v="1061"/>
    <x v="1354"/>
    <x v="2834"/>
    <x v="2348"/>
    <x v="243"/>
    <x v="362"/>
    <x v="3"/>
  </r>
  <r>
    <x v="879"/>
    <x v="106"/>
    <x v="8"/>
    <x v="278"/>
    <x v="49"/>
    <x v="39"/>
    <x v="1061"/>
    <x v="1354"/>
    <x v="2834"/>
    <x v="2482"/>
    <x v="243"/>
    <x v="362"/>
    <x v="3"/>
  </r>
  <r>
    <x v="880"/>
    <x v="106"/>
    <x v="10"/>
    <x v="288"/>
    <x v="49"/>
    <x v="44"/>
    <x v="383"/>
    <x v="779"/>
    <x v="1578"/>
    <x v="761"/>
    <x v="243"/>
    <x v="362"/>
    <x v="4"/>
  </r>
  <r>
    <x v="881"/>
    <x v="106"/>
    <x v="11"/>
    <x v="288"/>
    <x v="49"/>
    <x v="44"/>
    <x v="383"/>
    <x v="779"/>
    <x v="1578"/>
    <x v="821"/>
    <x v="243"/>
    <x v="362"/>
    <x v="4"/>
  </r>
  <r>
    <x v="882"/>
    <x v="106"/>
    <x v="13"/>
    <x v="288"/>
    <x v="49"/>
    <x v="48"/>
    <x v="391"/>
    <x v="734"/>
    <x v="766"/>
    <x v="862"/>
    <x v="243"/>
    <x v="362"/>
    <x v="5"/>
  </r>
  <r>
    <x v="883"/>
    <x v="106"/>
    <x v="22"/>
    <x v="293"/>
    <x v="49"/>
    <x v="49"/>
    <x v="91"/>
    <x v="146"/>
    <x v="184"/>
    <x v="162"/>
    <x v="243"/>
    <x v="362"/>
    <x v="7"/>
  </r>
  <r>
    <x v="884"/>
    <x v="106"/>
    <x v="27"/>
    <x v="293"/>
    <x v="49"/>
    <x v="49"/>
    <x v="133"/>
    <x v="232"/>
    <x v="233"/>
    <x v="235"/>
    <x v="243"/>
    <x v="362"/>
    <x v="8"/>
  </r>
  <r>
    <x v="885"/>
    <x v="106"/>
    <x v="29"/>
    <x v="299"/>
    <x v="49"/>
    <x v="49"/>
    <x v="45"/>
    <x v="48"/>
    <x v="35"/>
    <x v="46"/>
    <x v="243"/>
    <x v="362"/>
    <x v="9"/>
  </r>
  <r>
    <x v="886"/>
    <x v="107"/>
    <x v="1"/>
    <x v="2277"/>
    <x v="1374"/>
    <x v="32"/>
    <x v="3013"/>
    <x v="2257"/>
    <x v="2614"/>
    <x v="2515"/>
    <x v="247"/>
    <x v="243"/>
    <x v="1"/>
  </r>
  <r>
    <x v="887"/>
    <x v="107"/>
    <x v="4"/>
    <x v="2278"/>
    <x v="1374"/>
    <x v="40"/>
    <x v="3095"/>
    <x v="2438"/>
    <x v="2458"/>
    <x v="2710"/>
    <x v="247"/>
    <x v="243"/>
    <x v="2"/>
  </r>
  <r>
    <x v="888"/>
    <x v="107"/>
    <x v="6"/>
    <x v="2280"/>
    <x v="1374"/>
    <x v="40"/>
    <x v="3205"/>
    <x v="2590"/>
    <x v="2751"/>
    <x v="3007"/>
    <x v="247"/>
    <x v="243"/>
    <x v="3"/>
  </r>
  <r>
    <x v="889"/>
    <x v="107"/>
    <x v="9"/>
    <x v="2279"/>
    <x v="1374"/>
    <x v="40"/>
    <x v="3089"/>
    <x v="2396"/>
    <x v="2319"/>
    <x v="2692"/>
    <x v="247"/>
    <x v="243"/>
    <x v="4"/>
  </r>
  <r>
    <x v="890"/>
    <x v="107"/>
    <x v="12"/>
    <x v="2281"/>
    <x v="1374"/>
    <x v="40"/>
    <x v="3042"/>
    <x v="2345"/>
    <x v="2226"/>
    <x v="2584"/>
    <x v="247"/>
    <x v="243"/>
    <x v="5"/>
  </r>
  <r>
    <x v="891"/>
    <x v="107"/>
    <x v="15"/>
    <x v="2284"/>
    <x v="1374"/>
    <x v="40"/>
    <x v="2854"/>
    <x v="2492"/>
    <x v="1442"/>
    <x v="2186"/>
    <x v="247"/>
    <x v="243"/>
    <x v="6"/>
  </r>
  <r>
    <x v="892"/>
    <x v="107"/>
    <x v="20"/>
    <x v="2293"/>
    <x v="1340"/>
    <x v="45"/>
    <x v="2787"/>
    <x v="2378"/>
    <x v="1441"/>
    <x v="2047"/>
    <x v="247"/>
    <x v="243"/>
    <x v="7"/>
  </r>
  <r>
    <x v="893"/>
    <x v="107"/>
    <x v="25"/>
    <x v="2293"/>
    <x v="1340"/>
    <x v="46"/>
    <x v="2555"/>
    <x v="2524"/>
    <x v="2028"/>
    <x v="1660"/>
    <x v="247"/>
    <x v="243"/>
    <x v="8"/>
  </r>
  <r>
    <x v="894"/>
    <x v="107"/>
    <x v="28"/>
    <x v="2301"/>
    <x v="1375"/>
    <x v="45"/>
    <x v="2918"/>
    <x v="2568"/>
    <x v="2277"/>
    <x v="2297"/>
    <x v="247"/>
    <x v="243"/>
    <x v="9"/>
  </r>
  <r>
    <x v="895"/>
    <x v="108"/>
    <x v="1"/>
    <x v="2099"/>
    <x v="1190"/>
    <x v="19"/>
    <x v="2603"/>
    <x v="3015"/>
    <x v="1593"/>
    <x v="1958"/>
    <x v="52"/>
    <x v="256"/>
    <x v="1"/>
  </r>
  <r>
    <x v="896"/>
    <x v="108"/>
    <x v="4"/>
    <x v="2105"/>
    <x v="1195"/>
    <x v="28"/>
    <x v="3137"/>
    <x v="3393"/>
    <x v="2491"/>
    <x v="2967"/>
    <x v="52"/>
    <x v="256"/>
    <x v="2"/>
  </r>
  <r>
    <x v="897"/>
    <x v="108"/>
    <x v="6"/>
    <x v="2110"/>
    <x v="1194"/>
    <x v="36"/>
    <x v="2180"/>
    <x v="3115"/>
    <x v="872"/>
    <x v="1271"/>
    <x v="52"/>
    <x v="256"/>
    <x v="3"/>
  </r>
  <r>
    <x v="898"/>
    <x v="108"/>
    <x v="9"/>
    <x v="2100"/>
    <x v="1193"/>
    <x v="36"/>
    <x v="2149"/>
    <x v="2954"/>
    <x v="965"/>
    <x v="1222"/>
    <x v="52"/>
    <x v="256"/>
    <x v="4"/>
  </r>
  <r>
    <x v="899"/>
    <x v="108"/>
    <x v="12"/>
    <x v="2116"/>
    <x v="1197"/>
    <x v="36"/>
    <x v="2645"/>
    <x v="3213"/>
    <x v="1481"/>
    <x v="2012"/>
    <x v="52"/>
    <x v="256"/>
    <x v="5"/>
  </r>
  <r>
    <x v="900"/>
    <x v="108"/>
    <x v="15"/>
    <x v="2121"/>
    <x v="1197"/>
    <x v="29"/>
    <x v="231"/>
    <x v="965"/>
    <x v="229"/>
    <x v="113"/>
    <x v="52"/>
    <x v="256"/>
    <x v="6"/>
  </r>
  <r>
    <x v="901"/>
    <x v="108"/>
    <x v="20"/>
    <x v="2127"/>
    <x v="1209"/>
    <x v="37"/>
    <x v="1737"/>
    <x v="2760"/>
    <x v="638"/>
    <x v="731"/>
    <x v="52"/>
    <x v="256"/>
    <x v="7"/>
  </r>
  <r>
    <x v="902"/>
    <x v="108"/>
    <x v="25"/>
    <x v="2133"/>
    <x v="1213"/>
    <x v="33"/>
    <x v="115"/>
    <x v="527"/>
    <x v="218"/>
    <x v="67"/>
    <x v="52"/>
    <x v="256"/>
    <x v="8"/>
  </r>
  <r>
    <x v="903"/>
    <x v="108"/>
    <x v="28"/>
    <x v="2142"/>
    <x v="1220"/>
    <x v="33"/>
    <x v="1279"/>
    <x v="2580"/>
    <x v="512"/>
    <x v="482"/>
    <x v="52"/>
    <x v="256"/>
    <x v="9"/>
  </r>
  <r>
    <x v="904"/>
    <x v="109"/>
    <x v="3"/>
    <x v="809"/>
    <x v="522"/>
    <x v="26"/>
    <x v="2635"/>
    <x v="2255"/>
    <x v="2980"/>
    <x v="3371"/>
    <x v="250"/>
    <x v="246"/>
    <x v="1"/>
  </r>
  <r>
    <x v="905"/>
    <x v="109"/>
    <x v="5"/>
    <x v="811"/>
    <x v="714"/>
    <x v="36"/>
    <x v="2689"/>
    <x v="2418"/>
    <x v="3018"/>
    <x v="3395"/>
    <x v="250"/>
    <x v="246"/>
    <x v="2"/>
  </r>
  <r>
    <x v="906"/>
    <x v="109"/>
    <x v="8"/>
    <x v="811"/>
    <x v="714"/>
    <x v="34"/>
    <x v="879"/>
    <x v="1021"/>
    <x v="559"/>
    <x v="1159"/>
    <x v="250"/>
    <x v="246"/>
    <x v="3"/>
  </r>
  <r>
    <x v="907"/>
    <x v="109"/>
    <x v="11"/>
    <x v="855"/>
    <x v="715"/>
    <x v="36"/>
    <x v="1869"/>
    <x v="2100"/>
    <x v="2000"/>
    <x v="2690"/>
    <x v="250"/>
    <x v="246"/>
    <x v="4"/>
  </r>
  <r>
    <x v="908"/>
    <x v="109"/>
    <x v="17"/>
    <x v="812"/>
    <x v="715"/>
    <x v="31"/>
    <x v="122"/>
    <x v="556"/>
    <x v="241"/>
    <x v="140"/>
    <x v="250"/>
    <x v="246"/>
    <x v="6"/>
  </r>
  <r>
    <x v="909"/>
    <x v="109"/>
    <x v="27"/>
    <x v="844"/>
    <x v="757"/>
    <x v="28"/>
    <x v="725"/>
    <x v="1435"/>
    <x v="611"/>
    <x v="917"/>
    <x v="250"/>
    <x v="246"/>
    <x v="8"/>
  </r>
  <r>
    <x v="910"/>
    <x v="109"/>
    <x v="29"/>
    <x v="844"/>
    <x v="754"/>
    <x v="28"/>
    <x v="456"/>
    <x v="1069"/>
    <x v="264"/>
    <x v="554"/>
    <x v="250"/>
    <x v="246"/>
    <x v="9"/>
  </r>
  <r>
    <x v="911"/>
    <x v="110"/>
    <x v="1"/>
    <x v="2524"/>
    <x v="1488"/>
    <x v="30"/>
    <x v="3202"/>
    <x v="3334"/>
    <x v="1786"/>
    <x v="2594"/>
    <x v="251"/>
    <x v="247"/>
    <x v="1"/>
  </r>
  <r>
    <x v="912"/>
    <x v="110"/>
    <x v="4"/>
    <x v="2532"/>
    <x v="1487"/>
    <x v="31"/>
    <x v="3253"/>
    <x v="3364"/>
    <x v="1914"/>
    <x v="2723"/>
    <x v="251"/>
    <x v="247"/>
    <x v="2"/>
  </r>
  <r>
    <x v="913"/>
    <x v="110"/>
    <x v="6"/>
    <x v="2533"/>
    <x v="1490"/>
    <x v="33"/>
    <x v="2339"/>
    <x v="2802"/>
    <x v="782"/>
    <x v="864"/>
    <x v="251"/>
    <x v="247"/>
    <x v="3"/>
  </r>
  <r>
    <x v="914"/>
    <x v="110"/>
    <x v="9"/>
    <x v="2540"/>
    <x v="1491"/>
    <x v="34"/>
    <x v="2723"/>
    <x v="3061"/>
    <x v="1247"/>
    <x v="1361"/>
    <x v="251"/>
    <x v="247"/>
    <x v="4"/>
  </r>
  <r>
    <x v="915"/>
    <x v="110"/>
    <x v="12"/>
    <x v="2541"/>
    <x v="1492"/>
    <x v="33"/>
    <x v="3197"/>
    <x v="3370"/>
    <x v="2162"/>
    <x v="2556"/>
    <x v="251"/>
    <x v="247"/>
    <x v="5"/>
  </r>
  <r>
    <x v="916"/>
    <x v="110"/>
    <x v="15"/>
    <x v="2537"/>
    <x v="1493"/>
    <x v="34"/>
    <x v="1351"/>
    <x v="2465"/>
    <x v="397"/>
    <x v="348"/>
    <x v="251"/>
    <x v="247"/>
    <x v="6"/>
  </r>
  <r>
    <x v="917"/>
    <x v="110"/>
    <x v="20"/>
    <x v="2534"/>
    <x v="1489"/>
    <x v="32"/>
    <x v="335"/>
    <x v="1319"/>
    <x v="296"/>
    <x v="111"/>
    <x v="251"/>
    <x v="247"/>
    <x v="7"/>
  </r>
  <r>
    <x v="918"/>
    <x v="110"/>
    <x v="22"/>
    <x v="2547"/>
    <x v="1496"/>
    <x v="30"/>
    <x v="1453"/>
    <x v="2649"/>
    <x v="601"/>
    <x v="378"/>
    <x v="251"/>
    <x v="247"/>
    <x v="7"/>
  </r>
  <r>
    <x v="919"/>
    <x v="110"/>
    <x v="27"/>
    <x v="2542"/>
    <x v="1494"/>
    <x v="31"/>
    <x v="2474"/>
    <x v="3281"/>
    <x v="1617"/>
    <x v="1011"/>
    <x v="251"/>
    <x v="247"/>
    <x v="8"/>
  </r>
  <r>
    <x v="920"/>
    <x v="110"/>
    <x v="29"/>
    <x v="2547"/>
    <x v="1496"/>
    <x v="32"/>
    <x v="2637"/>
    <x v="3324"/>
    <x v="1760"/>
    <x v="1244"/>
    <x v="251"/>
    <x v="247"/>
    <x v="9"/>
  </r>
  <r>
    <x v="921"/>
    <x v="111"/>
    <x v="3"/>
    <x v="511"/>
    <x v="215"/>
    <x v="30"/>
    <x v="442"/>
    <x v="481"/>
    <x v="581"/>
    <x v="764"/>
    <x v="256"/>
    <x v="250"/>
    <x v="1"/>
  </r>
  <r>
    <x v="922"/>
    <x v="111"/>
    <x v="5"/>
    <x v="511"/>
    <x v="215"/>
    <x v="31"/>
    <x v="299"/>
    <x v="276"/>
    <x v="358"/>
    <x v="498"/>
    <x v="256"/>
    <x v="250"/>
    <x v="2"/>
  </r>
  <r>
    <x v="923"/>
    <x v="111"/>
    <x v="8"/>
    <x v="527"/>
    <x v="215"/>
    <x v="37"/>
    <x v="414"/>
    <x v="502"/>
    <x v="621"/>
    <x v="684"/>
    <x v="256"/>
    <x v="250"/>
    <x v="3"/>
  </r>
  <r>
    <x v="924"/>
    <x v="111"/>
    <x v="11"/>
    <x v="527"/>
    <x v="215"/>
    <x v="42"/>
    <x v="918"/>
    <x v="1013"/>
    <x v="1573"/>
    <x v="1712"/>
    <x v="256"/>
    <x v="250"/>
    <x v="4"/>
  </r>
  <r>
    <x v="925"/>
    <x v="111"/>
    <x v="13"/>
    <x v="553"/>
    <x v="215"/>
    <x v="44"/>
    <x v="200"/>
    <x v="111"/>
    <x v="202"/>
    <x v="298"/>
    <x v="256"/>
    <x v="250"/>
    <x v="5"/>
  </r>
  <r>
    <x v="926"/>
    <x v="111"/>
    <x v="17"/>
    <x v="553"/>
    <x v="215"/>
    <x v="45"/>
    <x v="353"/>
    <x v="178"/>
    <x v="458"/>
    <x v="564"/>
    <x v="256"/>
    <x v="250"/>
    <x v="6"/>
  </r>
  <r>
    <x v="927"/>
    <x v="111"/>
    <x v="22"/>
    <x v="553"/>
    <x v="215"/>
    <x v="38"/>
    <x v="520"/>
    <x v="939"/>
    <x v="936"/>
    <x v="875"/>
    <x v="256"/>
    <x v="250"/>
    <x v="7"/>
  </r>
  <r>
    <x v="928"/>
    <x v="111"/>
    <x v="27"/>
    <x v="523"/>
    <x v="215"/>
    <x v="38"/>
    <x v="336"/>
    <x v="739"/>
    <x v="749"/>
    <x v="547"/>
    <x v="256"/>
    <x v="250"/>
    <x v="8"/>
  </r>
  <r>
    <x v="929"/>
    <x v="111"/>
    <x v="29"/>
    <x v="524"/>
    <x v="215"/>
    <x v="38"/>
    <x v="345"/>
    <x v="758"/>
    <x v="854"/>
    <x v="563"/>
    <x v="256"/>
    <x v="250"/>
    <x v="9"/>
  </r>
  <r>
    <x v="930"/>
    <x v="112"/>
    <x v="1"/>
    <x v="2444"/>
    <x v="1444"/>
    <x v="16"/>
    <x v="2985"/>
    <x v="3105"/>
    <x v="1888"/>
    <x v="2132"/>
    <x v="261"/>
    <x v="254"/>
    <x v="1"/>
  </r>
  <r>
    <x v="931"/>
    <x v="112"/>
    <x v="4"/>
    <x v="2413"/>
    <x v="1444"/>
    <x v="19"/>
    <x v="3135"/>
    <x v="3231"/>
    <x v="2378"/>
    <x v="2620"/>
    <x v="261"/>
    <x v="254"/>
    <x v="2"/>
  </r>
  <r>
    <x v="932"/>
    <x v="112"/>
    <x v="6"/>
    <x v="2414"/>
    <x v="1444"/>
    <x v="19"/>
    <x v="1393"/>
    <x v="2109"/>
    <x v="387"/>
    <x v="430"/>
    <x v="261"/>
    <x v="254"/>
    <x v="3"/>
  </r>
  <r>
    <x v="933"/>
    <x v="112"/>
    <x v="9"/>
    <x v="2411"/>
    <x v="1384"/>
    <x v="20"/>
    <x v="3140"/>
    <x v="3296"/>
    <x v="2485"/>
    <x v="2645"/>
    <x v="261"/>
    <x v="254"/>
    <x v="4"/>
  </r>
  <r>
    <x v="934"/>
    <x v="112"/>
    <x v="12"/>
    <x v="2406"/>
    <x v="1441"/>
    <x v="20"/>
    <x v="445"/>
    <x v="1177"/>
    <x v="812"/>
    <x v="159"/>
    <x v="261"/>
    <x v="254"/>
    <x v="5"/>
  </r>
  <r>
    <x v="935"/>
    <x v="112"/>
    <x v="15"/>
    <x v="2431"/>
    <x v="1431"/>
    <x v="20"/>
    <x v="1837"/>
    <x v="2455"/>
    <x v="1348"/>
    <x v="600"/>
    <x v="261"/>
    <x v="254"/>
    <x v="6"/>
  </r>
  <r>
    <x v="936"/>
    <x v="112"/>
    <x v="20"/>
    <x v="2442"/>
    <x v="1442"/>
    <x v="23"/>
    <x v="2633"/>
    <x v="3017"/>
    <x v="1316"/>
    <x v="1489"/>
    <x v="261"/>
    <x v="254"/>
    <x v="7"/>
  </r>
  <r>
    <x v="937"/>
    <x v="112"/>
    <x v="25"/>
    <x v="2452"/>
    <x v="1442"/>
    <x v="23"/>
    <x v="874"/>
    <x v="1800"/>
    <x v="1336"/>
    <x v="249"/>
    <x v="261"/>
    <x v="254"/>
    <x v="8"/>
  </r>
  <r>
    <x v="938"/>
    <x v="112"/>
    <x v="28"/>
    <x v="2397"/>
    <x v="1387"/>
    <x v="26"/>
    <x v="2188"/>
    <x v="2838"/>
    <x v="1892"/>
    <x v="942"/>
    <x v="261"/>
    <x v="254"/>
    <x v="9"/>
  </r>
  <r>
    <x v="939"/>
    <x v="113"/>
    <x v="1"/>
    <x v="988"/>
    <x v="462"/>
    <x v="27"/>
    <x v="1440"/>
    <x v="1856"/>
    <x v="1444"/>
    <x v="1857"/>
    <x v="82"/>
    <x v="65"/>
    <x v="1"/>
  </r>
  <r>
    <x v="940"/>
    <x v="113"/>
    <x v="4"/>
    <x v="989"/>
    <x v="446"/>
    <x v="19"/>
    <x v="1894"/>
    <x v="2216"/>
    <x v="2265"/>
    <x v="2542"/>
    <x v="82"/>
    <x v="65"/>
    <x v="2"/>
  </r>
  <r>
    <x v="941"/>
    <x v="113"/>
    <x v="6"/>
    <x v="993"/>
    <x v="446"/>
    <x v="20"/>
    <x v="1525"/>
    <x v="1929"/>
    <x v="1733"/>
    <x v="1968"/>
    <x v="82"/>
    <x v="65"/>
    <x v="3"/>
  </r>
  <r>
    <x v="942"/>
    <x v="113"/>
    <x v="9"/>
    <x v="971"/>
    <x v="446"/>
    <x v="26"/>
    <x v="121"/>
    <x v="343"/>
    <x v="72"/>
    <x v="125"/>
    <x v="82"/>
    <x v="65"/>
    <x v="4"/>
  </r>
  <r>
    <x v="943"/>
    <x v="113"/>
    <x v="12"/>
    <x v="996"/>
    <x v="446"/>
    <x v="26"/>
    <x v="734"/>
    <x v="1678"/>
    <x v="349"/>
    <x v="778"/>
    <x v="82"/>
    <x v="65"/>
    <x v="5"/>
  </r>
  <r>
    <x v="944"/>
    <x v="113"/>
    <x v="15"/>
    <x v="1007"/>
    <x v="446"/>
    <x v="49"/>
    <x v="1812"/>
    <x v="1873"/>
    <x v="2016"/>
    <x v="2399"/>
    <x v="82"/>
    <x v="65"/>
    <x v="6"/>
  </r>
  <r>
    <x v="945"/>
    <x v="113"/>
    <x v="20"/>
    <x v="991"/>
    <x v="446"/>
    <x v="43"/>
    <x v="1843"/>
    <x v="1992"/>
    <x v="1918"/>
    <x v="2470"/>
    <x v="82"/>
    <x v="65"/>
    <x v="7"/>
  </r>
  <r>
    <x v="946"/>
    <x v="113"/>
    <x v="25"/>
    <x v="1004"/>
    <x v="446"/>
    <x v="43"/>
    <x v="1777"/>
    <x v="1956"/>
    <x v="2011"/>
    <x v="2331"/>
    <x v="82"/>
    <x v="65"/>
    <x v="8"/>
  </r>
  <r>
    <x v="947"/>
    <x v="113"/>
    <x v="28"/>
    <x v="977"/>
    <x v="441"/>
    <x v="28"/>
    <x v="149"/>
    <x v="243"/>
    <x v="742"/>
    <x v="149"/>
    <x v="82"/>
    <x v="65"/>
    <x v="9"/>
  </r>
  <r>
    <x v="948"/>
    <x v="114"/>
    <x v="3"/>
    <x v="577"/>
    <x v="366"/>
    <x v="34"/>
    <x v="913"/>
    <x v="1134"/>
    <x v="483"/>
    <x v="1607"/>
    <x v="264"/>
    <x v="185"/>
    <x v="1"/>
  </r>
  <r>
    <x v="949"/>
    <x v="114"/>
    <x v="5"/>
    <x v="581"/>
    <x v="355"/>
    <x v="40"/>
    <x v="1006"/>
    <x v="954"/>
    <x v="1038"/>
    <x v="1827"/>
    <x v="264"/>
    <x v="185"/>
    <x v="2"/>
  </r>
  <r>
    <x v="950"/>
    <x v="114"/>
    <x v="8"/>
    <x v="581"/>
    <x v="355"/>
    <x v="40"/>
    <x v="432"/>
    <x v="490"/>
    <x v="420"/>
    <x v="676"/>
    <x v="264"/>
    <x v="185"/>
    <x v="3"/>
  </r>
  <r>
    <x v="951"/>
    <x v="114"/>
    <x v="11"/>
    <x v="581"/>
    <x v="355"/>
    <x v="39"/>
    <x v="878"/>
    <x v="862"/>
    <x v="840"/>
    <x v="1534"/>
    <x v="264"/>
    <x v="185"/>
    <x v="4"/>
  </r>
  <r>
    <x v="952"/>
    <x v="114"/>
    <x v="13"/>
    <x v="579"/>
    <x v="375"/>
    <x v="39"/>
    <x v="939"/>
    <x v="1016"/>
    <x v="521"/>
    <x v="1657"/>
    <x v="264"/>
    <x v="185"/>
    <x v="5"/>
  </r>
  <r>
    <x v="953"/>
    <x v="114"/>
    <x v="17"/>
    <x v="588"/>
    <x v="375"/>
    <x v="36"/>
    <x v="578"/>
    <x v="857"/>
    <x v="286"/>
    <x v="927"/>
    <x v="264"/>
    <x v="185"/>
    <x v="6"/>
  </r>
  <r>
    <x v="954"/>
    <x v="114"/>
    <x v="22"/>
    <x v="589"/>
    <x v="375"/>
    <x v="37"/>
    <x v="370"/>
    <x v="760"/>
    <x v="207"/>
    <x v="560"/>
    <x v="264"/>
    <x v="185"/>
    <x v="7"/>
  </r>
  <r>
    <x v="955"/>
    <x v="114"/>
    <x v="27"/>
    <x v="590"/>
    <x v="375"/>
    <x v="38"/>
    <x v="251"/>
    <x v="575"/>
    <x v="137"/>
    <x v="387"/>
    <x v="264"/>
    <x v="185"/>
    <x v="8"/>
  </r>
  <r>
    <x v="956"/>
    <x v="114"/>
    <x v="29"/>
    <x v="591"/>
    <x v="375"/>
    <x v="36"/>
    <x v="470"/>
    <x v="990"/>
    <x v="224"/>
    <x v="753"/>
    <x v="264"/>
    <x v="185"/>
    <x v="9"/>
  </r>
  <r>
    <x v="957"/>
    <x v="115"/>
    <x v="1"/>
    <x v="2269"/>
    <x v="866"/>
    <x v="20"/>
    <x v="1315"/>
    <x v="2000"/>
    <x v="691"/>
    <x v="455"/>
    <x v="45"/>
    <x v="165"/>
    <x v="1"/>
  </r>
  <r>
    <x v="958"/>
    <x v="115"/>
    <x v="4"/>
    <x v="2258"/>
    <x v="865"/>
    <x v="22"/>
    <x v="2446"/>
    <x v="2973"/>
    <x v="1965"/>
    <x v="1500"/>
    <x v="45"/>
    <x v="165"/>
    <x v="2"/>
  </r>
  <r>
    <x v="959"/>
    <x v="115"/>
    <x v="6"/>
    <x v="2273"/>
    <x v="867"/>
    <x v="35"/>
    <x v="1587"/>
    <x v="2441"/>
    <x v="824"/>
    <x v="566"/>
    <x v="45"/>
    <x v="165"/>
    <x v="3"/>
  </r>
  <r>
    <x v="960"/>
    <x v="115"/>
    <x v="9"/>
    <x v="2243"/>
    <x v="869"/>
    <x v="36"/>
    <x v="1983"/>
    <x v="2772"/>
    <x v="1314"/>
    <x v="853"/>
    <x v="45"/>
    <x v="165"/>
    <x v="4"/>
  </r>
  <r>
    <x v="961"/>
    <x v="115"/>
    <x v="12"/>
    <x v="2282"/>
    <x v="876"/>
    <x v="36"/>
    <x v="1695"/>
    <x v="2579"/>
    <x v="914"/>
    <x v="618"/>
    <x v="45"/>
    <x v="165"/>
    <x v="5"/>
  </r>
  <r>
    <x v="962"/>
    <x v="115"/>
    <x v="15"/>
    <x v="2286"/>
    <x v="876"/>
    <x v="30"/>
    <x v="831"/>
    <x v="1840"/>
    <x v="450"/>
    <x v="277"/>
    <x v="45"/>
    <x v="165"/>
    <x v="6"/>
  </r>
  <r>
    <x v="963"/>
    <x v="115"/>
    <x v="20"/>
    <x v="2287"/>
    <x v="877"/>
    <x v="39"/>
    <x v="2048"/>
    <x v="2840"/>
    <x v="1443"/>
    <x v="904"/>
    <x v="45"/>
    <x v="165"/>
    <x v="7"/>
  </r>
  <r>
    <x v="964"/>
    <x v="115"/>
    <x v="25"/>
    <x v="2289"/>
    <x v="880"/>
    <x v="39"/>
    <x v="1506"/>
    <x v="2511"/>
    <x v="886"/>
    <x v="531"/>
    <x v="45"/>
    <x v="165"/>
    <x v="8"/>
  </r>
  <r>
    <x v="965"/>
    <x v="115"/>
    <x v="28"/>
    <x v="2304"/>
    <x v="879"/>
    <x v="39"/>
    <x v="933"/>
    <x v="2122"/>
    <x v="536"/>
    <x v="303"/>
    <x v="45"/>
    <x v="165"/>
    <x v="9"/>
  </r>
  <r>
    <x v="966"/>
    <x v="116"/>
    <x v="1"/>
    <x v="1606"/>
    <x v="725"/>
    <x v="37"/>
    <x v="2427"/>
    <x v="1851"/>
    <x v="2093"/>
    <x v="2476"/>
    <x v="34"/>
    <x v="9"/>
    <x v="1"/>
  </r>
  <r>
    <x v="967"/>
    <x v="116"/>
    <x v="4"/>
    <x v="1589"/>
    <x v="726"/>
    <x v="31"/>
    <x v="1942"/>
    <x v="1665"/>
    <x v="952"/>
    <x v="1654"/>
    <x v="34"/>
    <x v="9"/>
    <x v="2"/>
  </r>
  <r>
    <x v="968"/>
    <x v="116"/>
    <x v="6"/>
    <x v="1577"/>
    <x v="752"/>
    <x v="31"/>
    <x v="1935"/>
    <x v="1702"/>
    <x v="945"/>
    <x v="1650"/>
    <x v="34"/>
    <x v="9"/>
    <x v="3"/>
  </r>
  <r>
    <x v="969"/>
    <x v="116"/>
    <x v="9"/>
    <x v="1616"/>
    <x v="738"/>
    <x v="32"/>
    <x v="2924"/>
    <x v="2536"/>
    <x v="2857"/>
    <x v="3096"/>
    <x v="34"/>
    <x v="9"/>
    <x v="4"/>
  </r>
  <r>
    <x v="970"/>
    <x v="116"/>
    <x v="12"/>
    <x v="1675"/>
    <x v="738"/>
    <x v="32"/>
    <x v="2201"/>
    <x v="2147"/>
    <x v="2520"/>
    <x v="1976"/>
    <x v="34"/>
    <x v="9"/>
    <x v="5"/>
  </r>
  <r>
    <x v="971"/>
    <x v="116"/>
    <x v="15"/>
    <x v="1588"/>
    <x v="739"/>
    <x v="32"/>
    <x v="2917"/>
    <x v="2740"/>
    <x v="2647"/>
    <x v="3105"/>
    <x v="34"/>
    <x v="9"/>
    <x v="6"/>
  </r>
  <r>
    <x v="972"/>
    <x v="116"/>
    <x v="20"/>
    <x v="1590"/>
    <x v="741"/>
    <x v="22"/>
    <x v="2609"/>
    <x v="2424"/>
    <x v="2279"/>
    <x v="2747"/>
    <x v="34"/>
    <x v="9"/>
    <x v="7"/>
  </r>
  <r>
    <x v="973"/>
    <x v="116"/>
    <x v="25"/>
    <x v="1529"/>
    <x v="737"/>
    <x v="21"/>
    <x v="2535"/>
    <x v="2307"/>
    <x v="2406"/>
    <x v="2728"/>
    <x v="34"/>
    <x v="9"/>
    <x v="8"/>
  </r>
  <r>
    <x v="974"/>
    <x v="116"/>
    <x v="28"/>
    <x v="1565"/>
    <x v="740"/>
    <x v="19"/>
    <x v="2582"/>
    <x v="2778"/>
    <x v="2342"/>
    <x v="2739"/>
    <x v="34"/>
    <x v="9"/>
    <x v="9"/>
  </r>
  <r>
    <x v="975"/>
    <x v="117"/>
    <x v="1"/>
    <x v="26"/>
    <x v="230"/>
    <x v="37"/>
    <x v="452"/>
    <x v="202"/>
    <x v="1013"/>
    <x v="1528"/>
    <x v="285"/>
    <x v="1"/>
    <x v="1"/>
  </r>
  <r>
    <x v="976"/>
    <x v="117"/>
    <x v="4"/>
    <x v="23"/>
    <x v="104"/>
    <x v="33"/>
    <x v="533"/>
    <x v="829"/>
    <x v="1205"/>
    <x v="1787"/>
    <x v="285"/>
    <x v="1"/>
    <x v="2"/>
  </r>
  <r>
    <x v="977"/>
    <x v="117"/>
    <x v="6"/>
    <x v="24"/>
    <x v="104"/>
    <x v="34"/>
    <x v="457"/>
    <x v="644"/>
    <x v="1007"/>
    <x v="1542"/>
    <x v="285"/>
    <x v="1"/>
    <x v="3"/>
  </r>
  <r>
    <x v="978"/>
    <x v="117"/>
    <x v="9"/>
    <x v="24"/>
    <x v="104"/>
    <x v="40"/>
    <x v="57"/>
    <x v="77"/>
    <x v="109"/>
    <x v="92"/>
    <x v="285"/>
    <x v="1"/>
    <x v="4"/>
  </r>
  <r>
    <x v="979"/>
    <x v="117"/>
    <x v="12"/>
    <x v="24"/>
    <x v="104"/>
    <x v="40"/>
    <x v="401"/>
    <x v="873"/>
    <x v="735"/>
    <x v="1319"/>
    <x v="285"/>
    <x v="1"/>
    <x v="5"/>
  </r>
  <r>
    <x v="980"/>
    <x v="117"/>
    <x v="15"/>
    <x v="25"/>
    <x v="104"/>
    <x v="35"/>
    <x v="626"/>
    <x v="1651"/>
    <x v="1531"/>
    <x v="2081"/>
    <x v="285"/>
    <x v="1"/>
    <x v="6"/>
  </r>
  <r>
    <x v="981"/>
    <x v="117"/>
    <x v="20"/>
    <x v="25"/>
    <x v="104"/>
    <x v="20"/>
    <x v="867"/>
    <x v="1481"/>
    <x v="2356"/>
    <x v="2599"/>
    <x v="285"/>
    <x v="1"/>
    <x v="7"/>
  </r>
  <r>
    <x v="982"/>
    <x v="117"/>
    <x v="25"/>
    <x v="32"/>
    <x v="104"/>
    <x v="18"/>
    <x v="1847"/>
    <x v="2113"/>
    <x v="3346"/>
    <x v="3405"/>
    <x v="285"/>
    <x v="1"/>
    <x v="8"/>
  </r>
  <r>
    <x v="983"/>
    <x v="117"/>
    <x v="28"/>
    <x v="39"/>
    <x v="104"/>
    <x v="18"/>
    <x v="388"/>
    <x v="903"/>
    <x v="1612"/>
    <x v="1255"/>
    <x v="285"/>
    <x v="1"/>
    <x v="9"/>
  </r>
  <r>
    <x v="984"/>
    <x v="118"/>
    <x v="1"/>
    <x v="1665"/>
    <x v="788"/>
    <x v="37"/>
    <x v="1567"/>
    <x v="2006"/>
    <x v="728"/>
    <x v="1016"/>
    <x v="139"/>
    <x v="350"/>
    <x v="1"/>
  </r>
  <r>
    <x v="985"/>
    <x v="118"/>
    <x v="4"/>
    <x v="1671"/>
    <x v="861"/>
    <x v="34"/>
    <x v="2172"/>
    <x v="2490"/>
    <x v="1161"/>
    <x v="1934"/>
    <x v="139"/>
    <x v="350"/>
    <x v="2"/>
  </r>
  <r>
    <x v="986"/>
    <x v="118"/>
    <x v="6"/>
    <x v="1672"/>
    <x v="831"/>
    <x v="34"/>
    <x v="927"/>
    <x v="1579"/>
    <x v="474"/>
    <x v="505"/>
    <x v="139"/>
    <x v="350"/>
    <x v="3"/>
  </r>
  <r>
    <x v="987"/>
    <x v="118"/>
    <x v="9"/>
    <x v="1673"/>
    <x v="830"/>
    <x v="34"/>
    <x v="1840"/>
    <x v="2379"/>
    <x v="1235"/>
    <x v="1357"/>
    <x v="139"/>
    <x v="350"/>
    <x v="4"/>
  </r>
  <r>
    <x v="988"/>
    <x v="118"/>
    <x v="12"/>
    <x v="1678"/>
    <x v="811"/>
    <x v="38"/>
    <x v="1873"/>
    <x v="2426"/>
    <x v="916"/>
    <x v="1405"/>
    <x v="139"/>
    <x v="350"/>
    <x v="5"/>
  </r>
  <r>
    <x v="989"/>
    <x v="118"/>
    <x v="15"/>
    <x v="1676"/>
    <x v="813"/>
    <x v="41"/>
    <x v="1118"/>
    <x v="1828"/>
    <x v="423"/>
    <x v="627"/>
    <x v="139"/>
    <x v="350"/>
    <x v="6"/>
  </r>
  <r>
    <x v="990"/>
    <x v="118"/>
    <x v="20"/>
    <x v="1679"/>
    <x v="819"/>
    <x v="40"/>
    <x v="1538"/>
    <x v="2175"/>
    <x v="772"/>
    <x v="972"/>
    <x v="139"/>
    <x v="350"/>
    <x v="7"/>
  </r>
  <r>
    <x v="991"/>
    <x v="118"/>
    <x v="25"/>
    <x v="1680"/>
    <x v="818"/>
    <x v="31"/>
    <x v="2502"/>
    <x v="2938"/>
    <x v="2204"/>
    <x v="2503"/>
    <x v="139"/>
    <x v="350"/>
    <x v="8"/>
  </r>
  <r>
    <x v="992"/>
    <x v="118"/>
    <x v="28"/>
    <x v="1681"/>
    <x v="899"/>
    <x v="31"/>
    <x v="2325"/>
    <x v="2817"/>
    <x v="1855"/>
    <x v="2171"/>
    <x v="139"/>
    <x v="350"/>
    <x v="9"/>
  </r>
  <r>
    <x v="993"/>
    <x v="119"/>
    <x v="1"/>
    <x v="465"/>
    <x v="175"/>
    <x v="11"/>
    <x v="649"/>
    <x v="503"/>
    <x v="2203"/>
    <x v="1316"/>
    <x v="297"/>
    <x v="286"/>
    <x v="1"/>
  </r>
  <r>
    <x v="994"/>
    <x v="119"/>
    <x v="4"/>
    <x v="472"/>
    <x v="223"/>
    <x v="14"/>
    <x v="1184"/>
    <x v="397"/>
    <x v="2650"/>
    <x v="2376"/>
    <x v="297"/>
    <x v="286"/>
    <x v="2"/>
  </r>
  <r>
    <x v="995"/>
    <x v="119"/>
    <x v="6"/>
    <x v="483"/>
    <x v="223"/>
    <x v="14"/>
    <x v="1174"/>
    <x v="545"/>
    <x v="2641"/>
    <x v="2338"/>
    <x v="297"/>
    <x v="286"/>
    <x v="3"/>
  </r>
  <r>
    <x v="996"/>
    <x v="119"/>
    <x v="9"/>
    <x v="490"/>
    <x v="223"/>
    <x v="16"/>
    <x v="417"/>
    <x v="277"/>
    <x v="1713"/>
    <x v="732"/>
    <x v="297"/>
    <x v="286"/>
    <x v="4"/>
  </r>
  <r>
    <x v="997"/>
    <x v="119"/>
    <x v="12"/>
    <x v="497"/>
    <x v="223"/>
    <x v="17"/>
    <x v="1063"/>
    <x v="749"/>
    <x v="2039"/>
    <x v="2089"/>
    <x v="297"/>
    <x v="286"/>
    <x v="5"/>
  </r>
  <r>
    <x v="998"/>
    <x v="119"/>
    <x v="15"/>
    <x v="500"/>
    <x v="223"/>
    <x v="37"/>
    <x v="748"/>
    <x v="549"/>
    <x v="1440"/>
    <x v="1449"/>
    <x v="297"/>
    <x v="286"/>
    <x v="6"/>
  </r>
  <r>
    <x v="999"/>
    <x v="119"/>
    <x v="20"/>
    <x v="514"/>
    <x v="223"/>
    <x v="39"/>
    <x v="501"/>
    <x v="1083"/>
    <x v="997"/>
    <x v="865"/>
    <x v="297"/>
    <x v="286"/>
    <x v="7"/>
  </r>
  <r>
    <x v="1000"/>
    <x v="119"/>
    <x v="25"/>
    <x v="520"/>
    <x v="223"/>
    <x v="37"/>
    <x v="446"/>
    <x v="1315"/>
    <x v="1030"/>
    <x v="766"/>
    <x v="297"/>
    <x v="286"/>
    <x v="8"/>
  </r>
  <r>
    <x v="1001"/>
    <x v="119"/>
    <x v="28"/>
    <x v="527"/>
    <x v="223"/>
    <x v="30"/>
    <x v="704"/>
    <x v="921"/>
    <x v="3103"/>
    <x v="1335"/>
    <x v="297"/>
    <x v="286"/>
    <x v="9"/>
  </r>
  <r>
    <x v="1002"/>
    <x v="119"/>
    <x v="30"/>
    <x v="529"/>
    <x v="223"/>
    <x v="22"/>
    <x v="227"/>
    <x v="251"/>
    <x v="485"/>
    <x v="369"/>
    <x v="297"/>
    <x v="286"/>
    <x v="10"/>
  </r>
  <r>
    <x v="1003"/>
    <x v="120"/>
    <x v="1"/>
    <x v="1031"/>
    <x v="270"/>
    <x v="24"/>
    <x v="1495"/>
    <x v="386"/>
    <x v="1545"/>
    <x v="1844"/>
    <x v="299"/>
    <x v="275"/>
    <x v="1"/>
  </r>
  <r>
    <x v="1004"/>
    <x v="120"/>
    <x v="4"/>
    <x v="1040"/>
    <x v="270"/>
    <x v="21"/>
    <x v="1746"/>
    <x v="542"/>
    <x v="2047"/>
    <x v="2211"/>
    <x v="299"/>
    <x v="275"/>
    <x v="2"/>
  </r>
  <r>
    <x v="1005"/>
    <x v="120"/>
    <x v="6"/>
    <x v="1045"/>
    <x v="270"/>
    <x v="28"/>
    <x v="1093"/>
    <x v="315"/>
    <x v="943"/>
    <x v="1197"/>
    <x v="299"/>
    <x v="275"/>
    <x v="3"/>
  </r>
  <r>
    <x v="1006"/>
    <x v="120"/>
    <x v="9"/>
    <x v="1049"/>
    <x v="270"/>
    <x v="28"/>
    <x v="441"/>
    <x v="143"/>
    <x v="770"/>
    <x v="445"/>
    <x v="299"/>
    <x v="275"/>
    <x v="4"/>
  </r>
  <r>
    <x v="1007"/>
    <x v="120"/>
    <x v="12"/>
    <x v="1056"/>
    <x v="270"/>
    <x v="28"/>
    <x v="1605"/>
    <x v="524"/>
    <x v="2044"/>
    <x v="1955"/>
    <x v="299"/>
    <x v="275"/>
    <x v="5"/>
  </r>
  <r>
    <x v="1008"/>
    <x v="120"/>
    <x v="15"/>
    <x v="1061"/>
    <x v="270"/>
    <x v="29"/>
    <x v="311"/>
    <x v="116"/>
    <x v="921"/>
    <x v="306"/>
    <x v="299"/>
    <x v="275"/>
    <x v="6"/>
  </r>
  <r>
    <x v="1009"/>
    <x v="120"/>
    <x v="20"/>
    <x v="1069"/>
    <x v="270"/>
    <x v="26"/>
    <x v="240"/>
    <x v="118"/>
    <x v="183"/>
    <x v="238"/>
    <x v="299"/>
    <x v="275"/>
    <x v="7"/>
  </r>
  <r>
    <x v="1010"/>
    <x v="120"/>
    <x v="25"/>
    <x v="1069"/>
    <x v="270"/>
    <x v="33"/>
    <x v="1577"/>
    <x v="800"/>
    <x v="1798"/>
    <x v="1914"/>
    <x v="299"/>
    <x v="275"/>
    <x v="8"/>
  </r>
  <r>
    <x v="1011"/>
    <x v="120"/>
    <x v="28"/>
    <x v="1101"/>
    <x v="270"/>
    <x v="33"/>
    <x v="1593"/>
    <x v="807"/>
    <x v="1634"/>
    <x v="1881"/>
    <x v="299"/>
    <x v="275"/>
    <x v="9"/>
  </r>
  <r>
    <x v="1012"/>
    <x v="121"/>
    <x v="1"/>
    <x v="1767"/>
    <x v="826"/>
    <x v="24"/>
    <x v="276"/>
    <x v="778"/>
    <x v="96"/>
    <x v="164"/>
    <x v="319"/>
    <x v="298"/>
    <x v="1"/>
  </r>
  <r>
    <x v="1013"/>
    <x v="121"/>
    <x v="4"/>
    <x v="1769"/>
    <x v="829"/>
    <x v="38"/>
    <x v="1289"/>
    <x v="1931"/>
    <x v="167"/>
    <x v="667"/>
    <x v="319"/>
    <x v="298"/>
    <x v="2"/>
  </r>
  <r>
    <x v="1014"/>
    <x v="121"/>
    <x v="6"/>
    <x v="1773"/>
    <x v="829"/>
    <x v="38"/>
    <x v="309"/>
    <x v="710"/>
    <x v="49"/>
    <x v="180"/>
    <x v="319"/>
    <x v="298"/>
    <x v="3"/>
  </r>
  <r>
    <x v="1015"/>
    <x v="121"/>
    <x v="9"/>
    <x v="1778"/>
    <x v="829"/>
    <x v="37"/>
    <x v="113"/>
    <x v="382"/>
    <x v="17"/>
    <x v="74"/>
    <x v="319"/>
    <x v="298"/>
    <x v="4"/>
  </r>
  <r>
    <x v="1016"/>
    <x v="121"/>
    <x v="12"/>
    <x v="1780"/>
    <x v="829"/>
    <x v="38"/>
    <x v="1674"/>
    <x v="2688"/>
    <x v="346"/>
    <x v="975"/>
    <x v="319"/>
    <x v="298"/>
    <x v="5"/>
  </r>
  <r>
    <x v="1017"/>
    <x v="121"/>
    <x v="15"/>
    <x v="1781"/>
    <x v="829"/>
    <x v="38"/>
    <x v="837"/>
    <x v="1979"/>
    <x v="105"/>
    <x v="424"/>
    <x v="319"/>
    <x v="298"/>
    <x v="6"/>
  </r>
  <r>
    <x v="1018"/>
    <x v="121"/>
    <x v="20"/>
    <x v="1782"/>
    <x v="829"/>
    <x v="36"/>
    <x v="876"/>
    <x v="2300"/>
    <x v="122"/>
    <x v="439"/>
    <x v="319"/>
    <x v="298"/>
    <x v="7"/>
  </r>
  <r>
    <x v="1019"/>
    <x v="121"/>
    <x v="25"/>
    <x v="1790"/>
    <x v="829"/>
    <x v="36"/>
    <x v="2861"/>
    <x v="3443"/>
    <x v="2261"/>
    <x v="2813"/>
    <x v="319"/>
    <x v="298"/>
    <x v="8"/>
  </r>
  <r>
    <x v="1020"/>
    <x v="121"/>
    <x v="28"/>
    <x v="1790"/>
    <x v="829"/>
    <x v="37"/>
    <x v="2871"/>
    <x v="3409"/>
    <x v="2248"/>
    <x v="2826"/>
    <x v="319"/>
    <x v="298"/>
    <x v="9"/>
  </r>
  <r>
    <x v="1021"/>
    <x v="122"/>
    <x v="3"/>
    <x v="154"/>
    <x v="74"/>
    <x v="36"/>
    <x v="1943"/>
    <x v="993"/>
    <x v="3398"/>
    <x v="3366"/>
    <x v="326"/>
    <x v="305"/>
    <x v="1"/>
  </r>
  <r>
    <x v="1022"/>
    <x v="122"/>
    <x v="5"/>
    <x v="123"/>
    <x v="74"/>
    <x v="32"/>
    <x v="1457"/>
    <x v="738"/>
    <x v="3409"/>
    <x v="3123"/>
    <x v="326"/>
    <x v="305"/>
    <x v="2"/>
  </r>
  <r>
    <x v="1023"/>
    <x v="122"/>
    <x v="8"/>
    <x v="154"/>
    <x v="75"/>
    <x v="29"/>
    <x v="1604"/>
    <x v="1746"/>
    <x v="3385"/>
    <x v="3186"/>
    <x v="326"/>
    <x v="305"/>
    <x v="3"/>
  </r>
  <r>
    <x v="1024"/>
    <x v="122"/>
    <x v="11"/>
    <x v="162"/>
    <x v="74"/>
    <x v="30"/>
    <x v="1945"/>
    <x v="1943"/>
    <x v="3370"/>
    <x v="3363"/>
    <x v="326"/>
    <x v="305"/>
    <x v="4"/>
  </r>
  <r>
    <x v="1025"/>
    <x v="122"/>
    <x v="13"/>
    <x v="169"/>
    <x v="74"/>
    <x v="30"/>
    <x v="1293"/>
    <x v="1538"/>
    <x v="2943"/>
    <x v="2917"/>
    <x v="326"/>
    <x v="305"/>
    <x v="5"/>
  </r>
  <r>
    <x v="1026"/>
    <x v="122"/>
    <x v="17"/>
    <x v="170"/>
    <x v="74"/>
    <x v="29"/>
    <x v="1468"/>
    <x v="1773"/>
    <x v="3085"/>
    <x v="3091"/>
    <x v="326"/>
    <x v="305"/>
    <x v="6"/>
  </r>
  <r>
    <x v="1027"/>
    <x v="122"/>
    <x v="22"/>
    <x v="166"/>
    <x v="75"/>
    <x v="34"/>
    <x v="1234"/>
    <x v="1656"/>
    <x v="3214"/>
    <x v="2852"/>
    <x v="326"/>
    <x v="305"/>
    <x v="7"/>
  </r>
  <r>
    <x v="1028"/>
    <x v="122"/>
    <x v="27"/>
    <x v="166"/>
    <x v="75"/>
    <x v="34"/>
    <x v="1696"/>
    <x v="2023"/>
    <x v="3329"/>
    <x v="3222"/>
    <x v="326"/>
    <x v="305"/>
    <x v="8"/>
  </r>
  <r>
    <x v="1029"/>
    <x v="122"/>
    <x v="29"/>
    <x v="170"/>
    <x v="75"/>
    <x v="33"/>
    <x v="2018"/>
    <x v="1736"/>
    <x v="3381"/>
    <x v="3393"/>
    <x v="326"/>
    <x v="305"/>
    <x v="9"/>
  </r>
  <r>
    <x v="1030"/>
    <x v="123"/>
    <x v="5"/>
    <x v="44"/>
    <x v="84"/>
    <x v="23"/>
    <x v="717"/>
    <x v="1225"/>
    <x v="1967"/>
    <x v="2298"/>
    <x v="327"/>
    <x v="306"/>
    <x v="2"/>
  </r>
  <r>
    <x v="1031"/>
    <x v="123"/>
    <x v="8"/>
    <x v="90"/>
    <x v="84"/>
    <x v="21"/>
    <x v="165"/>
    <x v="472"/>
    <x v="445"/>
    <x v="371"/>
    <x v="327"/>
    <x v="306"/>
    <x v="3"/>
  </r>
  <r>
    <x v="1032"/>
    <x v="123"/>
    <x v="11"/>
    <x v="31"/>
    <x v="84"/>
    <x v="27"/>
    <x v="236"/>
    <x v="742"/>
    <x v="2398"/>
    <x v="644"/>
    <x v="327"/>
    <x v="306"/>
    <x v="4"/>
  </r>
  <r>
    <x v="1033"/>
    <x v="123"/>
    <x v="13"/>
    <x v="38"/>
    <x v="84"/>
    <x v="29"/>
    <x v="443"/>
    <x v="1211"/>
    <x v="1362"/>
    <x v="1475"/>
    <x v="327"/>
    <x v="306"/>
    <x v="5"/>
  </r>
  <r>
    <x v="1034"/>
    <x v="123"/>
    <x v="17"/>
    <x v="35"/>
    <x v="84"/>
    <x v="35"/>
    <x v="1379"/>
    <x v="2180"/>
    <x v="2975"/>
    <x v="3180"/>
    <x v="327"/>
    <x v="306"/>
    <x v="6"/>
  </r>
  <r>
    <x v="1035"/>
    <x v="123"/>
    <x v="22"/>
    <x v="35"/>
    <x v="84"/>
    <x v="5"/>
    <x v="1172"/>
    <x v="2027"/>
    <x v="2893"/>
    <x v="3019"/>
    <x v="327"/>
    <x v="306"/>
    <x v="7"/>
  </r>
  <r>
    <x v="1036"/>
    <x v="123"/>
    <x v="27"/>
    <x v="35"/>
    <x v="84"/>
    <x v="5"/>
    <x v="306"/>
    <x v="987"/>
    <x v="1403"/>
    <x v="905"/>
    <x v="327"/>
    <x v="306"/>
    <x v="8"/>
  </r>
  <r>
    <x v="1037"/>
    <x v="123"/>
    <x v="29"/>
    <x v="26"/>
    <x v="84"/>
    <x v="4"/>
    <x v="319"/>
    <x v="1432"/>
    <x v="654"/>
    <x v="965"/>
    <x v="327"/>
    <x v="306"/>
    <x v="9"/>
  </r>
  <r>
    <x v="1038"/>
    <x v="124"/>
    <x v="1"/>
    <x v="1518"/>
    <x v="668"/>
    <x v="38"/>
    <x v="606"/>
    <x v="665"/>
    <x v="1372"/>
    <x v="397"/>
    <x v="333"/>
    <x v="312"/>
    <x v="1"/>
  </r>
  <r>
    <x v="1039"/>
    <x v="124"/>
    <x v="4"/>
    <x v="1540"/>
    <x v="668"/>
    <x v="36"/>
    <x v="1125"/>
    <x v="1123"/>
    <x v="1833"/>
    <x v="728"/>
    <x v="333"/>
    <x v="312"/>
    <x v="2"/>
  </r>
  <r>
    <x v="1040"/>
    <x v="124"/>
    <x v="6"/>
    <x v="1545"/>
    <x v="668"/>
    <x v="38"/>
    <x v="1083"/>
    <x v="1150"/>
    <x v="2631"/>
    <x v="683"/>
    <x v="333"/>
    <x v="312"/>
    <x v="3"/>
  </r>
  <r>
    <x v="1041"/>
    <x v="124"/>
    <x v="9"/>
    <x v="1545"/>
    <x v="668"/>
    <x v="30"/>
    <x v="2574"/>
    <x v="2476"/>
    <x v="3166"/>
    <x v="2769"/>
    <x v="333"/>
    <x v="312"/>
    <x v="4"/>
  </r>
  <r>
    <x v="1042"/>
    <x v="124"/>
    <x v="12"/>
    <x v="1545"/>
    <x v="668"/>
    <x v="38"/>
    <x v="2458"/>
    <x v="3337"/>
    <x v="2813"/>
    <x v="2614"/>
    <x v="333"/>
    <x v="312"/>
    <x v="5"/>
  </r>
  <r>
    <x v="1043"/>
    <x v="124"/>
    <x v="15"/>
    <x v="553"/>
    <x v="668"/>
    <x v="44"/>
    <x v="76"/>
    <x v="333"/>
    <x v="2167"/>
    <x v="103"/>
    <x v="333"/>
    <x v="312"/>
    <x v="6"/>
  </r>
  <r>
    <x v="1044"/>
    <x v="124"/>
    <x v="20"/>
    <x v="1534"/>
    <x v="720"/>
    <x v="39"/>
    <x v="2694"/>
    <x v="2478"/>
    <x v="3022"/>
    <x v="2902"/>
    <x v="333"/>
    <x v="312"/>
    <x v="7"/>
  </r>
  <r>
    <x v="1045"/>
    <x v="124"/>
    <x v="25"/>
    <x v="1534"/>
    <x v="720"/>
    <x v="44"/>
    <x v="1749"/>
    <x v="2671"/>
    <x v="2368"/>
    <x v="1431"/>
    <x v="333"/>
    <x v="312"/>
    <x v="8"/>
  </r>
  <r>
    <x v="1046"/>
    <x v="124"/>
    <x v="28"/>
    <x v="1541"/>
    <x v="720"/>
    <x v="52"/>
    <x v="2819"/>
    <x v="3359"/>
    <x v="3082"/>
    <x v="3044"/>
    <x v="333"/>
    <x v="312"/>
    <x v="9"/>
  </r>
  <r>
    <x v="1047"/>
    <x v="125"/>
    <x v="1"/>
    <x v="636"/>
    <x v="214"/>
    <x v="19"/>
    <x v="1269"/>
    <x v="1971"/>
    <x v="1780"/>
    <x v="2140"/>
    <x v="334"/>
    <x v="314"/>
    <x v="1"/>
  </r>
  <r>
    <x v="1048"/>
    <x v="126"/>
    <x v="1"/>
    <x v="2743"/>
    <x v="1482"/>
    <x v="40"/>
    <x v="2878"/>
    <x v="3146"/>
    <x v="1103"/>
    <x v="1130"/>
    <x v="143"/>
    <x v="350"/>
    <x v="1"/>
  </r>
  <r>
    <x v="1049"/>
    <x v="126"/>
    <x v="4"/>
    <x v="2746"/>
    <x v="1480"/>
    <x v="38"/>
    <x v="2833"/>
    <x v="3103"/>
    <x v="857"/>
    <x v="1055"/>
    <x v="143"/>
    <x v="350"/>
    <x v="2"/>
  </r>
  <r>
    <x v="1050"/>
    <x v="126"/>
    <x v="6"/>
    <x v="2749"/>
    <x v="1481"/>
    <x v="38"/>
    <x v="2575"/>
    <x v="2960"/>
    <x v="972"/>
    <x v="772"/>
    <x v="143"/>
    <x v="350"/>
    <x v="3"/>
  </r>
  <r>
    <x v="1051"/>
    <x v="126"/>
    <x v="9"/>
    <x v="2790"/>
    <x v="1479"/>
    <x v="38"/>
    <x v="2912"/>
    <x v="3194"/>
    <x v="1366"/>
    <x v="1101"/>
    <x v="143"/>
    <x v="350"/>
    <x v="4"/>
  </r>
  <r>
    <x v="1052"/>
    <x v="126"/>
    <x v="12"/>
    <x v="2753"/>
    <x v="1433"/>
    <x v="39"/>
    <x v="2838"/>
    <x v="3153"/>
    <x v="1133"/>
    <x v="1045"/>
    <x v="143"/>
    <x v="350"/>
    <x v="5"/>
  </r>
  <r>
    <x v="1053"/>
    <x v="126"/>
    <x v="15"/>
    <x v="2760"/>
    <x v="1433"/>
    <x v="41"/>
    <x v="2621"/>
    <x v="3050"/>
    <x v="950"/>
    <x v="798"/>
    <x v="143"/>
    <x v="350"/>
    <x v="6"/>
  </r>
  <r>
    <x v="1054"/>
    <x v="126"/>
    <x v="20"/>
    <x v="2765"/>
    <x v="1434"/>
    <x v="42"/>
    <x v="2767"/>
    <x v="3143"/>
    <x v="1392"/>
    <x v="937"/>
    <x v="143"/>
    <x v="350"/>
    <x v="7"/>
  </r>
  <r>
    <x v="1055"/>
    <x v="126"/>
    <x v="25"/>
    <x v="2770"/>
    <x v="1435"/>
    <x v="43"/>
    <x v="2825"/>
    <x v="3141"/>
    <x v="1177"/>
    <x v="1007"/>
    <x v="143"/>
    <x v="350"/>
    <x v="8"/>
  </r>
  <r>
    <x v="1056"/>
    <x v="126"/>
    <x v="28"/>
    <x v="2773"/>
    <x v="1497"/>
    <x v="42"/>
    <x v="2956"/>
    <x v="3202"/>
    <x v="1345"/>
    <x v="1210"/>
    <x v="143"/>
    <x v="350"/>
    <x v="9"/>
  </r>
  <r>
    <x v="1057"/>
    <x v="127"/>
    <x v="1"/>
    <x v="1254"/>
    <x v="681"/>
    <x v="34"/>
    <x v="2025"/>
    <x v="2643"/>
    <x v="1040"/>
    <x v="2345"/>
    <x v="22"/>
    <x v="58"/>
    <x v="1"/>
  </r>
  <r>
    <x v="1058"/>
    <x v="127"/>
    <x v="4"/>
    <x v="1277"/>
    <x v="681"/>
    <x v="32"/>
    <x v="2248"/>
    <x v="2786"/>
    <x v="1743"/>
    <x v="2665"/>
    <x v="22"/>
    <x v="58"/>
    <x v="2"/>
  </r>
  <r>
    <x v="1059"/>
    <x v="127"/>
    <x v="6"/>
    <x v="1266"/>
    <x v="681"/>
    <x v="33"/>
    <x v="1138"/>
    <x v="2033"/>
    <x v="589"/>
    <x v="999"/>
    <x v="22"/>
    <x v="58"/>
    <x v="3"/>
  </r>
  <r>
    <x v="1060"/>
    <x v="127"/>
    <x v="9"/>
    <x v="1242"/>
    <x v="681"/>
    <x v="35"/>
    <x v="593"/>
    <x v="1476"/>
    <x v="190"/>
    <x v="487"/>
    <x v="22"/>
    <x v="58"/>
    <x v="4"/>
  </r>
  <r>
    <x v="1061"/>
    <x v="127"/>
    <x v="12"/>
    <x v="1242"/>
    <x v="681"/>
    <x v="35"/>
    <x v="2152"/>
    <x v="2837"/>
    <x v="1321"/>
    <x v="2575"/>
    <x v="22"/>
    <x v="58"/>
    <x v="5"/>
  </r>
  <r>
    <x v="1062"/>
    <x v="127"/>
    <x v="15"/>
    <x v="1242"/>
    <x v="681"/>
    <x v="35"/>
    <x v="2082"/>
    <x v="2800"/>
    <x v="1171"/>
    <x v="2475"/>
    <x v="22"/>
    <x v="58"/>
    <x v="6"/>
  </r>
  <r>
    <x v="1063"/>
    <x v="127"/>
    <x v="20"/>
    <x v="1204"/>
    <x v="681"/>
    <x v="39"/>
    <x v="2166"/>
    <x v="2886"/>
    <x v="1471"/>
    <x v="2636"/>
    <x v="22"/>
    <x v="58"/>
    <x v="7"/>
  </r>
  <r>
    <x v="1064"/>
    <x v="127"/>
    <x v="25"/>
    <x v="1184"/>
    <x v="683"/>
    <x v="39"/>
    <x v="1985"/>
    <x v="2743"/>
    <x v="1223"/>
    <x v="2380"/>
    <x v="22"/>
    <x v="58"/>
    <x v="8"/>
  </r>
  <r>
    <x v="1065"/>
    <x v="127"/>
    <x v="28"/>
    <x v="1184"/>
    <x v="683"/>
    <x v="39"/>
    <x v="2161"/>
    <x v="2884"/>
    <x v="1454"/>
    <x v="2648"/>
    <x v="22"/>
    <x v="58"/>
    <x v="9"/>
  </r>
  <r>
    <x v="1066"/>
    <x v="128"/>
    <x v="1"/>
    <x v="640"/>
    <x v="136"/>
    <x v="32"/>
    <x v="1042"/>
    <x v="1261"/>
    <x v="1694"/>
    <x v="1764"/>
    <x v="340"/>
    <x v="247"/>
    <x v="1"/>
  </r>
  <r>
    <x v="1067"/>
    <x v="128"/>
    <x v="4"/>
    <x v="644"/>
    <x v="139"/>
    <x v="25"/>
    <x v="1430"/>
    <x v="706"/>
    <x v="2285"/>
    <x v="2416"/>
    <x v="340"/>
    <x v="247"/>
    <x v="2"/>
  </r>
  <r>
    <x v="1068"/>
    <x v="128"/>
    <x v="6"/>
    <x v="646"/>
    <x v="136"/>
    <x v="28"/>
    <x v="877"/>
    <x v="476"/>
    <x v="1359"/>
    <x v="1416"/>
    <x v="340"/>
    <x v="247"/>
    <x v="3"/>
  </r>
  <r>
    <x v="1069"/>
    <x v="128"/>
    <x v="9"/>
    <x v="649"/>
    <x v="136"/>
    <x v="35"/>
    <x v="1416"/>
    <x v="1641"/>
    <x v="2339"/>
    <x v="2372"/>
    <x v="340"/>
    <x v="247"/>
    <x v="4"/>
  </r>
  <r>
    <x v="1070"/>
    <x v="128"/>
    <x v="12"/>
    <x v="652"/>
    <x v="136"/>
    <x v="32"/>
    <x v="1163"/>
    <x v="1616"/>
    <x v="1903"/>
    <x v="1937"/>
    <x v="340"/>
    <x v="247"/>
    <x v="5"/>
  </r>
  <r>
    <x v="1071"/>
    <x v="128"/>
    <x v="15"/>
    <x v="654"/>
    <x v="136"/>
    <x v="32"/>
    <x v="1339"/>
    <x v="1892"/>
    <x v="2164"/>
    <x v="2261"/>
    <x v="340"/>
    <x v="247"/>
    <x v="6"/>
  </r>
  <r>
    <x v="1072"/>
    <x v="128"/>
    <x v="20"/>
    <x v="655"/>
    <x v="136"/>
    <x v="30"/>
    <x v="1578"/>
    <x v="2003"/>
    <x v="2652"/>
    <x v="2580"/>
    <x v="340"/>
    <x v="247"/>
    <x v="7"/>
  </r>
  <r>
    <x v="1073"/>
    <x v="128"/>
    <x v="25"/>
    <x v="658"/>
    <x v="136"/>
    <x v="30"/>
    <x v="1771"/>
    <x v="2214"/>
    <x v="2977"/>
    <x v="2806"/>
    <x v="340"/>
    <x v="247"/>
    <x v="8"/>
  </r>
  <r>
    <x v="1074"/>
    <x v="129"/>
    <x v="1"/>
    <x v="2324"/>
    <x v="980"/>
    <x v="37"/>
    <x v="1084"/>
    <x v="1883"/>
    <x v="319"/>
    <x v="366"/>
    <x v="183"/>
    <x v="198"/>
    <x v="1"/>
  </r>
  <r>
    <x v="1075"/>
    <x v="129"/>
    <x v="6"/>
    <x v="338"/>
    <x v="227"/>
    <x v="34"/>
    <x v="38"/>
    <x v="38"/>
    <x v="62"/>
    <x v="38"/>
    <x v="183"/>
    <x v="198"/>
    <x v="3"/>
  </r>
  <r>
    <x v="1076"/>
    <x v="129"/>
    <x v="9"/>
    <x v="343"/>
    <x v="41"/>
    <x v="44"/>
    <x v="37"/>
    <x v="35"/>
    <x v="13"/>
    <x v="35"/>
    <x v="183"/>
    <x v="198"/>
    <x v="4"/>
  </r>
  <r>
    <x v="1077"/>
    <x v="129"/>
    <x v="12"/>
    <x v="343"/>
    <x v="41"/>
    <x v="49"/>
    <x v="317"/>
    <x v="843"/>
    <x v="459"/>
    <x v="626"/>
    <x v="183"/>
    <x v="198"/>
    <x v="5"/>
  </r>
  <r>
    <x v="1078"/>
    <x v="129"/>
    <x v="15"/>
    <x v="332"/>
    <x v="41"/>
    <x v="48"/>
    <x v="111"/>
    <x v="258"/>
    <x v="84"/>
    <x v="190"/>
    <x v="183"/>
    <x v="198"/>
    <x v="6"/>
  </r>
  <r>
    <x v="1079"/>
    <x v="129"/>
    <x v="20"/>
    <x v="334"/>
    <x v="41"/>
    <x v="42"/>
    <x v="170"/>
    <x v="467"/>
    <x v="193"/>
    <x v="286"/>
    <x v="183"/>
    <x v="198"/>
    <x v="7"/>
  </r>
  <r>
    <x v="1080"/>
    <x v="129"/>
    <x v="25"/>
    <x v="323"/>
    <x v="42"/>
    <x v="42"/>
    <x v="181"/>
    <x v="538"/>
    <x v="225"/>
    <x v="328"/>
    <x v="183"/>
    <x v="198"/>
    <x v="8"/>
  </r>
  <r>
    <x v="1081"/>
    <x v="129"/>
    <x v="28"/>
    <x v="325"/>
    <x v="40"/>
    <x v="45"/>
    <x v="243"/>
    <x v="782"/>
    <x v="380"/>
    <x v="479"/>
    <x v="183"/>
    <x v="198"/>
    <x v="9"/>
  </r>
  <r>
    <x v="1082"/>
    <x v="130"/>
    <x v="4"/>
    <x v="127"/>
    <x v="100"/>
    <x v="30"/>
    <x v="608"/>
    <x v="1902"/>
    <x v="1134"/>
    <x v="1734"/>
    <x v="368"/>
    <x v="175"/>
    <x v="2"/>
  </r>
  <r>
    <x v="1083"/>
    <x v="130"/>
    <x v="6"/>
    <x v="127"/>
    <x v="119"/>
    <x v="32"/>
    <x v="107"/>
    <x v="504"/>
    <x v="624"/>
    <x v="222"/>
    <x v="368"/>
    <x v="175"/>
    <x v="3"/>
  </r>
  <r>
    <x v="1084"/>
    <x v="130"/>
    <x v="9"/>
    <x v="127"/>
    <x v="119"/>
    <x v="36"/>
    <x v="124"/>
    <x v="595"/>
    <x v="291"/>
    <x v="248"/>
    <x v="368"/>
    <x v="175"/>
    <x v="4"/>
  </r>
  <r>
    <x v="1085"/>
    <x v="130"/>
    <x v="12"/>
    <x v="127"/>
    <x v="119"/>
    <x v="31"/>
    <x v="778"/>
    <x v="2076"/>
    <x v="1067"/>
    <x v="2189"/>
    <x v="368"/>
    <x v="175"/>
    <x v="5"/>
  </r>
  <r>
    <x v="1086"/>
    <x v="130"/>
    <x v="15"/>
    <x v="127"/>
    <x v="119"/>
    <x v="31"/>
    <x v="835"/>
    <x v="2128"/>
    <x v="1170"/>
    <x v="2288"/>
    <x v="368"/>
    <x v="175"/>
    <x v="6"/>
  </r>
  <r>
    <x v="1087"/>
    <x v="130"/>
    <x v="20"/>
    <x v="120"/>
    <x v="119"/>
    <x v="27"/>
    <x v="646"/>
    <x v="1750"/>
    <x v="1208"/>
    <x v="1894"/>
    <x v="368"/>
    <x v="175"/>
    <x v="7"/>
  </r>
  <r>
    <x v="1088"/>
    <x v="130"/>
    <x v="25"/>
    <x v="119"/>
    <x v="119"/>
    <x v="27"/>
    <x v="473"/>
    <x v="1555"/>
    <x v="1158"/>
    <x v="1377"/>
    <x v="368"/>
    <x v="175"/>
    <x v="8"/>
  </r>
  <r>
    <x v="1089"/>
    <x v="130"/>
    <x v="28"/>
    <x v="119"/>
    <x v="119"/>
    <x v="27"/>
    <x v="444"/>
    <x v="1591"/>
    <x v="1070"/>
    <x v="1269"/>
    <x v="368"/>
    <x v="175"/>
    <x v="9"/>
  </r>
  <r>
    <x v="1090"/>
    <x v="131"/>
    <x v="3"/>
    <x v="1296"/>
    <x v="560"/>
    <x v="33"/>
    <x v="1012"/>
    <x v="2203"/>
    <x v="1361"/>
    <x v="823"/>
    <x v="382"/>
    <x v="362"/>
    <x v="1"/>
  </r>
  <r>
    <x v="1091"/>
    <x v="131"/>
    <x v="5"/>
    <x v="1297"/>
    <x v="560"/>
    <x v="25"/>
    <x v="1488"/>
    <x v="1433"/>
    <x v="1221"/>
    <x v="1435"/>
    <x v="382"/>
    <x v="362"/>
    <x v="2"/>
  </r>
  <r>
    <x v="1092"/>
    <x v="131"/>
    <x v="8"/>
    <x v="1298"/>
    <x v="560"/>
    <x v="33"/>
    <x v="67"/>
    <x v="72"/>
    <x v="81"/>
    <x v="64"/>
    <x v="382"/>
    <x v="362"/>
    <x v="3"/>
  </r>
  <r>
    <x v="1093"/>
    <x v="131"/>
    <x v="11"/>
    <x v="1345"/>
    <x v="560"/>
    <x v="37"/>
    <x v="1815"/>
    <x v="2861"/>
    <x v="1900"/>
    <x v="1839"/>
    <x v="382"/>
    <x v="362"/>
    <x v="4"/>
  </r>
  <r>
    <x v="1094"/>
    <x v="131"/>
    <x v="13"/>
    <x v="1328"/>
    <x v="602"/>
    <x v="36"/>
    <x v="422"/>
    <x v="1551"/>
    <x v="508"/>
    <x v="333"/>
    <x v="382"/>
    <x v="362"/>
    <x v="5"/>
  </r>
  <r>
    <x v="1095"/>
    <x v="131"/>
    <x v="17"/>
    <x v="1355"/>
    <x v="600"/>
    <x v="36"/>
    <x v="169"/>
    <x v="783"/>
    <x v="391"/>
    <x v="134"/>
    <x v="382"/>
    <x v="362"/>
    <x v="6"/>
  </r>
  <r>
    <x v="1096"/>
    <x v="131"/>
    <x v="22"/>
    <x v="1358"/>
    <x v="601"/>
    <x v="36"/>
    <x v="1404"/>
    <x v="2749"/>
    <x v="1549"/>
    <x v="1229"/>
    <x v="382"/>
    <x v="362"/>
    <x v="7"/>
  </r>
  <r>
    <x v="1097"/>
    <x v="131"/>
    <x v="27"/>
    <x v="1359"/>
    <x v="602"/>
    <x v="36"/>
    <x v="204"/>
    <x v="188"/>
    <x v="578"/>
    <x v="165"/>
    <x v="382"/>
    <x v="362"/>
    <x v="8"/>
  </r>
  <r>
    <x v="1098"/>
    <x v="131"/>
    <x v="29"/>
    <x v="1361"/>
    <x v="602"/>
    <x v="38"/>
    <x v="1641"/>
    <x v="1449"/>
    <x v="1809"/>
    <x v="1532"/>
    <x v="382"/>
    <x v="362"/>
    <x v="9"/>
  </r>
  <r>
    <x v="1099"/>
    <x v="132"/>
    <x v="1"/>
    <x v="2458"/>
    <x v="1249"/>
    <x v="16"/>
    <x v="2908"/>
    <x v="2529"/>
    <x v="1830"/>
    <x v="1931"/>
    <x v="338"/>
    <x v="323"/>
    <x v="1"/>
  </r>
  <r>
    <x v="1100"/>
    <x v="132"/>
    <x v="4"/>
    <x v="2468"/>
    <x v="1269"/>
    <x v="41"/>
    <x v="2856"/>
    <x v="2601"/>
    <x v="1971"/>
    <x v="1812"/>
    <x v="338"/>
    <x v="323"/>
    <x v="2"/>
  </r>
  <r>
    <x v="1101"/>
    <x v="132"/>
    <x v="6"/>
    <x v="2471"/>
    <x v="1251"/>
    <x v="43"/>
    <x v="2444"/>
    <x v="2273"/>
    <x v="1436"/>
    <x v="1141"/>
    <x v="338"/>
    <x v="323"/>
    <x v="3"/>
  </r>
  <r>
    <x v="1102"/>
    <x v="132"/>
    <x v="9"/>
    <x v="2473"/>
    <x v="1252"/>
    <x v="47"/>
    <x v="2820"/>
    <x v="1985"/>
    <x v="1703"/>
    <x v="1741"/>
    <x v="338"/>
    <x v="323"/>
    <x v="4"/>
  </r>
  <r>
    <x v="1103"/>
    <x v="132"/>
    <x v="12"/>
    <x v="2508"/>
    <x v="1250"/>
    <x v="45"/>
    <x v="3162"/>
    <x v="2879"/>
    <x v="2518"/>
    <x v="2532"/>
    <x v="338"/>
    <x v="323"/>
    <x v="5"/>
  </r>
  <r>
    <x v="1104"/>
    <x v="132"/>
    <x v="15"/>
    <x v="1785"/>
    <x v="839"/>
    <x v="43"/>
    <x v="1965"/>
    <x v="1986"/>
    <x v="1638"/>
    <x v="1360"/>
    <x v="338"/>
    <x v="323"/>
    <x v="6"/>
  </r>
  <r>
    <x v="1105"/>
    <x v="132"/>
    <x v="20"/>
    <x v="1777"/>
    <x v="834"/>
    <x v="29"/>
    <x v="2700"/>
    <x v="2669"/>
    <x v="2007"/>
    <x v="2604"/>
    <x v="338"/>
    <x v="323"/>
    <x v="7"/>
  </r>
  <r>
    <x v="1106"/>
    <x v="132"/>
    <x v="25"/>
    <x v="1620"/>
    <x v="841"/>
    <x v="25"/>
    <x v="2717"/>
    <x v="2545"/>
    <x v="2359"/>
    <x v="2849"/>
    <x v="338"/>
    <x v="323"/>
    <x v="8"/>
  </r>
  <r>
    <x v="1107"/>
    <x v="132"/>
    <x v="28"/>
    <x v="1788"/>
    <x v="841"/>
    <x v="26"/>
    <x v="2534"/>
    <x v="2571"/>
    <x v="1886"/>
    <x v="2335"/>
    <x v="338"/>
    <x v="323"/>
    <x v="9"/>
  </r>
  <r>
    <x v="1108"/>
    <x v="133"/>
    <x v="1"/>
    <x v="2229"/>
    <x v="1069"/>
    <x v="38"/>
    <x v="1845"/>
    <x v="2715"/>
    <x v="374"/>
    <x v="747"/>
    <x v="30"/>
    <x v="36"/>
    <x v="1"/>
  </r>
  <r>
    <x v="1109"/>
    <x v="133"/>
    <x v="4"/>
    <x v="2229"/>
    <x v="1069"/>
    <x v="39"/>
    <x v="2072"/>
    <x v="2888"/>
    <x v="561"/>
    <x v="967"/>
    <x v="30"/>
    <x v="36"/>
    <x v="2"/>
  </r>
  <r>
    <x v="1110"/>
    <x v="133"/>
    <x v="6"/>
    <x v="2229"/>
    <x v="1069"/>
    <x v="39"/>
    <x v="2034"/>
    <x v="2867"/>
    <x v="400"/>
    <x v="920"/>
    <x v="30"/>
    <x v="36"/>
    <x v="3"/>
  </r>
  <r>
    <x v="1111"/>
    <x v="133"/>
    <x v="9"/>
    <x v="2295"/>
    <x v="1069"/>
    <x v="40"/>
    <x v="2471"/>
    <x v="3165"/>
    <x v="941"/>
    <x v="1524"/>
    <x v="30"/>
    <x v="36"/>
    <x v="4"/>
  </r>
  <r>
    <x v="1112"/>
    <x v="133"/>
    <x v="12"/>
    <x v="2295"/>
    <x v="1069"/>
    <x v="40"/>
    <x v="2390"/>
    <x v="3111"/>
    <x v="1085"/>
    <x v="1392"/>
    <x v="30"/>
    <x v="36"/>
    <x v="5"/>
  </r>
  <r>
    <x v="1113"/>
    <x v="133"/>
    <x v="15"/>
    <x v="2305"/>
    <x v="1069"/>
    <x v="39"/>
    <x v="2035"/>
    <x v="2901"/>
    <x v="560"/>
    <x v="871"/>
    <x v="30"/>
    <x v="36"/>
    <x v="6"/>
  </r>
  <r>
    <x v="1114"/>
    <x v="133"/>
    <x v="20"/>
    <x v="2306"/>
    <x v="1069"/>
    <x v="41"/>
    <x v="1925"/>
    <x v="2304"/>
    <x v="554"/>
    <x v="773"/>
    <x v="30"/>
    <x v="36"/>
    <x v="7"/>
  </r>
  <r>
    <x v="1115"/>
    <x v="133"/>
    <x v="25"/>
    <x v="2306"/>
    <x v="1069"/>
    <x v="41"/>
    <x v="2227"/>
    <x v="2541"/>
    <x v="930"/>
    <x v="1128"/>
    <x v="30"/>
    <x v="36"/>
    <x v="8"/>
  </r>
  <r>
    <x v="1116"/>
    <x v="133"/>
    <x v="28"/>
    <x v="2306"/>
    <x v="1069"/>
    <x v="39"/>
    <x v="2254"/>
    <x v="2570"/>
    <x v="884"/>
    <x v="1151"/>
    <x v="30"/>
    <x v="36"/>
    <x v="9"/>
  </r>
  <r>
    <x v="1117"/>
    <x v="133"/>
    <x v="30"/>
    <x v="2306"/>
    <x v="1069"/>
    <x v="39"/>
    <x v="2350"/>
    <x v="2746"/>
    <x v="1006"/>
    <x v="1326"/>
    <x v="30"/>
    <x v="36"/>
    <x v="10"/>
  </r>
  <r>
    <x v="1118"/>
    <x v="134"/>
    <x v="1"/>
    <x v="896"/>
    <x v="364"/>
    <x v="38"/>
    <x v="2151"/>
    <x v="1666"/>
    <x v="2607"/>
    <x v="2988"/>
    <x v="34"/>
    <x v="31"/>
    <x v="1"/>
  </r>
  <r>
    <x v="1119"/>
    <x v="134"/>
    <x v="4"/>
    <x v="882"/>
    <x v="348"/>
    <x v="31"/>
    <x v="2663"/>
    <x v="1423"/>
    <x v="3094"/>
    <x v="3358"/>
    <x v="34"/>
    <x v="31"/>
    <x v="2"/>
  </r>
  <r>
    <x v="1120"/>
    <x v="134"/>
    <x v="6"/>
    <x v="877"/>
    <x v="416"/>
    <x v="31"/>
    <x v="2906"/>
    <x v="2644"/>
    <x v="3237"/>
    <x v="3446"/>
    <x v="34"/>
    <x v="31"/>
    <x v="3"/>
  </r>
  <r>
    <x v="1121"/>
    <x v="134"/>
    <x v="9"/>
    <x v="914"/>
    <x v="393"/>
    <x v="32"/>
    <x v="2900"/>
    <x v="2636"/>
    <x v="3300"/>
    <x v="3436"/>
    <x v="34"/>
    <x v="31"/>
    <x v="4"/>
  </r>
  <r>
    <x v="1122"/>
    <x v="134"/>
    <x v="12"/>
    <x v="969"/>
    <x v="393"/>
    <x v="41"/>
    <x v="2966"/>
    <x v="2793"/>
    <x v="3368"/>
    <x v="3441"/>
    <x v="34"/>
    <x v="31"/>
    <x v="5"/>
  </r>
  <r>
    <x v="1123"/>
    <x v="134"/>
    <x v="15"/>
    <x v="884"/>
    <x v="376"/>
    <x v="32"/>
    <x v="2940"/>
    <x v="2812"/>
    <x v="3281"/>
    <x v="3453"/>
    <x v="34"/>
    <x v="31"/>
    <x v="6"/>
  </r>
  <r>
    <x v="1124"/>
    <x v="134"/>
    <x v="20"/>
    <x v="880"/>
    <x v="410"/>
    <x v="20"/>
    <x v="2832"/>
    <x v="2697"/>
    <x v="3262"/>
    <x v="3424"/>
    <x v="34"/>
    <x v="31"/>
    <x v="7"/>
  </r>
  <r>
    <x v="1125"/>
    <x v="134"/>
    <x v="25"/>
    <x v="814"/>
    <x v="407"/>
    <x v="19"/>
    <x v="2802"/>
    <x v="2547"/>
    <x v="3313"/>
    <x v="3431"/>
    <x v="34"/>
    <x v="31"/>
    <x v="8"/>
  </r>
  <r>
    <x v="1126"/>
    <x v="134"/>
    <x v="28"/>
    <x v="857"/>
    <x v="409"/>
    <x v="22"/>
    <x v="2765"/>
    <x v="2728"/>
    <x v="3244"/>
    <x v="3406"/>
    <x v="34"/>
    <x v="31"/>
    <x v="9"/>
  </r>
  <r>
    <x v="1127"/>
    <x v="135"/>
    <x v="1"/>
    <x v="503"/>
    <x v="113"/>
    <x v="25"/>
    <x v="40"/>
    <x v="42"/>
    <x v="92"/>
    <x v="40"/>
    <x v="234"/>
    <x v="225"/>
    <x v="1"/>
  </r>
  <r>
    <x v="1128"/>
    <x v="135"/>
    <x v="4"/>
    <x v="501"/>
    <x v="127"/>
    <x v="18"/>
    <x v="62"/>
    <x v="112"/>
    <x v="113"/>
    <x v="87"/>
    <x v="234"/>
    <x v="225"/>
    <x v="2"/>
  </r>
  <r>
    <x v="1129"/>
    <x v="135"/>
    <x v="6"/>
    <x v="513"/>
    <x v="127"/>
    <x v="19"/>
    <x v="358"/>
    <x v="966"/>
    <x v="573"/>
    <x v="596"/>
    <x v="234"/>
    <x v="225"/>
    <x v="3"/>
  </r>
  <r>
    <x v="1130"/>
    <x v="135"/>
    <x v="9"/>
    <x v="513"/>
    <x v="127"/>
    <x v="19"/>
    <x v="85"/>
    <x v="228"/>
    <x v="90"/>
    <x v="126"/>
    <x v="234"/>
    <x v="225"/>
    <x v="4"/>
  </r>
  <r>
    <x v="1131"/>
    <x v="135"/>
    <x v="12"/>
    <x v="514"/>
    <x v="127"/>
    <x v="22"/>
    <x v="196"/>
    <x v="614"/>
    <x v="196"/>
    <x v="293"/>
    <x v="234"/>
    <x v="225"/>
    <x v="5"/>
  </r>
  <r>
    <x v="1132"/>
    <x v="135"/>
    <x v="20"/>
    <x v="517"/>
    <x v="129"/>
    <x v="23"/>
    <x v="157"/>
    <x v="338"/>
    <x v="128"/>
    <x v="232"/>
    <x v="234"/>
    <x v="225"/>
    <x v="7"/>
  </r>
  <r>
    <x v="1133"/>
    <x v="135"/>
    <x v="25"/>
    <x v="525"/>
    <x v="138"/>
    <x v="20"/>
    <x v="90"/>
    <x v="301"/>
    <x v="126"/>
    <x v="135"/>
    <x v="234"/>
    <x v="225"/>
    <x v="8"/>
  </r>
  <r>
    <x v="1134"/>
    <x v="136"/>
    <x v="1"/>
    <x v="1480"/>
    <x v="872"/>
    <x v="29"/>
    <x v="864"/>
    <x v="1606"/>
    <x v="491"/>
    <x v="555"/>
    <x v="283"/>
    <x v="277"/>
    <x v="1"/>
  </r>
  <r>
    <x v="1135"/>
    <x v="136"/>
    <x v="4"/>
    <x v="1482"/>
    <x v="872"/>
    <x v="33"/>
    <x v="2056"/>
    <x v="2559"/>
    <x v="1450"/>
    <x v="2010"/>
    <x v="283"/>
    <x v="277"/>
    <x v="2"/>
  </r>
  <r>
    <x v="1136"/>
    <x v="136"/>
    <x v="6"/>
    <x v="1465"/>
    <x v="743"/>
    <x v="36"/>
    <x v="1654"/>
    <x v="2276"/>
    <x v="1152"/>
    <x v="1365"/>
    <x v="283"/>
    <x v="277"/>
    <x v="3"/>
  </r>
  <r>
    <x v="1137"/>
    <x v="136"/>
    <x v="9"/>
    <x v="1470"/>
    <x v="744"/>
    <x v="37"/>
    <x v="1644"/>
    <x v="2309"/>
    <x v="848"/>
    <x v="1354"/>
    <x v="283"/>
    <x v="277"/>
    <x v="4"/>
  </r>
  <r>
    <x v="1138"/>
    <x v="136"/>
    <x v="12"/>
    <x v="1470"/>
    <x v="744"/>
    <x v="38"/>
    <x v="2045"/>
    <x v="2639"/>
    <x v="1263"/>
    <x v="1995"/>
    <x v="283"/>
    <x v="277"/>
    <x v="5"/>
  </r>
  <r>
    <x v="1139"/>
    <x v="136"/>
    <x v="15"/>
    <x v="1477"/>
    <x v="745"/>
    <x v="39"/>
    <x v="1054"/>
    <x v="1899"/>
    <x v="415"/>
    <x v="702"/>
    <x v="283"/>
    <x v="277"/>
    <x v="6"/>
  </r>
  <r>
    <x v="1140"/>
    <x v="136"/>
    <x v="20"/>
    <x v="1485"/>
    <x v="754"/>
    <x v="44"/>
    <x v="603"/>
    <x v="1492"/>
    <x v="251"/>
    <x v="401"/>
    <x v="283"/>
    <x v="277"/>
    <x v="7"/>
  </r>
  <r>
    <x v="1141"/>
    <x v="136"/>
    <x v="25"/>
    <x v="1452"/>
    <x v="754"/>
    <x v="47"/>
    <x v="1553"/>
    <x v="2412"/>
    <x v="786"/>
    <x v="1257"/>
    <x v="283"/>
    <x v="277"/>
    <x v="8"/>
  </r>
  <r>
    <x v="1142"/>
    <x v="136"/>
    <x v="28"/>
    <x v="1447"/>
    <x v="754"/>
    <x v="45"/>
    <x v="1529"/>
    <x v="2390"/>
    <x v="710"/>
    <x v="1217"/>
    <x v="283"/>
    <x v="277"/>
    <x v="9"/>
  </r>
  <r>
    <x v="1143"/>
    <x v="137"/>
    <x v="4"/>
    <x v="2795"/>
    <x v="1767"/>
    <x v="25"/>
    <x v="791"/>
    <x v="821"/>
    <x v="1690"/>
    <x v="155"/>
    <x v="196"/>
    <x v="196"/>
    <x v="2"/>
  </r>
  <r>
    <x v="1144"/>
    <x v="138"/>
    <x v="1"/>
    <x v="826"/>
    <x v="826"/>
    <x v="30"/>
    <x v="1639"/>
    <x v="2466"/>
    <x v="2054"/>
    <x v="2413"/>
    <x v="195"/>
    <x v="200"/>
    <x v="1"/>
  </r>
  <r>
    <x v="1145"/>
    <x v="138"/>
    <x v="4"/>
    <x v="830"/>
    <x v="887"/>
    <x v="24"/>
    <x v="499"/>
    <x v="1438"/>
    <x v="1181"/>
    <x v="597"/>
    <x v="195"/>
    <x v="200"/>
    <x v="2"/>
  </r>
  <r>
    <x v="1146"/>
    <x v="138"/>
    <x v="6"/>
    <x v="902"/>
    <x v="890"/>
    <x v="40"/>
    <x v="1729"/>
    <x v="2574"/>
    <x v="1051"/>
    <x v="2439"/>
    <x v="195"/>
    <x v="200"/>
    <x v="3"/>
  </r>
  <r>
    <x v="1147"/>
    <x v="138"/>
    <x v="9"/>
    <x v="861"/>
    <x v="888"/>
    <x v="39"/>
    <x v="1448"/>
    <x v="2417"/>
    <x v="1101"/>
    <x v="2078"/>
    <x v="195"/>
    <x v="200"/>
    <x v="4"/>
  </r>
  <r>
    <x v="1148"/>
    <x v="138"/>
    <x v="12"/>
    <x v="864"/>
    <x v="874"/>
    <x v="40"/>
    <x v="1710"/>
    <x v="2572"/>
    <x v="1269"/>
    <x v="2451"/>
    <x v="195"/>
    <x v="200"/>
    <x v="5"/>
  </r>
  <r>
    <x v="1149"/>
    <x v="138"/>
    <x v="15"/>
    <x v="869"/>
    <x v="882"/>
    <x v="40"/>
    <x v="1494"/>
    <x v="2474"/>
    <x v="993"/>
    <x v="2135"/>
    <x v="195"/>
    <x v="200"/>
    <x v="6"/>
  </r>
  <r>
    <x v="1150"/>
    <x v="138"/>
    <x v="20"/>
    <x v="867"/>
    <x v="884"/>
    <x v="24"/>
    <x v="2143"/>
    <x v="2925"/>
    <x v="1368"/>
    <x v="3018"/>
    <x v="195"/>
    <x v="200"/>
    <x v="7"/>
  </r>
  <r>
    <x v="1151"/>
    <x v="138"/>
    <x v="25"/>
    <x v="868"/>
    <x v="878"/>
    <x v="28"/>
    <x v="1217"/>
    <x v="2369"/>
    <x v="926"/>
    <x v="1677"/>
    <x v="195"/>
    <x v="200"/>
    <x v="8"/>
  </r>
  <r>
    <x v="1152"/>
    <x v="138"/>
    <x v="28"/>
    <x v="873"/>
    <x v="881"/>
    <x v="38"/>
    <x v="728"/>
    <x v="1954"/>
    <x v="556"/>
    <x v="884"/>
    <x v="195"/>
    <x v="200"/>
    <x v="9"/>
  </r>
  <r>
    <x v="1153"/>
    <x v="139"/>
    <x v="1"/>
    <x v="2582"/>
    <x v="1406"/>
    <x v="16"/>
    <x v="2805"/>
    <x v="2443"/>
    <x v="1408"/>
    <x v="1342"/>
    <x v="337"/>
    <x v="322"/>
    <x v="1"/>
  </r>
  <r>
    <x v="1154"/>
    <x v="139"/>
    <x v="4"/>
    <x v="2588"/>
    <x v="1459"/>
    <x v="35"/>
    <x v="2875"/>
    <x v="2801"/>
    <x v="1702"/>
    <x v="1440"/>
    <x v="337"/>
    <x v="322"/>
    <x v="2"/>
  </r>
  <r>
    <x v="1155"/>
    <x v="139"/>
    <x v="6"/>
    <x v="2591"/>
    <x v="1446"/>
    <x v="40"/>
    <x v="2298"/>
    <x v="2373"/>
    <x v="1054"/>
    <x v="715"/>
    <x v="337"/>
    <x v="322"/>
    <x v="3"/>
  </r>
  <r>
    <x v="1156"/>
    <x v="139"/>
    <x v="9"/>
    <x v="2564"/>
    <x v="1403"/>
    <x v="44"/>
    <x v="2423"/>
    <x v="2437"/>
    <x v="935"/>
    <x v="886"/>
    <x v="337"/>
    <x v="322"/>
    <x v="4"/>
  </r>
  <r>
    <x v="1157"/>
    <x v="139"/>
    <x v="12"/>
    <x v="2626"/>
    <x v="1445"/>
    <x v="45"/>
    <x v="2580"/>
    <x v="2435"/>
    <x v="1342"/>
    <x v="941"/>
    <x v="337"/>
    <x v="322"/>
    <x v="5"/>
  </r>
  <r>
    <x v="1158"/>
    <x v="139"/>
    <x v="15"/>
    <x v="2574"/>
    <x v="1402"/>
    <x v="44"/>
    <x v="1240"/>
    <x v="1862"/>
    <x v="618"/>
    <x v="282"/>
    <x v="337"/>
    <x v="322"/>
    <x v="6"/>
  </r>
  <r>
    <x v="1159"/>
    <x v="139"/>
    <x v="20"/>
    <x v="2563"/>
    <x v="1400"/>
    <x v="29"/>
    <x v="3254"/>
    <x v="3261"/>
    <x v="2138"/>
    <x v="2641"/>
    <x v="337"/>
    <x v="322"/>
    <x v="7"/>
  </r>
  <r>
    <x v="1160"/>
    <x v="139"/>
    <x v="25"/>
    <x v="2559"/>
    <x v="1404"/>
    <x v="26"/>
    <x v="2247"/>
    <x v="2341"/>
    <x v="342"/>
    <x v="741"/>
    <x v="337"/>
    <x v="322"/>
    <x v="8"/>
  </r>
  <r>
    <x v="1161"/>
    <x v="139"/>
    <x v="28"/>
    <x v="2575"/>
    <x v="1404"/>
    <x v="26"/>
    <x v="2562"/>
    <x v="2712"/>
    <x v="509"/>
    <x v="1033"/>
    <x v="337"/>
    <x v="322"/>
    <x v="9"/>
  </r>
  <r>
    <x v="1162"/>
    <x v="140"/>
    <x v="4"/>
    <x v="1709"/>
    <x v="980"/>
    <x v="45"/>
    <x v="399"/>
    <x v="897"/>
    <x v="372"/>
    <x v="236"/>
    <x v="183"/>
    <x v="23"/>
    <x v="2"/>
  </r>
  <r>
    <x v="1163"/>
    <x v="140"/>
    <x v="6"/>
    <x v="1709"/>
    <x v="603"/>
    <x v="34"/>
    <x v="968"/>
    <x v="1458"/>
    <x v="453"/>
    <x v="514"/>
    <x v="183"/>
    <x v="23"/>
    <x v="3"/>
  </r>
  <r>
    <x v="1164"/>
    <x v="140"/>
    <x v="9"/>
    <x v="1711"/>
    <x v="603"/>
    <x v="44"/>
    <x v="71"/>
    <x v="101"/>
    <x v="97"/>
    <x v="56"/>
    <x v="183"/>
    <x v="23"/>
    <x v="4"/>
  </r>
  <r>
    <x v="1165"/>
    <x v="140"/>
    <x v="12"/>
    <x v="1703"/>
    <x v="603"/>
    <x v="44"/>
    <x v="628"/>
    <x v="1304"/>
    <x v="179"/>
    <x v="351"/>
    <x v="183"/>
    <x v="23"/>
    <x v="5"/>
  </r>
  <r>
    <x v="1166"/>
    <x v="140"/>
    <x v="15"/>
    <x v="1705"/>
    <x v="579"/>
    <x v="43"/>
    <x v="109"/>
    <x v="252"/>
    <x v="51"/>
    <x v="77"/>
    <x v="183"/>
    <x v="23"/>
    <x v="6"/>
  </r>
  <r>
    <x v="1167"/>
    <x v="140"/>
    <x v="20"/>
    <x v="1708"/>
    <x v="579"/>
    <x v="36"/>
    <x v="7"/>
    <x v="4"/>
    <x v="3"/>
    <x v="9"/>
    <x v="183"/>
    <x v="23"/>
    <x v="7"/>
  </r>
  <r>
    <x v="1168"/>
    <x v="140"/>
    <x v="25"/>
    <x v="1698"/>
    <x v="595"/>
    <x v="36"/>
    <x v="1298"/>
    <x v="2020"/>
    <x v="811"/>
    <x v="734"/>
    <x v="183"/>
    <x v="23"/>
    <x v="8"/>
  </r>
  <r>
    <x v="1169"/>
    <x v="140"/>
    <x v="28"/>
    <x v="1696"/>
    <x v="592"/>
    <x v="40"/>
    <x v="297"/>
    <x v="893"/>
    <x v="115"/>
    <x v="185"/>
    <x v="183"/>
    <x v="23"/>
    <x v="9"/>
  </r>
  <r>
    <x v="1170"/>
    <x v="141"/>
    <x v="1"/>
    <x v="821"/>
    <x v="157"/>
    <x v="42"/>
    <x v="960"/>
    <x v="1596"/>
    <x v="1644"/>
    <x v="1299"/>
    <x v="141"/>
    <x v="350"/>
    <x v="1"/>
  </r>
  <r>
    <x v="1171"/>
    <x v="141"/>
    <x v="4"/>
    <x v="827"/>
    <x v="223"/>
    <x v="44"/>
    <x v="814"/>
    <x v="594"/>
    <x v="1195"/>
    <x v="1048"/>
    <x v="141"/>
    <x v="350"/>
    <x v="2"/>
  </r>
  <r>
    <x v="1172"/>
    <x v="141"/>
    <x v="6"/>
    <x v="834"/>
    <x v="213"/>
    <x v="41"/>
    <x v="615"/>
    <x v="462"/>
    <x v="1065"/>
    <x v="754"/>
    <x v="141"/>
    <x v="350"/>
    <x v="3"/>
  </r>
  <r>
    <x v="1173"/>
    <x v="141"/>
    <x v="9"/>
    <x v="843"/>
    <x v="213"/>
    <x v="38"/>
    <x v="795"/>
    <x v="711"/>
    <x v="1556"/>
    <x v="1015"/>
    <x v="141"/>
    <x v="350"/>
    <x v="4"/>
  </r>
  <r>
    <x v="1174"/>
    <x v="141"/>
    <x v="12"/>
    <x v="850"/>
    <x v="196"/>
    <x v="36"/>
    <x v="1241"/>
    <x v="1066"/>
    <x v="2058"/>
    <x v="1749"/>
    <x v="141"/>
    <x v="350"/>
    <x v="5"/>
  </r>
  <r>
    <x v="1175"/>
    <x v="141"/>
    <x v="15"/>
    <x v="852"/>
    <x v="196"/>
    <x v="40"/>
    <x v="338"/>
    <x v="403"/>
    <x v="477"/>
    <x v="411"/>
    <x v="141"/>
    <x v="350"/>
    <x v="6"/>
  </r>
  <r>
    <x v="1176"/>
    <x v="141"/>
    <x v="20"/>
    <x v="860"/>
    <x v="195"/>
    <x v="25"/>
    <x v="59"/>
    <x v="56"/>
    <x v="147"/>
    <x v="65"/>
    <x v="141"/>
    <x v="350"/>
    <x v="7"/>
  </r>
  <r>
    <x v="1177"/>
    <x v="141"/>
    <x v="25"/>
    <x v="863"/>
    <x v="191"/>
    <x v="31"/>
    <x v="797"/>
    <x v="1053"/>
    <x v="1563"/>
    <x v="994"/>
    <x v="141"/>
    <x v="350"/>
    <x v="8"/>
  </r>
  <r>
    <x v="1178"/>
    <x v="141"/>
    <x v="28"/>
    <x v="870"/>
    <x v="247"/>
    <x v="31"/>
    <x v="809"/>
    <x v="885"/>
    <x v="1485"/>
    <x v="996"/>
    <x v="141"/>
    <x v="350"/>
    <x v="9"/>
  </r>
  <r>
    <x v="1179"/>
    <x v="142"/>
    <x v="1"/>
    <x v="2216"/>
    <x v="1140"/>
    <x v="29"/>
    <x v="931"/>
    <x v="1637"/>
    <x v="188"/>
    <x v="319"/>
    <x v="350"/>
    <x v="333"/>
    <x v="1"/>
  </r>
  <r>
    <x v="1180"/>
    <x v="142"/>
    <x v="4"/>
    <x v="2227"/>
    <x v="1140"/>
    <x v="32"/>
    <x v="2097"/>
    <x v="2551"/>
    <x v="1049"/>
    <x v="992"/>
    <x v="350"/>
    <x v="333"/>
    <x v="2"/>
  </r>
  <r>
    <x v="1181"/>
    <x v="142"/>
    <x v="6"/>
    <x v="2315"/>
    <x v="1140"/>
    <x v="31"/>
    <x v="105"/>
    <x v="249"/>
    <x v="79"/>
    <x v="59"/>
    <x v="350"/>
    <x v="333"/>
    <x v="3"/>
  </r>
  <r>
    <x v="1182"/>
    <x v="142"/>
    <x v="9"/>
    <x v="2251"/>
    <x v="1140"/>
    <x v="38"/>
    <x v="2195"/>
    <x v="2674"/>
    <x v="484"/>
    <x v="1129"/>
    <x v="350"/>
    <x v="333"/>
    <x v="4"/>
  </r>
  <r>
    <x v="1183"/>
    <x v="142"/>
    <x v="12"/>
    <x v="2251"/>
    <x v="1140"/>
    <x v="41"/>
    <x v="2685"/>
    <x v="3014"/>
    <x v="922"/>
    <x v="1896"/>
    <x v="350"/>
    <x v="333"/>
    <x v="5"/>
  </r>
  <r>
    <x v="1184"/>
    <x v="142"/>
    <x v="15"/>
    <x v="2238"/>
    <x v="1140"/>
    <x v="32"/>
    <x v="1879"/>
    <x v="2499"/>
    <x v="386"/>
    <x v="770"/>
    <x v="350"/>
    <x v="333"/>
    <x v="6"/>
  </r>
  <r>
    <x v="1185"/>
    <x v="142"/>
    <x v="20"/>
    <x v="2239"/>
    <x v="1140"/>
    <x v="28"/>
    <x v="2501"/>
    <x v="2946"/>
    <x v="844"/>
    <x v="1627"/>
    <x v="350"/>
    <x v="333"/>
    <x v="7"/>
  </r>
  <r>
    <x v="1186"/>
    <x v="142"/>
    <x v="25"/>
    <x v="2255"/>
    <x v="1140"/>
    <x v="37"/>
    <x v="2483"/>
    <x v="2964"/>
    <x v="956"/>
    <x v="1566"/>
    <x v="350"/>
    <x v="333"/>
    <x v="8"/>
  </r>
  <r>
    <x v="1187"/>
    <x v="142"/>
    <x v="28"/>
    <x v="2264"/>
    <x v="1140"/>
    <x v="34"/>
    <x v="2766"/>
    <x v="3129"/>
    <x v="1146"/>
    <x v="2021"/>
    <x v="350"/>
    <x v="333"/>
    <x v="9"/>
  </r>
  <r>
    <x v="1188"/>
    <x v="143"/>
    <x v="1"/>
    <x v="432"/>
    <x v="24"/>
    <x v="40"/>
    <x v="1156"/>
    <x v="1246"/>
    <x v="2290"/>
    <x v="2374"/>
    <x v="142"/>
    <x v="350"/>
    <x v="1"/>
  </r>
  <r>
    <x v="1189"/>
    <x v="143"/>
    <x v="4"/>
    <x v="434"/>
    <x v="44"/>
    <x v="43"/>
    <x v="1521"/>
    <x v="1090"/>
    <x v="2804"/>
    <x v="2850"/>
    <x v="142"/>
    <x v="350"/>
    <x v="2"/>
  </r>
  <r>
    <x v="1190"/>
    <x v="143"/>
    <x v="6"/>
    <x v="436"/>
    <x v="37"/>
    <x v="41"/>
    <x v="1423"/>
    <x v="1249"/>
    <x v="2835"/>
    <x v="2736"/>
    <x v="142"/>
    <x v="350"/>
    <x v="3"/>
  </r>
  <r>
    <x v="1191"/>
    <x v="143"/>
    <x v="9"/>
    <x v="440"/>
    <x v="37"/>
    <x v="38"/>
    <x v="1336"/>
    <x v="1136"/>
    <x v="2798"/>
    <x v="2633"/>
    <x v="142"/>
    <x v="350"/>
    <x v="4"/>
  </r>
  <r>
    <x v="1192"/>
    <x v="143"/>
    <x v="12"/>
    <x v="445"/>
    <x v="28"/>
    <x v="38"/>
    <x v="1580"/>
    <x v="1350"/>
    <x v="2887"/>
    <x v="2894"/>
    <x v="142"/>
    <x v="350"/>
    <x v="5"/>
  </r>
  <r>
    <x v="1193"/>
    <x v="143"/>
    <x v="15"/>
    <x v="450"/>
    <x v="26"/>
    <x v="40"/>
    <x v="1109"/>
    <x v="1189"/>
    <x v="2315"/>
    <x v="2273"/>
    <x v="142"/>
    <x v="350"/>
    <x v="6"/>
  </r>
  <r>
    <x v="1194"/>
    <x v="143"/>
    <x v="20"/>
    <x v="455"/>
    <x v="26"/>
    <x v="40"/>
    <x v="355"/>
    <x v="606"/>
    <x v="650"/>
    <x v="635"/>
    <x v="142"/>
    <x v="350"/>
    <x v="7"/>
  </r>
  <r>
    <x v="1195"/>
    <x v="143"/>
    <x v="25"/>
    <x v="460"/>
    <x v="27"/>
    <x v="31"/>
    <x v="998"/>
    <x v="1262"/>
    <x v="2209"/>
    <x v="2028"/>
    <x v="142"/>
    <x v="350"/>
    <x v="8"/>
  </r>
  <r>
    <x v="1196"/>
    <x v="143"/>
    <x v="28"/>
    <x v="470"/>
    <x v="54"/>
    <x v="31"/>
    <x v="1396"/>
    <x v="1456"/>
    <x v="2823"/>
    <x v="2664"/>
    <x v="142"/>
    <x v="350"/>
    <x v="9"/>
  </r>
  <r>
    <x v="1197"/>
    <x v="144"/>
    <x v="1"/>
    <x v="1959"/>
    <x v="1313"/>
    <x v="23"/>
    <x v="2866"/>
    <x v="2942"/>
    <x v="1377"/>
    <x v="2583"/>
    <x v="181"/>
    <x v="38"/>
    <x v="1"/>
  </r>
  <r>
    <x v="1198"/>
    <x v="144"/>
    <x v="4"/>
    <x v="1884"/>
    <x v="1338"/>
    <x v="31"/>
    <x v="2858"/>
    <x v="3124"/>
    <x v="1346"/>
    <x v="2684"/>
    <x v="181"/>
    <x v="38"/>
    <x v="2"/>
  </r>
  <r>
    <x v="1199"/>
    <x v="144"/>
    <x v="6"/>
    <x v="1884"/>
    <x v="1287"/>
    <x v="28"/>
    <x v="1415"/>
    <x v="2112"/>
    <x v="260"/>
    <x v="662"/>
    <x v="181"/>
    <x v="38"/>
    <x v="3"/>
  </r>
  <r>
    <x v="1200"/>
    <x v="144"/>
    <x v="9"/>
    <x v="1862"/>
    <x v="1292"/>
    <x v="32"/>
    <x v="1080"/>
    <x v="1907"/>
    <x v="205"/>
    <x v="503"/>
    <x v="181"/>
    <x v="38"/>
    <x v="4"/>
  </r>
  <r>
    <x v="1201"/>
    <x v="144"/>
    <x v="12"/>
    <x v="1863"/>
    <x v="1320"/>
    <x v="38"/>
    <x v="2544"/>
    <x v="2986"/>
    <x v="732"/>
    <x v="2235"/>
    <x v="181"/>
    <x v="38"/>
    <x v="5"/>
  </r>
  <r>
    <x v="1202"/>
    <x v="144"/>
    <x v="15"/>
    <x v="1933"/>
    <x v="1337"/>
    <x v="31"/>
    <x v="1370"/>
    <x v="2148"/>
    <x v="192"/>
    <x v="611"/>
    <x v="181"/>
    <x v="38"/>
    <x v="6"/>
  </r>
  <r>
    <x v="1203"/>
    <x v="144"/>
    <x v="20"/>
    <x v="1943"/>
    <x v="1344"/>
    <x v="31"/>
    <x v="2975"/>
    <x v="3275"/>
    <x v="2063"/>
    <x v="2785"/>
    <x v="181"/>
    <x v="38"/>
    <x v="7"/>
  </r>
  <r>
    <x v="1204"/>
    <x v="144"/>
    <x v="25"/>
    <x v="1980"/>
    <x v="1343"/>
    <x v="32"/>
    <x v="3040"/>
    <x v="3318"/>
    <x v="2365"/>
    <x v="2875"/>
    <x v="181"/>
    <x v="38"/>
    <x v="8"/>
  </r>
  <r>
    <x v="1205"/>
    <x v="144"/>
    <x v="28"/>
    <x v="1977"/>
    <x v="1339"/>
    <x v="32"/>
    <x v="3188"/>
    <x v="3384"/>
    <x v="2719"/>
    <x v="3166"/>
    <x v="181"/>
    <x v="38"/>
    <x v="9"/>
  </r>
  <r>
    <x v="1206"/>
    <x v="145"/>
    <x v="1"/>
    <x v="2272"/>
    <x v="1443"/>
    <x v="39"/>
    <x v="2834"/>
    <x v="3054"/>
    <x v="1183"/>
    <x v="2157"/>
    <x v="374"/>
    <x v="358"/>
    <x v="1"/>
  </r>
  <r>
    <x v="1207"/>
    <x v="145"/>
    <x v="4"/>
    <x v="2285"/>
    <x v="1443"/>
    <x v="41"/>
    <x v="2944"/>
    <x v="3134"/>
    <x v="1439"/>
    <x v="2367"/>
    <x v="374"/>
    <x v="358"/>
    <x v="2"/>
  </r>
  <r>
    <x v="1208"/>
    <x v="145"/>
    <x v="6"/>
    <x v="2291"/>
    <x v="1420"/>
    <x v="43"/>
    <x v="2447"/>
    <x v="2866"/>
    <x v="900"/>
    <x v="1467"/>
    <x v="374"/>
    <x v="358"/>
    <x v="3"/>
  </r>
  <r>
    <x v="1209"/>
    <x v="145"/>
    <x v="9"/>
    <x v="2292"/>
    <x v="1420"/>
    <x v="43"/>
    <x v="2443"/>
    <x v="2882"/>
    <x v="781"/>
    <x v="1463"/>
    <x v="374"/>
    <x v="358"/>
    <x v="4"/>
  </r>
  <r>
    <x v="1210"/>
    <x v="145"/>
    <x v="12"/>
    <x v="2293"/>
    <x v="1420"/>
    <x v="42"/>
    <x v="2911"/>
    <x v="3155"/>
    <x v="1464"/>
    <x v="2283"/>
    <x v="374"/>
    <x v="358"/>
    <x v="5"/>
  </r>
  <r>
    <x v="1211"/>
    <x v="145"/>
    <x v="15"/>
    <x v="2296"/>
    <x v="1268"/>
    <x v="46"/>
    <x v="2778"/>
    <x v="3094"/>
    <x v="1127"/>
    <x v="2033"/>
    <x v="374"/>
    <x v="358"/>
    <x v="6"/>
  </r>
  <r>
    <x v="1212"/>
    <x v="145"/>
    <x v="20"/>
    <x v="2298"/>
    <x v="1294"/>
    <x v="46"/>
    <x v="2804"/>
    <x v="3123"/>
    <x v="1331"/>
    <x v="2086"/>
    <x v="374"/>
    <x v="358"/>
    <x v="7"/>
  </r>
  <r>
    <x v="1213"/>
    <x v="145"/>
    <x v="25"/>
    <x v="2299"/>
    <x v="1271"/>
    <x v="46"/>
    <x v="2895"/>
    <x v="3212"/>
    <x v="1819"/>
    <x v="2265"/>
    <x v="374"/>
    <x v="358"/>
    <x v="8"/>
  </r>
  <r>
    <x v="1214"/>
    <x v="145"/>
    <x v="28"/>
    <x v="2303"/>
    <x v="1275"/>
    <x v="46"/>
    <x v="2991"/>
    <x v="3280"/>
    <x v="1960"/>
    <x v="2458"/>
    <x v="374"/>
    <x v="358"/>
    <x v="9"/>
  </r>
  <r>
    <x v="1215"/>
    <x v="145"/>
    <x v="30"/>
    <x v="2308"/>
    <x v="1275"/>
    <x v="46"/>
    <x v="2335"/>
    <x v="3006"/>
    <x v="1113"/>
    <x v="1292"/>
    <x v="374"/>
    <x v="358"/>
    <x v="10"/>
  </r>
  <r>
    <x v="1216"/>
    <x v="146"/>
    <x v="1"/>
    <x v="1878"/>
    <x v="730"/>
    <x v="33"/>
    <x v="1673"/>
    <x v="1140"/>
    <x v="799"/>
    <x v="856"/>
    <x v="179"/>
    <x v="52"/>
    <x v="1"/>
  </r>
  <r>
    <x v="1217"/>
    <x v="146"/>
    <x v="4"/>
    <x v="1886"/>
    <x v="730"/>
    <x v="34"/>
    <x v="1820"/>
    <x v="1301"/>
    <x v="1024"/>
    <x v="1012"/>
    <x v="179"/>
    <x v="52"/>
    <x v="2"/>
  </r>
  <r>
    <x v="1218"/>
    <x v="146"/>
    <x v="6"/>
    <x v="1872"/>
    <x v="730"/>
    <x v="46"/>
    <x v="1337"/>
    <x v="1156"/>
    <x v="790"/>
    <x v="636"/>
    <x v="179"/>
    <x v="52"/>
    <x v="3"/>
  </r>
  <r>
    <x v="1219"/>
    <x v="146"/>
    <x v="9"/>
    <x v="1879"/>
    <x v="730"/>
    <x v="46"/>
    <x v="555"/>
    <x v="621"/>
    <x v="146"/>
    <x v="258"/>
    <x v="179"/>
    <x v="52"/>
    <x v="4"/>
  </r>
  <r>
    <x v="1220"/>
    <x v="146"/>
    <x v="12"/>
    <x v="1882"/>
    <x v="730"/>
    <x v="47"/>
    <x v="1195"/>
    <x v="1020"/>
    <x v="411"/>
    <x v="546"/>
    <x v="179"/>
    <x v="52"/>
    <x v="5"/>
  </r>
  <r>
    <x v="1221"/>
    <x v="146"/>
    <x v="15"/>
    <x v="1882"/>
    <x v="730"/>
    <x v="49"/>
    <x v="891"/>
    <x v="727"/>
    <x v="222"/>
    <x v="403"/>
    <x v="179"/>
    <x v="52"/>
    <x v="6"/>
  </r>
  <r>
    <x v="1222"/>
    <x v="146"/>
    <x v="20"/>
    <x v="1881"/>
    <x v="730"/>
    <x v="39"/>
    <x v="1796"/>
    <x v="1328"/>
    <x v="1059"/>
    <x v="986"/>
    <x v="179"/>
    <x v="52"/>
    <x v="7"/>
  </r>
  <r>
    <x v="1223"/>
    <x v="146"/>
    <x v="25"/>
    <x v="1881"/>
    <x v="730"/>
    <x v="40"/>
    <x v="1725"/>
    <x v="1419"/>
    <x v="1168"/>
    <x v="915"/>
    <x v="179"/>
    <x v="52"/>
    <x v="8"/>
  </r>
  <r>
    <x v="1224"/>
    <x v="146"/>
    <x v="28"/>
    <x v="1881"/>
    <x v="730"/>
    <x v="37"/>
    <x v="825"/>
    <x v="278"/>
    <x v="195"/>
    <x v="384"/>
    <x v="179"/>
    <x v="52"/>
    <x v="9"/>
  </r>
  <r>
    <x v="1225"/>
    <x v="146"/>
    <x v="30"/>
    <x v="1877"/>
    <x v="730"/>
    <x v="37"/>
    <x v="348"/>
    <x v="140"/>
    <x v="93"/>
    <x v="182"/>
    <x v="179"/>
    <x v="52"/>
    <x v="10"/>
  </r>
  <r>
    <x v="1226"/>
    <x v="147"/>
    <x v="1"/>
    <x v="2409"/>
    <x v="1255"/>
    <x v="31"/>
    <x v="1824"/>
    <x v="1759"/>
    <x v="198"/>
    <x v="608"/>
    <x v="313"/>
    <x v="294"/>
    <x v="1"/>
  </r>
  <r>
    <x v="1227"/>
    <x v="147"/>
    <x v="4"/>
    <x v="2483"/>
    <x v="1231"/>
    <x v="24"/>
    <x v="3123"/>
    <x v="3099"/>
    <x v="1302"/>
    <x v="2473"/>
    <x v="313"/>
    <x v="294"/>
    <x v="2"/>
  </r>
  <r>
    <x v="1228"/>
    <x v="147"/>
    <x v="5"/>
    <x v="2417"/>
    <x v="1231"/>
    <x v="26"/>
    <x v="564"/>
    <x v="1051"/>
    <x v="55"/>
    <x v="193"/>
    <x v="313"/>
    <x v="294"/>
    <x v="2"/>
  </r>
  <r>
    <x v="1229"/>
    <x v="147"/>
    <x v="8"/>
    <x v="2416"/>
    <x v="1229"/>
    <x v="31"/>
    <x v="3181"/>
    <x v="2784"/>
    <x v="1496"/>
    <x v="2740"/>
    <x v="313"/>
    <x v="294"/>
    <x v="3"/>
  </r>
  <r>
    <x v="1230"/>
    <x v="147"/>
    <x v="11"/>
    <x v="2418"/>
    <x v="1230"/>
    <x v="24"/>
    <x v="3293"/>
    <x v="3080"/>
    <x v="2008"/>
    <x v="3061"/>
    <x v="313"/>
    <x v="294"/>
    <x v="4"/>
  </r>
  <r>
    <x v="1231"/>
    <x v="147"/>
    <x v="13"/>
    <x v="2422"/>
    <x v="1234"/>
    <x v="22"/>
    <x v="3086"/>
    <x v="2912"/>
    <x v="977"/>
    <x v="2463"/>
    <x v="313"/>
    <x v="294"/>
    <x v="5"/>
  </r>
  <r>
    <x v="1232"/>
    <x v="147"/>
    <x v="17"/>
    <x v="2419"/>
    <x v="1233"/>
    <x v="22"/>
    <x v="2463"/>
    <x v="2651"/>
    <x v="352"/>
    <x v="1284"/>
    <x v="313"/>
    <x v="294"/>
    <x v="6"/>
  </r>
  <r>
    <x v="1233"/>
    <x v="147"/>
    <x v="22"/>
    <x v="2434"/>
    <x v="1233"/>
    <x v="33"/>
    <x v="307"/>
    <x v="602"/>
    <x v="53"/>
    <x v="115"/>
    <x v="313"/>
    <x v="294"/>
    <x v="7"/>
  </r>
  <r>
    <x v="1234"/>
    <x v="147"/>
    <x v="27"/>
    <x v="2438"/>
    <x v="1233"/>
    <x v="32"/>
    <x v="3127"/>
    <x v="3269"/>
    <x v="1668"/>
    <x v="2560"/>
    <x v="313"/>
    <x v="294"/>
    <x v="8"/>
  </r>
  <r>
    <x v="1235"/>
    <x v="147"/>
    <x v="29"/>
    <x v="2864"/>
    <x v="1737"/>
    <x v="36"/>
    <x v="3390"/>
    <x v="3415"/>
    <x v="1472"/>
    <x v="2332"/>
    <x v="313"/>
    <x v="294"/>
    <x v="9"/>
  </r>
  <r>
    <x v="1236"/>
    <x v="148"/>
    <x v="1"/>
    <x v="638"/>
    <x v="437"/>
    <x v="20"/>
    <x v="965"/>
    <x v="1512"/>
    <x v="682"/>
    <x v="1585"/>
    <x v="316"/>
    <x v="96"/>
    <x v="1"/>
  </r>
  <r>
    <x v="1237"/>
    <x v="148"/>
    <x v="4"/>
    <x v="648"/>
    <x v="437"/>
    <x v="21"/>
    <x v="1601"/>
    <x v="2010"/>
    <x v="1539"/>
    <x v="2622"/>
    <x v="316"/>
    <x v="96"/>
    <x v="2"/>
  </r>
  <r>
    <x v="1238"/>
    <x v="148"/>
    <x v="6"/>
    <x v="664"/>
    <x v="437"/>
    <x v="23"/>
    <x v="719"/>
    <x v="1338"/>
    <x v="272"/>
    <x v="1127"/>
    <x v="316"/>
    <x v="96"/>
    <x v="3"/>
  </r>
  <r>
    <x v="1239"/>
    <x v="148"/>
    <x v="9"/>
    <x v="722"/>
    <x v="441"/>
    <x v="23"/>
    <x v="950"/>
    <x v="1655"/>
    <x v="454"/>
    <x v="1424"/>
    <x v="316"/>
    <x v="96"/>
    <x v="4"/>
  </r>
  <r>
    <x v="1240"/>
    <x v="148"/>
    <x v="12"/>
    <x v="723"/>
    <x v="441"/>
    <x v="24"/>
    <x v="1452"/>
    <x v="2170"/>
    <x v="953"/>
    <x v="2296"/>
    <x v="316"/>
    <x v="96"/>
    <x v="5"/>
  </r>
  <r>
    <x v="1241"/>
    <x v="148"/>
    <x v="15"/>
    <x v="672"/>
    <x v="437"/>
    <x v="24"/>
    <x v="1500"/>
    <x v="2213"/>
    <x v="1883"/>
    <x v="2466"/>
    <x v="316"/>
    <x v="96"/>
    <x v="6"/>
  </r>
  <r>
    <x v="1242"/>
    <x v="148"/>
    <x v="20"/>
    <x v="538"/>
    <x v="441"/>
    <x v="15"/>
    <x v="1530"/>
    <x v="2710"/>
    <x v="1980"/>
    <x v="2713"/>
    <x v="316"/>
    <x v="96"/>
    <x v="7"/>
  </r>
  <r>
    <x v="1243"/>
    <x v="148"/>
    <x v="25"/>
    <x v="538"/>
    <x v="441"/>
    <x v="16"/>
    <x v="1378"/>
    <x v="2657"/>
    <x v="1941"/>
    <x v="2533"/>
    <x v="316"/>
    <x v="96"/>
    <x v="8"/>
  </r>
  <r>
    <x v="1244"/>
    <x v="148"/>
    <x v="28"/>
    <x v="539"/>
    <x v="441"/>
    <x v="16"/>
    <x v="2565"/>
    <x v="3301"/>
    <x v="3185"/>
    <x v="3445"/>
    <x v="316"/>
    <x v="96"/>
    <x v="9"/>
  </r>
  <r>
    <x v="1245"/>
    <x v="149"/>
    <x v="1"/>
    <x v="186"/>
    <x v="20"/>
    <x v="17"/>
    <x v="2612"/>
    <x v="2756"/>
    <x v="3466"/>
    <x v="3486"/>
    <x v="70"/>
    <x v="48"/>
    <x v="1"/>
  </r>
  <r>
    <x v="1246"/>
    <x v="149"/>
    <x v="4"/>
    <x v="219"/>
    <x v="20"/>
    <x v="17"/>
    <x v="2885"/>
    <x v="3305"/>
    <x v="3479"/>
    <x v="3499"/>
    <x v="70"/>
    <x v="48"/>
    <x v="2"/>
  </r>
  <r>
    <x v="1247"/>
    <x v="149"/>
    <x v="6"/>
    <x v="228"/>
    <x v="20"/>
    <x v="17"/>
    <x v="1431"/>
    <x v="2974"/>
    <x v="2554"/>
    <x v="3020"/>
    <x v="70"/>
    <x v="48"/>
    <x v="3"/>
  </r>
  <r>
    <x v="1248"/>
    <x v="149"/>
    <x v="9"/>
    <x v="240"/>
    <x v="20"/>
    <x v="17"/>
    <x v="804"/>
    <x v="2387"/>
    <x v="1369"/>
    <x v="2057"/>
    <x v="70"/>
    <x v="48"/>
    <x v="4"/>
  </r>
  <r>
    <x v="1249"/>
    <x v="149"/>
    <x v="15"/>
    <x v="247"/>
    <x v="20"/>
    <x v="23"/>
    <x v="50"/>
    <x v="59"/>
    <x v="30"/>
    <x v="61"/>
    <x v="70"/>
    <x v="48"/>
    <x v="6"/>
  </r>
  <r>
    <x v="1250"/>
    <x v="149"/>
    <x v="20"/>
    <x v="259"/>
    <x v="20"/>
    <x v="25"/>
    <x v="1402"/>
    <x v="1532"/>
    <x v="2009"/>
    <x v="2943"/>
    <x v="70"/>
    <x v="48"/>
    <x v="7"/>
  </r>
  <r>
    <x v="1251"/>
    <x v="149"/>
    <x v="25"/>
    <x v="270"/>
    <x v="20"/>
    <x v="25"/>
    <x v="93"/>
    <x v="131"/>
    <x v="45"/>
    <x v="167"/>
    <x v="70"/>
    <x v="48"/>
    <x v="8"/>
  </r>
  <r>
    <x v="1252"/>
    <x v="150"/>
    <x v="4"/>
    <x v="1517"/>
    <x v="822"/>
    <x v="18"/>
    <x v="2162"/>
    <x v="3482"/>
    <x v="3067"/>
    <x v="2151"/>
    <x v="199"/>
    <x v="77"/>
    <x v="2"/>
  </r>
  <r>
    <x v="1253"/>
    <x v="150"/>
    <x v="6"/>
    <x v="1521"/>
    <x v="824"/>
    <x v="18"/>
    <x v="346"/>
    <x v="3482"/>
    <x v="942"/>
    <x v="237"/>
    <x v="199"/>
    <x v="77"/>
    <x v="3"/>
  </r>
  <r>
    <x v="1254"/>
    <x v="150"/>
    <x v="9"/>
    <x v="1547"/>
    <x v="824"/>
    <x v="21"/>
    <x v="154"/>
    <x v="3482"/>
    <x v="788"/>
    <x v="110"/>
    <x v="199"/>
    <x v="77"/>
    <x v="4"/>
  </r>
  <r>
    <x v="1255"/>
    <x v="150"/>
    <x v="12"/>
    <x v="1492"/>
    <x v="824"/>
    <x v="26"/>
    <x v="1951"/>
    <x v="2918"/>
    <x v="1502"/>
    <x v="1802"/>
    <x v="199"/>
    <x v="77"/>
    <x v="5"/>
  </r>
  <r>
    <x v="1256"/>
    <x v="150"/>
    <x v="15"/>
    <x v="1578"/>
    <x v="824"/>
    <x v="26"/>
    <x v="539"/>
    <x v="168"/>
    <x v="1014"/>
    <x v="339"/>
    <x v="199"/>
    <x v="77"/>
    <x v="6"/>
  </r>
  <r>
    <x v="1257"/>
    <x v="150"/>
    <x v="20"/>
    <x v="1626"/>
    <x v="824"/>
    <x v="15"/>
    <x v="1667"/>
    <x v="461"/>
    <x v="1083"/>
    <x v="1190"/>
    <x v="199"/>
    <x v="77"/>
    <x v="7"/>
  </r>
  <r>
    <x v="1258"/>
    <x v="150"/>
    <x v="25"/>
    <x v="1634"/>
    <x v="824"/>
    <x v="15"/>
    <x v="2540"/>
    <x v="945"/>
    <x v="2482"/>
    <x v="2610"/>
    <x v="199"/>
    <x v="77"/>
    <x v="8"/>
  </r>
  <r>
    <x v="1259"/>
    <x v="150"/>
    <x v="28"/>
    <x v="1625"/>
    <x v="825"/>
    <x v="18"/>
    <x v="2942"/>
    <x v="1174"/>
    <x v="2957"/>
    <x v="3102"/>
    <x v="199"/>
    <x v="77"/>
    <x v="9"/>
  </r>
  <r>
    <x v="1260"/>
    <x v="151"/>
    <x v="1"/>
    <x v="2811"/>
    <x v="1724"/>
    <x v="18"/>
    <x v="3109"/>
    <x v="2275"/>
    <x v="2185"/>
    <x v="1406"/>
    <x v="203"/>
    <x v="108"/>
    <x v="1"/>
  </r>
  <r>
    <x v="1261"/>
    <x v="151"/>
    <x v="4"/>
    <x v="2821"/>
    <x v="1705"/>
    <x v="21"/>
    <x v="3285"/>
    <x v="2936"/>
    <x v="2627"/>
    <x v="2025"/>
    <x v="203"/>
    <x v="108"/>
    <x v="2"/>
  </r>
  <r>
    <x v="1262"/>
    <x v="151"/>
    <x v="6"/>
    <x v="2822"/>
    <x v="1706"/>
    <x v="21"/>
    <x v="3242"/>
    <x v="2895"/>
    <x v="2466"/>
    <x v="1851"/>
    <x v="203"/>
    <x v="108"/>
    <x v="3"/>
  </r>
  <r>
    <x v="1263"/>
    <x v="151"/>
    <x v="9"/>
    <x v="2823"/>
    <x v="1707"/>
    <x v="28"/>
    <x v="3273"/>
    <x v="2971"/>
    <x v="2552"/>
    <x v="1990"/>
    <x v="203"/>
    <x v="108"/>
    <x v="4"/>
  </r>
  <r>
    <x v="1264"/>
    <x v="151"/>
    <x v="12"/>
    <x v="2824"/>
    <x v="1708"/>
    <x v="28"/>
    <x v="3211"/>
    <x v="2978"/>
    <x v="2381"/>
    <x v="1698"/>
    <x v="203"/>
    <x v="108"/>
    <x v="5"/>
  </r>
  <r>
    <x v="1265"/>
    <x v="151"/>
    <x v="15"/>
    <x v="2825"/>
    <x v="1711"/>
    <x v="29"/>
    <x v="2943"/>
    <x v="2893"/>
    <x v="2005"/>
    <x v="973"/>
    <x v="203"/>
    <x v="108"/>
    <x v="6"/>
  </r>
  <r>
    <x v="1266"/>
    <x v="151"/>
    <x v="20"/>
    <x v="2828"/>
    <x v="1710"/>
    <x v="26"/>
    <x v="3134"/>
    <x v="3091"/>
    <x v="2450"/>
    <x v="1413"/>
    <x v="203"/>
    <x v="108"/>
    <x v="7"/>
  </r>
  <r>
    <x v="1267"/>
    <x v="151"/>
    <x v="25"/>
    <x v="2826"/>
    <x v="1726"/>
    <x v="26"/>
    <x v="3169"/>
    <x v="3236"/>
    <x v="2543"/>
    <x v="1545"/>
    <x v="203"/>
    <x v="108"/>
    <x v="8"/>
  </r>
  <r>
    <x v="1268"/>
    <x v="151"/>
    <x v="28"/>
    <x v="2827"/>
    <x v="1712"/>
    <x v="40"/>
    <x v="2996"/>
    <x v="2878"/>
    <x v="2156"/>
    <x v="1063"/>
    <x v="203"/>
    <x v="108"/>
    <x v="9"/>
  </r>
  <r>
    <x v="1269"/>
    <x v="152"/>
    <x v="1"/>
    <x v="1908"/>
    <x v="1127"/>
    <x v="33"/>
    <x v="2207"/>
    <x v="2592"/>
    <x v="2208"/>
    <x v="1555"/>
    <x v="232"/>
    <x v="226"/>
    <x v="1"/>
  </r>
  <r>
    <x v="1270"/>
    <x v="152"/>
    <x v="4"/>
    <x v="1909"/>
    <x v="1143"/>
    <x v="34"/>
    <x v="55"/>
    <x v="63"/>
    <x v="212"/>
    <x v="43"/>
    <x v="232"/>
    <x v="226"/>
    <x v="2"/>
  </r>
  <r>
    <x v="1271"/>
    <x v="152"/>
    <x v="6"/>
    <x v="1906"/>
    <x v="1124"/>
    <x v="39"/>
    <x v="521"/>
    <x v="1131"/>
    <x v="100"/>
    <x v="244"/>
    <x v="232"/>
    <x v="226"/>
    <x v="3"/>
  </r>
  <r>
    <x v="1272"/>
    <x v="152"/>
    <x v="9"/>
    <x v="1905"/>
    <x v="1144"/>
    <x v="40"/>
    <x v="1406"/>
    <x v="1939"/>
    <x v="506"/>
    <x v="641"/>
    <x v="232"/>
    <x v="226"/>
    <x v="4"/>
  </r>
  <r>
    <x v="1273"/>
    <x v="152"/>
    <x v="15"/>
    <x v="1912"/>
    <x v="1145"/>
    <x v="27"/>
    <x v="16"/>
    <x v="15"/>
    <x v="2965"/>
    <x v="27"/>
    <x v="232"/>
    <x v="226"/>
    <x v="6"/>
  </r>
  <r>
    <x v="1274"/>
    <x v="152"/>
    <x v="20"/>
    <x v="1915"/>
    <x v="1145"/>
    <x v="18"/>
    <x v="975"/>
    <x v="1738"/>
    <x v="486"/>
    <x v="432"/>
    <x v="232"/>
    <x v="226"/>
    <x v="7"/>
  </r>
  <r>
    <x v="1275"/>
    <x v="152"/>
    <x v="25"/>
    <x v="1921"/>
    <x v="1167"/>
    <x v="24"/>
    <x v="1476"/>
    <x v="2240"/>
    <x v="937"/>
    <x v="675"/>
    <x v="232"/>
    <x v="226"/>
    <x v="8"/>
  </r>
  <r>
    <x v="1276"/>
    <x v="152"/>
    <x v="28"/>
    <x v="1927"/>
    <x v="1169"/>
    <x v="25"/>
    <x v="1650"/>
    <x v="2397"/>
    <x v="1060"/>
    <x v="791"/>
    <x v="232"/>
    <x v="226"/>
    <x v="9"/>
  </r>
  <r>
    <x v="1277"/>
    <x v="153"/>
    <x v="12"/>
    <x v="182"/>
    <x v="18"/>
    <x v="31"/>
    <x v="828"/>
    <x v="199"/>
    <x v="1922"/>
    <x v="2167"/>
    <x v="147"/>
    <x v="153"/>
    <x v="5"/>
  </r>
  <r>
    <x v="1278"/>
    <x v="154"/>
    <x v="1"/>
    <x v="395"/>
    <x v="153"/>
    <x v="41"/>
    <x v="1015"/>
    <x v="314"/>
    <x v="2328"/>
    <x v="2205"/>
    <x v="360"/>
    <x v="343"/>
    <x v="1"/>
  </r>
  <r>
    <x v="1279"/>
    <x v="154"/>
    <x v="4"/>
    <x v="395"/>
    <x v="153"/>
    <x v="31"/>
    <x v="929"/>
    <x v="313"/>
    <x v="2171"/>
    <x v="1979"/>
    <x v="360"/>
    <x v="343"/>
    <x v="2"/>
  </r>
  <r>
    <x v="1280"/>
    <x v="154"/>
    <x v="6"/>
    <x v="395"/>
    <x v="153"/>
    <x v="38"/>
    <x v="1426"/>
    <x v="567"/>
    <x v="2462"/>
    <x v="2801"/>
    <x v="360"/>
    <x v="343"/>
    <x v="3"/>
  </r>
  <r>
    <x v="1281"/>
    <x v="154"/>
    <x v="9"/>
    <x v="395"/>
    <x v="153"/>
    <x v="22"/>
    <x v="1409"/>
    <x v="515"/>
    <x v="2524"/>
    <x v="2772"/>
    <x v="360"/>
    <x v="343"/>
    <x v="4"/>
  </r>
  <r>
    <x v="1282"/>
    <x v="154"/>
    <x v="12"/>
    <x v="395"/>
    <x v="153"/>
    <x v="31"/>
    <x v="1620"/>
    <x v="615"/>
    <x v="2707"/>
    <x v="2986"/>
    <x v="360"/>
    <x v="343"/>
    <x v="5"/>
  </r>
  <r>
    <x v="1283"/>
    <x v="154"/>
    <x v="15"/>
    <x v="571"/>
    <x v="153"/>
    <x v="32"/>
    <x v="1801"/>
    <x v="701"/>
    <x v="3003"/>
    <x v="2962"/>
    <x v="360"/>
    <x v="343"/>
    <x v="6"/>
  </r>
  <r>
    <x v="1284"/>
    <x v="154"/>
    <x v="20"/>
    <x v="571"/>
    <x v="153"/>
    <x v="32"/>
    <x v="1579"/>
    <x v="2564"/>
    <x v="2836"/>
    <x v="2717"/>
    <x v="360"/>
    <x v="343"/>
    <x v="7"/>
  </r>
  <r>
    <x v="1285"/>
    <x v="154"/>
    <x v="25"/>
    <x v="463"/>
    <x v="153"/>
    <x v="27"/>
    <x v="1907"/>
    <x v="934"/>
    <x v="3116"/>
    <x v="3160"/>
    <x v="360"/>
    <x v="343"/>
    <x v="8"/>
  </r>
  <r>
    <x v="1286"/>
    <x v="154"/>
    <x v="28"/>
    <x v="464"/>
    <x v="153"/>
    <x v="22"/>
    <x v="1287"/>
    <x v="850"/>
    <x v="2609"/>
    <x v="2527"/>
    <x v="360"/>
    <x v="343"/>
    <x v="9"/>
  </r>
  <r>
    <x v="1287"/>
    <x v="155"/>
    <x v="3"/>
    <x v="818"/>
    <x v="365"/>
    <x v="12"/>
    <x v="3288"/>
    <x v="2079"/>
    <x v="3468"/>
    <x v="3501"/>
    <x v="15"/>
    <x v="15"/>
    <x v="1"/>
  </r>
  <r>
    <x v="1288"/>
    <x v="155"/>
    <x v="8"/>
    <x v="858"/>
    <x v="365"/>
    <x v="13"/>
    <x v="3399"/>
    <x v="2407"/>
    <x v="3493"/>
    <x v="3513"/>
    <x v="15"/>
    <x v="15"/>
    <x v="3"/>
  </r>
  <r>
    <x v="1289"/>
    <x v="155"/>
    <x v="11"/>
    <x v="871"/>
    <x v="365"/>
    <x v="14"/>
    <x v="3098"/>
    <x v="1763"/>
    <x v="3195"/>
    <x v="3473"/>
    <x v="15"/>
    <x v="15"/>
    <x v="4"/>
  </r>
  <r>
    <x v="1290"/>
    <x v="155"/>
    <x v="13"/>
    <x v="891"/>
    <x v="365"/>
    <x v="14"/>
    <x v="2722"/>
    <x v="1343"/>
    <x v="2668"/>
    <x v="3375"/>
    <x v="15"/>
    <x v="15"/>
    <x v="5"/>
  </r>
  <r>
    <x v="1291"/>
    <x v="155"/>
    <x v="17"/>
    <x v="891"/>
    <x v="365"/>
    <x v="19"/>
    <x v="3380"/>
    <x v="2528"/>
    <x v="3484"/>
    <x v="3509"/>
    <x v="15"/>
    <x v="15"/>
    <x v="6"/>
  </r>
  <r>
    <x v="1292"/>
    <x v="155"/>
    <x v="22"/>
    <x v="892"/>
    <x v="365"/>
    <x v="19"/>
    <x v="3200"/>
    <x v="2318"/>
    <x v="3421"/>
    <x v="3491"/>
    <x v="15"/>
    <x v="15"/>
    <x v="7"/>
  </r>
  <r>
    <x v="1293"/>
    <x v="155"/>
    <x v="27"/>
    <x v="892"/>
    <x v="365"/>
    <x v="20"/>
    <x v="3224"/>
    <x v="2342"/>
    <x v="3434"/>
    <x v="3496"/>
    <x v="15"/>
    <x v="15"/>
    <x v="8"/>
  </r>
  <r>
    <x v="1294"/>
    <x v="155"/>
    <x v="29"/>
    <x v="892"/>
    <x v="365"/>
    <x v="19"/>
    <x v="3091"/>
    <x v="2310"/>
    <x v="3307"/>
    <x v="3471"/>
    <x v="15"/>
    <x v="15"/>
    <x v="9"/>
  </r>
  <r>
    <x v="1295"/>
    <x v="156"/>
    <x v="1"/>
    <x v="19"/>
    <x v="18"/>
    <x v="21"/>
    <x v="1057"/>
    <x v="3482"/>
    <x v="558"/>
    <x v="2903"/>
    <x v="188"/>
    <x v="192"/>
    <x v="1"/>
  </r>
  <r>
    <x v="1296"/>
    <x v="156"/>
    <x v="4"/>
    <x v="13"/>
    <x v="18"/>
    <x v="21"/>
    <x v="2310"/>
    <x v="3482"/>
    <x v="2225"/>
    <x v="3481"/>
    <x v="188"/>
    <x v="192"/>
    <x v="2"/>
  </r>
  <r>
    <x v="1297"/>
    <x v="156"/>
    <x v="6"/>
    <x v="137"/>
    <x v="18"/>
    <x v="26"/>
    <x v="135"/>
    <x v="62"/>
    <x v="237"/>
    <x v="261"/>
    <x v="188"/>
    <x v="192"/>
    <x v="3"/>
  </r>
  <r>
    <x v="1298"/>
    <x v="156"/>
    <x v="9"/>
    <x v="134"/>
    <x v="18"/>
    <x v="26"/>
    <x v="1532"/>
    <x v="715"/>
    <x v="1248"/>
    <x v="3156"/>
    <x v="188"/>
    <x v="192"/>
    <x v="4"/>
  </r>
  <r>
    <x v="1299"/>
    <x v="156"/>
    <x v="12"/>
    <x v="98"/>
    <x v="18"/>
    <x v="32"/>
    <x v="1239"/>
    <x v="506"/>
    <x v="792"/>
    <x v="2947"/>
    <x v="188"/>
    <x v="192"/>
    <x v="5"/>
  </r>
  <r>
    <x v="1300"/>
    <x v="156"/>
    <x v="15"/>
    <x v="109"/>
    <x v="18"/>
    <x v="32"/>
    <x v="429"/>
    <x v="176"/>
    <x v="680"/>
    <x v="1220"/>
    <x v="188"/>
    <x v="192"/>
    <x v="6"/>
  </r>
  <r>
    <x v="1301"/>
    <x v="156"/>
    <x v="20"/>
    <x v="110"/>
    <x v="18"/>
    <x v="36"/>
    <x v="44"/>
    <x v="41"/>
    <x v="82"/>
    <x v="48"/>
    <x v="188"/>
    <x v="192"/>
    <x v="7"/>
  </r>
  <r>
    <x v="1302"/>
    <x v="156"/>
    <x v="25"/>
    <x v="112"/>
    <x v="18"/>
    <x v="36"/>
    <x v="128"/>
    <x v="68"/>
    <x v="108"/>
    <x v="255"/>
    <x v="188"/>
    <x v="192"/>
    <x v="8"/>
  </r>
  <r>
    <x v="1303"/>
    <x v="156"/>
    <x v="28"/>
    <x v="114"/>
    <x v="18"/>
    <x v="26"/>
    <x v="3079"/>
    <x v="1887"/>
    <x v="3229"/>
    <x v="3510"/>
    <x v="188"/>
    <x v="192"/>
    <x v="9"/>
  </r>
  <r>
    <x v="1304"/>
    <x v="157"/>
    <x v="4"/>
    <x v="1342"/>
    <x v="676"/>
    <x v="20"/>
    <x v="2921"/>
    <x v="1279"/>
    <x v="3073"/>
    <x v="3266"/>
    <x v="197"/>
    <x v="197"/>
    <x v="2"/>
  </r>
  <r>
    <x v="1305"/>
    <x v="157"/>
    <x v="6"/>
    <x v="1366"/>
    <x v="730"/>
    <x v="20"/>
    <x v="3067"/>
    <x v="1493"/>
    <x v="3224"/>
    <x v="3369"/>
    <x v="197"/>
    <x v="197"/>
    <x v="3"/>
  </r>
  <r>
    <x v="1306"/>
    <x v="157"/>
    <x v="9"/>
    <x v="1377"/>
    <x v="730"/>
    <x v="20"/>
    <x v="3147"/>
    <x v="1595"/>
    <x v="3344"/>
    <x v="3421"/>
    <x v="197"/>
    <x v="197"/>
    <x v="4"/>
  </r>
  <r>
    <x v="1307"/>
    <x v="157"/>
    <x v="12"/>
    <x v="1403"/>
    <x v="730"/>
    <x v="16"/>
    <x v="3050"/>
    <x v="1461"/>
    <x v="3202"/>
    <x v="3342"/>
    <x v="197"/>
    <x v="197"/>
    <x v="5"/>
  </r>
  <r>
    <x v="1308"/>
    <x v="157"/>
    <x v="15"/>
    <x v="1418"/>
    <x v="730"/>
    <x v="22"/>
    <x v="2954"/>
    <x v="1455"/>
    <x v="3090"/>
    <x v="3228"/>
    <x v="197"/>
    <x v="197"/>
    <x v="6"/>
  </r>
  <r>
    <x v="1309"/>
    <x v="157"/>
    <x v="20"/>
    <x v="1430"/>
    <x v="730"/>
    <x v="24"/>
    <x v="3191"/>
    <x v="2181"/>
    <x v="3330"/>
    <x v="3433"/>
    <x v="197"/>
    <x v="197"/>
    <x v="7"/>
  </r>
  <r>
    <x v="1310"/>
    <x v="157"/>
    <x v="25"/>
    <x v="1438"/>
    <x v="730"/>
    <x v="28"/>
    <x v="3173"/>
    <x v="1906"/>
    <x v="3339"/>
    <x v="3412"/>
    <x v="197"/>
    <x v="197"/>
    <x v="8"/>
  </r>
  <r>
    <x v="1311"/>
    <x v="157"/>
    <x v="28"/>
    <x v="1472"/>
    <x v="730"/>
    <x v="28"/>
    <x v="3244"/>
    <x v="2135"/>
    <x v="3401"/>
    <x v="3451"/>
    <x v="197"/>
    <x v="197"/>
    <x v="9"/>
  </r>
  <r>
    <x v="1312"/>
    <x v="157"/>
    <x v="30"/>
    <x v="1488"/>
    <x v="730"/>
    <x v="31"/>
    <x v="2600"/>
    <x v="1531"/>
    <x v="2880"/>
    <x v="2844"/>
    <x v="197"/>
    <x v="197"/>
    <x v="10"/>
  </r>
  <r>
    <x v="1313"/>
    <x v="158"/>
    <x v="1"/>
    <x v="1972"/>
    <x v="1052"/>
    <x v="33"/>
    <x v="3015"/>
    <x v="1395"/>
    <x v="1843"/>
    <x v="2828"/>
    <x v="208"/>
    <x v="206"/>
    <x v="1"/>
  </r>
  <r>
    <x v="1314"/>
    <x v="158"/>
    <x v="4"/>
    <x v="1930"/>
    <x v="1052"/>
    <x v="36"/>
    <x v="3132"/>
    <x v="1515"/>
    <x v="2243"/>
    <x v="3097"/>
    <x v="208"/>
    <x v="206"/>
    <x v="2"/>
  </r>
  <r>
    <x v="1315"/>
    <x v="158"/>
    <x v="6"/>
    <x v="1949"/>
    <x v="1052"/>
    <x v="38"/>
    <x v="2141"/>
    <x v="780"/>
    <x v="496"/>
    <x v="1400"/>
    <x v="208"/>
    <x v="206"/>
    <x v="3"/>
  </r>
  <r>
    <x v="1316"/>
    <x v="158"/>
    <x v="9"/>
    <x v="1970"/>
    <x v="1052"/>
    <x v="37"/>
    <x v="2919"/>
    <x v="1352"/>
    <x v="1530"/>
    <x v="2667"/>
    <x v="208"/>
    <x v="206"/>
    <x v="4"/>
  </r>
  <r>
    <x v="1317"/>
    <x v="158"/>
    <x v="12"/>
    <x v="2026"/>
    <x v="1083"/>
    <x v="34"/>
    <x v="2988"/>
    <x v="1297"/>
    <x v="1513"/>
    <x v="2727"/>
    <x v="208"/>
    <x v="206"/>
    <x v="5"/>
  </r>
  <r>
    <x v="1318"/>
    <x v="158"/>
    <x v="15"/>
    <x v="2055"/>
    <x v="1083"/>
    <x v="35"/>
    <x v="2817"/>
    <x v="1385"/>
    <x v="1198"/>
    <x v="2407"/>
    <x v="208"/>
    <x v="206"/>
    <x v="6"/>
  </r>
  <r>
    <x v="1319"/>
    <x v="158"/>
    <x v="20"/>
    <x v="2117"/>
    <x v="1200"/>
    <x v="39"/>
    <x v="2992"/>
    <x v="1653"/>
    <x v="1216"/>
    <x v="2644"/>
    <x v="208"/>
    <x v="206"/>
    <x v="7"/>
  </r>
  <r>
    <x v="1320"/>
    <x v="158"/>
    <x v="25"/>
    <x v="2147"/>
    <x v="1200"/>
    <x v="39"/>
    <x v="2365"/>
    <x v="1179"/>
    <x v="424"/>
    <x v="1518"/>
    <x v="208"/>
    <x v="206"/>
    <x v="8"/>
  </r>
  <r>
    <x v="1321"/>
    <x v="158"/>
    <x v="28"/>
    <x v="2147"/>
    <x v="1200"/>
    <x v="35"/>
    <x v="3131"/>
    <x v="1877"/>
    <x v="1939"/>
    <x v="2907"/>
    <x v="208"/>
    <x v="206"/>
    <x v="9"/>
  </r>
  <r>
    <x v="1322"/>
    <x v="159"/>
    <x v="1"/>
    <x v="145"/>
    <x v="199"/>
    <x v="24"/>
    <x v="448"/>
    <x v="224"/>
    <x v="1029"/>
    <x v="1221"/>
    <x v="200"/>
    <x v="201"/>
    <x v="1"/>
  </r>
  <r>
    <x v="1323"/>
    <x v="159"/>
    <x v="6"/>
    <x v="139"/>
    <x v="199"/>
    <x v="39"/>
    <x v="1264"/>
    <x v="390"/>
    <x v="2723"/>
    <x v="2919"/>
    <x v="200"/>
    <x v="201"/>
    <x v="3"/>
  </r>
  <r>
    <x v="1324"/>
    <x v="159"/>
    <x v="9"/>
    <x v="155"/>
    <x v="199"/>
    <x v="39"/>
    <x v="741"/>
    <x v="226"/>
    <x v="1640"/>
    <x v="2036"/>
    <x v="200"/>
    <x v="201"/>
    <x v="4"/>
  </r>
  <r>
    <x v="1325"/>
    <x v="159"/>
    <x v="12"/>
    <x v="139"/>
    <x v="199"/>
    <x v="33"/>
    <x v="788"/>
    <x v="389"/>
    <x v="1879"/>
    <x v="2169"/>
    <x v="200"/>
    <x v="201"/>
    <x v="5"/>
  </r>
  <r>
    <x v="1326"/>
    <x v="159"/>
    <x v="15"/>
    <x v="139"/>
    <x v="199"/>
    <x v="30"/>
    <x v="616"/>
    <x v="553"/>
    <x v="1528"/>
    <x v="1737"/>
    <x v="200"/>
    <x v="201"/>
    <x v="6"/>
  </r>
  <r>
    <x v="1327"/>
    <x v="159"/>
    <x v="20"/>
    <x v="139"/>
    <x v="212"/>
    <x v="42"/>
    <x v="540"/>
    <x v="519"/>
    <x v="1567"/>
    <x v="1513"/>
    <x v="200"/>
    <x v="201"/>
    <x v="7"/>
  </r>
  <r>
    <x v="1328"/>
    <x v="159"/>
    <x v="25"/>
    <x v="151"/>
    <x v="212"/>
    <x v="32"/>
    <x v="262"/>
    <x v="193"/>
    <x v="657"/>
    <x v="595"/>
    <x v="200"/>
    <x v="201"/>
    <x v="8"/>
  </r>
  <r>
    <x v="1329"/>
    <x v="159"/>
    <x v="28"/>
    <x v="157"/>
    <x v="205"/>
    <x v="33"/>
    <x v="357"/>
    <x v="229"/>
    <x v="837"/>
    <x v="877"/>
    <x v="200"/>
    <x v="201"/>
    <x v="9"/>
  </r>
  <r>
    <x v="1330"/>
    <x v="160"/>
    <x v="1"/>
    <x v="986"/>
    <x v="297"/>
    <x v="40"/>
    <x v="833"/>
    <x v="572"/>
    <x v="555"/>
    <x v="898"/>
    <x v="2"/>
    <x v="281"/>
    <x v="1"/>
  </r>
  <r>
    <x v="1331"/>
    <x v="160"/>
    <x v="4"/>
    <x v="982"/>
    <x v="307"/>
    <x v="47"/>
    <x v="850"/>
    <x v="571"/>
    <x v="522"/>
    <x v="922"/>
    <x v="2"/>
    <x v="281"/>
    <x v="2"/>
  </r>
  <r>
    <x v="1332"/>
    <x v="160"/>
    <x v="6"/>
    <x v="994"/>
    <x v="311"/>
    <x v="47"/>
    <x v="1039"/>
    <x v="712"/>
    <x v="873"/>
    <x v="1233"/>
    <x v="2"/>
    <x v="281"/>
    <x v="3"/>
  </r>
  <r>
    <x v="1333"/>
    <x v="160"/>
    <x v="9"/>
    <x v="998"/>
    <x v="314"/>
    <x v="45"/>
    <x v="903"/>
    <x v="632"/>
    <x v="776"/>
    <x v="979"/>
    <x v="2"/>
    <x v="281"/>
    <x v="4"/>
  </r>
  <r>
    <x v="1334"/>
    <x v="160"/>
    <x v="12"/>
    <x v="1013"/>
    <x v="319"/>
    <x v="47"/>
    <x v="996"/>
    <x v="722"/>
    <x v="798"/>
    <x v="1103"/>
    <x v="2"/>
    <x v="281"/>
    <x v="5"/>
  </r>
  <r>
    <x v="1335"/>
    <x v="161"/>
    <x v="1"/>
    <x v="2553"/>
    <x v="1506"/>
    <x v="23"/>
    <x v="2186"/>
    <x v="1908"/>
    <x v="1387"/>
    <x v="700"/>
    <x v="35"/>
    <x v="214"/>
    <x v="1"/>
  </r>
  <r>
    <x v="1336"/>
    <x v="161"/>
    <x v="4"/>
    <x v="2552"/>
    <x v="1513"/>
    <x v="32"/>
    <x v="836"/>
    <x v="989"/>
    <x v="302"/>
    <x v="223"/>
    <x v="35"/>
    <x v="214"/>
    <x v="2"/>
  </r>
  <r>
    <x v="1337"/>
    <x v="161"/>
    <x v="6"/>
    <x v="2548"/>
    <x v="1514"/>
    <x v="32"/>
    <x v="1284"/>
    <x v="1275"/>
    <x v="705"/>
    <x v="318"/>
    <x v="35"/>
    <x v="214"/>
    <x v="3"/>
  </r>
  <r>
    <x v="1338"/>
    <x v="161"/>
    <x v="9"/>
    <x v="2527"/>
    <x v="1520"/>
    <x v="40"/>
    <x v="1616"/>
    <x v="1588"/>
    <x v="862"/>
    <x v="435"/>
    <x v="35"/>
    <x v="214"/>
    <x v="4"/>
  </r>
  <r>
    <x v="1339"/>
    <x v="161"/>
    <x v="12"/>
    <x v="2528"/>
    <x v="1520"/>
    <x v="48"/>
    <x v="1958"/>
    <x v="1975"/>
    <x v="1278"/>
    <x v="571"/>
    <x v="35"/>
    <x v="214"/>
    <x v="5"/>
  </r>
  <r>
    <x v="1340"/>
    <x v="161"/>
    <x v="15"/>
    <x v="2545"/>
    <x v="1536"/>
    <x v="33"/>
    <x v="1872"/>
    <x v="2622"/>
    <x v="1477"/>
    <x v="525"/>
    <x v="35"/>
    <x v="214"/>
    <x v="6"/>
  </r>
  <r>
    <x v="1341"/>
    <x v="161"/>
    <x v="20"/>
    <x v="2546"/>
    <x v="1535"/>
    <x v="30"/>
    <x v="2414"/>
    <x v="3167"/>
    <x v="2230"/>
    <x v="933"/>
    <x v="35"/>
    <x v="214"/>
    <x v="7"/>
  </r>
  <r>
    <x v="1342"/>
    <x v="161"/>
    <x v="25"/>
    <x v="2544"/>
    <x v="1538"/>
    <x v="35"/>
    <x v="2926"/>
    <x v="3371"/>
    <x v="2842"/>
    <x v="1723"/>
    <x v="35"/>
    <x v="214"/>
    <x v="8"/>
  </r>
  <r>
    <x v="1343"/>
    <x v="161"/>
    <x v="28"/>
    <x v="2558"/>
    <x v="1539"/>
    <x v="42"/>
    <x v="2305"/>
    <x v="3164"/>
    <x v="1825"/>
    <x v="784"/>
    <x v="35"/>
    <x v="214"/>
    <x v="9"/>
  </r>
  <r>
    <x v="1344"/>
    <x v="162"/>
    <x v="1"/>
    <x v="115"/>
    <x v="16"/>
    <x v="20"/>
    <x v="362"/>
    <x v="231"/>
    <x v="2638"/>
    <x v="953"/>
    <x v="147"/>
    <x v="153"/>
    <x v="1"/>
  </r>
  <r>
    <x v="1345"/>
    <x v="162"/>
    <x v="4"/>
    <x v="153"/>
    <x v="16"/>
    <x v="28"/>
    <x v="553"/>
    <x v="213"/>
    <x v="1601"/>
    <x v="1517"/>
    <x v="147"/>
    <x v="153"/>
    <x v="2"/>
  </r>
  <r>
    <x v="1346"/>
    <x v="162"/>
    <x v="6"/>
    <x v="162"/>
    <x v="18"/>
    <x v="29"/>
    <x v="1744"/>
    <x v="533"/>
    <x v="3270"/>
    <x v="3259"/>
    <x v="147"/>
    <x v="153"/>
    <x v="3"/>
  </r>
  <r>
    <x v="1347"/>
    <x v="162"/>
    <x v="9"/>
    <x v="170"/>
    <x v="18"/>
    <x v="31"/>
    <x v="374"/>
    <x v="115"/>
    <x v="686"/>
    <x v="918"/>
    <x v="147"/>
    <x v="153"/>
    <x v="4"/>
  </r>
  <r>
    <x v="1348"/>
    <x v="162"/>
    <x v="30"/>
    <x v="234"/>
    <x v="20"/>
    <x v="17"/>
    <x v="46"/>
    <x v="43"/>
    <x v="88"/>
    <x v="54"/>
    <x v="147"/>
    <x v="153"/>
    <x v="10"/>
  </r>
  <r>
    <x v="1349"/>
    <x v="163"/>
    <x v="28"/>
    <x v="5"/>
    <x v="25"/>
    <x v="23"/>
    <x v="280"/>
    <x v="113"/>
    <x v="909"/>
    <x v="831"/>
    <x v="46"/>
    <x v="174"/>
    <x v="9"/>
  </r>
  <r>
    <x v="1350"/>
    <x v="164"/>
    <x v="1"/>
    <x v="2132"/>
    <x v="1013"/>
    <x v="26"/>
    <x v="1274"/>
    <x v="633"/>
    <x v="576"/>
    <x v="483"/>
    <x v="53"/>
    <x v="308"/>
    <x v="1"/>
  </r>
  <r>
    <x v="1351"/>
    <x v="164"/>
    <x v="4"/>
    <x v="2139"/>
    <x v="1064"/>
    <x v="28"/>
    <x v="2211"/>
    <x v="1035"/>
    <x v="1243"/>
    <x v="1283"/>
    <x v="53"/>
    <x v="308"/>
    <x v="2"/>
  </r>
  <r>
    <x v="1352"/>
    <x v="164"/>
    <x v="6"/>
    <x v="2175"/>
    <x v="1061"/>
    <x v="29"/>
    <x v="350"/>
    <x v="150"/>
    <x v="265"/>
    <x v="151"/>
    <x v="53"/>
    <x v="308"/>
    <x v="3"/>
  </r>
  <r>
    <x v="1353"/>
    <x v="164"/>
    <x v="9"/>
    <x v="2140"/>
    <x v="1061"/>
    <x v="29"/>
    <x v="1489"/>
    <x v="620"/>
    <x v="607"/>
    <x v="575"/>
    <x v="53"/>
    <x v="308"/>
    <x v="4"/>
  </r>
  <r>
    <x v="1354"/>
    <x v="164"/>
    <x v="12"/>
    <x v="2179"/>
    <x v="1063"/>
    <x v="29"/>
    <x v="1778"/>
    <x v="757"/>
    <x v="723"/>
    <x v="720"/>
    <x v="53"/>
    <x v="308"/>
    <x v="5"/>
  </r>
  <r>
    <x v="1355"/>
    <x v="164"/>
    <x v="15"/>
    <x v="2152"/>
    <x v="1063"/>
    <x v="31"/>
    <x v="1932"/>
    <x v="876"/>
    <x v="866"/>
    <x v="882"/>
    <x v="53"/>
    <x v="308"/>
    <x v="6"/>
  </r>
  <r>
    <x v="1356"/>
    <x v="164"/>
    <x v="20"/>
    <x v="2149"/>
    <x v="1065"/>
    <x v="30"/>
    <x v="2585"/>
    <x v="1372"/>
    <x v="1769"/>
    <x v="1892"/>
    <x v="53"/>
    <x v="308"/>
    <x v="7"/>
  </r>
  <r>
    <x v="1357"/>
    <x v="164"/>
    <x v="25"/>
    <x v="2146"/>
    <x v="1068"/>
    <x v="37"/>
    <x v="2462"/>
    <x v="1293"/>
    <x v="1607"/>
    <x v="1668"/>
    <x v="53"/>
    <x v="308"/>
    <x v="8"/>
  </r>
  <r>
    <x v="1358"/>
    <x v="164"/>
    <x v="28"/>
    <x v="2153"/>
    <x v="1073"/>
    <x v="34"/>
    <x v="2302"/>
    <x v="1339"/>
    <x v="1365"/>
    <x v="1397"/>
    <x v="53"/>
    <x v="308"/>
    <x v="9"/>
  </r>
  <r>
    <x v="1359"/>
    <x v="165"/>
    <x v="1"/>
    <x v="167"/>
    <x v="14"/>
    <x v="12"/>
    <x v="576"/>
    <x v="268"/>
    <x v="2498"/>
    <x v="1557"/>
    <x v="328"/>
    <x v="52"/>
    <x v="1"/>
  </r>
  <r>
    <x v="1360"/>
    <x v="165"/>
    <x v="4"/>
    <x v="221"/>
    <x v="0"/>
    <x v="20"/>
    <x v="163"/>
    <x v="88"/>
    <x v="298"/>
    <x v="316"/>
    <x v="328"/>
    <x v="52"/>
    <x v="2"/>
  </r>
  <r>
    <x v="1361"/>
    <x v="165"/>
    <x v="6"/>
    <x v="183"/>
    <x v="0"/>
    <x v="20"/>
    <x v="702"/>
    <x v="350"/>
    <x v="1744"/>
    <x v="1925"/>
    <x v="328"/>
    <x v="52"/>
    <x v="3"/>
  </r>
  <r>
    <x v="1362"/>
    <x v="165"/>
    <x v="9"/>
    <x v="229"/>
    <x v="48"/>
    <x v="26"/>
    <x v="341"/>
    <x v="209"/>
    <x v="860"/>
    <x v="782"/>
    <x v="328"/>
    <x v="52"/>
    <x v="4"/>
  </r>
  <r>
    <x v="1363"/>
    <x v="165"/>
    <x v="12"/>
    <x v="254"/>
    <x v="51"/>
    <x v="27"/>
    <x v="892"/>
    <x v="564"/>
    <x v="2107"/>
    <x v="2191"/>
    <x v="328"/>
    <x v="52"/>
    <x v="5"/>
  </r>
  <r>
    <x v="1364"/>
    <x v="165"/>
    <x v="15"/>
    <x v="263"/>
    <x v="53"/>
    <x v="31"/>
    <x v="1446"/>
    <x v="967"/>
    <x v="2984"/>
    <x v="2990"/>
    <x v="328"/>
    <x v="52"/>
    <x v="6"/>
  </r>
  <r>
    <x v="1365"/>
    <x v="165"/>
    <x v="20"/>
    <x v="283"/>
    <x v="55"/>
    <x v="36"/>
    <x v="852"/>
    <x v="640"/>
    <x v="1926"/>
    <x v="2027"/>
    <x v="328"/>
    <x v="52"/>
    <x v="7"/>
  </r>
  <r>
    <x v="1366"/>
    <x v="165"/>
    <x v="25"/>
    <x v="311"/>
    <x v="55"/>
    <x v="36"/>
    <x v="732"/>
    <x v="759"/>
    <x v="1734"/>
    <x v="1756"/>
    <x v="328"/>
    <x v="52"/>
    <x v="8"/>
  </r>
  <r>
    <x v="1367"/>
    <x v="165"/>
    <x v="28"/>
    <x v="319"/>
    <x v="55"/>
    <x v="36"/>
    <x v="582"/>
    <x v="526"/>
    <x v="1217"/>
    <x v="1338"/>
    <x v="328"/>
    <x v="52"/>
    <x v="9"/>
  </r>
  <r>
    <x v="1368"/>
    <x v="166"/>
    <x v="1"/>
    <x v="875"/>
    <x v="822"/>
    <x v="37"/>
    <x v="1285"/>
    <x v="2459"/>
    <x v="1906"/>
    <x v="1783"/>
    <x v="204"/>
    <x v="203"/>
    <x v="1"/>
  </r>
  <r>
    <x v="1369"/>
    <x v="166"/>
    <x v="4"/>
    <x v="880"/>
    <x v="822"/>
    <x v="25"/>
    <x v="1362"/>
    <x v="598"/>
    <x v="1919"/>
    <x v="1919"/>
    <x v="204"/>
    <x v="203"/>
    <x v="2"/>
  </r>
  <r>
    <x v="1370"/>
    <x v="166"/>
    <x v="6"/>
    <x v="734"/>
    <x v="822"/>
    <x v="34"/>
    <x v="1753"/>
    <x v="1054"/>
    <x v="2467"/>
    <x v="2687"/>
    <x v="204"/>
    <x v="203"/>
    <x v="3"/>
  </r>
  <r>
    <x v="1371"/>
    <x v="166"/>
    <x v="9"/>
    <x v="807"/>
    <x v="924"/>
    <x v="29"/>
    <x v="1603"/>
    <x v="991"/>
    <x v="2488"/>
    <x v="2394"/>
    <x v="204"/>
    <x v="203"/>
    <x v="4"/>
  </r>
  <r>
    <x v="1372"/>
    <x v="166"/>
    <x v="12"/>
    <x v="841"/>
    <x v="924"/>
    <x v="35"/>
    <x v="718"/>
    <x v="573"/>
    <x v="960"/>
    <x v="908"/>
    <x v="204"/>
    <x v="203"/>
    <x v="5"/>
  </r>
  <r>
    <x v="1373"/>
    <x v="166"/>
    <x v="15"/>
    <x v="801"/>
    <x v="905"/>
    <x v="36"/>
    <x v="1286"/>
    <x v="938"/>
    <x v="1912"/>
    <x v="1898"/>
    <x v="204"/>
    <x v="203"/>
    <x v="6"/>
  </r>
  <r>
    <x v="1374"/>
    <x v="166"/>
    <x v="25"/>
    <x v="913"/>
    <x v="906"/>
    <x v="46"/>
    <x v="1322"/>
    <x v="1049"/>
    <x v="2830"/>
    <x v="1800"/>
    <x v="204"/>
    <x v="203"/>
    <x v="8"/>
  </r>
  <r>
    <x v="1375"/>
    <x v="166"/>
    <x v="28"/>
    <x v="984"/>
    <x v="950"/>
    <x v="52"/>
    <x v="637"/>
    <x v="740"/>
    <x v="2307"/>
    <x v="671"/>
    <x v="204"/>
    <x v="203"/>
    <x v="9"/>
  </r>
  <r>
    <x v="1376"/>
    <x v="167"/>
    <x v="1"/>
    <x v="2184"/>
    <x v="1227"/>
    <x v="15"/>
    <x v="2564"/>
    <x v="2375"/>
    <x v="1790"/>
    <x v="1795"/>
    <x v="225"/>
    <x v="221"/>
    <x v="1"/>
  </r>
  <r>
    <x v="1377"/>
    <x v="167"/>
    <x v="4"/>
    <x v="2183"/>
    <x v="1216"/>
    <x v="17"/>
    <x v="2876"/>
    <x v="2614"/>
    <x v="2207"/>
    <x v="2360"/>
    <x v="225"/>
    <x v="221"/>
    <x v="2"/>
  </r>
  <r>
    <x v="1378"/>
    <x v="167"/>
    <x v="6"/>
    <x v="2185"/>
    <x v="1226"/>
    <x v="20"/>
    <x v="2129"/>
    <x v="1994"/>
    <x v="912"/>
    <x v="1108"/>
    <x v="225"/>
    <x v="221"/>
    <x v="3"/>
  </r>
  <r>
    <x v="1379"/>
    <x v="167"/>
    <x v="9"/>
    <x v="2195"/>
    <x v="1214"/>
    <x v="34"/>
    <x v="2762"/>
    <x v="2502"/>
    <x v="1927"/>
    <x v="2108"/>
    <x v="225"/>
    <x v="221"/>
    <x v="4"/>
  </r>
  <r>
    <x v="1380"/>
    <x v="167"/>
    <x v="12"/>
    <x v="2196"/>
    <x v="1223"/>
    <x v="40"/>
    <x v="2737"/>
    <x v="2650"/>
    <x v="1771"/>
    <x v="2064"/>
    <x v="225"/>
    <x v="221"/>
    <x v="5"/>
  </r>
  <r>
    <x v="1381"/>
    <x v="167"/>
    <x v="15"/>
    <x v="2197"/>
    <x v="1228"/>
    <x v="41"/>
    <x v="2920"/>
    <x v="2804"/>
    <x v="2222"/>
    <x v="2428"/>
    <x v="225"/>
    <x v="221"/>
    <x v="6"/>
  </r>
  <r>
    <x v="1382"/>
    <x v="167"/>
    <x v="20"/>
    <x v="2202"/>
    <x v="1224"/>
    <x v="39"/>
    <x v="2628"/>
    <x v="2836"/>
    <x v="1852"/>
    <x v="1891"/>
    <x v="225"/>
    <x v="221"/>
    <x v="7"/>
  </r>
  <r>
    <x v="1383"/>
    <x v="167"/>
    <x v="25"/>
    <x v="2244"/>
    <x v="1222"/>
    <x v="39"/>
    <x v="2839"/>
    <x v="2627"/>
    <x v="2388"/>
    <x v="2196"/>
    <x v="225"/>
    <x v="221"/>
    <x v="8"/>
  </r>
  <r>
    <x v="1384"/>
    <x v="167"/>
    <x v="28"/>
    <x v="2213"/>
    <x v="1225"/>
    <x v="39"/>
    <x v="2481"/>
    <x v="2380"/>
    <x v="2027"/>
    <x v="1612"/>
    <x v="225"/>
    <x v="221"/>
    <x v="9"/>
  </r>
  <r>
    <x v="1385"/>
    <x v="168"/>
    <x v="1"/>
    <x v="552"/>
    <x v="401"/>
    <x v="18"/>
    <x v="1657"/>
    <x v="1886"/>
    <x v="2883"/>
    <x v="2832"/>
    <x v="5"/>
    <x v="54"/>
    <x v="1"/>
  </r>
  <r>
    <x v="1386"/>
    <x v="168"/>
    <x v="4"/>
    <x v="552"/>
    <x v="419"/>
    <x v="17"/>
    <x v="1197"/>
    <x v="1636"/>
    <x v="2238"/>
    <x v="2238"/>
    <x v="5"/>
    <x v="54"/>
    <x v="2"/>
  </r>
  <r>
    <x v="1387"/>
    <x v="168"/>
    <x v="6"/>
    <x v="536"/>
    <x v="419"/>
    <x v="17"/>
    <x v="526"/>
    <x v="981"/>
    <x v="856"/>
    <x v="902"/>
    <x v="5"/>
    <x v="54"/>
    <x v="3"/>
  </r>
  <r>
    <x v="1388"/>
    <x v="168"/>
    <x v="9"/>
    <x v="537"/>
    <x v="419"/>
    <x v="17"/>
    <x v="210"/>
    <x v="574"/>
    <x v="303"/>
    <x v="329"/>
    <x v="5"/>
    <x v="54"/>
    <x v="4"/>
  </r>
  <r>
    <x v="1389"/>
    <x v="168"/>
    <x v="12"/>
    <x v="535"/>
    <x v="419"/>
    <x v="17"/>
    <x v="589"/>
    <x v="1116"/>
    <x v="947"/>
    <x v="1010"/>
    <x v="5"/>
    <x v="54"/>
    <x v="5"/>
  </r>
  <r>
    <x v="1390"/>
    <x v="168"/>
    <x v="15"/>
    <x v="544"/>
    <x v="419"/>
    <x v="17"/>
    <x v="129"/>
    <x v="263"/>
    <x v="52"/>
    <x v="194"/>
    <x v="5"/>
    <x v="54"/>
    <x v="6"/>
  </r>
  <r>
    <x v="1391"/>
    <x v="168"/>
    <x v="20"/>
    <x v="569"/>
    <x v="420"/>
    <x v="17"/>
    <x v="1268"/>
    <x v="1760"/>
    <x v="2434"/>
    <x v="2293"/>
    <x v="5"/>
    <x v="54"/>
    <x v="7"/>
  </r>
  <r>
    <x v="1392"/>
    <x v="168"/>
    <x v="25"/>
    <x v="598"/>
    <x v="493"/>
    <x v="17"/>
    <x v="595"/>
    <x v="1167"/>
    <x v="1022"/>
    <x v="938"/>
    <x v="5"/>
    <x v="54"/>
    <x v="8"/>
  </r>
  <r>
    <x v="1393"/>
    <x v="168"/>
    <x v="28"/>
    <x v="598"/>
    <x v="493"/>
    <x v="17"/>
    <x v="1231"/>
    <x v="1771"/>
    <x v="2314"/>
    <x v="2149"/>
    <x v="5"/>
    <x v="54"/>
    <x v="9"/>
  </r>
  <r>
    <x v="1394"/>
    <x v="169"/>
    <x v="1"/>
    <x v="1398"/>
    <x v="902"/>
    <x v="18"/>
    <x v="2872"/>
    <x v="2144"/>
    <x v="3423"/>
    <x v="3191"/>
    <x v="354"/>
    <x v="338"/>
    <x v="1"/>
  </r>
  <r>
    <x v="1395"/>
    <x v="169"/>
    <x v="4"/>
    <x v="1407"/>
    <x v="903"/>
    <x v="18"/>
    <x v="2780"/>
    <x v="2143"/>
    <x v="3383"/>
    <x v="3110"/>
    <x v="354"/>
    <x v="338"/>
    <x v="2"/>
  </r>
  <r>
    <x v="1396"/>
    <x v="169"/>
    <x v="6"/>
    <x v="1405"/>
    <x v="903"/>
    <x v="18"/>
    <x v="2779"/>
    <x v="2156"/>
    <x v="3362"/>
    <x v="3116"/>
    <x v="354"/>
    <x v="338"/>
    <x v="3"/>
  </r>
  <r>
    <x v="1397"/>
    <x v="169"/>
    <x v="9"/>
    <x v="1415"/>
    <x v="921"/>
    <x v="18"/>
    <x v="2850"/>
    <x v="2244"/>
    <x v="3412"/>
    <x v="3154"/>
    <x v="354"/>
    <x v="338"/>
    <x v="4"/>
  </r>
  <r>
    <x v="1398"/>
    <x v="169"/>
    <x v="12"/>
    <x v="1415"/>
    <x v="927"/>
    <x v="18"/>
    <x v="2976"/>
    <x v="2297"/>
    <x v="3420"/>
    <x v="3244"/>
    <x v="354"/>
    <x v="338"/>
    <x v="5"/>
  </r>
  <r>
    <x v="1399"/>
    <x v="169"/>
    <x v="15"/>
    <x v="1436"/>
    <x v="926"/>
    <x v="24"/>
    <x v="3006"/>
    <x v="2386"/>
    <x v="3441"/>
    <x v="3262"/>
    <x v="354"/>
    <x v="338"/>
    <x v="6"/>
  </r>
  <r>
    <x v="1400"/>
    <x v="169"/>
    <x v="20"/>
    <x v="1448"/>
    <x v="930"/>
    <x v="24"/>
    <x v="2932"/>
    <x v="2266"/>
    <x v="3439"/>
    <x v="3195"/>
    <x v="354"/>
    <x v="338"/>
    <x v="7"/>
  </r>
  <r>
    <x v="1401"/>
    <x v="169"/>
    <x v="25"/>
    <x v="1448"/>
    <x v="930"/>
    <x v="25"/>
    <x v="3065"/>
    <x v="2429"/>
    <x v="3475"/>
    <x v="3331"/>
    <x v="354"/>
    <x v="338"/>
    <x v="8"/>
  </r>
  <r>
    <x v="1402"/>
    <x v="169"/>
    <x v="28"/>
    <x v="1448"/>
    <x v="930"/>
    <x v="31"/>
    <x v="2701"/>
    <x v="2021"/>
    <x v="3408"/>
    <x v="2977"/>
    <x v="354"/>
    <x v="338"/>
    <x v="9"/>
  </r>
  <r>
    <x v="1403"/>
    <x v="170"/>
    <x v="1"/>
    <x v="561"/>
    <x v="569"/>
    <x v="15"/>
    <x v="2387"/>
    <x v="681"/>
    <x v="3380"/>
    <x v="3379"/>
    <x v="226"/>
    <x v="152"/>
    <x v="1"/>
  </r>
  <r>
    <x v="1404"/>
    <x v="170"/>
    <x v="4"/>
    <x v="690"/>
    <x v="596"/>
    <x v="27"/>
    <x v="2039"/>
    <x v="593"/>
    <x v="3125"/>
    <x v="3070"/>
    <x v="226"/>
    <x v="152"/>
    <x v="2"/>
  </r>
  <r>
    <x v="1405"/>
    <x v="170"/>
    <x v="6"/>
    <x v="692"/>
    <x v="597"/>
    <x v="37"/>
    <x v="1267"/>
    <x v="374"/>
    <x v="2301"/>
    <x v="2053"/>
    <x v="226"/>
    <x v="152"/>
    <x v="3"/>
  </r>
  <r>
    <x v="1406"/>
    <x v="170"/>
    <x v="9"/>
    <x v="721"/>
    <x v="593"/>
    <x v="39"/>
    <x v="1395"/>
    <x v="451"/>
    <x v="2587"/>
    <x v="2217"/>
    <x v="226"/>
    <x v="152"/>
    <x v="4"/>
  </r>
  <r>
    <x v="1407"/>
    <x v="170"/>
    <x v="12"/>
    <x v="721"/>
    <x v="593"/>
    <x v="42"/>
    <x v="816"/>
    <x v="288"/>
    <x v="1527"/>
    <x v="1192"/>
    <x v="226"/>
    <x v="152"/>
    <x v="5"/>
  </r>
  <r>
    <x v="1408"/>
    <x v="170"/>
    <x v="15"/>
    <x v="730"/>
    <x v="594"/>
    <x v="40"/>
    <x v="849"/>
    <x v="307"/>
    <x v="1605"/>
    <x v="1238"/>
    <x v="226"/>
    <x v="152"/>
    <x v="6"/>
  </r>
  <r>
    <x v="1409"/>
    <x v="170"/>
    <x v="20"/>
    <x v="730"/>
    <x v="594"/>
    <x v="38"/>
    <x v="650"/>
    <x v="294"/>
    <x v="1460"/>
    <x v="909"/>
    <x v="226"/>
    <x v="152"/>
    <x v="7"/>
  </r>
  <r>
    <x v="1410"/>
    <x v="170"/>
    <x v="25"/>
    <x v="743"/>
    <x v="620"/>
    <x v="38"/>
    <x v="1816"/>
    <x v="809"/>
    <x v="3027"/>
    <x v="2751"/>
    <x v="226"/>
    <x v="152"/>
    <x v="8"/>
  </r>
  <r>
    <x v="1411"/>
    <x v="170"/>
    <x v="28"/>
    <x v="743"/>
    <x v="620"/>
    <x v="38"/>
    <x v="1033"/>
    <x v="653"/>
    <x v="2042"/>
    <x v="1584"/>
    <x v="226"/>
    <x v="152"/>
    <x v="9"/>
  </r>
  <r>
    <x v="1412"/>
    <x v="171"/>
    <x v="1"/>
    <x v="431"/>
    <x v="460"/>
    <x v="23"/>
    <x v="175"/>
    <x v="71"/>
    <x v="479"/>
    <x v="274"/>
    <x v="226"/>
    <x v="152"/>
    <x v="1"/>
  </r>
  <r>
    <x v="1413"/>
    <x v="171"/>
    <x v="4"/>
    <x v="496"/>
    <x v="488"/>
    <x v="26"/>
    <x v="893"/>
    <x v="238"/>
    <x v="2275"/>
    <x v="1728"/>
    <x v="226"/>
    <x v="152"/>
    <x v="2"/>
  </r>
  <r>
    <x v="1414"/>
    <x v="171"/>
    <x v="6"/>
    <x v="509"/>
    <x v="502"/>
    <x v="34"/>
    <x v="1776"/>
    <x v="411"/>
    <x v="3181"/>
    <x v="3015"/>
    <x v="226"/>
    <x v="152"/>
    <x v="3"/>
  </r>
  <r>
    <x v="1415"/>
    <x v="171"/>
    <x v="9"/>
    <x v="541"/>
    <x v="492"/>
    <x v="36"/>
    <x v="1693"/>
    <x v="424"/>
    <x v="3191"/>
    <x v="2889"/>
    <x v="226"/>
    <x v="152"/>
    <x v="4"/>
  </r>
  <r>
    <x v="1416"/>
    <x v="171"/>
    <x v="12"/>
    <x v="548"/>
    <x v="501"/>
    <x v="40"/>
    <x v="1556"/>
    <x v="456"/>
    <x v="2974"/>
    <x v="2732"/>
    <x v="226"/>
    <x v="152"/>
    <x v="5"/>
  </r>
  <r>
    <x v="1417"/>
    <x v="171"/>
    <x v="15"/>
    <x v="552"/>
    <x v="494"/>
    <x v="38"/>
    <x v="1783"/>
    <x v="585"/>
    <x v="3161"/>
    <x v="2966"/>
    <x v="226"/>
    <x v="152"/>
    <x v="6"/>
  </r>
  <r>
    <x v="1418"/>
    <x v="171"/>
    <x v="20"/>
    <x v="552"/>
    <x v="494"/>
    <x v="37"/>
    <x v="2007"/>
    <x v="705"/>
    <x v="3343"/>
    <x v="3158"/>
    <x v="226"/>
    <x v="152"/>
    <x v="7"/>
  </r>
  <r>
    <x v="1419"/>
    <x v="171"/>
    <x v="25"/>
    <x v="555"/>
    <x v="513"/>
    <x v="35"/>
    <x v="1512"/>
    <x v="731"/>
    <x v="3098"/>
    <x v="2680"/>
    <x v="226"/>
    <x v="152"/>
    <x v="8"/>
  </r>
  <r>
    <x v="1420"/>
    <x v="171"/>
    <x v="28"/>
    <x v="555"/>
    <x v="513"/>
    <x v="35"/>
    <x v="1104"/>
    <x v="678"/>
    <x v="2632"/>
    <x v="2059"/>
    <x v="226"/>
    <x v="152"/>
    <x v="9"/>
  </r>
  <r>
    <x v="1421"/>
    <x v="172"/>
    <x v="1"/>
    <x v="47"/>
    <x v="59"/>
    <x v="29"/>
    <x v="249"/>
    <x v="78"/>
    <x v="1337"/>
    <x v="670"/>
    <x v="226"/>
    <x v="152"/>
    <x v="1"/>
  </r>
  <r>
    <x v="1422"/>
    <x v="172"/>
    <x v="4"/>
    <x v="71"/>
    <x v="61"/>
    <x v="30"/>
    <x v="421"/>
    <x v="122"/>
    <x v="2096"/>
    <x v="1270"/>
    <x v="226"/>
    <x v="152"/>
    <x v="2"/>
  </r>
  <r>
    <x v="1423"/>
    <x v="172"/>
    <x v="6"/>
    <x v="72"/>
    <x v="62"/>
    <x v="34"/>
    <x v="284"/>
    <x v="89"/>
    <x v="1375"/>
    <x v="745"/>
    <x v="226"/>
    <x v="152"/>
    <x v="3"/>
  </r>
  <r>
    <x v="1424"/>
    <x v="172"/>
    <x v="9"/>
    <x v="76"/>
    <x v="58"/>
    <x v="34"/>
    <x v="288"/>
    <x v="100"/>
    <x v="1577"/>
    <x v="762"/>
    <x v="226"/>
    <x v="152"/>
    <x v="4"/>
  </r>
  <r>
    <x v="1425"/>
    <x v="172"/>
    <x v="12"/>
    <x v="86"/>
    <x v="60"/>
    <x v="40"/>
    <x v="396"/>
    <x v="138"/>
    <x v="1802"/>
    <x v="1154"/>
    <x v="226"/>
    <x v="152"/>
    <x v="5"/>
  </r>
  <r>
    <x v="1426"/>
    <x v="172"/>
    <x v="15"/>
    <x v="85"/>
    <x v="57"/>
    <x v="38"/>
    <x v="469"/>
    <x v="151"/>
    <x v="2168"/>
    <x v="1444"/>
    <x v="226"/>
    <x v="152"/>
    <x v="6"/>
  </r>
  <r>
    <x v="1427"/>
    <x v="172"/>
    <x v="20"/>
    <x v="85"/>
    <x v="56"/>
    <x v="33"/>
    <x v="489"/>
    <x v="163"/>
    <x v="2321"/>
    <x v="1486"/>
    <x v="226"/>
    <x v="152"/>
    <x v="7"/>
  </r>
  <r>
    <x v="1428"/>
    <x v="172"/>
    <x v="25"/>
    <x v="86"/>
    <x v="71"/>
    <x v="38"/>
    <x v="455"/>
    <x v="208"/>
    <x v="2262"/>
    <x v="1390"/>
    <x v="226"/>
    <x v="152"/>
    <x v="8"/>
  </r>
  <r>
    <x v="1429"/>
    <x v="172"/>
    <x v="28"/>
    <x v="86"/>
    <x v="71"/>
    <x v="38"/>
    <x v="479"/>
    <x v="221"/>
    <x v="2227"/>
    <x v="1461"/>
    <x v="226"/>
    <x v="152"/>
    <x v="9"/>
  </r>
  <r>
    <x v="1430"/>
    <x v="173"/>
    <x v="1"/>
    <x v="2820"/>
    <x v="1675"/>
    <x v="42"/>
    <x v="3170"/>
    <x v="2995"/>
    <x v="814"/>
    <x v="1553"/>
    <x v="6"/>
    <x v="2"/>
    <x v="1"/>
  </r>
  <r>
    <x v="1431"/>
    <x v="173"/>
    <x v="4"/>
    <x v="2829"/>
    <x v="1677"/>
    <x v="43"/>
    <x v="3151"/>
    <x v="3106"/>
    <x v="927"/>
    <x v="1483"/>
    <x v="6"/>
    <x v="2"/>
    <x v="2"/>
  </r>
  <r>
    <x v="1432"/>
    <x v="173"/>
    <x v="6"/>
    <x v="2830"/>
    <x v="1680"/>
    <x v="29"/>
    <x v="3289"/>
    <x v="3240"/>
    <x v="1118"/>
    <x v="2020"/>
    <x v="6"/>
    <x v="2"/>
    <x v="3"/>
  </r>
  <r>
    <x v="1433"/>
    <x v="173"/>
    <x v="9"/>
    <x v="2831"/>
    <x v="1681"/>
    <x v="47"/>
    <x v="1877"/>
    <x v="2212"/>
    <x v="368"/>
    <x v="324"/>
    <x v="6"/>
    <x v="2"/>
    <x v="4"/>
  </r>
  <r>
    <x v="1434"/>
    <x v="173"/>
    <x v="12"/>
    <x v="2832"/>
    <x v="1679"/>
    <x v="44"/>
    <x v="3249"/>
    <x v="3315"/>
    <x v="1349"/>
    <x v="1843"/>
    <x v="6"/>
    <x v="2"/>
    <x v="5"/>
  </r>
  <r>
    <x v="1435"/>
    <x v="173"/>
    <x v="15"/>
    <x v="2833"/>
    <x v="1679"/>
    <x v="44"/>
    <x v="3100"/>
    <x v="3198"/>
    <x v="793"/>
    <x v="1300"/>
    <x v="6"/>
    <x v="2"/>
    <x v="6"/>
  </r>
  <r>
    <x v="1436"/>
    <x v="173"/>
    <x v="20"/>
    <x v="2835"/>
    <x v="1678"/>
    <x v="29"/>
    <x v="3308"/>
    <x v="3388"/>
    <x v="1558"/>
    <x v="2119"/>
    <x v="6"/>
    <x v="2"/>
    <x v="7"/>
  </r>
  <r>
    <x v="1437"/>
    <x v="173"/>
    <x v="25"/>
    <x v="2836"/>
    <x v="1676"/>
    <x v="26"/>
    <x v="2113"/>
    <x v="2578"/>
    <x v="537"/>
    <x v="406"/>
    <x v="6"/>
    <x v="2"/>
    <x v="8"/>
  </r>
  <r>
    <x v="1438"/>
    <x v="173"/>
    <x v="28"/>
    <x v="2837"/>
    <x v="1673"/>
    <x v="36"/>
    <x v="1818"/>
    <x v="2261"/>
    <x v="771"/>
    <x v="301"/>
    <x v="6"/>
    <x v="2"/>
    <x v="9"/>
  </r>
  <r>
    <x v="1439"/>
    <x v="174"/>
    <x v="1"/>
    <x v="1432"/>
    <x v="860"/>
    <x v="28"/>
    <x v="1731"/>
    <x v="2183"/>
    <x v="1718"/>
    <x v="1514"/>
    <x v="27"/>
    <x v="33"/>
    <x v="1"/>
  </r>
  <r>
    <x v="1440"/>
    <x v="174"/>
    <x v="4"/>
    <x v="1463"/>
    <x v="885"/>
    <x v="28"/>
    <x v="1439"/>
    <x v="1957"/>
    <x v="1500"/>
    <x v="1110"/>
    <x v="27"/>
    <x v="33"/>
    <x v="2"/>
  </r>
  <r>
    <x v="1441"/>
    <x v="174"/>
    <x v="6"/>
    <x v="1457"/>
    <x v="895"/>
    <x v="35"/>
    <x v="826"/>
    <x v="1602"/>
    <x v="1048"/>
    <x v="540"/>
    <x v="27"/>
    <x v="33"/>
    <x v="3"/>
  </r>
  <r>
    <x v="1442"/>
    <x v="174"/>
    <x v="9"/>
    <x v="1484"/>
    <x v="896"/>
    <x v="35"/>
    <x v="503"/>
    <x v="1216"/>
    <x v="809"/>
    <x v="340"/>
    <x v="27"/>
    <x v="33"/>
    <x v="4"/>
  </r>
  <r>
    <x v="1443"/>
    <x v="174"/>
    <x v="12"/>
    <x v="1484"/>
    <x v="897"/>
    <x v="42"/>
    <x v="989"/>
    <x v="1549"/>
    <x v="1255"/>
    <x v="639"/>
    <x v="27"/>
    <x v="33"/>
    <x v="5"/>
  </r>
  <r>
    <x v="1444"/>
    <x v="174"/>
    <x v="15"/>
    <x v="1479"/>
    <x v="863"/>
    <x v="35"/>
    <x v="409"/>
    <x v="995"/>
    <x v="165"/>
    <x v="276"/>
    <x v="27"/>
    <x v="33"/>
    <x v="6"/>
  </r>
  <r>
    <x v="1445"/>
    <x v="174"/>
    <x v="20"/>
    <x v="1442"/>
    <x v="863"/>
    <x v="34"/>
    <x v="1438"/>
    <x v="2007"/>
    <x v="533"/>
    <x v="1119"/>
    <x v="27"/>
    <x v="33"/>
    <x v="7"/>
  </r>
  <r>
    <x v="1446"/>
    <x v="174"/>
    <x v="25"/>
    <x v="1436"/>
    <x v="863"/>
    <x v="33"/>
    <x v="1295"/>
    <x v="1935"/>
    <x v="525"/>
    <x v="943"/>
    <x v="27"/>
    <x v="33"/>
    <x v="8"/>
  </r>
  <r>
    <x v="1447"/>
    <x v="174"/>
    <x v="28"/>
    <x v="1433"/>
    <x v="863"/>
    <x v="34"/>
    <x v="1825"/>
    <x v="2399"/>
    <x v="923"/>
    <x v="1651"/>
    <x v="27"/>
    <x v="33"/>
    <x v="9"/>
  </r>
  <r>
    <x v="1448"/>
    <x v="175"/>
    <x v="4"/>
    <x v="1825"/>
    <x v="919"/>
    <x v="26"/>
    <x v="2967"/>
    <x v="2819"/>
    <x v="2506"/>
    <x v="2910"/>
    <x v="29"/>
    <x v="35"/>
    <x v="2"/>
  </r>
  <r>
    <x v="1449"/>
    <x v="175"/>
    <x v="6"/>
    <x v="1825"/>
    <x v="919"/>
    <x v="26"/>
    <x v="2204"/>
    <x v="1528"/>
    <x v="890"/>
    <x v="1699"/>
    <x v="29"/>
    <x v="35"/>
    <x v="3"/>
  </r>
  <r>
    <x v="1450"/>
    <x v="175"/>
    <x v="9"/>
    <x v="1853"/>
    <x v="919"/>
    <x v="30"/>
    <x v="8"/>
    <x v="8"/>
    <x v="54"/>
    <x v="11"/>
    <x v="29"/>
    <x v="35"/>
    <x v="4"/>
  </r>
  <r>
    <x v="1451"/>
    <x v="175"/>
    <x v="12"/>
    <x v="1838"/>
    <x v="919"/>
    <x v="24"/>
    <x v="318"/>
    <x v="192"/>
    <x v="134"/>
    <x v="175"/>
    <x v="29"/>
    <x v="35"/>
    <x v="5"/>
  </r>
  <r>
    <x v="1452"/>
    <x v="175"/>
    <x v="15"/>
    <x v="1838"/>
    <x v="919"/>
    <x v="25"/>
    <x v="2145"/>
    <x v="1415"/>
    <x v="879"/>
    <x v="1589"/>
    <x v="29"/>
    <x v="35"/>
    <x v="6"/>
  </r>
  <r>
    <x v="1453"/>
    <x v="175"/>
    <x v="20"/>
    <x v="1838"/>
    <x v="918"/>
    <x v="22"/>
    <x v="2728"/>
    <x v="1797"/>
    <x v="1881"/>
    <x v="2562"/>
    <x v="29"/>
    <x v="35"/>
    <x v="7"/>
  </r>
  <r>
    <x v="1454"/>
    <x v="175"/>
    <x v="25"/>
    <x v="1838"/>
    <x v="918"/>
    <x v="23"/>
    <x v="2713"/>
    <x v="2791"/>
    <x v="2053"/>
    <x v="2554"/>
    <x v="29"/>
    <x v="35"/>
    <x v="8"/>
  </r>
  <r>
    <x v="1455"/>
    <x v="175"/>
    <x v="28"/>
    <x v="1851"/>
    <x v="924"/>
    <x v="23"/>
    <x v="2538"/>
    <x v="2734"/>
    <x v="1709"/>
    <x v="2249"/>
    <x v="29"/>
    <x v="35"/>
    <x v="9"/>
  </r>
  <r>
    <x v="1456"/>
    <x v="176"/>
    <x v="3"/>
    <x v="2136"/>
    <x v="1156"/>
    <x v="45"/>
    <x v="2470"/>
    <x v="2832"/>
    <x v="1093"/>
    <x v="1705"/>
    <x v="209"/>
    <x v="109"/>
    <x v="1"/>
  </r>
  <r>
    <x v="1457"/>
    <x v="176"/>
    <x v="5"/>
    <x v="2144"/>
    <x v="1156"/>
    <x v="44"/>
    <x v="2218"/>
    <x v="2245"/>
    <x v="1213"/>
    <x v="1287"/>
    <x v="209"/>
    <x v="109"/>
    <x v="2"/>
  </r>
  <r>
    <x v="1458"/>
    <x v="176"/>
    <x v="8"/>
    <x v="2148"/>
    <x v="1156"/>
    <x v="50"/>
    <x v="1819"/>
    <x v="1933"/>
    <x v="759"/>
    <x v="779"/>
    <x v="209"/>
    <x v="109"/>
    <x v="3"/>
  </r>
  <r>
    <x v="1459"/>
    <x v="176"/>
    <x v="11"/>
    <x v="2148"/>
    <x v="1156"/>
    <x v="45"/>
    <x v="1865"/>
    <x v="2026"/>
    <x v="865"/>
    <x v="813"/>
    <x v="209"/>
    <x v="109"/>
    <x v="4"/>
  </r>
  <r>
    <x v="1460"/>
    <x v="176"/>
    <x v="13"/>
    <x v="1992"/>
    <x v="1156"/>
    <x v="48"/>
    <x v="1523"/>
    <x v="1799"/>
    <x v="822"/>
    <x v="660"/>
    <x v="209"/>
    <x v="109"/>
    <x v="5"/>
  </r>
  <r>
    <x v="1461"/>
    <x v="176"/>
    <x v="17"/>
    <x v="1993"/>
    <x v="1129"/>
    <x v="45"/>
    <x v="1200"/>
    <x v="1614"/>
    <x v="476"/>
    <x v="501"/>
    <x v="209"/>
    <x v="109"/>
    <x v="6"/>
  </r>
  <r>
    <x v="1462"/>
    <x v="176"/>
    <x v="22"/>
    <x v="2178"/>
    <x v="1134"/>
    <x v="48"/>
    <x v="1609"/>
    <x v="1973"/>
    <x v="557"/>
    <x v="617"/>
    <x v="209"/>
    <x v="109"/>
    <x v="7"/>
  </r>
  <r>
    <x v="1463"/>
    <x v="176"/>
    <x v="27"/>
    <x v="2182"/>
    <x v="1130"/>
    <x v="48"/>
    <x v="1889"/>
    <x v="2277"/>
    <x v="843"/>
    <x v="809"/>
    <x v="209"/>
    <x v="109"/>
    <x v="8"/>
  </r>
  <r>
    <x v="1464"/>
    <x v="176"/>
    <x v="29"/>
    <x v="2007"/>
    <x v="1130"/>
    <x v="48"/>
    <x v="1938"/>
    <x v="2388"/>
    <x v="685"/>
    <x v="1014"/>
    <x v="209"/>
    <x v="109"/>
    <x v="9"/>
  </r>
  <r>
    <x v="1465"/>
    <x v="177"/>
    <x v="1"/>
    <x v="2415"/>
    <x v="1365"/>
    <x v="35"/>
    <x v="2661"/>
    <x v="2910"/>
    <x v="1650"/>
    <x v="1575"/>
    <x v="122"/>
    <x v="143"/>
    <x v="1"/>
  </r>
  <r>
    <x v="1466"/>
    <x v="177"/>
    <x v="4"/>
    <x v="2420"/>
    <x v="1367"/>
    <x v="36"/>
    <x v="2652"/>
    <x v="2707"/>
    <x v="1777"/>
    <x v="1559"/>
    <x v="122"/>
    <x v="143"/>
    <x v="2"/>
  </r>
  <r>
    <x v="1467"/>
    <x v="177"/>
    <x v="6"/>
    <x v="2420"/>
    <x v="1365"/>
    <x v="36"/>
    <x v="2031"/>
    <x v="2252"/>
    <x v="1376"/>
    <x v="743"/>
    <x v="122"/>
    <x v="143"/>
    <x v="3"/>
  </r>
  <r>
    <x v="1468"/>
    <x v="177"/>
    <x v="9"/>
    <x v="2423"/>
    <x v="1370"/>
    <x v="36"/>
    <x v="2351"/>
    <x v="2468"/>
    <x v="917"/>
    <x v="1114"/>
    <x v="122"/>
    <x v="143"/>
    <x v="4"/>
  </r>
  <r>
    <x v="1469"/>
    <x v="177"/>
    <x v="12"/>
    <x v="2425"/>
    <x v="1366"/>
    <x v="43"/>
    <x v="1681"/>
    <x v="1965"/>
    <x v="385"/>
    <x v="527"/>
    <x v="122"/>
    <x v="143"/>
    <x v="5"/>
  </r>
  <r>
    <x v="1470"/>
    <x v="177"/>
    <x v="15"/>
    <x v="2424"/>
    <x v="1369"/>
    <x v="31"/>
    <x v="1551"/>
    <x v="1652"/>
    <x v="315"/>
    <x v="478"/>
    <x v="122"/>
    <x v="143"/>
    <x v="6"/>
  </r>
  <r>
    <x v="1471"/>
    <x v="177"/>
    <x v="20"/>
    <x v="2426"/>
    <x v="1368"/>
    <x v="34"/>
    <x v="2665"/>
    <x v="2795"/>
    <x v="939"/>
    <x v="1565"/>
    <x v="122"/>
    <x v="143"/>
    <x v="7"/>
  </r>
  <r>
    <x v="1472"/>
    <x v="177"/>
    <x v="25"/>
    <x v="2427"/>
    <x v="1377"/>
    <x v="40"/>
    <x v="2230"/>
    <x v="2557"/>
    <x v="676"/>
    <x v="940"/>
    <x v="122"/>
    <x v="143"/>
    <x v="8"/>
  </r>
  <r>
    <x v="1473"/>
    <x v="177"/>
    <x v="28"/>
    <x v="2428"/>
    <x v="1377"/>
    <x v="35"/>
    <x v="1253"/>
    <x v="1875"/>
    <x v="326"/>
    <x v="380"/>
    <x v="122"/>
    <x v="143"/>
    <x v="9"/>
  </r>
  <r>
    <x v="1474"/>
    <x v="178"/>
    <x v="1"/>
    <x v="995"/>
    <x v="536"/>
    <x v="33"/>
    <x v="1707"/>
    <x v="2210"/>
    <x v="2426"/>
    <x v="2242"/>
    <x v="175"/>
    <x v="180"/>
    <x v="1"/>
  </r>
  <r>
    <x v="1475"/>
    <x v="178"/>
    <x v="4"/>
    <x v="995"/>
    <x v="536"/>
    <x v="35"/>
    <x v="1522"/>
    <x v="2142"/>
    <x v="2068"/>
    <x v="1964"/>
    <x v="175"/>
    <x v="180"/>
    <x v="2"/>
  </r>
  <r>
    <x v="1476"/>
    <x v="178"/>
    <x v="6"/>
    <x v="995"/>
    <x v="536"/>
    <x v="39"/>
    <x v="882"/>
    <x v="1624"/>
    <x v="806"/>
    <x v="950"/>
    <x v="175"/>
    <x v="180"/>
    <x v="3"/>
  </r>
  <r>
    <x v="1477"/>
    <x v="178"/>
    <x v="9"/>
    <x v="995"/>
    <x v="536"/>
    <x v="37"/>
    <x v="930"/>
    <x v="1691"/>
    <x v="925"/>
    <x v="1009"/>
    <x v="175"/>
    <x v="180"/>
    <x v="4"/>
  </r>
  <r>
    <x v="1478"/>
    <x v="178"/>
    <x v="12"/>
    <x v="1000"/>
    <x v="536"/>
    <x v="37"/>
    <x v="1191"/>
    <x v="1940"/>
    <x v="1449"/>
    <x v="1442"/>
    <x v="175"/>
    <x v="180"/>
    <x v="5"/>
  </r>
  <r>
    <x v="1479"/>
    <x v="178"/>
    <x v="15"/>
    <x v="1000"/>
    <x v="537"/>
    <x v="30"/>
    <x v="488"/>
    <x v="1238"/>
    <x v="292"/>
    <x v="512"/>
    <x v="175"/>
    <x v="180"/>
    <x v="6"/>
  </r>
  <r>
    <x v="1480"/>
    <x v="178"/>
    <x v="20"/>
    <x v="1016"/>
    <x v="537"/>
    <x v="39"/>
    <x v="1134"/>
    <x v="1942"/>
    <x v="1266"/>
    <x v="1327"/>
    <x v="175"/>
    <x v="180"/>
    <x v="7"/>
  </r>
  <r>
    <x v="1481"/>
    <x v="178"/>
    <x v="25"/>
    <x v="1016"/>
    <x v="537"/>
    <x v="37"/>
    <x v="1144"/>
    <x v="2036"/>
    <x v="1904"/>
    <x v="1343"/>
    <x v="175"/>
    <x v="180"/>
    <x v="8"/>
  </r>
  <r>
    <x v="1482"/>
    <x v="178"/>
    <x v="28"/>
    <x v="1015"/>
    <x v="530"/>
    <x v="34"/>
    <x v="1252"/>
    <x v="2130"/>
    <x v="2127"/>
    <x v="1502"/>
    <x v="175"/>
    <x v="180"/>
    <x v="9"/>
  </r>
  <r>
    <x v="1483"/>
    <x v="179"/>
    <x v="1"/>
    <x v="1419"/>
    <x v="649"/>
    <x v="23"/>
    <x v="1900"/>
    <x v="2409"/>
    <x v="1188"/>
    <x v="1826"/>
    <x v="172"/>
    <x v="177"/>
    <x v="1"/>
  </r>
  <r>
    <x v="1484"/>
    <x v="179"/>
    <x v="4"/>
    <x v="1419"/>
    <x v="649"/>
    <x v="37"/>
    <x v="1961"/>
    <x v="2098"/>
    <x v="1228"/>
    <x v="1935"/>
    <x v="172"/>
    <x v="177"/>
    <x v="2"/>
  </r>
  <r>
    <x v="1485"/>
    <x v="179"/>
    <x v="6"/>
    <x v="1419"/>
    <x v="649"/>
    <x v="27"/>
    <x v="2142"/>
    <x v="1839"/>
    <x v="1415"/>
    <x v="2267"/>
    <x v="172"/>
    <x v="177"/>
    <x v="3"/>
  </r>
  <r>
    <x v="1486"/>
    <x v="179"/>
    <x v="9"/>
    <x v="1419"/>
    <x v="649"/>
    <x v="27"/>
    <x v="2223"/>
    <x v="2192"/>
    <x v="1693"/>
    <x v="2415"/>
    <x v="172"/>
    <x v="177"/>
    <x v="4"/>
  </r>
  <r>
    <x v="1487"/>
    <x v="179"/>
    <x v="12"/>
    <x v="1419"/>
    <x v="649"/>
    <x v="31"/>
    <x v="1878"/>
    <x v="1999"/>
    <x v="951"/>
    <x v="1788"/>
    <x v="172"/>
    <x v="177"/>
    <x v="5"/>
  </r>
  <r>
    <x v="1488"/>
    <x v="179"/>
    <x v="15"/>
    <x v="1419"/>
    <x v="649"/>
    <x v="31"/>
    <x v="1102"/>
    <x v="1529"/>
    <x v="356"/>
    <x v="785"/>
    <x v="172"/>
    <x v="177"/>
    <x v="6"/>
  </r>
  <r>
    <x v="1489"/>
    <x v="179"/>
    <x v="20"/>
    <x v="1412"/>
    <x v="649"/>
    <x v="36"/>
    <x v="1728"/>
    <x v="1917"/>
    <x v="816"/>
    <x v="1546"/>
    <x v="172"/>
    <x v="177"/>
    <x v="7"/>
  </r>
  <r>
    <x v="1490"/>
    <x v="179"/>
    <x v="25"/>
    <x v="1412"/>
    <x v="649"/>
    <x v="30"/>
    <x v="802"/>
    <x v="1264"/>
    <x v="344"/>
    <x v="551"/>
    <x v="172"/>
    <x v="177"/>
    <x v="8"/>
  </r>
  <r>
    <x v="1491"/>
    <x v="179"/>
    <x v="28"/>
    <x v="1412"/>
    <x v="649"/>
    <x v="37"/>
    <x v="14"/>
    <x v="18"/>
    <x v="11"/>
    <x v="16"/>
    <x v="172"/>
    <x v="177"/>
    <x v="9"/>
  </r>
  <r>
    <x v="1492"/>
    <x v="180"/>
    <x v="1"/>
    <x v="2302"/>
    <x v="952"/>
    <x v="43"/>
    <x v="2386"/>
    <x v="2306"/>
    <x v="1175"/>
    <x v="1375"/>
    <x v="144"/>
    <x v="351"/>
    <x v="1"/>
  </r>
  <r>
    <x v="1493"/>
    <x v="180"/>
    <x v="4"/>
    <x v="2310"/>
    <x v="952"/>
    <x v="40"/>
    <x v="2636"/>
    <x v="2616"/>
    <x v="1868"/>
    <x v="1776"/>
    <x v="144"/>
    <x v="351"/>
    <x v="2"/>
  </r>
  <r>
    <x v="1494"/>
    <x v="180"/>
    <x v="6"/>
    <x v="2316"/>
    <x v="1082"/>
    <x v="37"/>
    <x v="2136"/>
    <x v="2184"/>
    <x v="1105"/>
    <x v="985"/>
    <x v="144"/>
    <x v="351"/>
    <x v="3"/>
  </r>
  <r>
    <x v="1495"/>
    <x v="180"/>
    <x v="9"/>
    <x v="2326"/>
    <x v="1084"/>
    <x v="40"/>
    <x v="2670"/>
    <x v="2600"/>
    <x v="1730"/>
    <x v="1798"/>
    <x v="144"/>
    <x v="351"/>
    <x v="4"/>
  </r>
  <r>
    <x v="1496"/>
    <x v="180"/>
    <x v="12"/>
    <x v="2329"/>
    <x v="1019"/>
    <x v="36"/>
    <x v="2785"/>
    <x v="2706"/>
    <x v="1923"/>
    <x v="1983"/>
    <x v="144"/>
    <x v="351"/>
    <x v="5"/>
  </r>
  <r>
    <x v="1497"/>
    <x v="180"/>
    <x v="15"/>
    <x v="2330"/>
    <x v="1022"/>
    <x v="38"/>
    <x v="2344"/>
    <x v="2404"/>
    <x v="1184"/>
    <x v="1276"/>
    <x v="144"/>
    <x v="351"/>
    <x v="6"/>
  </r>
  <r>
    <x v="1498"/>
    <x v="180"/>
    <x v="20"/>
    <x v="2333"/>
    <x v="1016"/>
    <x v="38"/>
    <x v="2491"/>
    <x v="2581"/>
    <x v="1470"/>
    <x v="1492"/>
    <x v="144"/>
    <x v="351"/>
    <x v="7"/>
  </r>
  <r>
    <x v="1499"/>
    <x v="180"/>
    <x v="25"/>
    <x v="2340"/>
    <x v="1014"/>
    <x v="39"/>
    <x v="2448"/>
    <x v="2727"/>
    <x v="1333"/>
    <x v="1402"/>
    <x v="144"/>
    <x v="351"/>
    <x v="8"/>
  </r>
  <r>
    <x v="1500"/>
    <x v="180"/>
    <x v="28"/>
    <x v="2342"/>
    <x v="1113"/>
    <x v="39"/>
    <x v="2570"/>
    <x v="2872"/>
    <x v="1704"/>
    <x v="1593"/>
    <x v="144"/>
    <x v="351"/>
    <x v="9"/>
  </r>
  <r>
    <x v="1501"/>
    <x v="181"/>
    <x v="1"/>
    <x v="2223"/>
    <x v="1110"/>
    <x v="28"/>
    <x v="2426"/>
    <x v="2941"/>
    <x v="1309"/>
    <x v="1495"/>
    <x v="228"/>
    <x v="85"/>
    <x v="1"/>
  </r>
  <r>
    <x v="1502"/>
    <x v="181"/>
    <x v="4"/>
    <x v="2225"/>
    <x v="1110"/>
    <x v="26"/>
    <x v="2786"/>
    <x v="3152"/>
    <x v="1813"/>
    <x v="2115"/>
    <x v="228"/>
    <x v="85"/>
    <x v="2"/>
  </r>
  <r>
    <x v="1503"/>
    <x v="181"/>
    <x v="6"/>
    <x v="2231"/>
    <x v="1099"/>
    <x v="30"/>
    <x v="2751"/>
    <x v="3016"/>
    <x v="1636"/>
    <x v="2029"/>
    <x v="228"/>
    <x v="85"/>
    <x v="3"/>
  </r>
  <r>
    <x v="1504"/>
    <x v="181"/>
    <x v="8"/>
    <x v="2237"/>
    <x v="1097"/>
    <x v="29"/>
    <x v="2521"/>
    <x v="2889"/>
    <x v="1304"/>
    <x v="1653"/>
    <x v="228"/>
    <x v="85"/>
    <x v="3"/>
  </r>
  <r>
    <x v="1505"/>
    <x v="181"/>
    <x v="11"/>
    <x v="2283"/>
    <x v="1097"/>
    <x v="34"/>
    <x v="1858"/>
    <x v="2431"/>
    <x v="500"/>
    <x v="729"/>
    <x v="228"/>
    <x v="85"/>
    <x v="4"/>
  </r>
  <r>
    <x v="1506"/>
    <x v="181"/>
    <x v="13"/>
    <x v="2237"/>
    <x v="1102"/>
    <x v="41"/>
    <x v="2497"/>
    <x v="2914"/>
    <x v="1371"/>
    <x v="1624"/>
    <x v="228"/>
    <x v="85"/>
    <x v="5"/>
  </r>
  <r>
    <x v="1507"/>
    <x v="181"/>
    <x v="17"/>
    <x v="2240"/>
    <x v="1102"/>
    <x v="40"/>
    <x v="1166"/>
    <x v="1951"/>
    <x v="364"/>
    <x v="413"/>
    <x v="228"/>
    <x v="85"/>
    <x v="6"/>
  </r>
  <r>
    <x v="1508"/>
    <x v="181"/>
    <x v="22"/>
    <x v="2242"/>
    <x v="1105"/>
    <x v="42"/>
    <x v="1841"/>
    <x v="2486"/>
    <x v="722"/>
    <x v="738"/>
    <x v="228"/>
    <x v="85"/>
    <x v="7"/>
  </r>
  <r>
    <x v="1509"/>
    <x v="181"/>
    <x v="27"/>
    <x v="2242"/>
    <x v="1101"/>
    <x v="42"/>
    <x v="2044"/>
    <x v="2679"/>
    <x v="962"/>
    <x v="924"/>
    <x v="228"/>
    <x v="85"/>
    <x v="8"/>
  </r>
  <r>
    <x v="1510"/>
    <x v="181"/>
    <x v="29"/>
    <x v="2234"/>
    <x v="1101"/>
    <x v="43"/>
    <x v="2067"/>
    <x v="2744"/>
    <x v="902"/>
    <x v="954"/>
    <x v="228"/>
    <x v="85"/>
    <x v="9"/>
  </r>
  <r>
    <x v="1511"/>
    <x v="182"/>
    <x v="1"/>
    <x v="2512"/>
    <x v="1407"/>
    <x v="46"/>
    <x v="3294"/>
    <x v="3382"/>
    <x v="2811"/>
    <x v="2927"/>
    <x v="241"/>
    <x v="235"/>
    <x v="1"/>
  </r>
  <r>
    <x v="1512"/>
    <x v="182"/>
    <x v="4"/>
    <x v="2514"/>
    <x v="1407"/>
    <x v="41"/>
    <x v="2714"/>
    <x v="2782"/>
    <x v="1975"/>
    <x v="1438"/>
    <x v="241"/>
    <x v="235"/>
    <x v="2"/>
  </r>
  <r>
    <x v="1513"/>
    <x v="182"/>
    <x v="6"/>
    <x v="2514"/>
    <x v="1407"/>
    <x v="38"/>
    <x v="2821"/>
    <x v="2719"/>
    <x v="2004"/>
    <x v="1618"/>
    <x v="241"/>
    <x v="235"/>
    <x v="3"/>
  </r>
  <r>
    <x v="1514"/>
    <x v="182"/>
    <x v="9"/>
    <x v="2514"/>
    <x v="1407"/>
    <x v="40"/>
    <x v="3117"/>
    <x v="3048"/>
    <x v="2419"/>
    <x v="2381"/>
    <x v="241"/>
    <x v="235"/>
    <x v="4"/>
  </r>
  <r>
    <x v="1515"/>
    <x v="182"/>
    <x v="12"/>
    <x v="2514"/>
    <x v="1407"/>
    <x v="40"/>
    <x v="3092"/>
    <x v="3081"/>
    <x v="2337"/>
    <x v="2257"/>
    <x v="241"/>
    <x v="235"/>
    <x v="5"/>
  </r>
  <r>
    <x v="1516"/>
    <x v="182"/>
    <x v="15"/>
    <x v="2514"/>
    <x v="1407"/>
    <x v="41"/>
    <x v="2995"/>
    <x v="3083"/>
    <x v="2325"/>
    <x v="1991"/>
    <x v="241"/>
    <x v="235"/>
    <x v="6"/>
  </r>
  <r>
    <x v="1517"/>
    <x v="182"/>
    <x v="20"/>
    <x v="2514"/>
    <x v="1407"/>
    <x v="23"/>
    <x v="2280"/>
    <x v="2615"/>
    <x v="1823"/>
    <x v="854"/>
    <x v="241"/>
    <x v="235"/>
    <x v="7"/>
  </r>
  <r>
    <x v="1518"/>
    <x v="182"/>
    <x v="25"/>
    <x v="2517"/>
    <x v="1407"/>
    <x v="37"/>
    <x v="2317"/>
    <x v="2608"/>
    <x v="1628"/>
    <x v="888"/>
    <x v="241"/>
    <x v="235"/>
    <x v="8"/>
  </r>
  <r>
    <x v="1519"/>
    <x v="182"/>
    <x v="28"/>
    <x v="2517"/>
    <x v="1407"/>
    <x v="35"/>
    <x v="2319"/>
    <x v="2699"/>
    <x v="1620"/>
    <x v="887"/>
    <x v="241"/>
    <x v="235"/>
    <x v="9"/>
  </r>
  <r>
    <x v="1520"/>
    <x v="183"/>
    <x v="3"/>
    <x v="1308"/>
    <x v="832"/>
    <x v="32"/>
    <x v="1427"/>
    <x v="1976"/>
    <x v="1870"/>
    <x v="1329"/>
    <x v="305"/>
    <x v="296"/>
    <x v="1"/>
  </r>
  <r>
    <x v="1521"/>
    <x v="183"/>
    <x v="5"/>
    <x v="1313"/>
    <x v="832"/>
    <x v="28"/>
    <x v="623"/>
    <x v="1213"/>
    <x v="232"/>
    <x v="484"/>
    <x v="305"/>
    <x v="296"/>
    <x v="2"/>
  </r>
  <r>
    <x v="1522"/>
    <x v="183"/>
    <x v="8"/>
    <x v="1322"/>
    <x v="824"/>
    <x v="31"/>
    <x v="1056"/>
    <x v="1706"/>
    <x v="360"/>
    <x v="838"/>
    <x v="305"/>
    <x v="296"/>
    <x v="3"/>
  </r>
  <r>
    <x v="1523"/>
    <x v="183"/>
    <x v="11"/>
    <x v="1333"/>
    <x v="824"/>
    <x v="26"/>
    <x v="1627"/>
    <x v="2115"/>
    <x v="752"/>
    <x v="1544"/>
    <x v="305"/>
    <x v="296"/>
    <x v="4"/>
  </r>
  <r>
    <x v="1524"/>
    <x v="183"/>
    <x v="13"/>
    <x v="1341"/>
    <x v="824"/>
    <x v="30"/>
    <x v="1340"/>
    <x v="1989"/>
    <x v="687"/>
    <x v="1165"/>
    <x v="305"/>
    <x v="296"/>
    <x v="5"/>
  </r>
  <r>
    <x v="1525"/>
    <x v="183"/>
    <x v="17"/>
    <x v="1224"/>
    <x v="736"/>
    <x v="19"/>
    <x v="1306"/>
    <x v="2145"/>
    <x v="725"/>
    <x v="1267"/>
    <x v="305"/>
    <x v="296"/>
    <x v="6"/>
  </r>
  <r>
    <x v="1526"/>
    <x v="183"/>
    <x v="22"/>
    <x v="1263"/>
    <x v="723"/>
    <x v="12"/>
    <x v="1561"/>
    <x v="2508"/>
    <x v="891"/>
    <x v="1599"/>
    <x v="305"/>
    <x v="296"/>
    <x v="7"/>
  </r>
  <r>
    <x v="1527"/>
    <x v="183"/>
    <x v="27"/>
    <x v="1270"/>
    <x v="742"/>
    <x v="16"/>
    <x v="1996"/>
    <x v="2761"/>
    <x v="1696"/>
    <x v="2270"/>
    <x v="305"/>
    <x v="296"/>
    <x v="8"/>
  </r>
  <r>
    <x v="1528"/>
    <x v="183"/>
    <x v="29"/>
    <x v="1271"/>
    <x v="727"/>
    <x v="16"/>
    <x v="1807"/>
    <x v="2682"/>
    <x v="1021"/>
    <x v="1945"/>
    <x v="305"/>
    <x v="296"/>
    <x v="9"/>
  </r>
  <r>
    <x v="1529"/>
    <x v="184"/>
    <x v="1"/>
    <x v="1410"/>
    <x v="559"/>
    <x v="39"/>
    <x v="1602"/>
    <x v="1896"/>
    <x v="1147"/>
    <x v="1371"/>
    <x v="138"/>
    <x v="351"/>
    <x v="1"/>
  </r>
  <r>
    <x v="1530"/>
    <x v="184"/>
    <x v="4"/>
    <x v="1411"/>
    <x v="559"/>
    <x v="39"/>
    <x v="2244"/>
    <x v="2377"/>
    <x v="2413"/>
    <x v="2444"/>
    <x v="138"/>
    <x v="351"/>
    <x v="2"/>
  </r>
  <r>
    <x v="1531"/>
    <x v="184"/>
    <x v="6"/>
    <x v="1413"/>
    <x v="576"/>
    <x v="35"/>
    <x v="1977"/>
    <x v="2153"/>
    <x v="1934"/>
    <x v="1952"/>
    <x v="138"/>
    <x v="351"/>
    <x v="3"/>
  </r>
  <r>
    <x v="1532"/>
    <x v="184"/>
    <x v="9"/>
    <x v="1417"/>
    <x v="576"/>
    <x v="38"/>
    <x v="2282"/>
    <x v="2552"/>
    <x v="2317"/>
    <x v="2497"/>
    <x v="138"/>
    <x v="351"/>
    <x v="4"/>
  </r>
  <r>
    <x v="1533"/>
    <x v="184"/>
    <x v="12"/>
    <x v="1420"/>
    <x v="549"/>
    <x v="36"/>
    <x v="2356"/>
    <x v="2664"/>
    <x v="2412"/>
    <x v="2608"/>
    <x v="138"/>
    <x v="351"/>
    <x v="5"/>
  </r>
  <r>
    <x v="1534"/>
    <x v="184"/>
    <x v="15"/>
    <x v="1421"/>
    <x v="551"/>
    <x v="38"/>
    <x v="1862"/>
    <x v="2444"/>
    <x v="1535"/>
    <x v="1754"/>
    <x v="138"/>
    <x v="351"/>
    <x v="6"/>
  </r>
  <r>
    <x v="1535"/>
    <x v="184"/>
    <x v="20"/>
    <x v="1423"/>
    <x v="550"/>
    <x v="38"/>
    <x v="1708"/>
    <x v="2391"/>
    <x v="1261"/>
    <x v="1499"/>
    <x v="138"/>
    <x v="351"/>
    <x v="7"/>
  </r>
  <r>
    <x v="1536"/>
    <x v="184"/>
    <x v="25"/>
    <x v="1426"/>
    <x v="554"/>
    <x v="38"/>
    <x v="2235"/>
    <x v="2764"/>
    <x v="2389"/>
    <x v="2417"/>
    <x v="138"/>
    <x v="351"/>
    <x v="8"/>
  </r>
  <r>
    <x v="1537"/>
    <x v="184"/>
    <x v="28"/>
    <x v="1428"/>
    <x v="615"/>
    <x v="38"/>
    <x v="2029"/>
    <x v="2612"/>
    <x v="2064"/>
    <x v="2009"/>
    <x v="138"/>
    <x v="351"/>
    <x v="9"/>
  </r>
  <r>
    <x v="1538"/>
    <x v="185"/>
    <x v="3"/>
    <x v="1739"/>
    <x v="848"/>
    <x v="39"/>
    <x v="2923"/>
    <x v="3125"/>
    <x v="3071"/>
    <x v="2976"/>
    <x v="294"/>
    <x v="284"/>
    <x v="1"/>
  </r>
  <r>
    <x v="1539"/>
    <x v="185"/>
    <x v="5"/>
    <x v="1759"/>
    <x v="848"/>
    <x v="36"/>
    <x v="1327"/>
    <x v="2133"/>
    <x v="583"/>
    <x v="710"/>
    <x v="294"/>
    <x v="284"/>
    <x v="2"/>
  </r>
  <r>
    <x v="1540"/>
    <x v="185"/>
    <x v="8"/>
    <x v="1759"/>
    <x v="848"/>
    <x v="36"/>
    <x v="1327"/>
    <x v="2133"/>
    <x v="583"/>
    <x v="710"/>
    <x v="294"/>
    <x v="284"/>
    <x v="3"/>
  </r>
  <r>
    <x v="1541"/>
    <x v="185"/>
    <x v="11"/>
    <x v="1759"/>
    <x v="847"/>
    <x v="40"/>
    <x v="511"/>
    <x v="1259"/>
    <x v="141"/>
    <x v="267"/>
    <x v="294"/>
    <x v="284"/>
    <x v="4"/>
  </r>
  <r>
    <x v="1542"/>
    <x v="185"/>
    <x v="13"/>
    <x v="1760"/>
    <x v="847"/>
    <x v="34"/>
    <x v="1716"/>
    <x v="2406"/>
    <x v="740"/>
    <x v="1069"/>
    <x v="294"/>
    <x v="284"/>
    <x v="5"/>
  </r>
  <r>
    <x v="1543"/>
    <x v="185"/>
    <x v="17"/>
    <x v="1763"/>
    <x v="853"/>
    <x v="33"/>
    <x v="56"/>
    <x v="83"/>
    <x v="46"/>
    <x v="45"/>
    <x v="294"/>
    <x v="284"/>
    <x v="6"/>
  </r>
  <r>
    <x v="1544"/>
    <x v="185"/>
    <x v="22"/>
    <x v="1765"/>
    <x v="853"/>
    <x v="38"/>
    <x v="570"/>
    <x v="1466"/>
    <x v="173"/>
    <x v="289"/>
    <x v="294"/>
    <x v="284"/>
    <x v="7"/>
  </r>
  <r>
    <x v="1545"/>
    <x v="185"/>
    <x v="27"/>
    <x v="1765"/>
    <x v="853"/>
    <x v="42"/>
    <x v="537"/>
    <x v="1459"/>
    <x v="166"/>
    <x v="278"/>
    <x v="294"/>
    <x v="284"/>
    <x v="8"/>
  </r>
  <r>
    <x v="1546"/>
    <x v="185"/>
    <x v="29"/>
    <x v="1768"/>
    <x v="853"/>
    <x v="40"/>
    <x v="800"/>
    <x v="1835"/>
    <x v="455"/>
    <x v="414"/>
    <x v="294"/>
    <x v="284"/>
    <x v="9"/>
  </r>
  <r>
    <x v="1547"/>
    <x v="186"/>
    <x v="1"/>
    <x v="2135"/>
    <x v="1232"/>
    <x v="30"/>
    <x v="3008"/>
    <x v="2956"/>
    <x v="1913"/>
    <x v="2650"/>
    <x v="385"/>
    <x v="365"/>
    <x v="1"/>
  </r>
  <r>
    <x v="1548"/>
    <x v="186"/>
    <x v="4"/>
    <x v="2150"/>
    <x v="1239"/>
    <x v="30"/>
    <x v="3032"/>
    <x v="3025"/>
    <x v="1795"/>
    <x v="2700"/>
    <x v="385"/>
    <x v="365"/>
    <x v="2"/>
  </r>
  <r>
    <x v="1549"/>
    <x v="186"/>
    <x v="6"/>
    <x v="2154"/>
    <x v="1244"/>
    <x v="29"/>
    <x v="2933"/>
    <x v="2952"/>
    <x v="1431"/>
    <x v="2495"/>
    <x v="385"/>
    <x v="365"/>
    <x v="3"/>
  </r>
  <r>
    <x v="1550"/>
    <x v="186"/>
    <x v="9"/>
    <x v="2159"/>
    <x v="1245"/>
    <x v="41"/>
    <x v="2907"/>
    <x v="2937"/>
    <x v="1745"/>
    <x v="2442"/>
    <x v="385"/>
    <x v="365"/>
    <x v="4"/>
  </r>
  <r>
    <x v="1551"/>
    <x v="186"/>
    <x v="12"/>
    <x v="2161"/>
    <x v="1258"/>
    <x v="39"/>
    <x v="2925"/>
    <x v="3044"/>
    <x v="2082"/>
    <x v="2460"/>
    <x v="385"/>
    <x v="365"/>
    <x v="5"/>
  </r>
  <r>
    <x v="1552"/>
    <x v="186"/>
    <x v="15"/>
    <x v="2162"/>
    <x v="1263"/>
    <x v="37"/>
    <x v="2480"/>
    <x v="2939"/>
    <x v="699"/>
    <x v="1669"/>
    <x v="385"/>
    <x v="365"/>
    <x v="6"/>
  </r>
  <r>
    <x v="1553"/>
    <x v="186"/>
    <x v="20"/>
    <x v="2163"/>
    <x v="1261"/>
    <x v="48"/>
    <x v="2531"/>
    <x v="2825"/>
    <x v="845"/>
    <x v="1761"/>
    <x v="385"/>
    <x v="365"/>
    <x v="7"/>
  </r>
  <r>
    <x v="1554"/>
    <x v="186"/>
    <x v="25"/>
    <x v="2165"/>
    <x v="1265"/>
    <x v="46"/>
    <x v="2837"/>
    <x v="3077"/>
    <x v="1671"/>
    <x v="2290"/>
    <x v="385"/>
    <x v="365"/>
    <x v="8"/>
  </r>
  <r>
    <x v="1555"/>
    <x v="186"/>
    <x v="28"/>
    <x v="2170"/>
    <x v="1260"/>
    <x v="40"/>
    <x v="2846"/>
    <x v="3090"/>
    <x v="1591"/>
    <x v="2301"/>
    <x v="385"/>
    <x v="365"/>
    <x v="9"/>
  </r>
  <r>
    <x v="1556"/>
    <x v="187"/>
    <x v="3"/>
    <x v="2608"/>
    <x v="1456"/>
    <x v="26"/>
    <x v="2877"/>
    <x v="2759"/>
    <x v="961"/>
    <x v="1393"/>
    <x v="310"/>
    <x v="95"/>
    <x v="1"/>
  </r>
  <r>
    <x v="1557"/>
    <x v="187"/>
    <x v="5"/>
    <x v="2555"/>
    <x v="1474"/>
    <x v="28"/>
    <x v="2675"/>
    <x v="2619"/>
    <x v="717"/>
    <x v="1260"/>
    <x v="310"/>
    <x v="95"/>
    <x v="2"/>
  </r>
  <r>
    <x v="1558"/>
    <x v="187"/>
    <x v="8"/>
    <x v="2640"/>
    <x v="1472"/>
    <x v="28"/>
    <x v="2679"/>
    <x v="2662"/>
    <x v="807"/>
    <x v="1035"/>
    <x v="310"/>
    <x v="95"/>
    <x v="3"/>
  </r>
  <r>
    <x v="1559"/>
    <x v="187"/>
    <x v="11"/>
    <x v="2641"/>
    <x v="1475"/>
    <x v="34"/>
    <x v="2909"/>
    <x v="2874"/>
    <x v="1043"/>
    <x v="1398"/>
    <x v="310"/>
    <x v="95"/>
    <x v="4"/>
  </r>
  <r>
    <x v="1560"/>
    <x v="187"/>
    <x v="13"/>
    <x v="2636"/>
    <x v="1483"/>
    <x v="34"/>
    <x v="2732"/>
    <x v="2738"/>
    <x v="625"/>
    <x v="1115"/>
    <x v="310"/>
    <x v="95"/>
    <x v="5"/>
  </r>
  <r>
    <x v="1561"/>
    <x v="187"/>
    <x v="17"/>
    <x v="2639"/>
    <x v="1477"/>
    <x v="34"/>
    <x v="2721"/>
    <x v="2781"/>
    <x v="637"/>
    <x v="1100"/>
    <x v="310"/>
    <x v="95"/>
    <x v="6"/>
  </r>
  <r>
    <x v="1562"/>
    <x v="187"/>
    <x v="22"/>
    <x v="2663"/>
    <x v="1453"/>
    <x v="38"/>
    <x v="2619"/>
    <x v="2798"/>
    <x v="660"/>
    <x v="949"/>
    <x v="310"/>
    <x v="95"/>
    <x v="7"/>
  </r>
  <r>
    <x v="1563"/>
    <x v="187"/>
    <x v="27"/>
    <x v="2664"/>
    <x v="1451"/>
    <x v="40"/>
    <x v="2683"/>
    <x v="2842"/>
    <x v="651"/>
    <x v="1002"/>
    <x v="310"/>
    <x v="95"/>
    <x v="8"/>
  </r>
  <r>
    <x v="1564"/>
    <x v="187"/>
    <x v="29"/>
    <x v="2661"/>
    <x v="1450"/>
    <x v="40"/>
    <x v="2725"/>
    <x v="2834"/>
    <x v="640"/>
    <x v="1073"/>
    <x v="310"/>
    <x v="95"/>
    <x v="9"/>
  </r>
  <r>
    <x v="1565"/>
    <x v="188"/>
    <x v="1"/>
    <x v="576"/>
    <x v="249"/>
    <x v="33"/>
    <x v="1186"/>
    <x v="937"/>
    <x v="2656"/>
    <x v="2146"/>
    <x v="323"/>
    <x v="302"/>
    <x v="1"/>
  </r>
  <r>
    <x v="1566"/>
    <x v="188"/>
    <x v="4"/>
    <x v="502"/>
    <x v="249"/>
    <x v="24"/>
    <x v="1143"/>
    <x v="1557"/>
    <x v="2418"/>
    <x v="2231"/>
    <x v="323"/>
    <x v="302"/>
    <x v="2"/>
  </r>
  <r>
    <x v="1567"/>
    <x v="188"/>
    <x v="6"/>
    <x v="502"/>
    <x v="249"/>
    <x v="37"/>
    <x v="633"/>
    <x v="949"/>
    <x v="2089"/>
    <x v="1182"/>
    <x v="323"/>
    <x v="302"/>
    <x v="3"/>
  </r>
  <r>
    <x v="1568"/>
    <x v="188"/>
    <x v="9"/>
    <x v="517"/>
    <x v="250"/>
    <x v="38"/>
    <x v="1153"/>
    <x v="1607"/>
    <x v="2490"/>
    <x v="2225"/>
    <x v="323"/>
    <x v="302"/>
    <x v="4"/>
  </r>
  <r>
    <x v="1569"/>
    <x v="188"/>
    <x v="12"/>
    <x v="517"/>
    <x v="250"/>
    <x v="34"/>
    <x v="745"/>
    <x v="1265"/>
    <x v="1956"/>
    <x v="1421"/>
    <x v="323"/>
    <x v="302"/>
    <x v="5"/>
  </r>
  <r>
    <x v="1570"/>
    <x v="188"/>
    <x v="15"/>
    <x v="517"/>
    <x v="250"/>
    <x v="39"/>
    <x v="750"/>
    <x v="1218"/>
    <x v="2348"/>
    <x v="1437"/>
    <x v="323"/>
    <x v="302"/>
    <x v="6"/>
  </r>
  <r>
    <x v="1571"/>
    <x v="188"/>
    <x v="20"/>
    <x v="499"/>
    <x v="248"/>
    <x v="19"/>
    <x v="25"/>
    <x v="25"/>
    <x v="721"/>
    <x v="18"/>
    <x v="323"/>
    <x v="302"/>
    <x v="7"/>
  </r>
  <r>
    <x v="1572"/>
    <x v="188"/>
    <x v="25"/>
    <x v="508"/>
    <x v="248"/>
    <x v="28"/>
    <x v="140"/>
    <x v="250"/>
    <x v="1090"/>
    <x v="214"/>
    <x v="323"/>
    <x v="302"/>
    <x v="8"/>
  </r>
  <r>
    <x v="1573"/>
    <x v="188"/>
    <x v="28"/>
    <x v="515"/>
    <x v="248"/>
    <x v="29"/>
    <x v="2377"/>
    <x v="2714"/>
    <x v="3250"/>
    <x v="3398"/>
    <x v="323"/>
    <x v="302"/>
    <x v="9"/>
  </r>
  <r>
    <x v="1574"/>
    <x v="189"/>
    <x v="1"/>
    <x v="1372"/>
    <x v="624"/>
    <x v="38"/>
    <x v="708"/>
    <x v="1451"/>
    <x v="323"/>
    <x v="526"/>
    <x v="331"/>
    <x v="180"/>
    <x v="1"/>
  </r>
  <r>
    <x v="1575"/>
    <x v="189"/>
    <x v="4"/>
    <x v="1429"/>
    <x v="624"/>
    <x v="40"/>
    <x v="1008"/>
    <x v="1629"/>
    <x v="470"/>
    <x v="682"/>
    <x v="331"/>
    <x v="180"/>
    <x v="2"/>
  </r>
  <r>
    <x v="1576"/>
    <x v="189"/>
    <x v="6"/>
    <x v="1459"/>
    <x v="662"/>
    <x v="41"/>
    <x v="477"/>
    <x v="1282"/>
    <x v="404"/>
    <x v="332"/>
    <x v="331"/>
    <x v="180"/>
    <x v="3"/>
  </r>
  <r>
    <x v="1577"/>
    <x v="189"/>
    <x v="9"/>
    <x v="1459"/>
    <x v="650"/>
    <x v="40"/>
    <x v="528"/>
    <x v="1475"/>
    <x v="261"/>
    <x v="367"/>
    <x v="331"/>
    <x v="180"/>
    <x v="4"/>
  </r>
  <r>
    <x v="1578"/>
    <x v="189"/>
    <x v="12"/>
    <x v="1409"/>
    <x v="722"/>
    <x v="41"/>
    <x v="1326"/>
    <x v="2155"/>
    <x v="904"/>
    <x v="1023"/>
    <x v="331"/>
    <x v="180"/>
    <x v="5"/>
  </r>
  <r>
    <x v="1579"/>
    <x v="189"/>
    <x v="15"/>
    <x v="1409"/>
    <x v="722"/>
    <x v="41"/>
    <x v="1192"/>
    <x v="2103"/>
    <x v="919"/>
    <x v="883"/>
    <x v="331"/>
    <x v="180"/>
    <x v="6"/>
  </r>
  <r>
    <x v="1580"/>
    <x v="189"/>
    <x v="20"/>
    <x v="1469"/>
    <x v="724"/>
    <x v="41"/>
    <x v="1175"/>
    <x v="2233"/>
    <x v="1575"/>
    <x v="802"/>
    <x v="331"/>
    <x v="180"/>
    <x v="7"/>
  </r>
  <r>
    <x v="1581"/>
    <x v="189"/>
    <x v="25"/>
    <x v="1469"/>
    <x v="724"/>
    <x v="38"/>
    <x v="815"/>
    <x v="2072"/>
    <x v="1529"/>
    <x v="534"/>
    <x v="331"/>
    <x v="180"/>
    <x v="8"/>
  </r>
  <r>
    <x v="1582"/>
    <x v="189"/>
    <x v="28"/>
    <x v="1469"/>
    <x v="724"/>
    <x v="29"/>
    <x v="1591"/>
    <x v="2667"/>
    <x v="2870"/>
    <x v="1289"/>
    <x v="331"/>
    <x v="180"/>
    <x v="9"/>
  </r>
  <r>
    <x v="1583"/>
    <x v="190"/>
    <x v="1"/>
    <x v="1515"/>
    <x v="685"/>
    <x v="24"/>
    <x v="2436"/>
    <x v="2629"/>
    <x v="1917"/>
    <x v="2597"/>
    <x v="358"/>
    <x v="341"/>
    <x v="1"/>
  </r>
  <r>
    <x v="1584"/>
    <x v="190"/>
    <x v="4"/>
    <x v="1515"/>
    <x v="685"/>
    <x v="22"/>
    <x v="2691"/>
    <x v="2617"/>
    <x v="2281"/>
    <x v="2915"/>
    <x v="358"/>
    <x v="341"/>
    <x v="2"/>
  </r>
  <r>
    <x v="1585"/>
    <x v="190"/>
    <x v="6"/>
    <x v="1515"/>
    <x v="685"/>
    <x v="24"/>
    <x v="1086"/>
    <x v="1811"/>
    <x v="703"/>
    <x v="701"/>
    <x v="358"/>
    <x v="341"/>
    <x v="3"/>
  </r>
  <r>
    <x v="1586"/>
    <x v="190"/>
    <x v="9"/>
    <x v="1515"/>
    <x v="685"/>
    <x v="24"/>
    <x v="1425"/>
    <x v="1707"/>
    <x v="983"/>
    <x v="1032"/>
    <x v="358"/>
    <x v="341"/>
    <x v="4"/>
  </r>
  <r>
    <x v="1587"/>
    <x v="190"/>
    <x v="12"/>
    <x v="1515"/>
    <x v="685"/>
    <x v="25"/>
    <x v="2393"/>
    <x v="2449"/>
    <x v="2102"/>
    <x v="2557"/>
    <x v="358"/>
    <x v="341"/>
    <x v="5"/>
  </r>
  <r>
    <x v="1588"/>
    <x v="190"/>
    <x v="15"/>
    <x v="1532"/>
    <x v="685"/>
    <x v="31"/>
    <x v="1923"/>
    <x v="2039"/>
    <x v="1421"/>
    <x v="1702"/>
    <x v="358"/>
    <x v="341"/>
    <x v="6"/>
  </r>
  <r>
    <x v="1589"/>
    <x v="190"/>
    <x v="20"/>
    <x v="1531"/>
    <x v="745"/>
    <x v="31"/>
    <x v="2468"/>
    <x v="2981"/>
    <x v="1955"/>
    <x v="2638"/>
    <x v="358"/>
    <x v="341"/>
    <x v="7"/>
  </r>
  <r>
    <x v="1590"/>
    <x v="190"/>
    <x v="25"/>
    <x v="1539"/>
    <x v="745"/>
    <x v="37"/>
    <x v="451"/>
    <x v="1082"/>
    <x v="1532"/>
    <x v="291"/>
    <x v="358"/>
    <x v="341"/>
    <x v="8"/>
  </r>
  <r>
    <x v="1591"/>
    <x v="190"/>
    <x v="28"/>
    <x v="1544"/>
    <x v="745"/>
    <x v="38"/>
    <x v="1592"/>
    <x v="2185"/>
    <x v="1711"/>
    <x v="1201"/>
    <x v="358"/>
    <x v="341"/>
    <x v="9"/>
  </r>
  <r>
    <x v="1592"/>
    <x v="191"/>
    <x v="1"/>
    <x v="2787"/>
    <x v="1548"/>
    <x v="25"/>
    <x v="22"/>
    <x v="24"/>
    <x v="33"/>
    <x v="36"/>
    <x v="162"/>
    <x v="166"/>
    <x v="1"/>
  </r>
  <r>
    <x v="1593"/>
    <x v="191"/>
    <x v="4"/>
    <x v="2778"/>
    <x v="1548"/>
    <x v="32"/>
    <x v="0"/>
    <x v="2"/>
    <x v="1"/>
    <x v="3"/>
    <x v="162"/>
    <x v="166"/>
    <x v="2"/>
  </r>
  <r>
    <x v="1594"/>
    <x v="191"/>
    <x v="6"/>
    <x v="2748"/>
    <x v="1548"/>
    <x v="32"/>
    <x v="2807"/>
    <x v="2789"/>
    <x v="550"/>
    <x v="1013"/>
    <x v="162"/>
    <x v="166"/>
    <x v="3"/>
  </r>
  <r>
    <x v="1595"/>
    <x v="191"/>
    <x v="9"/>
    <x v="2783"/>
    <x v="1548"/>
    <x v="32"/>
    <x v="3115"/>
    <x v="3112"/>
    <x v="1281"/>
    <x v="1631"/>
    <x v="162"/>
    <x v="166"/>
    <x v="4"/>
  </r>
  <r>
    <x v="1596"/>
    <x v="191"/>
    <x v="12"/>
    <x v="2783"/>
    <x v="1548"/>
    <x v="26"/>
    <x v="3069"/>
    <x v="2965"/>
    <x v="1015"/>
    <x v="1457"/>
    <x v="162"/>
    <x v="166"/>
    <x v="5"/>
  </r>
  <r>
    <x v="1597"/>
    <x v="191"/>
    <x v="15"/>
    <x v="2777"/>
    <x v="1543"/>
    <x v="34"/>
    <x v="3199"/>
    <x v="3110"/>
    <x v="1595"/>
    <x v="1943"/>
    <x v="162"/>
    <x v="166"/>
    <x v="6"/>
  </r>
  <r>
    <x v="1598"/>
    <x v="191"/>
    <x v="20"/>
    <x v="2772"/>
    <x v="1524"/>
    <x v="39"/>
    <x v="3030"/>
    <x v="3071"/>
    <x v="968"/>
    <x v="1396"/>
    <x v="162"/>
    <x v="166"/>
    <x v="7"/>
  </r>
  <r>
    <x v="1599"/>
    <x v="191"/>
    <x v="25"/>
    <x v="2775"/>
    <x v="1508"/>
    <x v="40"/>
    <x v="2383"/>
    <x v="2594"/>
    <x v="367"/>
    <x v="616"/>
    <x v="162"/>
    <x v="166"/>
    <x v="8"/>
  </r>
  <r>
    <x v="1600"/>
    <x v="191"/>
    <x v="28"/>
    <x v="2776"/>
    <x v="1508"/>
    <x v="38"/>
    <x v="2549"/>
    <x v="2758"/>
    <x v="444"/>
    <x v="733"/>
    <x v="162"/>
    <x v="166"/>
    <x v="9"/>
  </r>
  <r>
    <x v="1601"/>
    <x v="192"/>
    <x v="1"/>
    <x v="2464"/>
    <x v="1380"/>
    <x v="22"/>
    <x v="2754"/>
    <x v="2681"/>
    <x v="1343"/>
    <x v="1617"/>
    <x v="124"/>
    <x v="146"/>
    <x v="1"/>
  </r>
  <r>
    <x v="1602"/>
    <x v="192"/>
    <x v="4"/>
    <x v="2462"/>
    <x v="1380"/>
    <x v="22"/>
    <x v="2984"/>
    <x v="2908"/>
    <x v="1681"/>
    <x v="2100"/>
    <x v="124"/>
    <x v="146"/>
    <x v="2"/>
  </r>
  <r>
    <x v="1603"/>
    <x v="192"/>
    <x v="6"/>
    <x v="2461"/>
    <x v="1380"/>
    <x v="29"/>
    <x v="2450"/>
    <x v="2539"/>
    <x v="584"/>
    <x v="1162"/>
    <x v="124"/>
    <x v="146"/>
    <x v="3"/>
  </r>
  <r>
    <x v="1604"/>
    <x v="192"/>
    <x v="9"/>
    <x v="2469"/>
    <x v="1380"/>
    <x v="29"/>
    <x v="3072"/>
    <x v="3085"/>
    <x v="1672"/>
    <x v="2326"/>
    <x v="124"/>
    <x v="146"/>
    <x v="4"/>
  </r>
  <r>
    <x v="1605"/>
    <x v="192"/>
    <x v="12"/>
    <x v="2476"/>
    <x v="1380"/>
    <x v="29"/>
    <x v="3043"/>
    <x v="3042"/>
    <x v="1543"/>
    <x v="2232"/>
    <x v="124"/>
    <x v="146"/>
    <x v="5"/>
  </r>
  <r>
    <x v="1606"/>
    <x v="192"/>
    <x v="15"/>
    <x v="2477"/>
    <x v="1380"/>
    <x v="27"/>
    <x v="2879"/>
    <x v="2818"/>
    <x v="1130"/>
    <x v="1854"/>
    <x v="124"/>
    <x v="146"/>
    <x v="6"/>
  </r>
  <r>
    <x v="1607"/>
    <x v="192"/>
    <x v="20"/>
    <x v="2480"/>
    <x v="1382"/>
    <x v="32"/>
    <x v="2362"/>
    <x v="2603"/>
    <x v="588"/>
    <x v="1019"/>
    <x v="124"/>
    <x v="146"/>
    <x v="7"/>
  </r>
  <r>
    <x v="1608"/>
    <x v="192"/>
    <x v="25"/>
    <x v="2486"/>
    <x v="1382"/>
    <x v="35"/>
    <x v="3053"/>
    <x v="3040"/>
    <x v="1782"/>
    <x v="2262"/>
    <x v="124"/>
    <x v="146"/>
    <x v="8"/>
  </r>
  <r>
    <x v="1609"/>
    <x v="192"/>
    <x v="28"/>
    <x v="2493"/>
    <x v="1382"/>
    <x v="31"/>
    <x v="3085"/>
    <x v="3097"/>
    <x v="1768"/>
    <x v="2322"/>
    <x v="124"/>
    <x v="146"/>
    <x v="9"/>
  </r>
  <r>
    <x v="1610"/>
    <x v="193"/>
    <x v="1"/>
    <x v="1891"/>
    <x v="975"/>
    <x v="36"/>
    <x v="2038"/>
    <x v="1593"/>
    <x v="1091"/>
    <x v="1291"/>
    <x v="381"/>
    <x v="361"/>
    <x v="1"/>
  </r>
  <r>
    <x v="1611"/>
    <x v="193"/>
    <x v="4"/>
    <x v="1899"/>
    <x v="968"/>
    <x v="41"/>
    <x v="1412"/>
    <x v="1149"/>
    <x v="466"/>
    <x v="647"/>
    <x v="381"/>
    <x v="361"/>
    <x v="2"/>
  </r>
  <r>
    <x v="1612"/>
    <x v="193"/>
    <x v="6"/>
    <x v="1903"/>
    <x v="968"/>
    <x v="42"/>
    <x v="1832"/>
    <x v="1373"/>
    <x v="694"/>
    <x v="995"/>
    <x v="381"/>
    <x v="361"/>
    <x v="3"/>
  </r>
  <r>
    <x v="1613"/>
    <x v="193"/>
    <x v="9"/>
    <x v="1911"/>
    <x v="990"/>
    <x v="44"/>
    <x v="1619"/>
    <x v="1268"/>
    <x v="417"/>
    <x v="783"/>
    <x v="381"/>
    <x v="361"/>
    <x v="4"/>
  </r>
  <r>
    <x v="1614"/>
    <x v="193"/>
    <x v="12"/>
    <x v="1890"/>
    <x v="973"/>
    <x v="46"/>
    <x v="2091"/>
    <x v="1104"/>
    <x v="978"/>
    <x v="1368"/>
    <x v="381"/>
    <x v="361"/>
    <x v="5"/>
  </r>
  <r>
    <x v="1615"/>
    <x v="193"/>
    <x v="15"/>
    <x v="1903"/>
    <x v="971"/>
    <x v="43"/>
    <x v="1883"/>
    <x v="509"/>
    <x v="679"/>
    <x v="1059"/>
    <x v="381"/>
    <x v="361"/>
    <x v="6"/>
  </r>
  <r>
    <x v="1616"/>
    <x v="193"/>
    <x v="20"/>
    <x v="1918"/>
    <x v="981"/>
    <x v="35"/>
    <x v="2165"/>
    <x v="2262"/>
    <x v="1240"/>
    <x v="1480"/>
    <x v="381"/>
    <x v="361"/>
    <x v="7"/>
  </r>
  <r>
    <x v="1617"/>
    <x v="193"/>
    <x v="25"/>
    <x v="1910"/>
    <x v="981"/>
    <x v="36"/>
    <x v="1699"/>
    <x v="1934"/>
    <x v="692"/>
    <x v="843"/>
    <x v="381"/>
    <x v="361"/>
    <x v="8"/>
  </r>
  <r>
    <x v="1618"/>
    <x v="193"/>
    <x v="28"/>
    <x v="1929"/>
    <x v="982"/>
    <x v="37"/>
    <x v="2407"/>
    <x v="2589"/>
    <x v="1761"/>
    <x v="1886"/>
    <x v="381"/>
    <x v="361"/>
    <x v="9"/>
  </r>
  <r>
    <x v="1619"/>
    <x v="194"/>
    <x v="1"/>
    <x v="1727"/>
    <x v="864"/>
    <x v="28"/>
    <x v="1782"/>
    <x v="1838"/>
    <x v="1116"/>
    <x v="1188"/>
    <x v="120"/>
    <x v="140"/>
    <x v="1"/>
  </r>
  <r>
    <x v="1620"/>
    <x v="194"/>
    <x v="4"/>
    <x v="1727"/>
    <x v="864"/>
    <x v="31"/>
    <x v="1227"/>
    <x v="1580"/>
    <x v="449"/>
    <x v="654"/>
    <x v="120"/>
    <x v="140"/>
    <x v="2"/>
  </r>
  <r>
    <x v="1621"/>
    <x v="194"/>
    <x v="6"/>
    <x v="1722"/>
    <x v="864"/>
    <x v="30"/>
    <x v="944"/>
    <x v="1254"/>
    <x v="447"/>
    <x v="495"/>
    <x v="120"/>
    <x v="140"/>
    <x v="3"/>
  </r>
  <r>
    <x v="1622"/>
    <x v="194"/>
    <x v="9"/>
    <x v="1722"/>
    <x v="864"/>
    <x v="29"/>
    <x v="2059"/>
    <x v="2190"/>
    <x v="1523"/>
    <x v="1623"/>
    <x v="120"/>
    <x v="140"/>
    <x v="4"/>
  </r>
  <r>
    <x v="1623"/>
    <x v="194"/>
    <x v="12"/>
    <x v="1722"/>
    <x v="864"/>
    <x v="33"/>
    <x v="2385"/>
    <x v="2498"/>
    <x v="2081"/>
    <x v="2223"/>
    <x v="120"/>
    <x v="140"/>
    <x v="5"/>
  </r>
  <r>
    <x v="1624"/>
    <x v="194"/>
    <x v="15"/>
    <x v="1728"/>
    <x v="864"/>
    <x v="35"/>
    <x v="1914"/>
    <x v="2065"/>
    <x v="974"/>
    <x v="1382"/>
    <x v="120"/>
    <x v="140"/>
    <x v="6"/>
  </r>
  <r>
    <x v="1625"/>
    <x v="194"/>
    <x v="20"/>
    <x v="1734"/>
    <x v="864"/>
    <x v="28"/>
    <x v="1874"/>
    <x v="2102"/>
    <x v="868"/>
    <x v="1331"/>
    <x v="120"/>
    <x v="140"/>
    <x v="7"/>
  </r>
  <r>
    <x v="1626"/>
    <x v="194"/>
    <x v="25"/>
    <x v="1744"/>
    <x v="864"/>
    <x v="43"/>
    <x v="2249"/>
    <x v="2483"/>
    <x v="1738"/>
    <x v="1941"/>
    <x v="120"/>
    <x v="140"/>
    <x v="8"/>
  </r>
  <r>
    <x v="1627"/>
    <x v="194"/>
    <x v="28"/>
    <x v="1751"/>
    <x v="868"/>
    <x v="45"/>
    <x v="2003"/>
    <x v="2363"/>
    <x v="1068"/>
    <x v="1494"/>
    <x v="120"/>
    <x v="140"/>
    <x v="9"/>
  </r>
  <r>
    <x v="1628"/>
    <x v="195"/>
    <x v="3"/>
    <x v="2758"/>
    <x v="1590"/>
    <x v="43"/>
    <x v="3219"/>
    <x v="3309"/>
    <x v="1931"/>
    <x v="2052"/>
    <x v="222"/>
    <x v="181"/>
    <x v="1"/>
  </r>
  <r>
    <x v="1629"/>
    <x v="195"/>
    <x v="5"/>
    <x v="2756"/>
    <x v="1600"/>
    <x v="43"/>
    <x v="3066"/>
    <x v="3174"/>
    <x v="1574"/>
    <x v="1512"/>
    <x v="222"/>
    <x v="181"/>
    <x v="2"/>
  </r>
  <r>
    <x v="1630"/>
    <x v="195"/>
    <x v="8"/>
    <x v="2759"/>
    <x v="1600"/>
    <x v="47"/>
    <x v="3148"/>
    <x v="3249"/>
    <x v="1821"/>
    <x v="1778"/>
    <x v="222"/>
    <x v="181"/>
    <x v="3"/>
  </r>
  <r>
    <x v="1631"/>
    <x v="195"/>
    <x v="11"/>
    <x v="2762"/>
    <x v="1595"/>
    <x v="43"/>
    <x v="3275"/>
    <x v="3376"/>
    <x v="2305"/>
    <x v="2284"/>
    <x v="222"/>
    <x v="181"/>
    <x v="4"/>
  </r>
  <r>
    <x v="1632"/>
    <x v="195"/>
    <x v="13"/>
    <x v="2763"/>
    <x v="1595"/>
    <x v="40"/>
    <x v="3203"/>
    <x v="3316"/>
    <x v="1686"/>
    <x v="1981"/>
    <x v="222"/>
    <x v="181"/>
    <x v="5"/>
  </r>
  <r>
    <x v="1633"/>
    <x v="195"/>
    <x v="17"/>
    <x v="2766"/>
    <x v="1595"/>
    <x v="42"/>
    <x v="3176"/>
    <x v="3314"/>
    <x v="1863"/>
    <x v="1867"/>
    <x v="222"/>
    <x v="181"/>
    <x v="6"/>
  </r>
  <r>
    <x v="1634"/>
    <x v="195"/>
    <x v="22"/>
    <x v="2764"/>
    <x v="1594"/>
    <x v="48"/>
    <x v="2892"/>
    <x v="3118"/>
    <x v="980"/>
    <x v="1125"/>
    <x v="222"/>
    <x v="181"/>
    <x v="7"/>
  </r>
  <r>
    <x v="1635"/>
    <x v="195"/>
    <x v="27"/>
    <x v="2767"/>
    <x v="1583"/>
    <x v="43"/>
    <x v="2864"/>
    <x v="3137"/>
    <x v="1257"/>
    <x v="1072"/>
    <x v="222"/>
    <x v="181"/>
    <x v="8"/>
  </r>
  <r>
    <x v="1636"/>
    <x v="195"/>
    <x v="29"/>
    <x v="2768"/>
    <x v="1599"/>
    <x v="50"/>
    <x v="2937"/>
    <x v="3201"/>
    <x v="1037"/>
    <x v="1186"/>
    <x v="222"/>
    <x v="181"/>
    <x v="9"/>
  </r>
  <r>
    <x v="1637"/>
    <x v="196"/>
    <x v="1"/>
    <x v="1141"/>
    <x v="733"/>
    <x v="31"/>
    <x v="1419"/>
    <x v="2047"/>
    <x v="678"/>
    <x v="1554"/>
    <x v="108"/>
    <x v="182"/>
    <x v="1"/>
  </r>
  <r>
    <x v="1638"/>
    <x v="196"/>
    <x v="4"/>
    <x v="1143"/>
    <x v="728"/>
    <x v="33"/>
    <x v="1615"/>
    <x v="2129"/>
    <x v="971"/>
    <x v="1850"/>
    <x v="108"/>
    <x v="182"/>
    <x v="2"/>
  </r>
  <r>
    <x v="1639"/>
    <x v="196"/>
    <x v="6"/>
    <x v="1144"/>
    <x v="730"/>
    <x v="27"/>
    <x v="1634"/>
    <x v="2163"/>
    <x v="1104"/>
    <x v="1871"/>
    <x v="108"/>
    <x v="182"/>
    <x v="3"/>
  </r>
  <r>
    <x v="1640"/>
    <x v="196"/>
    <x v="9"/>
    <x v="1143"/>
    <x v="729"/>
    <x v="27"/>
    <x v="1597"/>
    <x v="2259"/>
    <x v="908"/>
    <x v="1828"/>
    <x v="108"/>
    <x v="182"/>
    <x v="4"/>
  </r>
  <r>
    <x v="1641"/>
    <x v="196"/>
    <x v="12"/>
    <x v="1149"/>
    <x v="729"/>
    <x v="27"/>
    <x v="1831"/>
    <x v="2346"/>
    <x v="1446"/>
    <x v="2185"/>
    <x v="108"/>
    <x v="182"/>
    <x v="5"/>
  </r>
  <r>
    <x v="1642"/>
    <x v="196"/>
    <x v="15"/>
    <x v="1111"/>
    <x v="729"/>
    <x v="27"/>
    <x v="1541"/>
    <x v="2193"/>
    <x v="995"/>
    <x v="1784"/>
    <x v="108"/>
    <x v="182"/>
    <x v="6"/>
  </r>
  <r>
    <x v="1643"/>
    <x v="196"/>
    <x v="20"/>
    <x v="1132"/>
    <x v="730"/>
    <x v="25"/>
    <x v="1545"/>
    <x v="2340"/>
    <x v="1041"/>
    <x v="1750"/>
    <x v="108"/>
    <x v="182"/>
    <x v="7"/>
  </r>
  <r>
    <x v="1644"/>
    <x v="196"/>
    <x v="25"/>
    <x v="1132"/>
    <x v="730"/>
    <x v="25"/>
    <x v="1485"/>
    <x v="2327"/>
    <x v="1157"/>
    <x v="1666"/>
    <x v="108"/>
    <x v="182"/>
    <x v="8"/>
  </r>
  <r>
    <x v="1645"/>
    <x v="196"/>
    <x v="28"/>
    <x v="1132"/>
    <x v="730"/>
    <x v="35"/>
    <x v="1456"/>
    <x v="2383"/>
    <x v="964"/>
    <x v="1615"/>
    <x v="108"/>
    <x v="182"/>
    <x v="9"/>
  </r>
  <r>
    <x v="1646"/>
    <x v="197"/>
    <x v="3"/>
    <x v="2887"/>
    <x v="1804"/>
    <x v="42"/>
    <x v="3363"/>
    <x v="3434"/>
    <x v="1456"/>
    <x v="1496"/>
    <x v="168"/>
    <x v="172"/>
    <x v="1"/>
  </r>
  <r>
    <x v="1647"/>
    <x v="197"/>
    <x v="5"/>
    <x v="2892"/>
    <x v="1785"/>
    <x v="44"/>
    <x v="3359"/>
    <x v="3428"/>
    <x v="1428"/>
    <x v="1403"/>
    <x v="168"/>
    <x v="172"/>
    <x v="2"/>
  </r>
  <r>
    <x v="1648"/>
    <x v="197"/>
    <x v="8"/>
    <x v="2893"/>
    <x v="1786"/>
    <x v="44"/>
    <x v="3316"/>
    <x v="3406"/>
    <x v="1310"/>
    <x v="1178"/>
    <x v="168"/>
    <x v="172"/>
    <x v="3"/>
  </r>
  <r>
    <x v="1649"/>
    <x v="197"/>
    <x v="11"/>
    <x v="2894"/>
    <x v="1789"/>
    <x v="45"/>
    <x v="3394"/>
    <x v="3437"/>
    <x v="2115"/>
    <x v="1648"/>
    <x v="168"/>
    <x v="172"/>
    <x v="4"/>
  </r>
  <r>
    <x v="1650"/>
    <x v="197"/>
    <x v="13"/>
    <x v="2895"/>
    <x v="1803"/>
    <x v="46"/>
    <x v="3336"/>
    <x v="3420"/>
    <x v="1250"/>
    <x v="1232"/>
    <x v="168"/>
    <x v="172"/>
    <x v="5"/>
  </r>
  <r>
    <x v="1651"/>
    <x v="197"/>
    <x v="17"/>
    <x v="2896"/>
    <x v="1792"/>
    <x v="40"/>
    <x v="3370"/>
    <x v="3432"/>
    <x v="1474"/>
    <x v="1364"/>
    <x v="168"/>
    <x v="172"/>
    <x v="6"/>
  </r>
  <r>
    <x v="1652"/>
    <x v="197"/>
    <x v="22"/>
    <x v="2897"/>
    <x v="1796"/>
    <x v="42"/>
    <x v="3158"/>
    <x v="3357"/>
    <x v="975"/>
    <x v="674"/>
    <x v="168"/>
    <x v="172"/>
    <x v="7"/>
  </r>
  <r>
    <x v="1653"/>
    <x v="197"/>
    <x v="27"/>
    <x v="2898"/>
    <x v="1812"/>
    <x v="43"/>
    <x v="3307"/>
    <x v="3419"/>
    <x v="1237"/>
    <x v="1001"/>
    <x v="168"/>
    <x v="172"/>
    <x v="8"/>
  </r>
  <r>
    <x v="1654"/>
    <x v="197"/>
    <x v="29"/>
    <x v="2899"/>
    <x v="1799"/>
    <x v="42"/>
    <x v="3246"/>
    <x v="3411"/>
    <x v="1173"/>
    <x v="829"/>
    <x v="168"/>
    <x v="172"/>
    <x v="9"/>
  </r>
  <r>
    <x v="1655"/>
    <x v="198"/>
    <x v="1"/>
    <x v="222"/>
    <x v="201"/>
    <x v="32"/>
    <x v="491"/>
    <x v="1070"/>
    <x v="805"/>
    <x v="1258"/>
    <x v="351"/>
    <x v="336"/>
    <x v="1"/>
  </r>
  <r>
    <x v="1656"/>
    <x v="198"/>
    <x v="4"/>
    <x v="222"/>
    <x v="201"/>
    <x v="38"/>
    <x v="419"/>
    <x v="940"/>
    <x v="1126"/>
    <x v="1022"/>
    <x v="351"/>
    <x v="336"/>
    <x v="2"/>
  </r>
  <r>
    <x v="1657"/>
    <x v="198"/>
    <x v="6"/>
    <x v="243"/>
    <x v="212"/>
    <x v="37"/>
    <x v="763"/>
    <x v="1467"/>
    <x v="1742"/>
    <x v="1984"/>
    <x v="351"/>
    <x v="336"/>
    <x v="3"/>
  </r>
  <r>
    <x v="1658"/>
    <x v="198"/>
    <x v="9"/>
    <x v="222"/>
    <x v="202"/>
    <x v="32"/>
    <x v="86"/>
    <x v="160"/>
    <x v="231"/>
    <x v="163"/>
    <x v="351"/>
    <x v="336"/>
    <x v="4"/>
  </r>
  <r>
    <x v="1659"/>
    <x v="198"/>
    <x v="12"/>
    <x v="261"/>
    <x v="202"/>
    <x v="32"/>
    <x v="1183"/>
    <x v="1932"/>
    <x v="2532"/>
    <x v="2695"/>
    <x v="351"/>
    <x v="336"/>
    <x v="5"/>
  </r>
  <r>
    <x v="1660"/>
    <x v="198"/>
    <x v="15"/>
    <x v="268"/>
    <x v="202"/>
    <x v="38"/>
    <x v="784"/>
    <x v="1720"/>
    <x v="1844"/>
    <x v="1961"/>
    <x v="351"/>
    <x v="336"/>
    <x v="6"/>
  </r>
  <r>
    <x v="1661"/>
    <x v="198"/>
    <x v="20"/>
    <x v="269"/>
    <x v="181"/>
    <x v="37"/>
    <x v="266"/>
    <x v="881"/>
    <x v="562"/>
    <x v="550"/>
    <x v="351"/>
    <x v="336"/>
    <x v="7"/>
  </r>
  <r>
    <x v="1662"/>
    <x v="198"/>
    <x v="25"/>
    <x v="274"/>
    <x v="181"/>
    <x v="35"/>
    <x v="507"/>
    <x v="1548"/>
    <x v="1239"/>
    <x v="1193"/>
    <x v="351"/>
    <x v="336"/>
    <x v="8"/>
  </r>
  <r>
    <x v="1663"/>
    <x v="198"/>
    <x v="28"/>
    <x v="287"/>
    <x v="181"/>
    <x v="36"/>
    <x v="360"/>
    <x v="1727"/>
    <x v="1218"/>
    <x v="767"/>
    <x v="351"/>
    <x v="336"/>
    <x v="9"/>
  </r>
  <r>
    <x v="1664"/>
    <x v="199"/>
    <x v="1"/>
    <x v="313"/>
    <x v="32"/>
    <x v="31"/>
    <x v="1885"/>
    <x v="1988"/>
    <x v="3331"/>
    <x v="3241"/>
    <x v="173"/>
    <x v="179"/>
    <x v="1"/>
  </r>
  <r>
    <x v="1665"/>
    <x v="199"/>
    <x v="4"/>
    <x v="313"/>
    <x v="32"/>
    <x v="29"/>
    <x v="670"/>
    <x v="1025"/>
    <x v="2257"/>
    <x v="1604"/>
    <x v="173"/>
    <x v="179"/>
    <x v="2"/>
  </r>
  <r>
    <x v="1666"/>
    <x v="199"/>
    <x v="6"/>
    <x v="313"/>
    <x v="31"/>
    <x v="25"/>
    <x v="468"/>
    <x v="469"/>
    <x v="2026"/>
    <x v="1061"/>
    <x v="173"/>
    <x v="179"/>
    <x v="3"/>
  </r>
  <r>
    <x v="1667"/>
    <x v="199"/>
    <x v="9"/>
    <x v="322"/>
    <x v="33"/>
    <x v="38"/>
    <x v="557"/>
    <x v="825"/>
    <x v="1972"/>
    <x v="1275"/>
    <x v="173"/>
    <x v="179"/>
    <x v="4"/>
  </r>
  <r>
    <x v="1668"/>
    <x v="199"/>
    <x v="12"/>
    <x v="321"/>
    <x v="33"/>
    <x v="31"/>
    <x v="481"/>
    <x v="767"/>
    <x v="1610"/>
    <x v="1075"/>
    <x v="173"/>
    <x v="179"/>
    <x v="5"/>
  </r>
  <r>
    <x v="1669"/>
    <x v="199"/>
    <x v="15"/>
    <x v="322"/>
    <x v="33"/>
    <x v="31"/>
    <x v="351"/>
    <x v="703"/>
    <x v="853"/>
    <x v="714"/>
    <x v="173"/>
    <x v="179"/>
    <x v="6"/>
  </r>
  <r>
    <x v="1670"/>
    <x v="199"/>
    <x v="20"/>
    <x v="307"/>
    <x v="38"/>
    <x v="37"/>
    <x v="75"/>
    <x v="110"/>
    <x v="168"/>
    <x v="120"/>
    <x v="173"/>
    <x v="179"/>
    <x v="7"/>
  </r>
  <r>
    <x v="1671"/>
    <x v="199"/>
    <x v="25"/>
    <x v="307"/>
    <x v="30"/>
    <x v="37"/>
    <x v="174"/>
    <x v="354"/>
    <x v="383"/>
    <x v="311"/>
    <x v="173"/>
    <x v="179"/>
    <x v="8"/>
  </r>
  <r>
    <x v="1672"/>
    <x v="199"/>
    <x v="28"/>
    <x v="322"/>
    <x v="30"/>
    <x v="33"/>
    <x v="145"/>
    <x v="312"/>
    <x v="295"/>
    <x v="245"/>
    <x v="173"/>
    <x v="179"/>
    <x v="9"/>
  </r>
  <r>
    <x v="1673"/>
    <x v="200"/>
    <x v="3"/>
    <x v="2771"/>
    <x v="1554"/>
    <x v="34"/>
    <x v="2990"/>
    <x v="3101"/>
    <x v="989"/>
    <x v="1301"/>
    <x v="317"/>
    <x v="296"/>
    <x v="1"/>
  </r>
  <r>
    <x v="1674"/>
    <x v="200"/>
    <x v="5"/>
    <x v="2781"/>
    <x v="1561"/>
    <x v="27"/>
    <x v="3071"/>
    <x v="3185"/>
    <x v="1160"/>
    <x v="1470"/>
    <x v="317"/>
    <x v="296"/>
    <x v="2"/>
  </r>
  <r>
    <x v="1675"/>
    <x v="200"/>
    <x v="8"/>
    <x v="2801"/>
    <x v="1568"/>
    <x v="31"/>
    <x v="3171"/>
    <x v="3287"/>
    <x v="1775"/>
    <x v="1722"/>
    <x v="317"/>
    <x v="296"/>
    <x v="3"/>
  </r>
  <r>
    <x v="1676"/>
    <x v="200"/>
    <x v="11"/>
    <x v="2796"/>
    <x v="1571"/>
    <x v="26"/>
    <x v="3102"/>
    <x v="3235"/>
    <x v="1465"/>
    <x v="1482"/>
    <x v="317"/>
    <x v="296"/>
    <x v="4"/>
  </r>
  <r>
    <x v="1677"/>
    <x v="200"/>
    <x v="13"/>
    <x v="2798"/>
    <x v="1577"/>
    <x v="24"/>
    <x v="2596"/>
    <x v="2943"/>
    <x v="729"/>
    <x v="717"/>
    <x v="317"/>
    <x v="296"/>
    <x v="5"/>
  </r>
  <r>
    <x v="1678"/>
    <x v="200"/>
    <x v="17"/>
    <x v="2800"/>
    <x v="1589"/>
    <x v="24"/>
    <x v="2202"/>
    <x v="2725"/>
    <x v="263"/>
    <x v="489"/>
    <x v="317"/>
    <x v="296"/>
    <x v="6"/>
  </r>
  <r>
    <x v="1679"/>
    <x v="200"/>
    <x v="22"/>
    <x v="2792"/>
    <x v="1596"/>
    <x v="16"/>
    <x v="2626"/>
    <x v="2993"/>
    <x v="661"/>
    <x v="763"/>
    <x v="317"/>
    <x v="296"/>
    <x v="7"/>
  </r>
  <r>
    <x v="1680"/>
    <x v="200"/>
    <x v="27"/>
    <x v="2794"/>
    <x v="1597"/>
    <x v="15"/>
    <x v="1833"/>
    <x v="2500"/>
    <x v="236"/>
    <x v="356"/>
    <x v="317"/>
    <x v="296"/>
    <x v="8"/>
  </r>
  <r>
    <x v="1681"/>
    <x v="200"/>
    <x v="29"/>
    <x v="2799"/>
    <x v="1570"/>
    <x v="15"/>
    <x v="2396"/>
    <x v="2944"/>
    <x v="394"/>
    <x v="583"/>
    <x v="317"/>
    <x v="296"/>
    <x v="9"/>
  </r>
  <r>
    <x v="1682"/>
    <x v="201"/>
    <x v="1"/>
    <x v="51"/>
    <x v="67"/>
    <x v="17"/>
    <x v="1432"/>
    <x v="799"/>
    <x v="3451"/>
    <x v="3189"/>
    <x v="233"/>
    <x v="329"/>
    <x v="1"/>
  </r>
  <r>
    <x v="1683"/>
    <x v="201"/>
    <x v="4"/>
    <x v="60"/>
    <x v="67"/>
    <x v="11"/>
    <x v="1480"/>
    <x v="600"/>
    <x v="3454"/>
    <x v="3214"/>
    <x v="233"/>
    <x v="329"/>
    <x v="2"/>
  </r>
  <r>
    <x v="1684"/>
    <x v="201"/>
    <x v="6"/>
    <x v="62"/>
    <x v="67"/>
    <x v="26"/>
    <x v="1250"/>
    <x v="669"/>
    <x v="3413"/>
    <x v="3049"/>
    <x v="233"/>
    <x v="329"/>
    <x v="3"/>
  </r>
  <r>
    <x v="1685"/>
    <x v="201"/>
    <x v="9"/>
    <x v="74"/>
    <x v="67"/>
    <x v="28"/>
    <x v="1206"/>
    <x v="652"/>
    <x v="3373"/>
    <x v="2964"/>
    <x v="233"/>
    <x v="329"/>
    <x v="4"/>
  </r>
  <r>
    <x v="1686"/>
    <x v="201"/>
    <x v="12"/>
    <x v="75"/>
    <x v="67"/>
    <x v="39"/>
    <x v="1022"/>
    <x v="518"/>
    <x v="3242"/>
    <x v="2742"/>
    <x v="233"/>
    <x v="329"/>
    <x v="5"/>
  </r>
  <r>
    <x v="1687"/>
    <x v="201"/>
    <x v="15"/>
    <x v="109"/>
    <x v="65"/>
    <x v="30"/>
    <x v="1178"/>
    <x v="787"/>
    <x v="3336"/>
    <x v="2882"/>
    <x v="233"/>
    <x v="329"/>
    <x v="6"/>
  </r>
  <r>
    <x v="1688"/>
    <x v="201"/>
    <x v="18"/>
    <x v="105"/>
    <x v="66"/>
    <x v="28"/>
    <x v="1292"/>
    <x v="814"/>
    <x v="3405"/>
    <x v="3005"/>
    <x v="233"/>
    <x v="329"/>
    <x v="6"/>
  </r>
  <r>
    <x v="1689"/>
    <x v="201"/>
    <x v="20"/>
    <x v="105"/>
    <x v="66"/>
    <x v="28"/>
    <x v="1247"/>
    <x v="794"/>
    <x v="3392"/>
    <x v="2950"/>
    <x v="233"/>
    <x v="329"/>
    <x v="7"/>
  </r>
  <r>
    <x v="1690"/>
    <x v="201"/>
    <x v="23"/>
    <x v="107"/>
    <x v="66"/>
    <x v="28"/>
    <x v="1180"/>
    <x v="880"/>
    <x v="3397"/>
    <x v="2883"/>
    <x v="233"/>
    <x v="329"/>
    <x v="7"/>
  </r>
  <r>
    <x v="1691"/>
    <x v="201"/>
    <x v="25"/>
    <x v="107"/>
    <x v="66"/>
    <x v="28"/>
    <x v="1137"/>
    <x v="861"/>
    <x v="3379"/>
    <x v="2829"/>
    <x v="233"/>
    <x v="329"/>
    <x v="8"/>
  </r>
  <r>
    <x v="1692"/>
    <x v="201"/>
    <x v="28"/>
    <x v="111"/>
    <x v="79"/>
    <x v="28"/>
    <x v="1098"/>
    <x v="1129"/>
    <x v="3320"/>
    <x v="2763"/>
    <x v="233"/>
    <x v="329"/>
    <x v="9"/>
  </r>
  <r>
    <x v="1693"/>
    <x v="202"/>
    <x v="1"/>
    <x v="1784"/>
    <x v="949"/>
    <x v="21"/>
    <x v="2696"/>
    <x v="2849"/>
    <x v="3145"/>
    <x v="2581"/>
    <x v="185"/>
    <x v="189"/>
    <x v="1"/>
  </r>
  <r>
    <x v="1694"/>
    <x v="202"/>
    <x v="4"/>
    <x v="1798"/>
    <x v="935"/>
    <x v="25"/>
    <x v="2669"/>
    <x v="2987"/>
    <x v="2787"/>
    <x v="2534"/>
    <x v="185"/>
    <x v="189"/>
    <x v="2"/>
  </r>
  <r>
    <x v="1695"/>
    <x v="202"/>
    <x v="6"/>
    <x v="1774"/>
    <x v="954"/>
    <x v="26"/>
    <x v="2360"/>
    <x v="2641"/>
    <x v="2090"/>
    <x v="2076"/>
    <x v="185"/>
    <x v="189"/>
    <x v="3"/>
  </r>
  <r>
    <x v="1696"/>
    <x v="202"/>
    <x v="9"/>
    <x v="1818"/>
    <x v="974"/>
    <x v="23"/>
    <x v="2589"/>
    <x v="2813"/>
    <x v="2411"/>
    <x v="2395"/>
    <x v="185"/>
    <x v="189"/>
    <x v="4"/>
  </r>
  <r>
    <x v="1697"/>
    <x v="202"/>
    <x v="12"/>
    <x v="1859"/>
    <x v="974"/>
    <x v="24"/>
    <x v="2571"/>
    <x v="2826"/>
    <x v="2202"/>
    <x v="2295"/>
    <x v="185"/>
    <x v="189"/>
    <x v="5"/>
  </r>
  <r>
    <x v="1698"/>
    <x v="202"/>
    <x v="15"/>
    <x v="2016"/>
    <x v="974"/>
    <x v="38"/>
    <x v="2326"/>
    <x v="2634"/>
    <x v="1856"/>
    <x v="1594"/>
    <x v="185"/>
    <x v="189"/>
    <x v="6"/>
  </r>
  <r>
    <x v="1699"/>
    <x v="202"/>
    <x v="20"/>
    <x v="2155"/>
    <x v="1012"/>
    <x v="38"/>
    <x v="2348"/>
    <x v="2658"/>
    <x v="1846"/>
    <x v="1479"/>
    <x v="185"/>
    <x v="189"/>
    <x v="7"/>
  </r>
  <r>
    <x v="1700"/>
    <x v="202"/>
    <x v="25"/>
    <x v="1991"/>
    <x v="1037"/>
    <x v="39"/>
    <x v="2216"/>
    <x v="2646"/>
    <x v="1684"/>
    <x v="1451"/>
    <x v="185"/>
    <x v="189"/>
    <x v="8"/>
  </r>
  <r>
    <x v="1701"/>
    <x v="202"/>
    <x v="28"/>
    <x v="2023"/>
    <x v="1123"/>
    <x v="39"/>
    <x v="2847"/>
    <x v="3060"/>
    <x v="2496"/>
    <x v="2490"/>
    <x v="185"/>
    <x v="189"/>
    <x v="9"/>
  </r>
  <r>
    <x v="1702"/>
    <x v="203"/>
    <x v="1"/>
    <x v="1002"/>
    <x v="605"/>
    <x v="22"/>
    <x v="1305"/>
    <x v="1391"/>
    <x v="2344"/>
    <x v="1592"/>
    <x v="259"/>
    <x v="16"/>
    <x v="1"/>
  </r>
  <r>
    <x v="1703"/>
    <x v="203"/>
    <x v="4"/>
    <x v="1192"/>
    <x v="608"/>
    <x v="19"/>
    <x v="2743"/>
    <x v="1535"/>
    <x v="3240"/>
    <x v="3223"/>
    <x v="259"/>
    <x v="16"/>
    <x v="2"/>
  </r>
  <r>
    <x v="1704"/>
    <x v="203"/>
    <x v="6"/>
    <x v="1010"/>
    <x v="607"/>
    <x v="15"/>
    <x v="2598"/>
    <x v="1428"/>
    <x v="3142"/>
    <x v="3245"/>
    <x v="259"/>
    <x v="16"/>
    <x v="3"/>
  </r>
  <r>
    <x v="1705"/>
    <x v="203"/>
    <x v="9"/>
    <x v="1019"/>
    <x v="639"/>
    <x v="17"/>
    <x v="1471"/>
    <x v="717"/>
    <x v="2670"/>
    <x v="1842"/>
    <x v="259"/>
    <x v="16"/>
    <x v="4"/>
  </r>
  <r>
    <x v="1706"/>
    <x v="203"/>
    <x v="12"/>
    <x v="1017"/>
    <x v="644"/>
    <x v="16"/>
    <x v="2134"/>
    <x v="1106"/>
    <x v="2906"/>
    <x v="2824"/>
    <x v="259"/>
    <x v="16"/>
    <x v="5"/>
  </r>
  <r>
    <x v="1707"/>
    <x v="203"/>
    <x v="15"/>
    <x v="1020"/>
    <x v="646"/>
    <x v="21"/>
    <x v="1880"/>
    <x v="948"/>
    <x v="2917"/>
    <x v="2472"/>
    <x v="259"/>
    <x v="16"/>
    <x v="6"/>
  </r>
  <r>
    <x v="1708"/>
    <x v="203"/>
    <x v="20"/>
    <x v="1019"/>
    <x v="704"/>
    <x v="35"/>
    <x v="244"/>
    <x v="147"/>
    <x v="1086"/>
    <x v="252"/>
    <x v="259"/>
    <x v="16"/>
    <x v="7"/>
  </r>
  <r>
    <x v="1709"/>
    <x v="203"/>
    <x v="25"/>
    <x v="1023"/>
    <x v="706"/>
    <x v="27"/>
    <x v="301"/>
    <x v="184"/>
    <x v="1290"/>
    <x v="302"/>
    <x v="259"/>
    <x v="16"/>
    <x v="8"/>
  </r>
  <r>
    <x v="1710"/>
    <x v="203"/>
    <x v="28"/>
    <x v="1067"/>
    <x v="701"/>
    <x v="25"/>
    <x v="146"/>
    <x v="93"/>
    <x v="767"/>
    <x v="141"/>
    <x v="259"/>
    <x v="16"/>
    <x v="9"/>
  </r>
  <r>
    <x v="1711"/>
    <x v="204"/>
    <x v="1"/>
    <x v="2584"/>
    <x v="1542"/>
    <x v="33"/>
    <x v="3278"/>
    <x v="1950"/>
    <x v="2414"/>
    <x v="2662"/>
    <x v="282"/>
    <x v="276"/>
    <x v="1"/>
  </r>
  <r>
    <x v="1712"/>
    <x v="204"/>
    <x v="4"/>
    <x v="2596"/>
    <x v="1554"/>
    <x v="33"/>
    <x v="3321"/>
    <x v="2123"/>
    <x v="2246"/>
    <x v="2833"/>
    <x v="282"/>
    <x v="276"/>
    <x v="2"/>
  </r>
  <r>
    <x v="1713"/>
    <x v="204"/>
    <x v="6"/>
    <x v="2604"/>
    <x v="1563"/>
    <x v="34"/>
    <x v="3223"/>
    <x v="2280"/>
    <x v="1789"/>
    <x v="2427"/>
    <x v="282"/>
    <x v="276"/>
    <x v="3"/>
  </r>
  <r>
    <x v="1714"/>
    <x v="204"/>
    <x v="9"/>
    <x v="2632"/>
    <x v="1567"/>
    <x v="36"/>
    <x v="3146"/>
    <x v="2253"/>
    <x v="1400"/>
    <x v="2069"/>
    <x v="282"/>
    <x v="276"/>
    <x v="4"/>
  </r>
  <r>
    <x v="1715"/>
    <x v="204"/>
    <x v="12"/>
    <x v="2654"/>
    <x v="1587"/>
    <x v="41"/>
    <x v="2438"/>
    <x v="1088"/>
    <x v="393"/>
    <x v="769"/>
    <x v="282"/>
    <x v="276"/>
    <x v="5"/>
  </r>
  <r>
    <x v="1716"/>
    <x v="204"/>
    <x v="15"/>
    <x v="2679"/>
    <x v="1601"/>
    <x v="38"/>
    <x v="1583"/>
    <x v="591"/>
    <x v="221"/>
    <x v="334"/>
    <x v="282"/>
    <x v="276"/>
    <x v="6"/>
  </r>
  <r>
    <x v="1717"/>
    <x v="204"/>
    <x v="20"/>
    <x v="2703"/>
    <x v="1604"/>
    <x v="40"/>
    <x v="3059"/>
    <x v="1658"/>
    <x v="1603"/>
    <x v="1632"/>
    <x v="282"/>
    <x v="276"/>
    <x v="7"/>
  </r>
  <r>
    <x v="1718"/>
    <x v="204"/>
    <x v="25"/>
    <x v="2725"/>
    <x v="1615"/>
    <x v="40"/>
    <x v="2849"/>
    <x v="1584"/>
    <x v="1206"/>
    <x v="1137"/>
    <x v="282"/>
    <x v="276"/>
    <x v="8"/>
  </r>
  <r>
    <x v="1719"/>
    <x v="204"/>
    <x v="28"/>
    <x v="2738"/>
    <x v="1626"/>
    <x v="40"/>
    <x v="3300"/>
    <x v="2215"/>
    <x v="2270"/>
    <x v="2459"/>
    <x v="282"/>
    <x v="276"/>
    <x v="9"/>
  </r>
  <r>
    <x v="1720"/>
    <x v="205"/>
    <x v="12"/>
    <x v="45"/>
    <x v="31"/>
    <x v="22"/>
    <x v="167"/>
    <x v="86"/>
    <x v="797"/>
    <x v="405"/>
    <x v="346"/>
    <x v="328"/>
    <x v="5"/>
  </r>
  <r>
    <x v="1721"/>
    <x v="205"/>
    <x v="15"/>
    <x v="45"/>
    <x v="31"/>
    <x v="22"/>
    <x v="215"/>
    <x v="132"/>
    <x v="1600"/>
    <x v="573"/>
    <x v="346"/>
    <x v="328"/>
    <x v="6"/>
  </r>
  <r>
    <x v="1722"/>
    <x v="205"/>
    <x v="19"/>
    <x v="45"/>
    <x v="31"/>
    <x v="17"/>
    <x v="379"/>
    <x v="239"/>
    <x v="2405"/>
    <x v="1174"/>
    <x v="346"/>
    <x v="328"/>
    <x v="6"/>
  </r>
  <r>
    <x v="1723"/>
    <x v="205"/>
    <x v="24"/>
    <x v="45"/>
    <x v="31"/>
    <x v="17"/>
    <x v="161"/>
    <x v="125"/>
    <x v="901"/>
    <x v="390"/>
    <x v="346"/>
    <x v="328"/>
    <x v="7"/>
  </r>
  <r>
    <x v="1724"/>
    <x v="205"/>
    <x v="28"/>
    <x v="45"/>
    <x v="31"/>
    <x v="17"/>
    <x v="223"/>
    <x v="223"/>
    <x v="1437"/>
    <x v="593"/>
    <x v="346"/>
    <x v="328"/>
    <x v="9"/>
  </r>
  <r>
    <x v="1725"/>
    <x v="206"/>
    <x v="1"/>
    <x v="2206"/>
    <x v="1334"/>
    <x v="21"/>
    <x v="3046"/>
    <x v="2775"/>
    <x v="2453"/>
    <x v="2655"/>
    <x v="259"/>
    <x v="16"/>
    <x v="1"/>
  </r>
  <r>
    <x v="1726"/>
    <x v="206"/>
    <x v="4"/>
    <x v="2403"/>
    <x v="1335"/>
    <x v="18"/>
    <x v="3175"/>
    <x v="2024"/>
    <x v="2637"/>
    <x v="2764"/>
    <x v="259"/>
    <x v="16"/>
    <x v="2"/>
  </r>
  <r>
    <x v="1727"/>
    <x v="206"/>
    <x v="6"/>
    <x v="2253"/>
    <x v="1346"/>
    <x v="15"/>
    <x v="3212"/>
    <x v="2116"/>
    <x v="2767"/>
    <x v="3034"/>
    <x v="259"/>
    <x v="16"/>
    <x v="3"/>
  </r>
  <r>
    <x v="1728"/>
    <x v="206"/>
    <x v="9"/>
    <x v="2294"/>
    <x v="1389"/>
    <x v="19"/>
    <x v="2980"/>
    <x v="1764"/>
    <x v="2456"/>
    <x v="2438"/>
    <x v="259"/>
    <x v="16"/>
    <x v="4"/>
  </r>
  <r>
    <x v="1729"/>
    <x v="206"/>
    <x v="12"/>
    <x v="2321"/>
    <x v="1391"/>
    <x v="18"/>
    <x v="3174"/>
    <x v="2045"/>
    <x v="2483"/>
    <x v="2884"/>
    <x v="259"/>
    <x v="16"/>
    <x v="5"/>
  </r>
  <r>
    <x v="1730"/>
    <x v="206"/>
    <x v="15"/>
    <x v="2345"/>
    <x v="1398"/>
    <x v="21"/>
    <x v="2341"/>
    <x v="1267"/>
    <x v="1256"/>
    <x v="1243"/>
    <x v="259"/>
    <x v="16"/>
    <x v="6"/>
  </r>
  <r>
    <x v="1731"/>
    <x v="206"/>
    <x v="20"/>
    <x v="2339"/>
    <x v="1432"/>
    <x v="32"/>
    <x v="2882"/>
    <x v="1809"/>
    <x v="1884"/>
    <x v="2148"/>
    <x v="259"/>
    <x v="16"/>
    <x v="7"/>
  </r>
  <r>
    <x v="1732"/>
    <x v="206"/>
    <x v="25"/>
    <x v="2343"/>
    <x v="1438"/>
    <x v="25"/>
    <x v="1934"/>
    <x v="1126"/>
    <x v="1145"/>
    <x v="752"/>
    <x v="259"/>
    <x v="16"/>
    <x v="8"/>
  </r>
  <r>
    <x v="1733"/>
    <x v="206"/>
    <x v="28"/>
    <x v="2364"/>
    <x v="1440"/>
    <x v="24"/>
    <x v="3020"/>
    <x v="2070"/>
    <x v="2192"/>
    <x v="2432"/>
    <x v="259"/>
    <x v="16"/>
    <x v="9"/>
  </r>
  <r>
    <x v="1734"/>
    <x v="207"/>
    <x v="15"/>
    <x v="48"/>
    <x v="82"/>
    <x v="38"/>
    <x v="54"/>
    <x v="47"/>
    <x v="271"/>
    <x v="76"/>
    <x v="226"/>
    <x v="152"/>
    <x v="6"/>
  </r>
  <r>
    <x v="1735"/>
    <x v="207"/>
    <x v="20"/>
    <x v="48"/>
    <x v="82"/>
    <x v="48"/>
    <x v="58"/>
    <x v="51"/>
    <x v="395"/>
    <x v="99"/>
    <x v="226"/>
    <x v="152"/>
    <x v="7"/>
  </r>
  <r>
    <x v="1736"/>
    <x v="207"/>
    <x v="25"/>
    <x v="50"/>
    <x v="95"/>
    <x v="45"/>
    <x v="150"/>
    <x v="60"/>
    <x v="375"/>
    <x v="341"/>
    <x v="226"/>
    <x v="152"/>
    <x v="8"/>
  </r>
  <r>
    <x v="1737"/>
    <x v="207"/>
    <x v="28"/>
    <x v="50"/>
    <x v="95"/>
    <x v="45"/>
    <x v="152"/>
    <x v="109"/>
    <x v="376"/>
    <x v="359"/>
    <x v="226"/>
    <x v="152"/>
    <x v="9"/>
  </r>
  <r>
    <x v="1738"/>
    <x v="208"/>
    <x v="3"/>
    <x v="2883"/>
    <x v="1790"/>
    <x v="47"/>
    <x v="3461"/>
    <x v="3263"/>
    <x v="2688"/>
    <x v="2987"/>
    <x v="75"/>
    <x v="241"/>
    <x v="1"/>
  </r>
  <r>
    <x v="1739"/>
    <x v="208"/>
    <x v="5"/>
    <x v="2884"/>
    <x v="1791"/>
    <x v="49"/>
    <x v="3408"/>
    <x v="3022"/>
    <x v="2537"/>
    <x v="2161"/>
    <x v="75"/>
    <x v="241"/>
    <x v="2"/>
  </r>
  <r>
    <x v="1740"/>
    <x v="208"/>
    <x v="11"/>
    <x v="2885"/>
    <x v="1784"/>
    <x v="52"/>
    <x v="3455"/>
    <x v="3248"/>
    <x v="2805"/>
    <x v="2924"/>
    <x v="75"/>
    <x v="241"/>
    <x v="4"/>
  </r>
  <r>
    <x v="1741"/>
    <x v="208"/>
    <x v="13"/>
    <x v="2886"/>
    <x v="1814"/>
    <x v="52"/>
    <x v="3426"/>
    <x v="3171"/>
    <x v="2565"/>
    <x v="2514"/>
    <x v="75"/>
    <x v="241"/>
    <x v="5"/>
  </r>
  <r>
    <x v="1742"/>
    <x v="208"/>
    <x v="17"/>
    <x v="2888"/>
    <x v="1815"/>
    <x v="52"/>
    <x v="3427"/>
    <x v="3232"/>
    <x v="2216"/>
    <x v="2512"/>
    <x v="75"/>
    <x v="241"/>
    <x v="6"/>
  </r>
  <r>
    <x v="1743"/>
    <x v="208"/>
    <x v="22"/>
    <x v="2889"/>
    <x v="1816"/>
    <x v="42"/>
    <x v="3457"/>
    <x v="3360"/>
    <x v="2199"/>
    <x v="2880"/>
    <x v="75"/>
    <x v="241"/>
    <x v="7"/>
  </r>
  <r>
    <x v="1744"/>
    <x v="208"/>
    <x v="27"/>
    <x v="2890"/>
    <x v="1815"/>
    <x v="46"/>
    <x v="3484"/>
    <x v="3414"/>
    <x v="2794"/>
    <x v="3177"/>
    <x v="75"/>
    <x v="241"/>
    <x v="8"/>
  </r>
  <r>
    <x v="1745"/>
    <x v="208"/>
    <x v="29"/>
    <x v="2891"/>
    <x v="1813"/>
    <x v="45"/>
    <x v="3392"/>
    <x v="3008"/>
    <x v="2170"/>
    <x v="1693"/>
    <x v="75"/>
    <x v="241"/>
    <x v="9"/>
  </r>
  <r>
    <x v="1746"/>
    <x v="209"/>
    <x v="1"/>
    <x v="1750"/>
    <x v="1254"/>
    <x v="16"/>
    <x v="1928"/>
    <x v="1781"/>
    <x v="1268"/>
    <x v="1383"/>
    <x v="19"/>
    <x v="21"/>
    <x v="1"/>
  </r>
  <r>
    <x v="1747"/>
    <x v="209"/>
    <x v="4"/>
    <x v="1770"/>
    <x v="1264"/>
    <x v="26"/>
    <x v="2774"/>
    <x v="2577"/>
    <x v="2655"/>
    <x v="2730"/>
    <x v="19"/>
    <x v="21"/>
    <x v="2"/>
  </r>
  <r>
    <x v="1748"/>
    <x v="209"/>
    <x v="6"/>
    <x v="1805"/>
    <x v="1254"/>
    <x v="17"/>
    <x v="3052"/>
    <x v="2660"/>
    <x v="2628"/>
    <x v="3088"/>
    <x v="19"/>
    <x v="21"/>
    <x v="3"/>
  </r>
  <r>
    <x v="1749"/>
    <x v="209"/>
    <x v="9"/>
    <x v="1845"/>
    <x v="1254"/>
    <x v="15"/>
    <x v="2894"/>
    <x v="2709"/>
    <x v="2452"/>
    <x v="2803"/>
    <x v="19"/>
    <x v="21"/>
    <x v="4"/>
  </r>
  <r>
    <x v="1750"/>
    <x v="209"/>
    <x v="12"/>
    <x v="1860"/>
    <x v="1254"/>
    <x v="30"/>
    <x v="2896"/>
    <x v="2588"/>
    <x v="2303"/>
    <x v="2776"/>
    <x v="19"/>
    <x v="21"/>
    <x v="5"/>
  </r>
  <r>
    <x v="1751"/>
    <x v="209"/>
    <x v="15"/>
    <x v="1876"/>
    <x v="1152"/>
    <x v="30"/>
    <x v="1111"/>
    <x v="931"/>
    <x v="571"/>
    <x v="508"/>
    <x v="19"/>
    <x v="21"/>
    <x v="6"/>
  </r>
  <r>
    <x v="1752"/>
    <x v="209"/>
    <x v="20"/>
    <x v="1912"/>
    <x v="1204"/>
    <x v="30"/>
    <x v="1618"/>
    <x v="1132"/>
    <x v="780"/>
    <x v="780"/>
    <x v="19"/>
    <x v="21"/>
    <x v="7"/>
  </r>
  <r>
    <x v="1753"/>
    <x v="209"/>
    <x v="25"/>
    <x v="1948"/>
    <x v="1204"/>
    <x v="30"/>
    <x v="1887"/>
    <x v="2282"/>
    <x v="1112"/>
    <x v="1004"/>
    <x v="19"/>
    <x v="21"/>
    <x v="8"/>
  </r>
  <r>
    <x v="1754"/>
    <x v="209"/>
    <x v="28"/>
    <x v="1979"/>
    <x v="1204"/>
    <x v="30"/>
    <x v="2643"/>
    <x v="2689"/>
    <x v="2087"/>
    <x v="2204"/>
    <x v="19"/>
    <x v="21"/>
    <x v="9"/>
  </r>
  <r>
    <x v="1755"/>
    <x v="210"/>
    <x v="4"/>
    <x v="73"/>
    <x v="216"/>
    <x v="18"/>
    <x v="2251"/>
    <x v="2558"/>
    <x v="3287"/>
    <x v="3467"/>
    <x v="25"/>
    <x v="60"/>
    <x v="2"/>
  </r>
  <r>
    <x v="1756"/>
    <x v="210"/>
    <x v="6"/>
    <x v="77"/>
    <x v="216"/>
    <x v="18"/>
    <x v="2418"/>
    <x v="2735"/>
    <x v="3361"/>
    <x v="3482"/>
    <x v="25"/>
    <x v="60"/>
    <x v="3"/>
  </r>
  <r>
    <x v="1757"/>
    <x v="210"/>
    <x v="9"/>
    <x v="82"/>
    <x v="216"/>
    <x v="18"/>
    <x v="2116"/>
    <x v="2544"/>
    <x v="3213"/>
    <x v="3454"/>
    <x v="25"/>
    <x v="60"/>
    <x v="4"/>
  </r>
  <r>
    <x v="1758"/>
    <x v="210"/>
    <x v="12"/>
    <x v="88"/>
    <x v="216"/>
    <x v="18"/>
    <x v="1631"/>
    <x v="2394"/>
    <x v="2726"/>
    <x v="3251"/>
    <x v="25"/>
    <x v="60"/>
    <x v="5"/>
  </r>
  <r>
    <x v="1759"/>
    <x v="210"/>
    <x v="15"/>
    <x v="91"/>
    <x v="216"/>
    <x v="17"/>
    <x v="1717"/>
    <x v="2487"/>
    <x v="2858"/>
    <x v="3314"/>
    <x v="25"/>
    <x v="60"/>
    <x v="6"/>
  </r>
  <r>
    <x v="1760"/>
    <x v="210"/>
    <x v="20"/>
    <x v="87"/>
    <x v="216"/>
    <x v="18"/>
    <x v="2268"/>
    <x v="2868"/>
    <x v="3305"/>
    <x v="3468"/>
    <x v="25"/>
    <x v="60"/>
    <x v="7"/>
  </r>
  <r>
    <x v="1761"/>
    <x v="210"/>
    <x v="25"/>
    <x v="84"/>
    <x v="216"/>
    <x v="19"/>
    <x v="1895"/>
    <x v="1045"/>
    <x v="3164"/>
    <x v="3387"/>
    <x v="25"/>
    <x v="60"/>
    <x v="8"/>
  </r>
  <r>
    <x v="1762"/>
    <x v="210"/>
    <x v="28"/>
    <x v="80"/>
    <x v="215"/>
    <x v="18"/>
    <x v="1690"/>
    <x v="904"/>
    <x v="3057"/>
    <x v="3306"/>
    <x v="25"/>
    <x v="60"/>
    <x v="9"/>
  </r>
  <r>
    <x v="1763"/>
    <x v="211"/>
    <x v="1"/>
    <x v="1978"/>
    <x v="1336"/>
    <x v="24"/>
    <x v="3258"/>
    <x v="2475"/>
    <x v="1982"/>
    <x v="3261"/>
    <x v="92"/>
    <x v="242"/>
    <x v="1"/>
  </r>
  <r>
    <x v="1764"/>
    <x v="211"/>
    <x v="4"/>
    <x v="2189"/>
    <x v="1342"/>
    <x v="24"/>
    <x v="3395"/>
    <x v="2896"/>
    <x v="2744"/>
    <x v="3420"/>
    <x v="92"/>
    <x v="242"/>
    <x v="2"/>
  </r>
  <r>
    <x v="1765"/>
    <x v="211"/>
    <x v="6"/>
    <x v="2169"/>
    <x v="1355"/>
    <x v="27"/>
    <x v="3318"/>
    <x v="2745"/>
    <x v="2278"/>
    <x v="3291"/>
    <x v="92"/>
    <x v="242"/>
    <x v="3"/>
  </r>
  <r>
    <x v="1766"/>
    <x v="211"/>
    <x v="9"/>
    <x v="2166"/>
    <x v="1357"/>
    <x v="27"/>
    <x v="3108"/>
    <x v="3180"/>
    <x v="1876"/>
    <x v="2845"/>
    <x v="92"/>
    <x v="242"/>
    <x v="4"/>
  </r>
  <r>
    <x v="1767"/>
    <x v="211"/>
    <x v="12"/>
    <x v="2211"/>
    <x v="1358"/>
    <x v="28"/>
    <x v="3112"/>
    <x v="3203"/>
    <x v="1767"/>
    <x v="2818"/>
    <x v="92"/>
    <x v="242"/>
    <x v="5"/>
  </r>
  <r>
    <x v="1768"/>
    <x v="211"/>
    <x v="15"/>
    <x v="2198"/>
    <x v="1356"/>
    <x v="28"/>
    <x v="3165"/>
    <x v="3245"/>
    <x v="1788"/>
    <x v="2961"/>
    <x v="92"/>
    <x v="242"/>
    <x v="6"/>
  </r>
  <r>
    <x v="1769"/>
    <x v="211"/>
    <x v="20"/>
    <x v="2194"/>
    <x v="1352"/>
    <x v="40"/>
    <x v="3295"/>
    <x v="2967"/>
    <x v="2032"/>
    <x v="3226"/>
    <x v="92"/>
    <x v="242"/>
    <x v="7"/>
  </r>
  <r>
    <x v="1770"/>
    <x v="211"/>
    <x v="25"/>
    <x v="2192"/>
    <x v="1363"/>
    <x v="39"/>
    <x v="3101"/>
    <x v="2665"/>
    <x v="1541"/>
    <x v="2807"/>
    <x v="92"/>
    <x v="242"/>
    <x v="8"/>
  </r>
  <r>
    <x v="1771"/>
    <x v="211"/>
    <x v="28"/>
    <x v="2192"/>
    <x v="1373"/>
    <x v="39"/>
    <x v="3306"/>
    <x v="3029"/>
    <x v="2128"/>
    <x v="3238"/>
    <x v="92"/>
    <x v="242"/>
    <x v="9"/>
  </r>
  <r>
    <x v="1772"/>
    <x v="212"/>
    <x v="1"/>
    <x v="1213"/>
    <x v="688"/>
    <x v="17"/>
    <x v="2615"/>
    <x v="2897"/>
    <x v="2915"/>
    <x v="3132"/>
    <x v="18"/>
    <x v="20"/>
    <x v="1"/>
  </r>
  <r>
    <x v="1773"/>
    <x v="212"/>
    <x v="4"/>
    <x v="1218"/>
    <x v="652"/>
    <x v="21"/>
    <x v="2353"/>
    <x v="1278"/>
    <x v="2603"/>
    <x v="2871"/>
    <x v="18"/>
    <x v="20"/>
    <x v="2"/>
  </r>
  <r>
    <x v="1774"/>
    <x v="212"/>
    <x v="6"/>
    <x v="1218"/>
    <x v="652"/>
    <x v="25"/>
    <x v="2860"/>
    <x v="1705"/>
    <x v="3099"/>
    <x v="3300"/>
    <x v="18"/>
    <x v="20"/>
    <x v="3"/>
  </r>
  <r>
    <x v="1775"/>
    <x v="212"/>
    <x v="9"/>
    <x v="1218"/>
    <x v="698"/>
    <x v="25"/>
    <x v="2567"/>
    <x v="1445"/>
    <x v="2838"/>
    <x v="3095"/>
    <x v="18"/>
    <x v="20"/>
    <x v="4"/>
  </r>
  <r>
    <x v="1776"/>
    <x v="212"/>
    <x v="12"/>
    <x v="1217"/>
    <x v="750"/>
    <x v="33"/>
    <x v="2999"/>
    <x v="1723"/>
    <x v="3126"/>
    <x v="3374"/>
    <x v="18"/>
    <x v="20"/>
    <x v="5"/>
  </r>
  <r>
    <x v="1777"/>
    <x v="212"/>
    <x v="15"/>
    <x v="1269"/>
    <x v="760"/>
    <x v="31"/>
    <x v="2000"/>
    <x v="1115"/>
    <x v="2070"/>
    <x v="2277"/>
    <x v="18"/>
    <x v="20"/>
    <x v="6"/>
  </r>
  <r>
    <x v="1778"/>
    <x v="212"/>
    <x v="20"/>
    <x v="1294"/>
    <x v="808"/>
    <x v="43"/>
    <x v="1786"/>
    <x v="979"/>
    <x v="1979"/>
    <x v="1879"/>
    <x v="18"/>
    <x v="20"/>
    <x v="7"/>
  </r>
  <r>
    <x v="1779"/>
    <x v="212"/>
    <x v="25"/>
    <x v="1303"/>
    <x v="786"/>
    <x v="42"/>
    <x v="1589"/>
    <x v="971"/>
    <x v="1908"/>
    <x v="1547"/>
    <x v="18"/>
    <x v="20"/>
    <x v="8"/>
  </r>
  <r>
    <x v="1780"/>
    <x v="212"/>
    <x v="28"/>
    <x v="1305"/>
    <x v="1111"/>
    <x v="37"/>
    <x v="1739"/>
    <x v="1114"/>
    <x v="1140"/>
    <x v="1767"/>
    <x v="18"/>
    <x v="20"/>
    <x v="9"/>
  </r>
  <r>
    <x v="1781"/>
    <x v="213"/>
    <x v="1"/>
    <x v="931"/>
    <x v="490"/>
    <x v="16"/>
    <x v="269"/>
    <x v="98"/>
    <x v="107"/>
    <x v="287"/>
    <x v="74"/>
    <x v="64"/>
    <x v="1"/>
  </r>
  <r>
    <x v="1782"/>
    <x v="213"/>
    <x v="4"/>
    <x v="952"/>
    <x v="511"/>
    <x v="21"/>
    <x v="2509"/>
    <x v="1196"/>
    <x v="2662"/>
    <x v="3231"/>
    <x v="74"/>
    <x v="64"/>
    <x v="2"/>
  </r>
  <r>
    <x v="1783"/>
    <x v="213"/>
    <x v="6"/>
    <x v="970"/>
    <x v="490"/>
    <x v="20"/>
    <x v="1032"/>
    <x v="443"/>
    <x v="373"/>
    <x v="1259"/>
    <x v="74"/>
    <x v="64"/>
    <x v="3"/>
  </r>
  <r>
    <x v="1784"/>
    <x v="213"/>
    <x v="9"/>
    <x v="940"/>
    <x v="490"/>
    <x v="20"/>
    <x v="1142"/>
    <x v="488"/>
    <x v="464"/>
    <x v="1460"/>
    <x v="74"/>
    <x v="64"/>
    <x v="4"/>
  </r>
  <r>
    <x v="1785"/>
    <x v="213"/>
    <x v="12"/>
    <x v="940"/>
    <x v="490"/>
    <x v="23"/>
    <x v="1747"/>
    <x v="2008"/>
    <x v="808"/>
    <x v="2414"/>
    <x v="74"/>
    <x v="64"/>
    <x v="5"/>
  </r>
  <r>
    <x v="1786"/>
    <x v="213"/>
    <x v="15"/>
    <x v="1025"/>
    <x v="504"/>
    <x v="24"/>
    <x v="1694"/>
    <x v="801"/>
    <x v="826"/>
    <x v="2133"/>
    <x v="74"/>
    <x v="64"/>
    <x v="6"/>
  </r>
  <r>
    <x v="1787"/>
    <x v="213"/>
    <x v="20"/>
    <x v="1042"/>
    <x v="504"/>
    <x v="17"/>
    <x v="2228"/>
    <x v="1980"/>
    <x v="1764"/>
    <x v="2899"/>
    <x v="74"/>
    <x v="64"/>
    <x v="7"/>
  </r>
  <r>
    <x v="1788"/>
    <x v="213"/>
    <x v="25"/>
    <x v="1024"/>
    <x v="504"/>
    <x v="14"/>
    <x v="119"/>
    <x v="64"/>
    <x v="61"/>
    <x v="116"/>
    <x v="74"/>
    <x v="64"/>
    <x v="8"/>
  </r>
  <r>
    <x v="1789"/>
    <x v="213"/>
    <x v="28"/>
    <x v="1024"/>
    <x v="504"/>
    <x v="11"/>
    <x v="1829"/>
    <x v="1697"/>
    <x v="966"/>
    <x v="2382"/>
    <x v="74"/>
    <x v="64"/>
    <x v="9"/>
  </r>
  <r>
    <x v="1790"/>
    <x v="214"/>
    <x v="1"/>
    <x v="1414"/>
    <x v="1285"/>
    <x v="33"/>
    <x v="2420"/>
    <x v="2149"/>
    <x v="2349"/>
    <x v="2685"/>
    <x v="213"/>
    <x v="116"/>
    <x v="1"/>
  </r>
  <r>
    <x v="1791"/>
    <x v="214"/>
    <x v="4"/>
    <x v="1415"/>
    <x v="1285"/>
    <x v="37"/>
    <x v="2678"/>
    <x v="2357"/>
    <x v="2645"/>
    <x v="3000"/>
    <x v="213"/>
    <x v="116"/>
    <x v="2"/>
  </r>
  <r>
    <x v="1792"/>
    <x v="214"/>
    <x v="6"/>
    <x v="1424"/>
    <x v="1058"/>
    <x v="40"/>
    <x v="2568"/>
    <x v="2531"/>
    <x v="2486"/>
    <x v="2877"/>
    <x v="213"/>
    <x v="116"/>
    <x v="3"/>
  </r>
  <r>
    <x v="1793"/>
    <x v="214"/>
    <x v="9"/>
    <x v="1402"/>
    <x v="1112"/>
    <x v="40"/>
    <x v="2775"/>
    <x v="2899"/>
    <x v="2904"/>
    <x v="3118"/>
    <x v="213"/>
    <x v="116"/>
    <x v="4"/>
  </r>
  <r>
    <x v="1794"/>
    <x v="215"/>
    <x v="0"/>
    <x v="2915"/>
    <x v="1833"/>
    <x v="27"/>
    <x v="3482"/>
    <x v="3452"/>
    <x v="2740"/>
    <x v="2783"/>
    <x v="103"/>
    <x v="249"/>
    <x v="0"/>
  </r>
  <r>
    <x v="1795"/>
    <x v="215"/>
    <x v="3"/>
    <x v="2916"/>
    <x v="1833"/>
    <x v="29"/>
    <x v="3446"/>
    <x v="3447"/>
    <x v="1887"/>
    <x v="2218"/>
    <x v="103"/>
    <x v="249"/>
    <x v="1"/>
  </r>
  <r>
    <x v="1796"/>
    <x v="215"/>
    <x v="5"/>
    <x v="2919"/>
    <x v="1817"/>
    <x v="34"/>
    <x v="3407"/>
    <x v="3429"/>
    <x v="823"/>
    <x v="1367"/>
    <x v="103"/>
    <x v="249"/>
    <x v="2"/>
  </r>
  <r>
    <x v="1797"/>
    <x v="215"/>
    <x v="8"/>
    <x v="2920"/>
    <x v="1818"/>
    <x v="39"/>
    <x v="3460"/>
    <x v="3449"/>
    <x v="2302"/>
    <x v="2359"/>
    <x v="103"/>
    <x v="249"/>
    <x v="3"/>
  </r>
  <r>
    <x v="1798"/>
    <x v="215"/>
    <x v="11"/>
    <x v="2921"/>
    <x v="1819"/>
    <x v="39"/>
    <x v="3339"/>
    <x v="3410"/>
    <x v="1305"/>
    <x v="832"/>
    <x v="103"/>
    <x v="249"/>
    <x v="4"/>
  </r>
  <r>
    <x v="1799"/>
    <x v="215"/>
    <x v="13"/>
    <x v="2924"/>
    <x v="1820"/>
    <x v="39"/>
    <x v="3438"/>
    <x v="3448"/>
    <x v="1895"/>
    <x v="1927"/>
    <x v="103"/>
    <x v="249"/>
    <x v="5"/>
  </r>
  <r>
    <x v="1800"/>
    <x v="215"/>
    <x v="17"/>
    <x v="2918"/>
    <x v="1821"/>
    <x v="39"/>
    <x v="3313"/>
    <x v="3400"/>
    <x v="421"/>
    <x v="786"/>
    <x v="103"/>
    <x v="249"/>
    <x v="6"/>
  </r>
  <r>
    <x v="1801"/>
    <x v="215"/>
    <x v="22"/>
    <x v="2922"/>
    <x v="1822"/>
    <x v="43"/>
    <x v="3259"/>
    <x v="3356"/>
    <x v="437"/>
    <x v="628"/>
    <x v="103"/>
    <x v="249"/>
    <x v="7"/>
  </r>
  <r>
    <x v="1802"/>
    <x v="215"/>
    <x v="27"/>
    <x v="2925"/>
    <x v="1823"/>
    <x v="43"/>
    <x v="3450"/>
    <x v="3453"/>
    <x v="2193"/>
    <x v="2128"/>
    <x v="103"/>
    <x v="249"/>
    <x v="8"/>
  </r>
  <r>
    <x v="1803"/>
    <x v="215"/>
    <x v="29"/>
    <x v="2932"/>
    <x v="1824"/>
    <x v="43"/>
    <x v="3417"/>
    <x v="3450"/>
    <x v="1623"/>
    <x v="1549"/>
    <x v="103"/>
    <x v="249"/>
    <x v="9"/>
  </r>
  <r>
    <x v="1804"/>
    <x v="216"/>
    <x v="1"/>
    <x v="2599"/>
    <x v="1628"/>
    <x v="28"/>
    <x v="3110"/>
    <x v="3234"/>
    <x v="1896"/>
    <x v="1994"/>
    <x v="110"/>
    <x v="72"/>
    <x v="1"/>
  </r>
  <r>
    <x v="1805"/>
    <x v="216"/>
    <x v="4"/>
    <x v="2638"/>
    <x v="1633"/>
    <x v="36"/>
    <x v="2770"/>
    <x v="2997"/>
    <x v="1097"/>
    <x v="1160"/>
    <x v="110"/>
    <x v="72"/>
    <x v="2"/>
  </r>
  <r>
    <x v="1806"/>
    <x v="216"/>
    <x v="6"/>
    <x v="2644"/>
    <x v="1636"/>
    <x v="35"/>
    <x v="2729"/>
    <x v="3082"/>
    <x v="1088"/>
    <x v="1098"/>
    <x v="110"/>
    <x v="72"/>
    <x v="3"/>
  </r>
  <r>
    <x v="1807"/>
    <x v="216"/>
    <x v="9"/>
    <x v="2659"/>
    <x v="1640"/>
    <x v="32"/>
    <x v="3073"/>
    <x v="3244"/>
    <x v="2073"/>
    <x v="1755"/>
    <x v="110"/>
    <x v="72"/>
    <x v="4"/>
  </r>
  <r>
    <x v="1808"/>
    <x v="216"/>
    <x v="12"/>
    <x v="2667"/>
    <x v="1644"/>
    <x v="27"/>
    <x v="2810"/>
    <x v="3068"/>
    <x v="2116"/>
    <x v="1185"/>
    <x v="110"/>
    <x v="72"/>
    <x v="5"/>
  </r>
  <r>
    <x v="1809"/>
    <x v="216"/>
    <x v="15"/>
    <x v="2675"/>
    <x v="1645"/>
    <x v="30"/>
    <x v="1"/>
    <x v="0"/>
    <x v="8"/>
    <x v="2"/>
    <x v="110"/>
    <x v="72"/>
    <x v="6"/>
  </r>
  <r>
    <x v="1810"/>
    <x v="216"/>
    <x v="20"/>
    <x v="2681"/>
    <x v="1662"/>
    <x v="34"/>
    <x v="3241"/>
    <x v="3386"/>
    <x v="1946"/>
    <x v="2347"/>
    <x v="110"/>
    <x v="72"/>
    <x v="7"/>
  </r>
  <r>
    <x v="1811"/>
    <x v="216"/>
    <x v="25"/>
    <x v="2676"/>
    <x v="1654"/>
    <x v="40"/>
    <x v="1866"/>
    <x v="2602"/>
    <x v="1339"/>
    <x v="437"/>
    <x v="110"/>
    <x v="72"/>
    <x v="8"/>
  </r>
  <r>
    <x v="1812"/>
    <x v="216"/>
    <x v="28"/>
    <x v="2701"/>
    <x v="1657"/>
    <x v="42"/>
    <x v="2587"/>
    <x v="3114"/>
    <x v="1426"/>
    <x v="845"/>
    <x v="110"/>
    <x v="72"/>
    <x v="9"/>
  </r>
  <r>
    <x v="1813"/>
    <x v="217"/>
    <x v="3"/>
    <x v="1058"/>
    <x v="529"/>
    <x v="39"/>
    <x v="680"/>
    <x v="273"/>
    <x v="1031"/>
    <x v="673"/>
    <x v="156"/>
    <x v="161"/>
    <x v="1"/>
  </r>
  <r>
    <x v="1814"/>
    <x v="217"/>
    <x v="5"/>
    <x v="1058"/>
    <x v="529"/>
    <x v="41"/>
    <x v="68"/>
    <x v="53"/>
    <x v="69"/>
    <x v="70"/>
    <x v="156"/>
    <x v="161"/>
    <x v="2"/>
  </r>
  <r>
    <x v="1815"/>
    <x v="217"/>
    <x v="8"/>
    <x v="1058"/>
    <x v="529"/>
    <x v="28"/>
    <x v="700"/>
    <x v="660"/>
    <x v="566"/>
    <x v="689"/>
    <x v="156"/>
    <x v="161"/>
    <x v="3"/>
  </r>
  <r>
    <x v="1816"/>
    <x v="217"/>
    <x v="11"/>
    <x v="1064"/>
    <x v="529"/>
    <x v="26"/>
    <x v="612"/>
    <x v="579"/>
    <x v="409"/>
    <x v="582"/>
    <x v="156"/>
    <x v="161"/>
    <x v="4"/>
  </r>
  <r>
    <x v="1817"/>
    <x v="217"/>
    <x v="13"/>
    <x v="1064"/>
    <x v="529"/>
    <x v="26"/>
    <x v="142"/>
    <x v="119"/>
    <x v="66"/>
    <x v="139"/>
    <x v="156"/>
    <x v="161"/>
    <x v="5"/>
  </r>
  <r>
    <x v="1818"/>
    <x v="217"/>
    <x v="17"/>
    <x v="1110"/>
    <x v="529"/>
    <x v="33"/>
    <x v="35"/>
    <x v="34"/>
    <x v="22"/>
    <x v="34"/>
    <x v="156"/>
    <x v="161"/>
    <x v="6"/>
  </r>
  <r>
    <x v="1819"/>
    <x v="217"/>
    <x v="22"/>
    <x v="1120"/>
    <x v="528"/>
    <x v="21"/>
    <x v="36"/>
    <x v="36"/>
    <x v="23"/>
    <x v="37"/>
    <x v="156"/>
    <x v="161"/>
    <x v="7"/>
  </r>
  <r>
    <x v="1820"/>
    <x v="217"/>
    <x v="27"/>
    <x v="1094"/>
    <x v="528"/>
    <x v="25"/>
    <x v="523"/>
    <x v="499"/>
    <x v="289"/>
    <x v="493"/>
    <x v="156"/>
    <x v="161"/>
    <x v="8"/>
  </r>
  <r>
    <x v="1821"/>
    <x v="217"/>
    <x v="29"/>
    <x v="1094"/>
    <x v="528"/>
    <x v="30"/>
    <x v="384"/>
    <x v="368"/>
    <x v="118"/>
    <x v="381"/>
    <x v="156"/>
    <x v="161"/>
    <x v="9"/>
  </r>
  <r>
    <x v="1822"/>
    <x v="218"/>
    <x v="3"/>
    <x v="2025"/>
    <x v="1181"/>
    <x v="42"/>
    <x v="2607"/>
    <x v="1484"/>
    <x v="1373"/>
    <x v="2080"/>
    <x v="166"/>
    <x v="169"/>
    <x v="1"/>
  </r>
  <r>
    <x v="1823"/>
    <x v="218"/>
    <x v="5"/>
    <x v="2041"/>
    <x v="1181"/>
    <x v="40"/>
    <x v="2583"/>
    <x v="2934"/>
    <x v="938"/>
    <x v="2014"/>
    <x v="166"/>
    <x v="169"/>
    <x v="2"/>
  </r>
  <r>
    <x v="1824"/>
    <x v="218"/>
    <x v="8"/>
    <x v="2052"/>
    <x v="1186"/>
    <x v="40"/>
    <x v="2809"/>
    <x v="2741"/>
    <x v="1585"/>
    <x v="2403"/>
    <x v="166"/>
    <x v="169"/>
    <x v="3"/>
  </r>
  <r>
    <x v="1825"/>
    <x v="218"/>
    <x v="11"/>
    <x v="2098"/>
    <x v="1181"/>
    <x v="44"/>
    <x v="2886"/>
    <x v="1724"/>
    <x v="2003"/>
    <x v="2465"/>
    <x v="166"/>
    <x v="169"/>
    <x v="4"/>
  </r>
  <r>
    <x v="1826"/>
    <x v="218"/>
    <x v="13"/>
    <x v="2081"/>
    <x v="1187"/>
    <x v="45"/>
    <x v="2708"/>
    <x v="1506"/>
    <x v="1820"/>
    <x v="2175"/>
    <x v="166"/>
    <x v="169"/>
    <x v="5"/>
  </r>
  <r>
    <x v="1827"/>
    <x v="218"/>
    <x v="17"/>
    <x v="2137"/>
    <x v="1188"/>
    <x v="45"/>
    <x v="1882"/>
    <x v="1091"/>
    <x v="1265"/>
    <x v="836"/>
    <x v="166"/>
    <x v="169"/>
    <x v="6"/>
  </r>
  <r>
    <x v="1828"/>
    <x v="218"/>
    <x v="22"/>
    <x v="2156"/>
    <x v="1240"/>
    <x v="40"/>
    <x v="2712"/>
    <x v="1820"/>
    <x v="1388"/>
    <x v="2085"/>
    <x v="166"/>
    <x v="169"/>
    <x v="7"/>
  </r>
  <r>
    <x v="1829"/>
    <x v="218"/>
    <x v="27"/>
    <x v="2173"/>
    <x v="1242"/>
    <x v="40"/>
    <x v="2490"/>
    <x v="1741"/>
    <x v="1412"/>
    <x v="1675"/>
    <x v="166"/>
    <x v="169"/>
    <x v="8"/>
  </r>
  <r>
    <x v="1830"/>
    <x v="218"/>
    <x v="29"/>
    <x v="2208"/>
    <x v="1205"/>
    <x v="40"/>
    <x v="2486"/>
    <x v="1576"/>
    <x v="1166"/>
    <x v="1635"/>
    <x v="166"/>
    <x v="169"/>
    <x v="9"/>
  </r>
  <r>
    <x v="1831"/>
    <x v="219"/>
    <x v="1"/>
    <x v="2396"/>
    <x v="1421"/>
    <x v="42"/>
    <x v="2512"/>
    <x v="2720"/>
    <x v="543"/>
    <x v="1408"/>
    <x v="169"/>
    <x v="173"/>
    <x v="1"/>
  </r>
  <r>
    <x v="1832"/>
    <x v="219"/>
    <x v="4"/>
    <x v="2412"/>
    <x v="1439"/>
    <x v="38"/>
    <x v="3248"/>
    <x v="3300"/>
    <x v="1961"/>
    <x v="2942"/>
    <x v="169"/>
    <x v="173"/>
    <x v="2"/>
  </r>
  <r>
    <x v="1833"/>
    <x v="219"/>
    <x v="6"/>
    <x v="2429"/>
    <x v="1447"/>
    <x v="29"/>
    <x v="2889"/>
    <x v="2996"/>
    <x v="784"/>
    <x v="1972"/>
    <x v="169"/>
    <x v="173"/>
    <x v="3"/>
  </r>
  <r>
    <x v="1834"/>
    <x v="219"/>
    <x v="9"/>
    <x v="2440"/>
    <x v="1448"/>
    <x v="38"/>
    <x v="1596"/>
    <x v="1990"/>
    <x v="172"/>
    <x v="485"/>
    <x v="169"/>
    <x v="173"/>
    <x v="4"/>
  </r>
  <r>
    <x v="1835"/>
    <x v="219"/>
    <x v="12"/>
    <x v="2447"/>
    <x v="1408"/>
    <x v="42"/>
    <x v="3164"/>
    <x v="3063"/>
    <x v="1478"/>
    <x v="2658"/>
    <x v="169"/>
    <x v="173"/>
    <x v="5"/>
  </r>
  <r>
    <x v="1836"/>
    <x v="219"/>
    <x v="15"/>
    <x v="2450"/>
    <x v="1411"/>
    <x v="38"/>
    <x v="2290"/>
    <x v="2344"/>
    <x v="306"/>
    <x v="969"/>
    <x v="169"/>
    <x v="173"/>
    <x v="6"/>
  </r>
  <r>
    <x v="1837"/>
    <x v="219"/>
    <x v="20"/>
    <x v="2454"/>
    <x v="1455"/>
    <x v="40"/>
    <x v="2936"/>
    <x v="2926"/>
    <x v="863"/>
    <x v="2004"/>
    <x v="169"/>
    <x v="173"/>
    <x v="7"/>
  </r>
  <r>
    <x v="1838"/>
    <x v="219"/>
    <x v="25"/>
    <x v="2456"/>
    <x v="1457"/>
    <x v="44"/>
    <x v="3233"/>
    <x v="3286"/>
    <x v="2098"/>
    <x v="2841"/>
    <x v="169"/>
    <x v="173"/>
    <x v="8"/>
  </r>
  <r>
    <x v="1839"/>
    <x v="219"/>
    <x v="28"/>
    <x v="2463"/>
    <x v="1484"/>
    <x v="36"/>
    <x v="3190"/>
    <x v="3210"/>
    <x v="1801"/>
    <x v="2718"/>
    <x v="169"/>
    <x v="173"/>
    <x v="9"/>
  </r>
  <r>
    <x v="1840"/>
    <x v="220"/>
    <x v="3"/>
    <x v="1542"/>
    <x v="968"/>
    <x v="23"/>
    <x v="1773"/>
    <x v="2333"/>
    <x v="1071"/>
    <x v="1452"/>
    <x v="177"/>
    <x v="161"/>
    <x v="1"/>
  </r>
  <r>
    <x v="1841"/>
    <x v="220"/>
    <x v="5"/>
    <x v="1526"/>
    <x v="968"/>
    <x v="44"/>
    <x v="2376"/>
    <x v="2762"/>
    <x v="2588"/>
    <x v="2517"/>
    <x v="177"/>
    <x v="161"/>
    <x v="2"/>
  </r>
  <r>
    <x v="1842"/>
    <x v="220"/>
    <x v="8"/>
    <x v="1528"/>
    <x v="968"/>
    <x v="42"/>
    <x v="2433"/>
    <x v="2799"/>
    <x v="2715"/>
    <x v="2585"/>
    <x v="177"/>
    <x v="161"/>
    <x v="3"/>
  </r>
  <r>
    <x v="1843"/>
    <x v="220"/>
    <x v="17"/>
    <x v="1549"/>
    <x v="968"/>
    <x v="45"/>
    <x v="1607"/>
    <x v="1125"/>
    <x v="2085"/>
    <x v="1215"/>
    <x v="177"/>
    <x v="161"/>
    <x v="6"/>
  </r>
  <r>
    <x v="1844"/>
    <x v="221"/>
    <x v="1"/>
    <x v="878"/>
    <x v="463"/>
    <x v="14"/>
    <x v="1952"/>
    <x v="2264"/>
    <x v="1498"/>
    <x v="2754"/>
    <x v="230"/>
    <x v="224"/>
    <x v="1"/>
  </r>
  <r>
    <x v="1845"/>
    <x v="221"/>
    <x v="4"/>
    <x v="819"/>
    <x v="412"/>
    <x v="26"/>
    <x v="820"/>
    <x v="1358"/>
    <x v="497"/>
    <x v="1065"/>
    <x v="230"/>
    <x v="224"/>
    <x v="2"/>
  </r>
  <r>
    <x v="1846"/>
    <x v="221"/>
    <x v="6"/>
    <x v="835"/>
    <x v="345"/>
    <x v="25"/>
    <x v="1354"/>
    <x v="1819"/>
    <x v="1473"/>
    <x v="1960"/>
    <x v="230"/>
    <x v="224"/>
    <x v="3"/>
  </r>
  <r>
    <x v="1847"/>
    <x v="221"/>
    <x v="9"/>
    <x v="819"/>
    <x v="345"/>
    <x v="34"/>
    <x v="2402"/>
    <x v="2705"/>
    <x v="2489"/>
    <x v="3237"/>
    <x v="230"/>
    <x v="224"/>
    <x v="4"/>
  </r>
  <r>
    <x v="1848"/>
    <x v="221"/>
    <x v="12"/>
    <x v="819"/>
    <x v="345"/>
    <x v="31"/>
    <x v="2170"/>
    <x v="2597"/>
    <x v="1909"/>
    <x v="3078"/>
    <x v="230"/>
    <x v="224"/>
    <x v="5"/>
  </r>
  <r>
    <x v="1849"/>
    <x v="221"/>
    <x v="20"/>
    <x v="825"/>
    <x v="399"/>
    <x v="35"/>
    <x v="2744"/>
    <x v="2905"/>
    <x v="2902"/>
    <x v="3407"/>
    <x v="230"/>
    <x v="224"/>
    <x v="7"/>
  </r>
  <r>
    <x v="1850"/>
    <x v="221"/>
    <x v="25"/>
    <x v="831"/>
    <x v="345"/>
    <x v="35"/>
    <x v="2719"/>
    <x v="2972"/>
    <x v="3053"/>
    <x v="3399"/>
    <x v="230"/>
    <x v="224"/>
    <x v="8"/>
  </r>
  <r>
    <x v="1851"/>
    <x v="221"/>
    <x v="28"/>
    <x v="900"/>
    <x v="345"/>
    <x v="34"/>
    <x v="3024"/>
    <x v="3239"/>
    <x v="3298"/>
    <x v="3460"/>
    <x v="230"/>
    <x v="224"/>
    <x v="9"/>
  </r>
  <r>
    <x v="1852"/>
    <x v="222"/>
    <x v="1"/>
    <x v="2853"/>
    <x v="1733"/>
    <x v="35"/>
    <x v="3332"/>
    <x v="1891"/>
    <x v="2478"/>
    <x v="2129"/>
    <x v="278"/>
    <x v="272"/>
    <x v="1"/>
  </r>
  <r>
    <x v="1853"/>
    <x v="222"/>
    <x v="4"/>
    <x v="2854"/>
    <x v="1766"/>
    <x v="36"/>
    <x v="3463"/>
    <x v="2704"/>
    <x v="2790"/>
    <x v="3301"/>
    <x v="278"/>
    <x v="272"/>
    <x v="2"/>
  </r>
  <r>
    <x v="1854"/>
    <x v="222"/>
    <x v="6"/>
    <x v="2851"/>
    <x v="1762"/>
    <x v="47"/>
    <x v="3416"/>
    <x v="2702"/>
    <x v="2397"/>
    <x v="3025"/>
    <x v="278"/>
    <x v="272"/>
    <x v="3"/>
  </r>
  <r>
    <x v="1855"/>
    <x v="222"/>
    <x v="9"/>
    <x v="2852"/>
    <x v="1760"/>
    <x v="49"/>
    <x v="3435"/>
    <x v="2856"/>
    <x v="2245"/>
    <x v="3121"/>
    <x v="278"/>
    <x v="272"/>
    <x v="4"/>
  </r>
  <r>
    <x v="1856"/>
    <x v="222"/>
    <x v="12"/>
    <x v="2848"/>
    <x v="1765"/>
    <x v="53"/>
    <x v="3458"/>
    <x v="2991"/>
    <x v="2578"/>
    <x v="3299"/>
    <x v="278"/>
    <x v="272"/>
    <x v="5"/>
  </r>
  <r>
    <x v="1857"/>
    <x v="222"/>
    <x v="15"/>
    <x v="2847"/>
    <x v="1763"/>
    <x v="52"/>
    <x v="3419"/>
    <x v="2810"/>
    <x v="1948"/>
    <x v="3052"/>
    <x v="278"/>
    <x v="272"/>
    <x v="6"/>
  </r>
  <r>
    <x v="1858"/>
    <x v="222"/>
    <x v="20"/>
    <x v="2849"/>
    <x v="1764"/>
    <x v="46"/>
    <x v="3441"/>
    <x v="2992"/>
    <x v="2173"/>
    <x v="3190"/>
    <x v="278"/>
    <x v="272"/>
    <x v="7"/>
  </r>
  <r>
    <x v="1859"/>
    <x v="222"/>
    <x v="25"/>
    <x v="2849"/>
    <x v="1759"/>
    <x v="38"/>
    <x v="3439"/>
    <x v="3024"/>
    <x v="2820"/>
    <x v="3165"/>
    <x v="278"/>
    <x v="272"/>
    <x v="8"/>
  </r>
  <r>
    <x v="1860"/>
    <x v="222"/>
    <x v="27"/>
    <x v="2850"/>
    <x v="1761"/>
    <x v="38"/>
    <x v="3436"/>
    <x v="3072"/>
    <x v="2773"/>
    <x v="3131"/>
    <x v="278"/>
    <x v="272"/>
    <x v="8"/>
  </r>
  <r>
    <x v="1861"/>
    <x v="222"/>
    <x v="29"/>
    <x v="2846"/>
    <x v="1728"/>
    <x v="54"/>
    <x v="3431"/>
    <x v="3067"/>
    <x v="2400"/>
    <x v="3126"/>
    <x v="278"/>
    <x v="272"/>
    <x v="9"/>
  </r>
  <r>
    <x v="1862"/>
    <x v="223"/>
    <x v="1"/>
    <x v="271"/>
    <x v="515"/>
    <x v="17"/>
    <x v="29"/>
    <x v="28"/>
    <x v="713"/>
    <x v="17"/>
    <x v="302"/>
    <x v="93"/>
    <x v="1"/>
  </r>
  <r>
    <x v="1863"/>
    <x v="223"/>
    <x v="4"/>
    <x v="272"/>
    <x v="514"/>
    <x v="33"/>
    <x v="1672"/>
    <x v="1694"/>
    <x v="2832"/>
    <x v="3149"/>
    <x v="302"/>
    <x v="93"/>
    <x v="2"/>
  </r>
  <r>
    <x v="1864"/>
    <x v="223"/>
    <x v="6"/>
    <x v="272"/>
    <x v="514"/>
    <x v="35"/>
    <x v="449"/>
    <x v="708"/>
    <x v="503"/>
    <x v="1060"/>
    <x v="302"/>
    <x v="93"/>
    <x v="3"/>
  </r>
  <r>
    <x v="1865"/>
    <x v="223"/>
    <x v="9"/>
    <x v="272"/>
    <x v="514"/>
    <x v="44"/>
    <x v="106"/>
    <x v="144"/>
    <x v="124"/>
    <x v="200"/>
    <x v="302"/>
    <x v="93"/>
    <x v="4"/>
  </r>
  <r>
    <x v="1866"/>
    <x v="223"/>
    <x v="16"/>
    <x v="326"/>
    <x v="526"/>
    <x v="42"/>
    <x v="209"/>
    <x v="888"/>
    <x v="2608"/>
    <x v="355"/>
    <x v="302"/>
    <x v="93"/>
    <x v="6"/>
  </r>
  <r>
    <x v="1867"/>
    <x v="223"/>
    <x v="22"/>
    <x v="330"/>
    <x v="532"/>
    <x v="43"/>
    <x v="1045"/>
    <x v="2393"/>
    <x v="2755"/>
    <x v="2371"/>
    <x v="302"/>
    <x v="93"/>
    <x v="7"/>
  </r>
  <r>
    <x v="1868"/>
    <x v="223"/>
    <x v="27"/>
    <x v="330"/>
    <x v="532"/>
    <x v="42"/>
    <x v="155"/>
    <x v="1026"/>
    <x v="1643"/>
    <x v="260"/>
    <x v="302"/>
    <x v="93"/>
    <x v="8"/>
  </r>
  <r>
    <x v="1869"/>
    <x v="223"/>
    <x v="29"/>
    <x v="352"/>
    <x v="532"/>
    <x v="43"/>
    <x v="486"/>
    <x v="2111"/>
    <x v="1492"/>
    <x v="1030"/>
    <x v="302"/>
    <x v="93"/>
    <x v="9"/>
  </r>
  <r>
    <x v="1870"/>
    <x v="224"/>
    <x v="25"/>
    <x v="32"/>
    <x v="115"/>
    <x v="28"/>
    <x v="1146"/>
    <x v="2272"/>
    <x v="2610"/>
    <x v="2995"/>
    <x v="380"/>
    <x v="272"/>
    <x v="8"/>
  </r>
  <r>
    <x v="1871"/>
    <x v="224"/>
    <x v="28"/>
    <x v="1"/>
    <x v="121"/>
    <x v="45"/>
    <x v="924"/>
    <x v="1767"/>
    <x v="1778"/>
    <x v="2726"/>
    <x v="380"/>
    <x v="272"/>
    <x v="9"/>
  </r>
  <r>
    <x v="1872"/>
    <x v="225"/>
    <x v="0"/>
    <x v="2580"/>
    <x v="1585"/>
    <x v="39"/>
    <x v="3302"/>
    <x v="3208"/>
    <x v="2504"/>
    <x v="2761"/>
    <x v="81"/>
    <x v="106"/>
    <x v="0"/>
  </r>
  <r>
    <x v="1873"/>
    <x v="225"/>
    <x v="3"/>
    <x v="2595"/>
    <x v="1682"/>
    <x v="31"/>
    <x v="3012"/>
    <x v="2885"/>
    <x v="1367"/>
    <x v="1700"/>
    <x v="81"/>
    <x v="106"/>
    <x v="1"/>
  </r>
  <r>
    <x v="1874"/>
    <x v="225"/>
    <x v="5"/>
    <x v="2598"/>
    <x v="1683"/>
    <x v="36"/>
    <x v="2238"/>
    <x v="2317"/>
    <x v="933"/>
    <x v="656"/>
    <x v="81"/>
    <x v="106"/>
    <x v="2"/>
  </r>
  <r>
    <x v="1875"/>
    <x v="225"/>
    <x v="8"/>
    <x v="2612"/>
    <x v="1683"/>
    <x v="29"/>
    <x v="2578"/>
    <x v="2522"/>
    <x v="1273"/>
    <x v="958"/>
    <x v="81"/>
    <x v="106"/>
    <x v="3"/>
  </r>
  <r>
    <x v="1876"/>
    <x v="225"/>
    <x v="11"/>
    <x v="2620"/>
    <x v="1701"/>
    <x v="37"/>
    <x v="1915"/>
    <x v="2063"/>
    <x v="787"/>
    <x v="470"/>
    <x v="81"/>
    <x v="106"/>
    <x v="4"/>
  </r>
  <r>
    <x v="1877"/>
    <x v="225"/>
    <x v="13"/>
    <x v="2625"/>
    <x v="1704"/>
    <x v="36"/>
    <x v="2212"/>
    <x v="2374"/>
    <x v="903"/>
    <x v="629"/>
    <x v="81"/>
    <x v="106"/>
    <x v="5"/>
  </r>
  <r>
    <x v="1878"/>
    <x v="225"/>
    <x v="17"/>
    <x v="2648"/>
    <x v="1704"/>
    <x v="46"/>
    <x v="1487"/>
    <x v="1848"/>
    <x v="673"/>
    <x v="321"/>
    <x v="81"/>
    <x v="106"/>
    <x v="6"/>
  </r>
  <r>
    <x v="1879"/>
    <x v="225"/>
    <x v="22"/>
    <x v="2649"/>
    <x v="1692"/>
    <x v="44"/>
    <x v="1528"/>
    <x v="1874"/>
    <x v="451"/>
    <x v="330"/>
    <x v="81"/>
    <x v="106"/>
    <x v="7"/>
  </r>
  <r>
    <x v="1880"/>
    <x v="225"/>
    <x v="27"/>
    <x v="2660"/>
    <x v="1624"/>
    <x v="44"/>
    <x v="2155"/>
    <x v="2530"/>
    <x v="656"/>
    <x v="567"/>
    <x v="81"/>
    <x v="106"/>
    <x v="8"/>
  </r>
  <r>
    <x v="1881"/>
    <x v="225"/>
    <x v="29"/>
    <x v="2656"/>
    <x v="1626"/>
    <x v="44"/>
    <x v="2801"/>
    <x v="2970"/>
    <x v="1062"/>
    <x v="1189"/>
    <x v="81"/>
    <x v="106"/>
    <x v="9"/>
  </r>
  <r>
    <x v="1882"/>
    <x v="226"/>
    <x v="1"/>
    <x v="2606"/>
    <x v="1738"/>
    <x v="25"/>
    <x v="3274"/>
    <x v="3408"/>
    <x v="696"/>
    <x v="2596"/>
    <x v="266"/>
    <x v="331"/>
    <x v="1"/>
  </r>
  <r>
    <x v="1883"/>
    <x v="226"/>
    <x v="3"/>
    <x v="2602"/>
    <x v="1741"/>
    <x v="25"/>
    <x v="3354"/>
    <x v="3430"/>
    <x v="1110"/>
    <x v="2911"/>
    <x v="266"/>
    <x v="331"/>
    <x v="1"/>
  </r>
  <r>
    <x v="1884"/>
    <x v="226"/>
    <x v="5"/>
    <x v="2619"/>
    <x v="1742"/>
    <x v="30"/>
    <x v="3368"/>
    <x v="3436"/>
    <x v="1019"/>
    <x v="2965"/>
    <x v="266"/>
    <x v="331"/>
    <x v="2"/>
  </r>
  <r>
    <x v="1885"/>
    <x v="226"/>
    <x v="8"/>
    <x v="2617"/>
    <x v="1740"/>
    <x v="30"/>
    <x v="3183"/>
    <x v="3387"/>
    <x v="593"/>
    <x v="2222"/>
    <x v="266"/>
    <x v="331"/>
    <x v="3"/>
  </r>
  <r>
    <x v="1886"/>
    <x v="226"/>
    <x v="11"/>
    <x v="2622"/>
    <x v="1746"/>
    <x v="30"/>
    <x v="3355"/>
    <x v="3438"/>
    <x v="1383"/>
    <x v="2898"/>
    <x v="266"/>
    <x v="331"/>
    <x v="4"/>
  </r>
  <r>
    <x v="1887"/>
    <x v="226"/>
    <x v="13"/>
    <x v="2624"/>
    <x v="1744"/>
    <x v="35"/>
    <x v="3374"/>
    <x v="3442"/>
    <x v="1497"/>
    <x v="2985"/>
    <x v="266"/>
    <x v="331"/>
    <x v="5"/>
  </r>
  <r>
    <x v="1888"/>
    <x v="226"/>
    <x v="17"/>
    <x v="2627"/>
    <x v="1747"/>
    <x v="35"/>
    <x v="3396"/>
    <x v="3445"/>
    <x v="1805"/>
    <x v="3114"/>
    <x v="266"/>
    <x v="331"/>
    <x v="6"/>
  </r>
  <r>
    <x v="1889"/>
    <x v="226"/>
    <x v="22"/>
    <x v="2629"/>
    <x v="1751"/>
    <x v="31"/>
    <x v="3179"/>
    <x v="3403"/>
    <x v="634"/>
    <x v="2187"/>
    <x v="266"/>
    <x v="331"/>
    <x v="7"/>
  </r>
  <r>
    <x v="1890"/>
    <x v="226"/>
    <x v="27"/>
    <x v="2630"/>
    <x v="1749"/>
    <x v="23"/>
    <x v="3282"/>
    <x v="3433"/>
    <x v="1739"/>
    <x v="2577"/>
    <x v="266"/>
    <x v="331"/>
    <x v="8"/>
  </r>
  <r>
    <x v="1891"/>
    <x v="226"/>
    <x v="29"/>
    <x v="2633"/>
    <x v="1750"/>
    <x v="31"/>
    <x v="3358"/>
    <x v="3444"/>
    <x v="1155"/>
    <x v="2897"/>
    <x v="266"/>
    <x v="331"/>
    <x v="9"/>
  </r>
  <r>
    <x v="1892"/>
    <x v="227"/>
    <x v="1"/>
    <x v="643"/>
    <x v="230"/>
    <x v="15"/>
    <x v="1792"/>
    <x v="525"/>
    <x v="2333"/>
    <x v="2846"/>
    <x v="284"/>
    <x v="173"/>
    <x v="1"/>
  </r>
  <r>
    <x v="1893"/>
    <x v="227"/>
    <x v="4"/>
    <x v="642"/>
    <x v="240"/>
    <x v="15"/>
    <x v="2100"/>
    <x v="670"/>
    <x v="2730"/>
    <x v="3147"/>
    <x v="284"/>
    <x v="173"/>
    <x v="2"/>
  </r>
  <r>
    <x v="1894"/>
    <x v="227"/>
    <x v="6"/>
    <x v="641"/>
    <x v="241"/>
    <x v="13"/>
    <x v="1980"/>
    <x v="815"/>
    <x v="2481"/>
    <x v="3053"/>
    <x v="284"/>
    <x v="173"/>
    <x v="3"/>
  </r>
  <r>
    <x v="1895"/>
    <x v="227"/>
    <x v="9"/>
    <x v="650"/>
    <x v="241"/>
    <x v="13"/>
    <x v="1542"/>
    <x v="486"/>
    <x v="1765"/>
    <x v="2546"/>
    <x v="284"/>
    <x v="173"/>
    <x v="4"/>
  </r>
  <r>
    <x v="1896"/>
    <x v="227"/>
    <x v="12"/>
    <x v="652"/>
    <x v="241"/>
    <x v="16"/>
    <x v="2291"/>
    <x v="819"/>
    <x v="2824"/>
    <x v="3275"/>
    <x v="284"/>
    <x v="173"/>
    <x v="5"/>
  </r>
  <r>
    <x v="1897"/>
    <x v="227"/>
    <x v="15"/>
    <x v="668"/>
    <x v="241"/>
    <x v="21"/>
    <x v="1424"/>
    <x v="1556"/>
    <x v="1817"/>
    <x v="2362"/>
    <x v="284"/>
    <x v="173"/>
    <x v="6"/>
  </r>
  <r>
    <x v="1898"/>
    <x v="227"/>
    <x v="20"/>
    <x v="694"/>
    <x v="241"/>
    <x v="19"/>
    <x v="2217"/>
    <x v="1248"/>
    <x v="2725"/>
    <x v="3207"/>
    <x v="284"/>
    <x v="173"/>
    <x v="7"/>
  </r>
  <r>
    <x v="1899"/>
    <x v="227"/>
    <x v="25"/>
    <x v="726"/>
    <x v="259"/>
    <x v="45"/>
    <x v="661"/>
    <x v="622"/>
    <x v="531"/>
    <x v="931"/>
    <x v="284"/>
    <x v="173"/>
    <x v="8"/>
  </r>
  <r>
    <x v="1900"/>
    <x v="228"/>
    <x v="1"/>
    <x v="1898"/>
    <x v="1422"/>
    <x v="24"/>
    <x v="3385"/>
    <x v="3399"/>
    <x v="3170"/>
    <x v="3455"/>
    <x v="380"/>
    <x v="272"/>
    <x v="1"/>
  </r>
  <r>
    <x v="1901"/>
    <x v="228"/>
    <x v="4"/>
    <x v="1928"/>
    <x v="1470"/>
    <x v="37"/>
    <x v="2644"/>
    <x v="2983"/>
    <x v="1413"/>
    <x v="2292"/>
    <x v="380"/>
    <x v="272"/>
    <x v="2"/>
  </r>
  <r>
    <x v="1902"/>
    <x v="228"/>
    <x v="6"/>
    <x v="1936"/>
    <x v="1461"/>
    <x v="38"/>
    <x v="2952"/>
    <x v="3241"/>
    <x v="1808"/>
    <x v="2753"/>
    <x v="380"/>
    <x v="272"/>
    <x v="3"/>
  </r>
  <r>
    <x v="1903"/>
    <x v="228"/>
    <x v="9"/>
    <x v="1950"/>
    <x v="1460"/>
    <x v="37"/>
    <x v="3099"/>
    <x v="3331"/>
    <x v="2273"/>
    <x v="3023"/>
    <x v="380"/>
    <x v="272"/>
    <x v="4"/>
  </r>
  <r>
    <x v="1904"/>
    <x v="228"/>
    <x v="12"/>
    <x v="1953"/>
    <x v="1458"/>
    <x v="37"/>
    <x v="2715"/>
    <x v="3181"/>
    <x v="1045"/>
    <x v="2349"/>
    <x v="380"/>
    <x v="272"/>
    <x v="5"/>
  </r>
  <r>
    <x v="1905"/>
    <x v="228"/>
    <x v="15"/>
    <x v="1958"/>
    <x v="1467"/>
    <x v="37"/>
    <x v="1499"/>
    <x v="2362"/>
    <x v="186"/>
    <x v="665"/>
    <x v="380"/>
    <x v="272"/>
    <x v="6"/>
  </r>
  <r>
    <x v="1906"/>
    <x v="228"/>
    <x v="20"/>
    <x v="1974"/>
    <x v="1476"/>
    <x v="40"/>
    <x v="736"/>
    <x v="1802"/>
    <x v="104"/>
    <x v="315"/>
    <x v="380"/>
    <x v="272"/>
    <x v="7"/>
  </r>
  <r>
    <x v="1907"/>
    <x v="228"/>
    <x v="25"/>
    <x v="1983"/>
    <x v="1469"/>
    <x v="39"/>
    <x v="2558"/>
    <x v="3156"/>
    <x v="880"/>
    <x v="2054"/>
    <x v="380"/>
    <x v="272"/>
    <x v="8"/>
  </r>
  <r>
    <x v="1908"/>
    <x v="228"/>
    <x v="28"/>
    <x v="2008"/>
    <x v="1471"/>
    <x v="33"/>
    <x v="1595"/>
    <x v="2321"/>
    <x v="215"/>
    <x v="693"/>
    <x v="380"/>
    <x v="272"/>
    <x v="9"/>
  </r>
  <r>
    <x v="1909"/>
    <x v="229"/>
    <x v="1"/>
    <x v="2653"/>
    <x v="1614"/>
    <x v="30"/>
    <x v="3236"/>
    <x v="2118"/>
    <x v="2682"/>
    <x v="2377"/>
    <x v="289"/>
    <x v="280"/>
    <x v="1"/>
  </r>
  <r>
    <x v="1910"/>
    <x v="229"/>
    <x v="4"/>
    <x v="2684"/>
    <x v="1613"/>
    <x v="31"/>
    <x v="2800"/>
    <x v="1621"/>
    <x v="2169"/>
    <x v="1143"/>
    <x v="289"/>
    <x v="280"/>
    <x v="2"/>
  </r>
  <r>
    <x v="1911"/>
    <x v="229"/>
    <x v="6"/>
    <x v="2671"/>
    <x v="1629"/>
    <x v="37"/>
    <x v="2738"/>
    <x v="1608"/>
    <x v="1433"/>
    <x v="1081"/>
    <x v="289"/>
    <x v="280"/>
    <x v="3"/>
  </r>
  <r>
    <x v="1912"/>
    <x v="229"/>
    <x v="9"/>
    <x v="2650"/>
    <x v="1612"/>
    <x v="35"/>
    <x v="3187"/>
    <x v="2117"/>
    <x v="2445"/>
    <x v="2206"/>
    <x v="289"/>
    <x v="280"/>
    <x v="4"/>
  </r>
  <r>
    <x v="1913"/>
    <x v="229"/>
    <x v="12"/>
    <x v="2657"/>
    <x v="1602"/>
    <x v="31"/>
    <x v="2835"/>
    <x v="1302"/>
    <x v="1649"/>
    <x v="1249"/>
    <x v="289"/>
    <x v="280"/>
    <x v="5"/>
  </r>
  <r>
    <x v="1914"/>
    <x v="229"/>
    <x v="15"/>
    <x v="2669"/>
    <x v="1618"/>
    <x v="38"/>
    <x v="2576"/>
    <x v="1185"/>
    <x v="1121"/>
    <x v="895"/>
    <x v="289"/>
    <x v="280"/>
    <x v="6"/>
  </r>
  <r>
    <x v="1915"/>
    <x v="229"/>
    <x v="20"/>
    <x v="2658"/>
    <x v="1607"/>
    <x v="28"/>
    <x v="2409"/>
    <x v="1228"/>
    <x v="629"/>
    <x v="751"/>
    <x v="289"/>
    <x v="280"/>
    <x v="7"/>
  </r>
  <r>
    <x v="1916"/>
    <x v="229"/>
    <x v="25"/>
    <x v="2665"/>
    <x v="1609"/>
    <x v="25"/>
    <x v="2106"/>
    <x v="1243"/>
    <x v="316"/>
    <x v="538"/>
    <x v="289"/>
    <x v="280"/>
    <x v="8"/>
  </r>
  <r>
    <x v="1917"/>
    <x v="229"/>
    <x v="28"/>
    <x v="2666"/>
    <x v="1610"/>
    <x v="29"/>
    <x v="2727"/>
    <x v="1778"/>
    <x v="567"/>
    <x v="1056"/>
    <x v="289"/>
    <x v="280"/>
    <x v="9"/>
  </r>
  <r>
    <x v="1918"/>
    <x v="230"/>
    <x v="9"/>
    <x v="6"/>
    <x v="94"/>
    <x v="18"/>
    <x v="1332"/>
    <x v="436"/>
    <x v="1599"/>
    <x v="3175"/>
    <x v="288"/>
    <x v="279"/>
    <x v="4"/>
  </r>
  <r>
    <x v="1919"/>
    <x v="230"/>
    <x v="12"/>
    <x v="7"/>
    <x v="86"/>
    <x v="18"/>
    <x v="3209"/>
    <x v="1657"/>
    <x v="3502"/>
    <x v="3514"/>
    <x v="288"/>
    <x v="279"/>
    <x v="5"/>
  </r>
  <r>
    <x v="1920"/>
    <x v="230"/>
    <x v="15"/>
    <x v="8"/>
    <x v="86"/>
    <x v="17"/>
    <x v="2275"/>
    <x v="935"/>
    <x v="3114"/>
    <x v="3478"/>
    <x v="288"/>
    <x v="279"/>
    <x v="6"/>
  </r>
  <r>
    <x v="1921"/>
    <x v="230"/>
    <x v="28"/>
    <x v="15"/>
    <x v="73"/>
    <x v="16"/>
    <x v="2634"/>
    <x v="1255"/>
    <x v="3418"/>
    <x v="3498"/>
    <x v="288"/>
    <x v="279"/>
    <x v="9"/>
  </r>
  <r>
    <x v="1922"/>
    <x v="231"/>
    <x v="1"/>
    <x v="1316"/>
    <x v="599"/>
    <x v="37"/>
    <x v="2361"/>
    <x v="1545"/>
    <x v="2593"/>
    <x v="2760"/>
    <x v="63"/>
    <x v="42"/>
    <x v="1"/>
  </r>
  <r>
    <x v="1923"/>
    <x v="231"/>
    <x v="4"/>
    <x v="1318"/>
    <x v="599"/>
    <x v="40"/>
    <x v="2343"/>
    <x v="1730"/>
    <x v="2451"/>
    <x v="2734"/>
    <x v="63"/>
    <x v="42"/>
    <x v="2"/>
  </r>
  <r>
    <x v="1924"/>
    <x v="231"/>
    <x v="6"/>
    <x v="1320"/>
    <x v="599"/>
    <x v="40"/>
    <x v="1565"/>
    <x v="1121"/>
    <x v="1506"/>
    <x v="1501"/>
    <x v="63"/>
    <x v="42"/>
    <x v="3"/>
  </r>
  <r>
    <x v="1925"/>
    <x v="231"/>
    <x v="9"/>
    <x v="1319"/>
    <x v="599"/>
    <x v="40"/>
    <x v="2032"/>
    <x v="884"/>
    <x v="1878"/>
    <x v="2241"/>
    <x v="63"/>
    <x v="42"/>
    <x v="4"/>
  </r>
  <r>
    <x v="1926"/>
    <x v="231"/>
    <x v="12"/>
    <x v="1321"/>
    <x v="599"/>
    <x v="43"/>
    <x v="2240"/>
    <x v="1768"/>
    <x v="1991"/>
    <x v="2592"/>
    <x v="63"/>
    <x v="42"/>
    <x v="5"/>
  </r>
  <r>
    <x v="1927"/>
    <x v="231"/>
    <x v="15"/>
    <x v="1324"/>
    <x v="599"/>
    <x v="41"/>
    <x v="1472"/>
    <x v="1222"/>
    <x v="777"/>
    <x v="1358"/>
    <x v="63"/>
    <x v="42"/>
    <x v="6"/>
  </r>
  <r>
    <x v="1928"/>
    <x v="231"/>
    <x v="20"/>
    <x v="1325"/>
    <x v="599"/>
    <x v="37"/>
    <x v="2313"/>
    <x v="1826"/>
    <x v="1999"/>
    <x v="2686"/>
    <x v="63"/>
    <x v="42"/>
    <x v="7"/>
  </r>
  <r>
    <x v="1929"/>
    <x v="231"/>
    <x v="25"/>
    <x v="1346"/>
    <x v="632"/>
    <x v="39"/>
    <x v="1870"/>
    <x v="984"/>
    <x v="1311"/>
    <x v="1928"/>
    <x v="63"/>
    <x v="42"/>
    <x v="8"/>
  </r>
  <r>
    <x v="1930"/>
    <x v="231"/>
    <x v="28"/>
    <x v="1334"/>
    <x v="629"/>
    <x v="41"/>
    <x v="1352"/>
    <x v="550"/>
    <x v="1000"/>
    <x v="1187"/>
    <x v="63"/>
    <x v="42"/>
    <x v="9"/>
  </r>
  <r>
    <x v="1931"/>
    <x v="232"/>
    <x v="1"/>
    <x v="1861"/>
    <x v="1025"/>
    <x v="29"/>
    <x v="2089"/>
    <x v="1212"/>
    <x v="1420"/>
    <x v="1427"/>
    <x v="71"/>
    <x v="51"/>
    <x v="1"/>
  </r>
  <r>
    <x v="1932"/>
    <x v="232"/>
    <x v="4"/>
    <x v="1866"/>
    <x v="1025"/>
    <x v="30"/>
    <x v="2017"/>
    <x v="1348"/>
    <x v="820"/>
    <x v="1310"/>
    <x v="71"/>
    <x v="51"/>
    <x v="2"/>
  </r>
  <r>
    <x v="1933"/>
    <x v="232"/>
    <x v="6"/>
    <x v="1923"/>
    <x v="1025"/>
    <x v="28"/>
    <x v="1123"/>
    <x v="950"/>
    <x v="817"/>
    <x v="492"/>
    <x v="71"/>
    <x v="51"/>
    <x v="3"/>
  </r>
  <r>
    <x v="1934"/>
    <x v="232"/>
    <x v="9"/>
    <x v="1923"/>
    <x v="1025"/>
    <x v="38"/>
    <x v="1067"/>
    <x v="961"/>
    <x v="785"/>
    <x v="472"/>
    <x v="71"/>
    <x v="51"/>
    <x v="4"/>
  </r>
  <r>
    <x v="1935"/>
    <x v="232"/>
    <x v="12"/>
    <x v="1869"/>
    <x v="1025"/>
    <x v="36"/>
    <x v="510"/>
    <x v="480"/>
    <x v="422"/>
    <x v="246"/>
    <x v="71"/>
    <x v="51"/>
    <x v="5"/>
  </r>
  <r>
    <x v="1936"/>
    <x v="232"/>
    <x v="15"/>
    <x v="1888"/>
    <x v="975"/>
    <x v="34"/>
    <x v="1479"/>
    <x v="1191"/>
    <x v="834"/>
    <x v="699"/>
    <x v="71"/>
    <x v="51"/>
    <x v="6"/>
  </r>
  <r>
    <x v="1937"/>
    <x v="232"/>
    <x v="25"/>
    <x v="1892"/>
    <x v="977"/>
    <x v="39"/>
    <x v="271"/>
    <x v="286"/>
    <x v="377"/>
    <x v="145"/>
    <x v="71"/>
    <x v="51"/>
    <x v="8"/>
  </r>
  <r>
    <x v="1938"/>
    <x v="232"/>
    <x v="28"/>
    <x v="1893"/>
    <x v="977"/>
    <x v="42"/>
    <x v="460"/>
    <x v="478"/>
    <x v="426"/>
    <x v="230"/>
    <x v="71"/>
    <x v="51"/>
    <x v="9"/>
  </r>
  <r>
    <x v="1939"/>
    <x v="233"/>
    <x v="1"/>
    <x v="900"/>
    <x v="418"/>
    <x v="16"/>
    <x v="1019"/>
    <x v="730"/>
    <x v="1230"/>
    <x v="1333"/>
    <x v="109"/>
    <x v="128"/>
    <x v="1"/>
  </r>
  <r>
    <x v="1940"/>
    <x v="233"/>
    <x v="4"/>
    <x v="904"/>
    <x v="402"/>
    <x v="34"/>
    <x v="855"/>
    <x v="607"/>
    <x v="765"/>
    <x v="1021"/>
    <x v="109"/>
    <x v="128"/>
    <x v="2"/>
  </r>
  <r>
    <x v="1941"/>
    <x v="233"/>
    <x v="6"/>
    <x v="907"/>
    <x v="403"/>
    <x v="34"/>
    <x v="756"/>
    <x v="219"/>
    <x v="644"/>
    <x v="899"/>
    <x v="109"/>
    <x v="128"/>
    <x v="3"/>
  </r>
  <r>
    <x v="1942"/>
    <x v="233"/>
    <x v="9"/>
    <x v="909"/>
    <x v="408"/>
    <x v="41"/>
    <x v="1009"/>
    <x v="329"/>
    <x v="1008"/>
    <x v="1305"/>
    <x v="109"/>
    <x v="128"/>
    <x v="4"/>
  </r>
  <r>
    <x v="1943"/>
    <x v="233"/>
    <x v="12"/>
    <x v="909"/>
    <x v="408"/>
    <x v="41"/>
    <x v="270"/>
    <x v="106"/>
    <x v="201"/>
    <x v="294"/>
    <x v="109"/>
    <x v="128"/>
    <x v="5"/>
  </r>
  <r>
    <x v="1944"/>
    <x v="233"/>
    <x v="15"/>
    <x v="914"/>
    <x v="411"/>
    <x v="41"/>
    <x v="1334"/>
    <x v="483"/>
    <x v="1488"/>
    <x v="1838"/>
    <x v="109"/>
    <x v="128"/>
    <x v="6"/>
  </r>
  <r>
    <x v="1945"/>
    <x v="233"/>
    <x v="20"/>
    <x v="914"/>
    <x v="411"/>
    <x v="39"/>
    <x v="1564"/>
    <x v="537"/>
    <x v="1897"/>
    <x v="2188"/>
    <x v="109"/>
    <x v="128"/>
    <x v="7"/>
  </r>
  <r>
    <x v="1946"/>
    <x v="233"/>
    <x v="25"/>
    <x v="912"/>
    <x v="384"/>
    <x v="39"/>
    <x v="1128"/>
    <x v="497"/>
    <x v="1435"/>
    <x v="1487"/>
    <x v="109"/>
    <x v="128"/>
    <x v="8"/>
  </r>
  <r>
    <x v="1947"/>
    <x v="233"/>
    <x v="28"/>
    <x v="916"/>
    <x v="384"/>
    <x v="40"/>
    <x v="1000"/>
    <x v="406"/>
    <x v="1629"/>
    <x v="1268"/>
    <x v="109"/>
    <x v="128"/>
    <x v="9"/>
  </r>
  <r>
    <x v="1948"/>
    <x v="234"/>
    <x v="1"/>
    <x v="1487"/>
    <x v="736"/>
    <x v="33"/>
    <x v="1715"/>
    <x v="1031"/>
    <x v="1149"/>
    <x v="1426"/>
    <x v="115"/>
    <x v="133"/>
    <x v="1"/>
  </r>
  <r>
    <x v="1949"/>
    <x v="234"/>
    <x v="4"/>
    <x v="1502"/>
    <x v="736"/>
    <x v="26"/>
    <x v="1930"/>
    <x v="1256"/>
    <x v="1405"/>
    <x v="1758"/>
    <x v="115"/>
    <x v="133"/>
    <x v="2"/>
  </r>
  <r>
    <x v="1950"/>
    <x v="234"/>
    <x v="6"/>
    <x v="1494"/>
    <x v="736"/>
    <x v="26"/>
    <x v="1986"/>
    <x v="1357"/>
    <x v="1044"/>
    <x v="1860"/>
    <x v="115"/>
    <x v="133"/>
    <x v="3"/>
  </r>
  <r>
    <x v="1951"/>
    <x v="234"/>
    <x v="9"/>
    <x v="1523"/>
    <x v="736"/>
    <x v="40"/>
    <x v="2037"/>
    <x v="1437"/>
    <x v="1178"/>
    <x v="1905"/>
    <x v="115"/>
    <x v="133"/>
    <x v="4"/>
  </r>
  <r>
    <x v="1952"/>
    <x v="234"/>
    <x v="12"/>
    <x v="1538"/>
    <x v="794"/>
    <x v="38"/>
    <x v="2102"/>
    <x v="1365"/>
    <x v="1142"/>
    <x v="2005"/>
    <x v="115"/>
    <x v="133"/>
    <x v="5"/>
  </r>
  <r>
    <x v="1953"/>
    <x v="234"/>
    <x v="15"/>
    <x v="1538"/>
    <x v="794"/>
    <x v="39"/>
    <x v="1328"/>
    <x v="471"/>
    <x v="514"/>
    <x v="912"/>
    <x v="115"/>
    <x v="133"/>
    <x v="6"/>
  </r>
  <r>
    <x v="1954"/>
    <x v="234"/>
    <x v="20"/>
    <x v="1533"/>
    <x v="794"/>
    <x v="43"/>
    <x v="1648"/>
    <x v="558"/>
    <x v="871"/>
    <x v="1296"/>
    <x v="115"/>
    <x v="133"/>
    <x v="7"/>
  </r>
  <r>
    <x v="1955"/>
    <x v="234"/>
    <x v="25"/>
    <x v="1535"/>
    <x v="816"/>
    <x v="43"/>
    <x v="1936"/>
    <x v="812"/>
    <x v="1676"/>
    <x v="1718"/>
    <x v="115"/>
    <x v="133"/>
    <x v="8"/>
  </r>
  <r>
    <x v="1956"/>
    <x v="234"/>
    <x v="28"/>
    <x v="1537"/>
    <x v="820"/>
    <x v="43"/>
    <x v="1449"/>
    <x v="450"/>
    <x v="958"/>
    <x v="1029"/>
    <x v="115"/>
    <x v="133"/>
    <x v="9"/>
  </r>
  <r>
    <x v="1957"/>
    <x v="235"/>
    <x v="1"/>
    <x v="1692"/>
    <x v="792"/>
    <x v="32"/>
    <x v="2047"/>
    <x v="1144"/>
    <x v="1569"/>
    <x v="1647"/>
    <x v="36"/>
    <x v="259"/>
    <x v="1"/>
  </r>
  <r>
    <x v="1958"/>
    <x v="235"/>
    <x v="4"/>
    <x v="1693"/>
    <x v="753"/>
    <x v="28"/>
    <x v="2264"/>
    <x v="1173"/>
    <x v="1869"/>
    <x v="2037"/>
    <x v="36"/>
    <x v="259"/>
    <x v="2"/>
  </r>
  <r>
    <x v="1959"/>
    <x v="235"/>
    <x v="6"/>
    <x v="1700"/>
    <x v="769"/>
    <x v="28"/>
    <x v="2536"/>
    <x v="1522"/>
    <x v="2341"/>
    <x v="2507"/>
    <x v="36"/>
    <x v="259"/>
    <x v="3"/>
  </r>
  <r>
    <x v="1960"/>
    <x v="235"/>
    <x v="9"/>
    <x v="1695"/>
    <x v="763"/>
    <x v="28"/>
    <x v="2273"/>
    <x v="1361"/>
    <x v="1907"/>
    <x v="2062"/>
    <x v="36"/>
    <x v="259"/>
    <x v="4"/>
  </r>
  <r>
    <x v="1961"/>
    <x v="235"/>
    <x v="11"/>
    <x v="813"/>
    <x v="401"/>
    <x v="42"/>
    <x v="2493"/>
    <x v="997"/>
    <x v="3223"/>
    <x v="3317"/>
    <x v="36"/>
    <x v="259"/>
    <x v="4"/>
  </r>
  <r>
    <x v="1962"/>
    <x v="235"/>
    <x v="12"/>
    <x v="1775"/>
    <x v="764"/>
    <x v="27"/>
    <x v="2928"/>
    <x v="1765"/>
    <x v="2865"/>
    <x v="2918"/>
    <x v="36"/>
    <x v="259"/>
    <x v="5"/>
  </r>
  <r>
    <x v="1963"/>
    <x v="235"/>
    <x v="13"/>
    <x v="823"/>
    <x v="410"/>
    <x v="42"/>
    <x v="1294"/>
    <x v="388"/>
    <x v="1712"/>
    <x v="1877"/>
    <x v="36"/>
    <x v="259"/>
    <x v="5"/>
  </r>
  <r>
    <x v="1964"/>
    <x v="235"/>
    <x v="15"/>
    <x v="1685"/>
    <x v="755"/>
    <x v="25"/>
    <x v="2682"/>
    <x v="1421"/>
    <x v="2512"/>
    <x v="2722"/>
    <x v="36"/>
    <x v="259"/>
    <x v="6"/>
  </r>
  <r>
    <x v="1965"/>
    <x v="235"/>
    <x v="17"/>
    <x v="851"/>
    <x v="410"/>
    <x v="42"/>
    <x v="1534"/>
    <x v="544"/>
    <x v="2160"/>
    <x v="2236"/>
    <x v="36"/>
    <x v="259"/>
    <x v="6"/>
  </r>
  <r>
    <x v="1966"/>
    <x v="235"/>
    <x v="20"/>
    <x v="1702"/>
    <x v="758"/>
    <x v="19"/>
    <x v="2372"/>
    <x v="1224"/>
    <x v="2101"/>
    <x v="2239"/>
    <x v="36"/>
    <x v="259"/>
    <x v="7"/>
  </r>
  <r>
    <x v="1967"/>
    <x v="235"/>
    <x v="25"/>
    <x v="1683"/>
    <x v="759"/>
    <x v="22"/>
    <x v="2252"/>
    <x v="1231"/>
    <x v="1938"/>
    <x v="2043"/>
    <x v="36"/>
    <x v="259"/>
    <x v="8"/>
  </r>
  <r>
    <x v="1968"/>
    <x v="235"/>
    <x v="28"/>
    <x v="1688"/>
    <x v="756"/>
    <x v="21"/>
    <x v="2292"/>
    <x v="1295"/>
    <x v="1929"/>
    <x v="2093"/>
    <x v="36"/>
    <x v="259"/>
    <x v="9"/>
  </r>
  <r>
    <x v="1969"/>
    <x v="236"/>
    <x v="3"/>
    <x v="845"/>
    <x v="384"/>
    <x v="29"/>
    <x v="1213"/>
    <x v="516"/>
    <x v="1082"/>
    <x v="1713"/>
    <x v="123"/>
    <x v="145"/>
    <x v="1"/>
  </r>
  <r>
    <x v="1970"/>
    <x v="236"/>
    <x v="5"/>
    <x v="845"/>
    <x v="391"/>
    <x v="40"/>
    <x v="1280"/>
    <x v="417"/>
    <x v="1818"/>
    <x v="1832"/>
    <x v="123"/>
    <x v="145"/>
    <x v="2"/>
  </r>
  <r>
    <x v="1971"/>
    <x v="236"/>
    <x v="8"/>
    <x v="796"/>
    <x v="391"/>
    <x v="42"/>
    <x v="274"/>
    <x v="102"/>
    <x v="619"/>
    <x v="349"/>
    <x v="123"/>
    <x v="145"/>
    <x v="3"/>
  </r>
  <r>
    <x v="1972"/>
    <x v="236"/>
    <x v="11"/>
    <x v="813"/>
    <x v="401"/>
    <x v="42"/>
    <x v="2493"/>
    <x v="997"/>
    <x v="3223"/>
    <x v="3317"/>
    <x v="123"/>
    <x v="145"/>
    <x v="4"/>
  </r>
  <r>
    <x v="1973"/>
    <x v="236"/>
    <x v="13"/>
    <x v="823"/>
    <x v="410"/>
    <x v="42"/>
    <x v="1294"/>
    <x v="388"/>
    <x v="1712"/>
    <x v="1877"/>
    <x v="123"/>
    <x v="145"/>
    <x v="5"/>
  </r>
  <r>
    <x v="1974"/>
    <x v="236"/>
    <x v="17"/>
    <x v="851"/>
    <x v="410"/>
    <x v="42"/>
    <x v="1534"/>
    <x v="544"/>
    <x v="2160"/>
    <x v="2236"/>
    <x v="123"/>
    <x v="145"/>
    <x v="6"/>
  </r>
  <r>
    <x v="1975"/>
    <x v="236"/>
    <x v="22"/>
    <x v="837"/>
    <x v="392"/>
    <x v="38"/>
    <x v="2324"/>
    <x v="974"/>
    <x v="3157"/>
    <x v="3184"/>
    <x v="123"/>
    <x v="145"/>
    <x v="7"/>
  </r>
  <r>
    <x v="1976"/>
    <x v="236"/>
    <x v="27"/>
    <x v="919"/>
    <x v="427"/>
    <x v="37"/>
    <x v="2043"/>
    <x v="830"/>
    <x v="2785"/>
    <x v="2838"/>
    <x v="123"/>
    <x v="145"/>
    <x v="8"/>
  </r>
  <r>
    <x v="1977"/>
    <x v="236"/>
    <x v="29"/>
    <x v="947"/>
    <x v="427"/>
    <x v="37"/>
    <x v="2015"/>
    <x v="851"/>
    <x v="2678"/>
    <x v="2745"/>
    <x v="123"/>
    <x v="145"/>
    <x v="9"/>
  </r>
  <r>
    <x v="1978"/>
    <x v="237"/>
    <x v="1"/>
    <x v="1552"/>
    <x v="561"/>
    <x v="33"/>
    <x v="26"/>
    <x v="31"/>
    <x v="19"/>
    <x v="32"/>
    <x v="36"/>
    <x v="3"/>
    <x v="1"/>
  </r>
  <r>
    <x v="1979"/>
    <x v="237"/>
    <x v="4"/>
    <x v="1557"/>
    <x v="562"/>
    <x v="28"/>
    <x v="1510"/>
    <x v="1076"/>
    <x v="1148"/>
    <x v="1105"/>
    <x v="36"/>
    <x v="3"/>
    <x v="2"/>
  </r>
  <r>
    <x v="1980"/>
    <x v="237"/>
    <x v="6"/>
    <x v="1560"/>
    <x v="568"/>
    <x v="30"/>
    <x v="565"/>
    <x v="446"/>
    <x v="270"/>
    <x v="365"/>
    <x v="36"/>
    <x v="3"/>
    <x v="3"/>
  </r>
  <r>
    <x v="1981"/>
    <x v="237"/>
    <x v="9"/>
    <x v="1554"/>
    <x v="566"/>
    <x v="29"/>
    <x v="98"/>
    <x v="75"/>
    <x v="214"/>
    <x v="75"/>
    <x v="36"/>
    <x v="3"/>
    <x v="4"/>
  </r>
  <r>
    <x v="1982"/>
    <x v="237"/>
    <x v="12"/>
    <x v="1638"/>
    <x v="566"/>
    <x v="27"/>
    <x v="863"/>
    <x v="587"/>
    <x v="429"/>
    <x v="488"/>
    <x v="36"/>
    <x v="3"/>
    <x v="5"/>
  </r>
  <r>
    <x v="1983"/>
    <x v="237"/>
    <x v="15"/>
    <x v="1543"/>
    <x v="564"/>
    <x v="23"/>
    <x v="579"/>
    <x v="180"/>
    <x v="336"/>
    <x v="377"/>
    <x v="36"/>
    <x v="3"/>
    <x v="6"/>
  </r>
  <r>
    <x v="1984"/>
    <x v="237"/>
    <x v="20"/>
    <x v="1562"/>
    <x v="560"/>
    <x v="19"/>
    <x v="1421"/>
    <x v="528"/>
    <x v="1320"/>
    <x v="983"/>
    <x v="36"/>
    <x v="3"/>
    <x v="7"/>
  </r>
  <r>
    <x v="1985"/>
    <x v="237"/>
    <x v="25"/>
    <x v="1530"/>
    <x v="565"/>
    <x v="23"/>
    <x v="639"/>
    <x v="500"/>
    <x v="532"/>
    <x v="420"/>
    <x v="36"/>
    <x v="3"/>
    <x v="8"/>
  </r>
  <r>
    <x v="1986"/>
    <x v="237"/>
    <x v="28"/>
    <x v="1559"/>
    <x v="567"/>
    <x v="20"/>
    <x v="1381"/>
    <x v="976"/>
    <x v="1197"/>
    <x v="935"/>
    <x v="36"/>
    <x v="3"/>
    <x v="9"/>
  </r>
  <r>
    <x v="1987"/>
    <x v="238"/>
    <x v="1"/>
    <x v="1822"/>
    <x v="1121"/>
    <x v="32"/>
    <x v="3398"/>
    <x v="1582"/>
    <x v="3314"/>
    <x v="3469"/>
    <x v="118"/>
    <x v="136"/>
    <x v="1"/>
  </r>
  <r>
    <x v="1988"/>
    <x v="238"/>
    <x v="4"/>
    <x v="1864"/>
    <x v="1121"/>
    <x v="34"/>
    <x v="3356"/>
    <x v="1483"/>
    <x v="3189"/>
    <x v="3439"/>
    <x v="118"/>
    <x v="136"/>
    <x v="2"/>
  </r>
  <r>
    <x v="1989"/>
    <x v="238"/>
    <x v="6"/>
    <x v="1871"/>
    <x v="1147"/>
    <x v="34"/>
    <x v="3243"/>
    <x v="1169"/>
    <x v="3059"/>
    <x v="3322"/>
    <x v="118"/>
    <x v="136"/>
    <x v="3"/>
  </r>
  <r>
    <x v="1990"/>
    <x v="238"/>
    <x v="9"/>
    <x v="1887"/>
    <x v="1186"/>
    <x v="34"/>
    <x v="3160"/>
    <x v="1206"/>
    <x v="3004"/>
    <x v="3172"/>
    <x v="118"/>
    <x v="136"/>
    <x v="4"/>
  </r>
  <r>
    <x v="1991"/>
    <x v="238"/>
    <x v="12"/>
    <x v="1929"/>
    <x v="1211"/>
    <x v="34"/>
    <x v="3121"/>
    <x v="1059"/>
    <x v="2869"/>
    <x v="3086"/>
    <x v="118"/>
    <x v="136"/>
    <x v="5"/>
  </r>
  <r>
    <x v="1992"/>
    <x v="238"/>
    <x v="15"/>
    <x v="1984"/>
    <x v="1300"/>
    <x v="33"/>
    <x v="2997"/>
    <x v="1034"/>
    <x v="2591"/>
    <x v="2788"/>
    <x v="118"/>
    <x v="136"/>
    <x v="6"/>
  </r>
  <r>
    <x v="1993"/>
    <x v="238"/>
    <x v="20"/>
    <x v="2070"/>
    <x v="1312"/>
    <x v="44"/>
    <x v="3154"/>
    <x v="1347"/>
    <x v="2925"/>
    <x v="3048"/>
    <x v="118"/>
    <x v="136"/>
    <x v="7"/>
  </r>
  <r>
    <x v="1994"/>
    <x v="238"/>
    <x v="25"/>
    <x v="2090"/>
    <x v="1353"/>
    <x v="37"/>
    <x v="3145"/>
    <x v="1364"/>
    <x v="2912"/>
    <x v="3011"/>
    <x v="118"/>
    <x v="136"/>
    <x v="8"/>
  </r>
  <r>
    <x v="1995"/>
    <x v="238"/>
    <x v="28"/>
    <x v="2122"/>
    <x v="1293"/>
    <x v="36"/>
    <x v="3231"/>
    <x v="1501"/>
    <x v="2871"/>
    <x v="3152"/>
    <x v="118"/>
    <x v="136"/>
    <x v="9"/>
  </r>
  <r>
    <x v="1996"/>
    <x v="239"/>
    <x v="1"/>
    <x v="1591"/>
    <x v="731"/>
    <x v="34"/>
    <x v="428"/>
    <x v="121"/>
    <x v="731"/>
    <x v="265"/>
    <x v="133"/>
    <x v="262"/>
    <x v="1"/>
  </r>
  <r>
    <x v="1997"/>
    <x v="239"/>
    <x v="4"/>
    <x v="1602"/>
    <x v="857"/>
    <x v="36"/>
    <x v="1939"/>
    <x v="785"/>
    <x v="655"/>
    <x v="1634"/>
    <x v="133"/>
    <x v="262"/>
    <x v="2"/>
  </r>
  <r>
    <x v="1998"/>
    <x v="239"/>
    <x v="6"/>
    <x v="1609"/>
    <x v="856"/>
    <x v="40"/>
    <x v="3393"/>
    <x v="2271"/>
    <x v="3389"/>
    <x v="3488"/>
    <x v="133"/>
    <x v="262"/>
    <x v="3"/>
  </r>
  <r>
    <x v="1999"/>
    <x v="239"/>
    <x v="9"/>
    <x v="1612"/>
    <x v="859"/>
    <x v="39"/>
    <x v="3317"/>
    <x v="1831"/>
    <x v="3317"/>
    <x v="3459"/>
    <x v="133"/>
    <x v="262"/>
    <x v="4"/>
  </r>
  <r>
    <x v="2000"/>
    <x v="239"/>
    <x v="12"/>
    <x v="1617"/>
    <x v="795"/>
    <x v="36"/>
    <x v="3375"/>
    <x v="2016"/>
    <x v="3349"/>
    <x v="3477"/>
    <x v="133"/>
    <x v="262"/>
    <x v="5"/>
  </r>
  <r>
    <x v="2001"/>
    <x v="239"/>
    <x v="15"/>
    <x v="1619"/>
    <x v="787"/>
    <x v="38"/>
    <x v="3287"/>
    <x v="2057"/>
    <x v="3236"/>
    <x v="3449"/>
    <x v="133"/>
    <x v="262"/>
    <x v="6"/>
  </r>
  <r>
    <x v="2002"/>
    <x v="239"/>
    <x v="20"/>
    <x v="1622"/>
    <x v="787"/>
    <x v="31"/>
    <x v="3215"/>
    <x v="2001"/>
    <x v="3176"/>
    <x v="3400"/>
    <x v="133"/>
    <x v="262"/>
    <x v="7"/>
  </r>
  <r>
    <x v="2003"/>
    <x v="239"/>
    <x v="25"/>
    <x v="1623"/>
    <x v="798"/>
    <x v="38"/>
    <x v="3106"/>
    <x v="1796"/>
    <x v="3075"/>
    <x v="3283"/>
    <x v="133"/>
    <x v="262"/>
    <x v="8"/>
  </r>
  <r>
    <x v="2004"/>
    <x v="239"/>
    <x v="28"/>
    <x v="1627"/>
    <x v="862"/>
    <x v="38"/>
    <x v="3247"/>
    <x v="2284"/>
    <x v="3255"/>
    <x v="3415"/>
    <x v="133"/>
    <x v="262"/>
    <x v="9"/>
  </r>
  <r>
    <x v="2005"/>
    <x v="240"/>
    <x v="1"/>
    <x v="559"/>
    <x v="274"/>
    <x v="37"/>
    <x v="580"/>
    <x v="169"/>
    <x v="594"/>
    <x v="968"/>
    <x v="242"/>
    <x v="236"/>
    <x v="1"/>
  </r>
  <r>
    <x v="2006"/>
    <x v="240"/>
    <x v="4"/>
    <x v="526"/>
    <x v="274"/>
    <x v="14"/>
    <x v="1346"/>
    <x v="358"/>
    <x v="1847"/>
    <x v="2519"/>
    <x v="242"/>
    <x v="236"/>
    <x v="2"/>
  </r>
  <r>
    <x v="2007"/>
    <x v="240"/>
    <x v="6"/>
    <x v="567"/>
    <x v="274"/>
    <x v="42"/>
    <x v="1612"/>
    <x v="1085"/>
    <x v="2335"/>
    <x v="2752"/>
    <x v="242"/>
    <x v="236"/>
    <x v="3"/>
  </r>
  <r>
    <x v="2008"/>
    <x v="240"/>
    <x v="9"/>
    <x v="526"/>
    <x v="274"/>
    <x v="14"/>
    <x v="1345"/>
    <x v="357"/>
    <x v="1957"/>
    <x v="2518"/>
    <x v="242"/>
    <x v="236"/>
    <x v="4"/>
  </r>
  <r>
    <x v="2009"/>
    <x v="240"/>
    <x v="12"/>
    <x v="562"/>
    <x v="274"/>
    <x v="14"/>
    <x v="1349"/>
    <x v="361"/>
    <x v="1791"/>
    <x v="2454"/>
    <x v="242"/>
    <x v="236"/>
    <x v="5"/>
  </r>
  <r>
    <x v="2010"/>
    <x v="240"/>
    <x v="15"/>
    <x v="565"/>
    <x v="274"/>
    <x v="14"/>
    <x v="1348"/>
    <x v="360"/>
    <x v="1894"/>
    <x v="2447"/>
    <x v="242"/>
    <x v="236"/>
    <x v="6"/>
  </r>
  <r>
    <x v="2011"/>
    <x v="240"/>
    <x v="20"/>
    <x v="565"/>
    <x v="274"/>
    <x v="14"/>
    <x v="1350"/>
    <x v="362"/>
    <x v="1773"/>
    <x v="2448"/>
    <x v="242"/>
    <x v="236"/>
    <x v="7"/>
  </r>
  <r>
    <x v="2012"/>
    <x v="240"/>
    <x v="25"/>
    <x v="565"/>
    <x v="274"/>
    <x v="14"/>
    <x v="1347"/>
    <x v="359"/>
    <x v="1951"/>
    <x v="2446"/>
    <x v="242"/>
    <x v="236"/>
    <x v="8"/>
  </r>
  <r>
    <x v="2013"/>
    <x v="240"/>
    <x v="28"/>
    <x v="563"/>
    <x v="274"/>
    <x v="14"/>
    <x v="1803"/>
    <x v="345"/>
    <x v="2438"/>
    <x v="2974"/>
    <x v="242"/>
    <x v="236"/>
    <x v="9"/>
  </r>
  <r>
    <x v="2014"/>
    <x v="241"/>
    <x v="1"/>
    <x v="1563"/>
    <x v="671"/>
    <x v="34"/>
    <x v="4"/>
    <x v="13"/>
    <x v="0"/>
    <x v="1"/>
    <x v="36"/>
    <x v="4"/>
    <x v="1"/>
  </r>
  <r>
    <x v="2015"/>
    <x v="241"/>
    <x v="4"/>
    <x v="1575"/>
    <x v="653"/>
    <x v="28"/>
    <x v="2041"/>
    <x v="1095"/>
    <x v="1614"/>
    <x v="1848"/>
    <x v="36"/>
    <x v="4"/>
    <x v="2"/>
  </r>
  <r>
    <x v="2016"/>
    <x v="241"/>
    <x v="6"/>
    <x v="1595"/>
    <x v="655"/>
    <x v="28"/>
    <x v="21"/>
    <x v="32"/>
    <x v="27"/>
    <x v="28"/>
    <x v="36"/>
    <x v="4"/>
    <x v="3"/>
  </r>
  <r>
    <x v="2017"/>
    <x v="241"/>
    <x v="9"/>
    <x v="1601"/>
    <x v="659"/>
    <x v="28"/>
    <x v="1781"/>
    <x v="1103"/>
    <x v="1122"/>
    <x v="1384"/>
    <x v="36"/>
    <x v="4"/>
    <x v="4"/>
  </r>
  <r>
    <x v="2018"/>
    <x v="241"/>
    <x v="12"/>
    <x v="1684"/>
    <x v="659"/>
    <x v="27"/>
    <x v="2627"/>
    <x v="1479"/>
    <x v="2497"/>
    <x v="2652"/>
    <x v="36"/>
    <x v="4"/>
    <x v="5"/>
  </r>
  <r>
    <x v="2019"/>
    <x v="241"/>
    <x v="15"/>
    <x v="1584"/>
    <x v="661"/>
    <x v="25"/>
    <x v="1691"/>
    <x v="874"/>
    <x v="1010"/>
    <x v="1279"/>
    <x v="36"/>
    <x v="4"/>
    <x v="6"/>
  </r>
  <r>
    <x v="2020"/>
    <x v="241"/>
    <x v="20"/>
    <x v="1614"/>
    <x v="668"/>
    <x v="19"/>
    <x v="600"/>
    <x v="295"/>
    <x v="234"/>
    <x v="368"/>
    <x v="36"/>
    <x v="4"/>
    <x v="7"/>
  </r>
  <r>
    <x v="2021"/>
    <x v="241"/>
    <x v="25"/>
    <x v="1594"/>
    <x v="663"/>
    <x v="22"/>
    <x v="218"/>
    <x v="139"/>
    <x v="142"/>
    <x v="154"/>
    <x v="36"/>
    <x v="4"/>
    <x v="8"/>
  </r>
  <r>
    <x v="2022"/>
    <x v="241"/>
    <x v="28"/>
    <x v="1610"/>
    <x v="665"/>
    <x v="20"/>
    <x v="344"/>
    <x v="190"/>
    <x v="176"/>
    <x v="225"/>
    <x v="36"/>
    <x v="4"/>
    <x v="9"/>
  </r>
  <r>
    <x v="2023"/>
    <x v="242"/>
    <x v="1"/>
    <x v="363"/>
    <x v="156"/>
    <x v="25"/>
    <x v="459"/>
    <x v="148"/>
    <x v="615"/>
    <x v="961"/>
    <x v="274"/>
    <x v="269"/>
    <x v="1"/>
  </r>
  <r>
    <x v="2024"/>
    <x v="242"/>
    <x v="4"/>
    <x v="365"/>
    <x v="150"/>
    <x v="23"/>
    <x v="1454"/>
    <x v="651"/>
    <x v="3452"/>
    <x v="2867"/>
    <x v="274"/>
    <x v="269"/>
    <x v="2"/>
  </r>
  <r>
    <x v="2025"/>
    <x v="242"/>
    <x v="6"/>
    <x v="368"/>
    <x v="150"/>
    <x v="23"/>
    <x v="1498"/>
    <x v="1128"/>
    <x v="3459"/>
    <x v="2912"/>
    <x v="274"/>
    <x v="269"/>
    <x v="3"/>
  </r>
  <r>
    <x v="2026"/>
    <x v="242"/>
    <x v="9"/>
    <x v="370"/>
    <x v="150"/>
    <x v="23"/>
    <x v="1165"/>
    <x v="348"/>
    <x v="3436"/>
    <x v="2502"/>
    <x v="274"/>
    <x v="269"/>
    <x v="4"/>
  </r>
  <r>
    <x v="2027"/>
    <x v="242"/>
    <x v="12"/>
    <x v="371"/>
    <x v="150"/>
    <x v="23"/>
    <x v="1517"/>
    <x v="485"/>
    <x v="3424"/>
    <x v="2926"/>
    <x v="274"/>
    <x v="269"/>
    <x v="5"/>
  </r>
  <r>
    <x v="2028"/>
    <x v="242"/>
    <x v="15"/>
    <x v="373"/>
    <x v="150"/>
    <x v="28"/>
    <x v="1763"/>
    <x v="654"/>
    <x v="3427"/>
    <x v="3135"/>
    <x v="274"/>
    <x v="269"/>
    <x v="6"/>
  </r>
  <r>
    <x v="2029"/>
    <x v="242"/>
    <x v="20"/>
    <x v="375"/>
    <x v="168"/>
    <x v="23"/>
    <x v="1968"/>
    <x v="2372"/>
    <x v="3190"/>
    <x v="3265"/>
    <x v="274"/>
    <x v="269"/>
    <x v="7"/>
  </r>
  <r>
    <x v="2030"/>
    <x v="242"/>
    <x v="25"/>
    <x v="376"/>
    <x v="168"/>
    <x v="23"/>
    <x v="1953"/>
    <x v="2355"/>
    <x v="3230"/>
    <x v="3247"/>
    <x v="274"/>
    <x v="269"/>
    <x v="8"/>
  </r>
  <r>
    <x v="2031"/>
    <x v="243"/>
    <x v="3"/>
    <x v="2913"/>
    <x v="1787"/>
    <x v="31"/>
    <x v="3444"/>
    <x v="2841"/>
    <x v="1890"/>
    <x v="2197"/>
    <x v="287"/>
    <x v="279"/>
    <x v="1"/>
  </r>
  <r>
    <x v="2032"/>
    <x v="243"/>
    <x v="5"/>
    <x v="2914"/>
    <x v="1788"/>
    <x v="26"/>
    <x v="3467"/>
    <x v="2765"/>
    <x v="2201"/>
    <x v="2567"/>
    <x v="287"/>
    <x v="279"/>
    <x v="2"/>
  </r>
  <r>
    <x v="2033"/>
    <x v="243"/>
    <x v="8"/>
    <x v="2901"/>
    <x v="1797"/>
    <x v="26"/>
    <x v="3479"/>
    <x v="2877"/>
    <x v="2474"/>
    <x v="2804"/>
    <x v="287"/>
    <x v="279"/>
    <x v="3"/>
  </r>
  <r>
    <x v="2034"/>
    <x v="243"/>
    <x v="11"/>
    <x v="2904"/>
    <x v="1798"/>
    <x v="32"/>
    <x v="3483"/>
    <x v="2933"/>
    <x v="2684"/>
    <x v="2904"/>
    <x v="287"/>
    <x v="279"/>
    <x v="4"/>
  </r>
  <r>
    <x v="2035"/>
    <x v="243"/>
    <x v="13"/>
    <x v="2905"/>
    <x v="1800"/>
    <x v="32"/>
    <x v="3471"/>
    <x v="2924"/>
    <x v="2377"/>
    <x v="2679"/>
    <x v="287"/>
    <x v="279"/>
    <x v="5"/>
  </r>
  <r>
    <x v="2036"/>
    <x v="243"/>
    <x v="17"/>
    <x v="2907"/>
    <x v="1801"/>
    <x v="32"/>
    <x v="3430"/>
    <x v="2726"/>
    <x v="1920"/>
    <x v="2091"/>
    <x v="287"/>
    <x v="279"/>
    <x v="6"/>
  </r>
  <r>
    <x v="2037"/>
    <x v="243"/>
    <x v="20"/>
    <x v="2906"/>
    <x v="1793"/>
    <x v="21"/>
    <x v="3421"/>
    <x v="2792"/>
    <x v="1826"/>
    <x v="1970"/>
    <x v="287"/>
    <x v="279"/>
    <x v="7"/>
  </r>
  <r>
    <x v="2038"/>
    <x v="243"/>
    <x v="25"/>
    <x v="2909"/>
    <x v="1794"/>
    <x v="21"/>
    <x v="3364"/>
    <x v="2385"/>
    <x v="1129"/>
    <x v="1071"/>
    <x v="287"/>
    <x v="279"/>
    <x v="8"/>
  </r>
  <r>
    <x v="2039"/>
    <x v="243"/>
    <x v="28"/>
    <x v="2902"/>
    <x v="1795"/>
    <x v="40"/>
    <x v="3166"/>
    <x v="1958"/>
    <x v="675"/>
    <x v="588"/>
    <x v="287"/>
    <x v="279"/>
    <x v="9"/>
  </r>
  <r>
    <x v="2040"/>
    <x v="244"/>
    <x v="1"/>
    <x v="1207"/>
    <x v="835"/>
    <x v="29"/>
    <x v="3189"/>
    <x v="2656"/>
    <x v="3150"/>
    <x v="3464"/>
    <x v="306"/>
    <x v="151"/>
    <x v="1"/>
  </r>
  <r>
    <x v="2041"/>
    <x v="244"/>
    <x v="4"/>
    <x v="1208"/>
    <x v="840"/>
    <x v="36"/>
    <x v="2187"/>
    <x v="1561"/>
    <x v="2673"/>
    <x v="2663"/>
    <x v="306"/>
    <x v="151"/>
    <x v="2"/>
  </r>
  <r>
    <x v="2042"/>
    <x v="244"/>
    <x v="6"/>
    <x v="1210"/>
    <x v="837"/>
    <x v="37"/>
    <x v="2193"/>
    <x v="1453"/>
    <x v="2517"/>
    <x v="2670"/>
    <x v="306"/>
    <x v="151"/>
    <x v="3"/>
  </r>
  <r>
    <x v="2043"/>
    <x v="244"/>
    <x v="9"/>
    <x v="1211"/>
    <x v="833"/>
    <x v="39"/>
    <x v="2836"/>
    <x v="2201"/>
    <x v="2816"/>
    <x v="3282"/>
    <x v="306"/>
    <x v="151"/>
    <x v="4"/>
  </r>
  <r>
    <x v="2044"/>
    <x v="244"/>
    <x v="12"/>
    <x v="1212"/>
    <x v="836"/>
    <x v="41"/>
    <x v="2977"/>
    <x v="2146"/>
    <x v="2856"/>
    <x v="3364"/>
    <x v="306"/>
    <x v="151"/>
    <x v="5"/>
  </r>
  <r>
    <x v="2045"/>
    <x v="244"/>
    <x v="15"/>
    <x v="1220"/>
    <x v="821"/>
    <x v="34"/>
    <x v="2859"/>
    <x v="2150"/>
    <x v="2780"/>
    <x v="3290"/>
    <x v="306"/>
    <x v="151"/>
    <x v="6"/>
  </r>
  <r>
    <x v="2046"/>
    <x v="244"/>
    <x v="20"/>
    <x v="1231"/>
    <x v="851"/>
    <x v="38"/>
    <x v="3003"/>
    <x v="2376"/>
    <x v="2947"/>
    <x v="3376"/>
    <x v="306"/>
    <x v="151"/>
    <x v="7"/>
  </r>
  <r>
    <x v="2047"/>
    <x v="244"/>
    <x v="25"/>
    <x v="1250"/>
    <x v="858"/>
    <x v="41"/>
    <x v="2577"/>
    <x v="2029"/>
    <x v="2839"/>
    <x v="3085"/>
    <x v="306"/>
    <x v="151"/>
    <x v="8"/>
  </r>
  <r>
    <x v="2048"/>
    <x v="244"/>
    <x v="28"/>
    <x v="1262"/>
    <x v="858"/>
    <x v="30"/>
    <x v="2408"/>
    <x v="1881"/>
    <x v="2576"/>
    <x v="2895"/>
    <x v="306"/>
    <x v="151"/>
    <x v="9"/>
  </r>
  <r>
    <x v="2049"/>
    <x v="245"/>
    <x v="1"/>
    <x v="403"/>
    <x v="96"/>
    <x v="10"/>
    <x v="2183"/>
    <x v="626"/>
    <x v="3171"/>
    <x v="3365"/>
    <x v="36"/>
    <x v="279"/>
    <x v="1"/>
  </r>
  <r>
    <x v="2050"/>
    <x v="245"/>
    <x v="4"/>
    <x v="403"/>
    <x v="96"/>
    <x v="18"/>
    <x v="1904"/>
    <x v="848"/>
    <x v="2937"/>
    <x v="3199"/>
    <x v="36"/>
    <x v="279"/>
    <x v="2"/>
  </r>
  <r>
    <x v="2051"/>
    <x v="245"/>
    <x v="6"/>
    <x v="404"/>
    <x v="96"/>
    <x v="11"/>
    <x v="1671"/>
    <x v="609"/>
    <x v="2473"/>
    <x v="3031"/>
    <x v="36"/>
    <x v="279"/>
    <x v="3"/>
  </r>
  <r>
    <x v="2052"/>
    <x v="245"/>
    <x v="15"/>
    <x v="361"/>
    <x v="173"/>
    <x v="17"/>
    <x v="3126"/>
    <x v="2188"/>
    <x v="3503"/>
    <x v="3504"/>
    <x v="36"/>
    <x v="279"/>
    <x v="6"/>
  </r>
  <r>
    <x v="2053"/>
    <x v="245"/>
    <x v="20"/>
    <x v="379"/>
    <x v="178"/>
    <x v="13"/>
    <x v="1970"/>
    <x v="919"/>
    <x v="3000"/>
    <x v="3329"/>
    <x v="36"/>
    <x v="279"/>
    <x v="7"/>
  </r>
  <r>
    <x v="2054"/>
    <x v="245"/>
    <x v="25"/>
    <x v="362"/>
    <x v="176"/>
    <x v="12"/>
    <x v="1091"/>
    <x v="466"/>
    <x v="1708"/>
    <x v="2400"/>
    <x v="36"/>
    <x v="279"/>
    <x v="8"/>
  </r>
  <r>
    <x v="2055"/>
    <x v="245"/>
    <x v="28"/>
    <x v="391"/>
    <x v="170"/>
    <x v="28"/>
    <x v="2028"/>
    <x v="926"/>
    <x v="3121"/>
    <x v="3286"/>
    <x v="36"/>
    <x v="279"/>
    <x v="9"/>
  </r>
  <r>
    <x v="2056"/>
    <x v="246"/>
    <x v="1"/>
    <x v="2761"/>
    <x v="1694"/>
    <x v="19"/>
    <x v="3402"/>
    <x v="2955"/>
    <x v="2964"/>
    <x v="3026"/>
    <x v="288"/>
    <x v="279"/>
    <x v="1"/>
  </r>
  <r>
    <x v="2057"/>
    <x v="246"/>
    <x v="4"/>
    <x v="114"/>
    <x v="394"/>
    <x v="19"/>
    <x v="2630"/>
    <x v="1436"/>
    <x v="3109"/>
    <x v="3493"/>
    <x v="288"/>
    <x v="279"/>
    <x v="2"/>
  </r>
  <r>
    <x v="2058"/>
    <x v="246"/>
    <x v="6"/>
    <x v="116"/>
    <x v="410"/>
    <x v="20"/>
    <x v="2133"/>
    <x v="1065"/>
    <x v="2826"/>
    <x v="3447"/>
    <x v="288"/>
    <x v="279"/>
    <x v="3"/>
  </r>
  <r>
    <x v="2059"/>
    <x v="246"/>
    <x v="12"/>
    <x v="2779"/>
    <x v="1669"/>
    <x v="26"/>
    <x v="3443"/>
    <x v="2598"/>
    <x v="3259"/>
    <x v="3349"/>
    <x v="288"/>
    <x v="279"/>
    <x v="5"/>
  </r>
  <r>
    <x v="2060"/>
    <x v="246"/>
    <x v="15"/>
    <x v="2789"/>
    <x v="1674"/>
    <x v="26"/>
    <x v="3428"/>
    <x v="2635"/>
    <x v="3096"/>
    <x v="3256"/>
    <x v="288"/>
    <x v="279"/>
    <x v="6"/>
  </r>
  <r>
    <x v="2061"/>
    <x v="246"/>
    <x v="28"/>
    <x v="2755"/>
    <x v="1580"/>
    <x v="15"/>
    <x v="3423"/>
    <x v="2672"/>
    <x v="3322"/>
    <x v="3249"/>
    <x v="288"/>
    <x v="279"/>
    <x v="9"/>
  </r>
  <r>
    <x v="2062"/>
    <x v="247"/>
    <x v="1"/>
    <x v="1552"/>
    <x v="561"/>
    <x v="33"/>
    <x v="26"/>
    <x v="31"/>
    <x v="19"/>
    <x v="32"/>
    <x v="36"/>
    <x v="5"/>
    <x v="1"/>
  </r>
  <r>
    <x v="2063"/>
    <x v="247"/>
    <x v="4"/>
    <x v="1182"/>
    <x v="350"/>
    <x v="30"/>
    <x v="1913"/>
    <x v="1375"/>
    <x v="2354"/>
    <x v="2258"/>
    <x v="36"/>
    <x v="5"/>
    <x v="2"/>
  </r>
  <r>
    <x v="2064"/>
    <x v="247"/>
    <x v="6"/>
    <x v="1196"/>
    <x v="352"/>
    <x v="29"/>
    <x v="515"/>
    <x v="448"/>
    <x v="366"/>
    <x v="451"/>
    <x v="36"/>
    <x v="5"/>
    <x v="3"/>
  </r>
  <r>
    <x v="2065"/>
    <x v="247"/>
    <x v="9"/>
    <x v="1554"/>
    <x v="566"/>
    <x v="29"/>
    <x v="98"/>
    <x v="75"/>
    <x v="214"/>
    <x v="75"/>
    <x v="36"/>
    <x v="5"/>
    <x v="4"/>
  </r>
  <r>
    <x v="2066"/>
    <x v="247"/>
    <x v="12"/>
    <x v="1638"/>
    <x v="566"/>
    <x v="25"/>
    <x v="947"/>
    <x v="638"/>
    <x v="429"/>
    <x v="535"/>
    <x v="36"/>
    <x v="5"/>
    <x v="5"/>
  </r>
  <r>
    <x v="2067"/>
    <x v="247"/>
    <x v="15"/>
    <x v="1197"/>
    <x v="358"/>
    <x v="25"/>
    <x v="1254"/>
    <x v="400"/>
    <x v="1300"/>
    <x v="1235"/>
    <x v="36"/>
    <x v="5"/>
    <x v="6"/>
  </r>
  <r>
    <x v="2068"/>
    <x v="247"/>
    <x v="20"/>
    <x v="1225"/>
    <x v="362"/>
    <x v="20"/>
    <x v="2014"/>
    <x v="806"/>
    <x v="2570"/>
    <x v="2358"/>
    <x v="36"/>
    <x v="5"/>
    <x v="7"/>
  </r>
  <r>
    <x v="2069"/>
    <x v="247"/>
    <x v="25"/>
    <x v="1200"/>
    <x v="361"/>
    <x v="22"/>
    <x v="373"/>
    <x v="302"/>
    <x v="293"/>
    <x v="323"/>
    <x v="36"/>
    <x v="5"/>
    <x v="8"/>
  </r>
  <r>
    <x v="2070"/>
    <x v="247"/>
    <x v="28"/>
    <x v="1219"/>
    <x v="359"/>
    <x v="20"/>
    <x v="1552"/>
    <x v="1154"/>
    <x v="1866"/>
    <x v="1622"/>
    <x v="36"/>
    <x v="5"/>
    <x v="9"/>
  </r>
  <r>
    <x v="2071"/>
    <x v="248"/>
    <x v="1"/>
    <x v="1692"/>
    <x v="792"/>
    <x v="32"/>
    <x v="2047"/>
    <x v="1144"/>
    <x v="1569"/>
    <x v="1647"/>
    <x v="36"/>
    <x v="348"/>
    <x v="1"/>
  </r>
  <r>
    <x v="2072"/>
    <x v="248"/>
    <x v="4"/>
    <x v="1693"/>
    <x v="753"/>
    <x v="28"/>
    <x v="2264"/>
    <x v="1173"/>
    <x v="1869"/>
    <x v="2037"/>
    <x v="36"/>
    <x v="348"/>
    <x v="2"/>
  </r>
  <r>
    <x v="2073"/>
    <x v="248"/>
    <x v="6"/>
    <x v="1700"/>
    <x v="769"/>
    <x v="28"/>
    <x v="2536"/>
    <x v="1522"/>
    <x v="2341"/>
    <x v="2507"/>
    <x v="36"/>
    <x v="348"/>
    <x v="3"/>
  </r>
  <r>
    <x v="2074"/>
    <x v="248"/>
    <x v="9"/>
    <x v="1695"/>
    <x v="763"/>
    <x v="28"/>
    <x v="2273"/>
    <x v="1361"/>
    <x v="1907"/>
    <x v="2062"/>
    <x v="36"/>
    <x v="348"/>
    <x v="4"/>
  </r>
  <r>
    <x v="2075"/>
    <x v="249"/>
    <x v="4"/>
    <x v="2729"/>
    <x v="1628"/>
    <x v="23"/>
    <x v="3381"/>
    <x v="2491"/>
    <x v="2776"/>
    <x v="2885"/>
    <x v="288"/>
    <x v="279"/>
    <x v="2"/>
  </r>
  <r>
    <x v="2076"/>
    <x v="249"/>
    <x v="6"/>
    <x v="2735"/>
    <x v="1643"/>
    <x v="24"/>
    <x v="3309"/>
    <x v="2289"/>
    <x v="2347"/>
    <x v="2510"/>
    <x v="288"/>
    <x v="279"/>
    <x v="3"/>
  </r>
  <r>
    <x v="2077"/>
    <x v="249"/>
    <x v="9"/>
    <x v="2745"/>
    <x v="1665"/>
    <x v="25"/>
    <x v="3449"/>
    <x v="2731"/>
    <x v="3280"/>
    <x v="3389"/>
    <x v="288"/>
    <x v="279"/>
    <x v="4"/>
  </r>
  <r>
    <x v="2078"/>
    <x v="249"/>
    <x v="28"/>
    <x v="1092"/>
    <x v="673"/>
    <x v="16"/>
    <x v="3250"/>
    <x v="1949"/>
    <x v="3469"/>
    <x v="3485"/>
    <x v="288"/>
    <x v="279"/>
    <x v="9"/>
  </r>
  <r>
    <x v="2079"/>
    <x v="250"/>
    <x v="1"/>
    <x v="615"/>
    <x v="251"/>
    <x v="11"/>
    <x v="1568"/>
    <x v="1342"/>
    <x v="2708"/>
    <x v="2625"/>
    <x v="160"/>
    <x v="164"/>
    <x v="1"/>
  </r>
  <r>
    <x v="2080"/>
    <x v="250"/>
    <x v="6"/>
    <x v="753"/>
    <x v="448"/>
    <x v="23"/>
    <x v="1048"/>
    <x v="994"/>
    <x v="1836"/>
    <x v="1582"/>
    <x v="160"/>
    <x v="164"/>
    <x v="3"/>
  </r>
  <r>
    <x v="2081"/>
    <x v="250"/>
    <x v="9"/>
    <x v="753"/>
    <x v="448"/>
    <x v="20"/>
    <x v="1703"/>
    <x v="1420"/>
    <x v="2711"/>
    <x v="2586"/>
    <x v="160"/>
    <x v="164"/>
    <x v="4"/>
  </r>
  <r>
    <x v="2082"/>
    <x v="250"/>
    <x v="12"/>
    <x v="853"/>
    <x v="458"/>
    <x v="20"/>
    <x v="1975"/>
    <x v="1627"/>
    <x v="2891"/>
    <x v="2823"/>
    <x v="160"/>
    <x v="164"/>
    <x v="5"/>
  </r>
  <r>
    <x v="2083"/>
    <x v="250"/>
    <x v="15"/>
    <x v="888"/>
    <x v="450"/>
    <x v="21"/>
    <x v="1817"/>
    <x v="384"/>
    <x v="2577"/>
    <x v="2582"/>
    <x v="160"/>
    <x v="164"/>
    <x v="6"/>
  </r>
  <r>
    <x v="2084"/>
    <x v="250"/>
    <x v="20"/>
    <x v="887"/>
    <x v="459"/>
    <x v="21"/>
    <x v="1724"/>
    <x v="635"/>
    <x v="2615"/>
    <x v="2453"/>
    <x v="160"/>
    <x v="164"/>
    <x v="7"/>
  </r>
  <r>
    <x v="2085"/>
    <x v="250"/>
    <x v="25"/>
    <x v="889"/>
    <x v="458"/>
    <x v="25"/>
    <x v="956"/>
    <x v="269"/>
    <x v="1538"/>
    <x v="1203"/>
    <x v="160"/>
    <x v="164"/>
    <x v="8"/>
  </r>
  <r>
    <x v="2086"/>
    <x v="251"/>
    <x v="3"/>
    <x v="566"/>
    <x v="265"/>
    <x v="16"/>
    <x v="764"/>
    <x v="291"/>
    <x v="1800"/>
    <x v="1376"/>
    <x v="341"/>
    <x v="164"/>
    <x v="1"/>
  </r>
  <r>
    <x v="2087"/>
    <x v="251"/>
    <x v="5"/>
    <x v="592"/>
    <x v="265"/>
    <x v="17"/>
    <x v="440"/>
    <x v="135"/>
    <x v="896"/>
    <x v="680"/>
    <x v="341"/>
    <x v="164"/>
    <x v="2"/>
  </r>
  <r>
    <x v="2088"/>
    <x v="251"/>
    <x v="8"/>
    <x v="610"/>
    <x v="276"/>
    <x v="17"/>
    <x v="611"/>
    <x v="166"/>
    <x v="1370"/>
    <x v="946"/>
    <x v="341"/>
    <x v="164"/>
    <x v="3"/>
  </r>
  <r>
    <x v="2089"/>
    <x v="251"/>
    <x v="11"/>
    <x v="645"/>
    <x v="276"/>
    <x v="17"/>
    <x v="217"/>
    <x v="74"/>
    <x v="320"/>
    <x v="304"/>
    <x v="341"/>
    <x v="164"/>
    <x v="4"/>
  </r>
  <r>
    <x v="2090"/>
    <x v="251"/>
    <x v="13"/>
    <x v="700"/>
    <x v="284"/>
    <x v="18"/>
    <x v="754"/>
    <x v="237"/>
    <x v="1340"/>
    <x v="1139"/>
    <x v="341"/>
    <x v="164"/>
    <x v="5"/>
  </r>
  <r>
    <x v="2091"/>
    <x v="251"/>
    <x v="17"/>
    <x v="792"/>
    <x v="312"/>
    <x v="38"/>
    <x v="775"/>
    <x v="248"/>
    <x v="957"/>
    <x v="1058"/>
    <x v="341"/>
    <x v="164"/>
    <x v="6"/>
  </r>
  <r>
    <x v="2092"/>
    <x v="251"/>
    <x v="22"/>
    <x v="803"/>
    <x v="425"/>
    <x v="37"/>
    <x v="1148"/>
    <x v="645"/>
    <x v="2001"/>
    <x v="1667"/>
    <x v="341"/>
    <x v="164"/>
    <x v="7"/>
  </r>
  <r>
    <x v="2093"/>
    <x v="251"/>
    <x v="27"/>
    <x v="838"/>
    <x v="425"/>
    <x v="40"/>
    <x v="771"/>
    <x v="557"/>
    <x v="1032"/>
    <x v="982"/>
    <x v="341"/>
    <x v="164"/>
    <x v="8"/>
  </r>
  <r>
    <x v="2094"/>
    <x v="251"/>
    <x v="29"/>
    <x v="885"/>
    <x v="438"/>
    <x v="38"/>
    <x v="868"/>
    <x v="320"/>
    <x v="1036"/>
    <x v="1077"/>
    <x v="341"/>
    <x v="164"/>
    <x v="9"/>
  </r>
  <r>
    <x v="2095"/>
    <x v="252"/>
    <x v="4"/>
    <x v="933"/>
    <x v="522"/>
    <x v="21"/>
    <x v="2084"/>
    <x v="1700"/>
    <x v="3001"/>
    <x v="2878"/>
    <x v="0"/>
    <x v="53"/>
    <x v="2"/>
  </r>
  <r>
    <x v="2096"/>
    <x v="252"/>
    <x v="6"/>
    <x v="933"/>
    <x v="527"/>
    <x v="20"/>
    <x v="1918"/>
    <x v="2661"/>
    <x v="2495"/>
    <x v="2661"/>
    <x v="0"/>
    <x v="53"/>
    <x v="3"/>
  </r>
  <r>
    <x v="2097"/>
    <x v="252"/>
    <x v="9"/>
    <x v="1015"/>
    <x v="556"/>
    <x v="24"/>
    <x v="2488"/>
    <x v="1853"/>
    <x v="3260"/>
    <x v="3187"/>
    <x v="0"/>
    <x v="53"/>
    <x v="4"/>
  </r>
  <r>
    <x v="2098"/>
    <x v="252"/>
    <x v="12"/>
    <x v="939"/>
    <x v="703"/>
    <x v="24"/>
    <x v="2550"/>
    <x v="1450"/>
    <x v="3335"/>
    <x v="3276"/>
    <x v="0"/>
    <x v="53"/>
    <x v="5"/>
  </r>
  <r>
    <x v="2099"/>
    <x v="252"/>
    <x v="15"/>
    <x v="999"/>
    <x v="779"/>
    <x v="25"/>
    <x v="2276"/>
    <x v="1252"/>
    <x v="2991"/>
    <x v="3030"/>
    <x v="0"/>
    <x v="53"/>
    <x v="6"/>
  </r>
  <r>
    <x v="2100"/>
    <x v="252"/>
    <x v="20"/>
    <x v="1066"/>
    <x v="779"/>
    <x v="21"/>
    <x v="2375"/>
    <x v="584"/>
    <x v="3070"/>
    <x v="3054"/>
    <x v="0"/>
    <x v="53"/>
    <x v="7"/>
  </r>
  <r>
    <x v="2101"/>
    <x v="253"/>
    <x v="1"/>
    <x v="1923"/>
    <x v="1429"/>
    <x v="30"/>
    <x v="2173"/>
    <x v="905"/>
    <x v="1624"/>
    <x v="1481"/>
    <x v="9"/>
    <x v="7"/>
    <x v="1"/>
  </r>
  <r>
    <x v="2102"/>
    <x v="253"/>
    <x v="4"/>
    <x v="1935"/>
    <x v="1429"/>
    <x v="28"/>
    <x v="2524"/>
    <x v="1172"/>
    <x v="1950"/>
    <x v="2075"/>
    <x v="9"/>
    <x v="7"/>
    <x v="2"/>
  </r>
  <r>
    <x v="2103"/>
    <x v="253"/>
    <x v="6"/>
    <x v="1919"/>
    <x v="1424"/>
    <x v="30"/>
    <x v="2156"/>
    <x v="895"/>
    <x v="1364"/>
    <x v="1456"/>
    <x v="9"/>
    <x v="7"/>
    <x v="3"/>
  </r>
  <r>
    <x v="2104"/>
    <x v="253"/>
    <x v="9"/>
    <x v="1924"/>
    <x v="1430"/>
    <x v="30"/>
    <x v="3028"/>
    <x v="45"/>
    <x v="3028"/>
    <x v="2913"/>
    <x v="9"/>
    <x v="7"/>
    <x v="4"/>
  </r>
  <r>
    <x v="2105"/>
    <x v="253"/>
    <x v="12"/>
    <x v="1946"/>
    <x v="1427"/>
    <x v="44"/>
    <x v="2640"/>
    <x v="1280"/>
    <x v="2155"/>
    <x v="2245"/>
    <x v="9"/>
    <x v="7"/>
    <x v="5"/>
  </r>
  <r>
    <x v="2106"/>
    <x v="253"/>
    <x v="15"/>
    <x v="1951"/>
    <x v="1427"/>
    <x v="41"/>
    <x v="1856"/>
    <x v="834"/>
    <x v="815"/>
    <x v="974"/>
    <x v="9"/>
    <x v="7"/>
    <x v="6"/>
  </r>
  <r>
    <x v="2107"/>
    <x v="253"/>
    <x v="20"/>
    <x v="1952"/>
    <x v="1428"/>
    <x v="30"/>
    <x v="2258"/>
    <x v="1240"/>
    <x v="1551"/>
    <x v="1561"/>
    <x v="9"/>
    <x v="7"/>
    <x v="7"/>
  </r>
  <r>
    <x v="2108"/>
    <x v="253"/>
    <x v="25"/>
    <x v="1917"/>
    <x v="1428"/>
    <x v="30"/>
    <x v="2590"/>
    <x v="1788"/>
    <x v="2183"/>
    <x v="2224"/>
    <x v="9"/>
    <x v="7"/>
    <x v="8"/>
  </r>
  <r>
    <x v="2109"/>
    <x v="253"/>
    <x v="28"/>
    <x v="1931"/>
    <x v="1428"/>
    <x v="30"/>
    <x v="2698"/>
    <x v="1944"/>
    <x v="2318"/>
    <x v="2366"/>
    <x v="9"/>
    <x v="7"/>
    <x v="9"/>
  </r>
  <r>
    <x v="2110"/>
    <x v="254"/>
    <x v="1"/>
    <x v="1920"/>
    <x v="1253"/>
    <x v="19"/>
    <x v="3168"/>
    <x v="2586"/>
    <x v="2691"/>
    <x v="3164"/>
    <x v="378"/>
    <x v="267"/>
    <x v="1"/>
  </r>
  <r>
    <x v="2111"/>
    <x v="254"/>
    <x v="4"/>
    <x v="1938"/>
    <x v="1308"/>
    <x v="26"/>
    <x v="3139"/>
    <x v="2512"/>
    <x v="2872"/>
    <x v="3108"/>
    <x v="378"/>
    <x v="267"/>
    <x v="2"/>
  </r>
  <r>
    <x v="2112"/>
    <x v="254"/>
    <x v="6"/>
    <x v="1960"/>
    <x v="1309"/>
    <x v="24"/>
    <x v="2654"/>
    <x v="1966"/>
    <x v="2280"/>
    <x v="2247"/>
    <x v="378"/>
    <x v="267"/>
    <x v="3"/>
  </r>
  <r>
    <x v="2113"/>
    <x v="254"/>
    <x v="9"/>
    <x v="2000"/>
    <x v="1350"/>
    <x v="24"/>
    <x v="3061"/>
    <x v="2371"/>
    <x v="2828"/>
    <x v="2906"/>
    <x v="378"/>
    <x v="267"/>
    <x v="4"/>
  </r>
  <r>
    <x v="2114"/>
    <x v="254"/>
    <x v="12"/>
    <x v="2034"/>
    <x v="1347"/>
    <x v="24"/>
    <x v="3186"/>
    <x v="2302"/>
    <x v="2844"/>
    <x v="3129"/>
    <x v="378"/>
    <x v="267"/>
    <x v="5"/>
  </r>
  <r>
    <x v="2115"/>
    <x v="254"/>
    <x v="15"/>
    <x v="2067"/>
    <x v="1360"/>
    <x v="39"/>
    <x v="2863"/>
    <x v="2198"/>
    <x v="1977"/>
    <x v="2474"/>
    <x v="378"/>
    <x v="267"/>
    <x v="6"/>
  </r>
  <r>
    <x v="2116"/>
    <x v="254"/>
    <x v="20"/>
    <x v="2085"/>
    <x v="1376"/>
    <x v="34"/>
    <x v="2270"/>
    <x v="1842"/>
    <x v="1249"/>
    <x v="1430"/>
    <x v="378"/>
    <x v="267"/>
    <x v="7"/>
  </r>
  <r>
    <x v="2117"/>
    <x v="254"/>
    <x v="25"/>
    <x v="2138"/>
    <x v="1383"/>
    <x v="37"/>
    <x v="3125"/>
    <x v="2876"/>
    <x v="2382"/>
    <x v="2914"/>
    <x v="378"/>
    <x v="267"/>
    <x v="8"/>
  </r>
  <r>
    <x v="2118"/>
    <x v="254"/>
    <x v="28"/>
    <x v="2174"/>
    <x v="1385"/>
    <x v="23"/>
    <x v="2581"/>
    <x v="2107"/>
    <x v="1726"/>
    <x v="1841"/>
    <x v="378"/>
    <x v="267"/>
    <x v="9"/>
  </r>
  <r>
    <x v="2119"/>
    <x v="255"/>
    <x v="3"/>
    <x v="951"/>
    <x v="508"/>
    <x v="28"/>
    <x v="1576"/>
    <x v="1911"/>
    <x v="3342"/>
    <x v="2122"/>
    <x v="176"/>
    <x v="29"/>
    <x v="1"/>
  </r>
  <r>
    <x v="2120"/>
    <x v="255"/>
    <x v="5"/>
    <x v="954"/>
    <x v="518"/>
    <x v="30"/>
    <x v="1099"/>
    <x v="1060"/>
    <x v="3017"/>
    <x v="1362"/>
    <x v="176"/>
    <x v="29"/>
    <x v="2"/>
  </r>
  <r>
    <x v="2121"/>
    <x v="255"/>
    <x v="8"/>
    <x v="955"/>
    <x v="518"/>
    <x v="31"/>
    <x v="776"/>
    <x v="849"/>
    <x v="2766"/>
    <x v="873"/>
    <x v="176"/>
    <x v="29"/>
    <x v="3"/>
  </r>
  <r>
    <x v="2122"/>
    <x v="255"/>
    <x v="11"/>
    <x v="956"/>
    <x v="523"/>
    <x v="37"/>
    <x v="1023"/>
    <x v="764"/>
    <x v="2962"/>
    <x v="1252"/>
    <x v="176"/>
    <x v="29"/>
    <x v="4"/>
  </r>
  <r>
    <x v="2123"/>
    <x v="255"/>
    <x v="13"/>
    <x v="957"/>
    <x v="524"/>
    <x v="31"/>
    <x v="1040"/>
    <x v="784"/>
    <x v="2898"/>
    <x v="1280"/>
    <x v="176"/>
    <x v="29"/>
    <x v="5"/>
  </r>
  <r>
    <x v="2124"/>
    <x v="255"/>
    <x v="17"/>
    <x v="966"/>
    <x v="524"/>
    <x v="37"/>
    <x v="936"/>
    <x v="1351"/>
    <x v="2821"/>
    <x v="1068"/>
    <x v="176"/>
    <x v="29"/>
    <x v="6"/>
  </r>
  <r>
    <x v="2125"/>
    <x v="255"/>
    <x v="22"/>
    <x v="968"/>
    <x v="524"/>
    <x v="40"/>
    <x v="1189"/>
    <x v="1235"/>
    <x v="3200"/>
    <x v="1488"/>
    <x v="176"/>
    <x v="29"/>
    <x v="7"/>
  </r>
  <r>
    <x v="2126"/>
    <x v="255"/>
    <x v="27"/>
    <x v="971"/>
    <x v="524"/>
    <x v="38"/>
    <x v="941"/>
    <x v="1086"/>
    <x v="3026"/>
    <x v="1074"/>
    <x v="176"/>
    <x v="29"/>
    <x v="8"/>
  </r>
  <r>
    <x v="2127"/>
    <x v="255"/>
    <x v="29"/>
    <x v="917"/>
    <x v="524"/>
    <x v="36"/>
    <x v="954"/>
    <x v="1725"/>
    <x v="2982"/>
    <x v="1180"/>
    <x v="176"/>
    <x v="29"/>
    <x v="9"/>
  </r>
  <r>
    <x v="2128"/>
    <x v="256"/>
    <x v="3"/>
    <x v="606"/>
    <x v="271"/>
    <x v="15"/>
    <x v="872"/>
    <x v="1405"/>
    <x v="3350"/>
    <x v="1464"/>
    <x v="23"/>
    <x v="26"/>
    <x v="1"/>
  </r>
  <r>
    <x v="2129"/>
    <x v="256"/>
    <x v="5"/>
    <x v="611"/>
    <x v="272"/>
    <x v="15"/>
    <x v="411"/>
    <x v="923"/>
    <x v="3081"/>
    <x v="607"/>
    <x v="23"/>
    <x v="26"/>
    <x v="2"/>
  </r>
  <r>
    <x v="2130"/>
    <x v="256"/>
    <x v="8"/>
    <x v="611"/>
    <x v="272"/>
    <x v="20"/>
    <x v="352"/>
    <x v="860"/>
    <x v="2905"/>
    <x v="520"/>
    <x v="23"/>
    <x v="26"/>
    <x v="3"/>
  </r>
  <r>
    <x v="2131"/>
    <x v="256"/>
    <x v="11"/>
    <x v="615"/>
    <x v="272"/>
    <x v="28"/>
    <x v="827"/>
    <x v="1482"/>
    <x v="3257"/>
    <x v="1363"/>
    <x v="23"/>
    <x v="26"/>
    <x v="4"/>
  </r>
  <r>
    <x v="2132"/>
    <x v="256"/>
    <x v="13"/>
    <x v="617"/>
    <x v="272"/>
    <x v="22"/>
    <x v="380"/>
    <x v="285"/>
    <x v="2545"/>
    <x v="552"/>
    <x v="23"/>
    <x v="26"/>
    <x v="5"/>
  </r>
  <r>
    <x v="2133"/>
    <x v="256"/>
    <x v="17"/>
    <x v="621"/>
    <x v="272"/>
    <x v="29"/>
    <x v="159"/>
    <x v="155"/>
    <x v="1865"/>
    <x v="219"/>
    <x v="23"/>
    <x v="26"/>
    <x v="6"/>
  </r>
  <r>
    <x v="2134"/>
    <x v="256"/>
    <x v="22"/>
    <x v="625"/>
    <x v="272"/>
    <x v="42"/>
    <x v="354"/>
    <x v="413"/>
    <x v="2584"/>
    <x v="518"/>
    <x v="23"/>
    <x v="26"/>
    <x v="7"/>
  </r>
  <r>
    <x v="2135"/>
    <x v="256"/>
    <x v="27"/>
    <x v="630"/>
    <x v="272"/>
    <x v="35"/>
    <x v="692"/>
    <x v="676"/>
    <x v="3172"/>
    <x v="1122"/>
    <x v="23"/>
    <x v="26"/>
    <x v="8"/>
  </r>
  <r>
    <x v="2136"/>
    <x v="256"/>
    <x v="29"/>
    <x v="635"/>
    <x v="272"/>
    <x v="42"/>
    <x v="762"/>
    <x v="736"/>
    <x v="3263"/>
    <x v="1250"/>
    <x v="23"/>
    <x v="26"/>
    <x v="9"/>
  </r>
  <r>
    <x v="2137"/>
    <x v="257"/>
    <x v="1"/>
    <x v="1868"/>
    <x v="1001"/>
    <x v="23"/>
    <x v="2736"/>
    <x v="2226"/>
    <x v="1835"/>
    <x v="2520"/>
    <x v="68"/>
    <x v="47"/>
    <x v="1"/>
  </r>
  <r>
    <x v="2138"/>
    <x v="257"/>
    <x v="4"/>
    <x v="1875"/>
    <x v="1008"/>
    <x v="27"/>
    <x v="2761"/>
    <x v="2816"/>
    <x v="1832"/>
    <x v="2547"/>
    <x v="68"/>
    <x v="47"/>
    <x v="2"/>
  </r>
  <r>
    <x v="2139"/>
    <x v="257"/>
    <x v="6"/>
    <x v="1895"/>
    <x v="1013"/>
    <x v="27"/>
    <x v="2042"/>
    <x v="2405"/>
    <x v="1380"/>
    <x v="1302"/>
    <x v="68"/>
    <x v="47"/>
    <x v="3"/>
  </r>
  <r>
    <x v="2140"/>
    <x v="257"/>
    <x v="9"/>
    <x v="1916"/>
    <x v="1013"/>
    <x v="25"/>
    <x v="2632"/>
    <x v="3058"/>
    <x v="1631"/>
    <x v="2294"/>
    <x v="68"/>
    <x v="47"/>
    <x v="4"/>
  </r>
  <r>
    <x v="2141"/>
    <x v="257"/>
    <x v="12"/>
    <x v="1956"/>
    <x v="1181"/>
    <x v="22"/>
    <x v="3292"/>
    <x v="3421"/>
    <x v="3031"/>
    <x v="3337"/>
    <x v="68"/>
    <x v="47"/>
    <x v="5"/>
  </r>
  <r>
    <x v="2142"/>
    <x v="257"/>
    <x v="15"/>
    <x v="1985"/>
    <x v="1178"/>
    <x v="26"/>
    <x v="2830"/>
    <x v="3177"/>
    <x v="1725"/>
    <x v="2513"/>
    <x v="68"/>
    <x v="47"/>
    <x v="6"/>
  </r>
  <r>
    <x v="2143"/>
    <x v="257"/>
    <x v="20"/>
    <x v="2020"/>
    <x v="1181"/>
    <x v="12"/>
    <x v="3185"/>
    <x v="3260"/>
    <x v="2575"/>
    <x v="3134"/>
    <x v="68"/>
    <x v="47"/>
    <x v="7"/>
  </r>
  <r>
    <x v="2144"/>
    <x v="257"/>
    <x v="25"/>
    <x v="2038"/>
    <x v="1388"/>
    <x v="15"/>
    <x v="3261"/>
    <x v="3348"/>
    <x v="2935"/>
    <x v="3230"/>
    <x v="68"/>
    <x v="47"/>
    <x v="8"/>
  </r>
  <r>
    <x v="2145"/>
    <x v="257"/>
    <x v="28"/>
    <x v="2033"/>
    <x v="1192"/>
    <x v="21"/>
    <x v="2938"/>
    <x v="3079"/>
    <x v="2041"/>
    <x v="2627"/>
    <x v="68"/>
    <x v="47"/>
    <x v="9"/>
  </r>
  <r>
    <x v="2146"/>
    <x v="258"/>
    <x v="1"/>
    <x v="515"/>
    <x v="258"/>
    <x v="22"/>
    <x v="535"/>
    <x v="922"/>
    <x v="502"/>
    <x v="929"/>
    <x v="190"/>
    <x v="73"/>
    <x v="1"/>
  </r>
  <r>
    <x v="2147"/>
    <x v="258"/>
    <x v="4"/>
    <x v="521"/>
    <x v="261"/>
    <x v="38"/>
    <x v="2395"/>
    <x v="3482"/>
    <x v="3016"/>
    <x v="3403"/>
    <x v="190"/>
    <x v="73"/>
    <x v="2"/>
  </r>
  <r>
    <x v="2148"/>
    <x v="258"/>
    <x v="6"/>
    <x v="518"/>
    <x v="261"/>
    <x v="35"/>
    <x v="2093"/>
    <x v="3482"/>
    <x v="2555"/>
    <x v="3234"/>
    <x v="190"/>
    <x v="73"/>
    <x v="3"/>
  </r>
  <r>
    <x v="2149"/>
    <x v="258"/>
    <x v="9"/>
    <x v="549"/>
    <x v="476"/>
    <x v="41"/>
    <x v="2232"/>
    <x v="2328"/>
    <x v="2796"/>
    <x v="3330"/>
    <x v="190"/>
    <x v="73"/>
    <x v="4"/>
  </r>
  <r>
    <x v="2150"/>
    <x v="258"/>
    <x v="12"/>
    <x v="560"/>
    <x v="306"/>
    <x v="29"/>
    <x v="1868"/>
    <x v="1843"/>
    <x v="1974"/>
    <x v="3045"/>
    <x v="190"/>
    <x v="73"/>
    <x v="5"/>
  </r>
  <r>
    <x v="2151"/>
    <x v="258"/>
    <x v="15"/>
    <x v="667"/>
    <x v="329"/>
    <x v="40"/>
    <x v="805"/>
    <x v="1310"/>
    <x v="568"/>
    <x v="1272"/>
    <x v="190"/>
    <x v="73"/>
    <x v="6"/>
  </r>
  <r>
    <x v="2152"/>
    <x v="258"/>
    <x v="20"/>
    <x v="587"/>
    <x v="316"/>
    <x v="40"/>
    <x v="1408"/>
    <x v="2235"/>
    <x v="1276"/>
    <x v="2484"/>
    <x v="190"/>
    <x v="73"/>
    <x v="7"/>
  </r>
  <r>
    <x v="2153"/>
    <x v="258"/>
    <x v="25"/>
    <x v="495"/>
    <x v="325"/>
    <x v="26"/>
    <x v="190"/>
    <x v="583"/>
    <x v="76"/>
    <x v="283"/>
    <x v="190"/>
    <x v="73"/>
    <x v="8"/>
  </r>
  <r>
    <x v="2154"/>
    <x v="258"/>
    <x v="28"/>
    <x v="542"/>
    <x v="343"/>
    <x v="26"/>
    <x v="1896"/>
    <x v="2427"/>
    <x v="2030"/>
    <x v="3082"/>
    <x v="190"/>
    <x v="73"/>
    <x v="9"/>
  </r>
  <r>
    <x v="2155"/>
    <x v="258"/>
    <x v="30"/>
    <x v="607"/>
    <x v="343"/>
    <x v="20"/>
    <x v="2021"/>
    <x v="2873"/>
    <x v="2251"/>
    <x v="3113"/>
    <x v="190"/>
    <x v="73"/>
    <x v="10"/>
  </r>
  <r>
    <x v="2156"/>
    <x v="259"/>
    <x v="1"/>
    <x v="1169"/>
    <x v="613"/>
    <x v="26"/>
    <x v="2695"/>
    <x v="1221"/>
    <x v="2432"/>
    <x v="3208"/>
    <x v="78"/>
    <x v="103"/>
    <x v="1"/>
  </r>
  <r>
    <x v="2157"/>
    <x v="259"/>
    <x v="4"/>
    <x v="1164"/>
    <x v="680"/>
    <x v="39"/>
    <x v="2903"/>
    <x v="1845"/>
    <x v="2863"/>
    <x v="3352"/>
    <x v="78"/>
    <x v="103"/>
    <x v="2"/>
  </r>
  <r>
    <x v="2158"/>
    <x v="259"/>
    <x v="6"/>
    <x v="1148"/>
    <x v="668"/>
    <x v="40"/>
    <x v="2083"/>
    <x v="1198"/>
    <x v="1630"/>
    <x v="2593"/>
    <x v="78"/>
    <x v="103"/>
    <x v="3"/>
  </r>
  <r>
    <x v="2159"/>
    <x v="259"/>
    <x v="9"/>
    <x v="1172"/>
    <x v="668"/>
    <x v="40"/>
    <x v="2009"/>
    <x v="1100"/>
    <x v="1459"/>
    <x v="2431"/>
    <x v="78"/>
    <x v="103"/>
    <x v="4"/>
  </r>
  <r>
    <x v="2160"/>
    <x v="259"/>
    <x v="12"/>
    <x v="1180"/>
    <x v="668"/>
    <x v="41"/>
    <x v="1720"/>
    <x v="916"/>
    <x v="924"/>
    <x v="1933"/>
    <x v="78"/>
    <x v="103"/>
    <x v="5"/>
  </r>
  <r>
    <x v="2161"/>
    <x v="259"/>
    <x v="15"/>
    <x v="1170"/>
    <x v="668"/>
    <x v="40"/>
    <x v="1544"/>
    <x v="2066"/>
    <x v="648"/>
    <x v="1679"/>
    <x v="78"/>
    <x v="103"/>
    <x v="6"/>
  </r>
  <r>
    <x v="2162"/>
    <x v="259"/>
    <x v="20"/>
    <x v="1156"/>
    <x v="930"/>
    <x v="19"/>
    <x v="3064"/>
    <x v="2140"/>
    <x v="3137"/>
    <x v="3434"/>
    <x v="78"/>
    <x v="103"/>
    <x v="7"/>
  </r>
  <r>
    <x v="2163"/>
    <x v="259"/>
    <x v="25"/>
    <x v="1249"/>
    <x v="930"/>
    <x v="24"/>
    <x v="387"/>
    <x v="351"/>
    <x v="898"/>
    <x v="331"/>
    <x v="78"/>
    <x v="103"/>
    <x v="8"/>
  </r>
  <r>
    <x v="2164"/>
    <x v="259"/>
    <x v="28"/>
    <x v="1171"/>
    <x v="933"/>
    <x v="28"/>
    <x v="382"/>
    <x v="517"/>
    <x v="1277"/>
    <x v="350"/>
    <x v="78"/>
    <x v="103"/>
    <x v="9"/>
  </r>
  <r>
    <x v="2165"/>
    <x v="260"/>
    <x v="1"/>
    <x v="458"/>
    <x v="242"/>
    <x v="21"/>
    <x v="222"/>
    <x v="724"/>
    <x v="1776"/>
    <x v="394"/>
    <x v="85"/>
    <x v="110"/>
    <x v="1"/>
  </r>
  <r>
    <x v="2166"/>
    <x v="260"/>
    <x v="4"/>
    <x v="458"/>
    <x v="244"/>
    <x v="24"/>
    <x v="123"/>
    <x v="326"/>
    <x v="1111"/>
    <x v="196"/>
    <x v="85"/>
    <x v="110"/>
    <x v="2"/>
  </r>
  <r>
    <x v="2167"/>
    <x v="260"/>
    <x v="6"/>
    <x v="458"/>
    <x v="244"/>
    <x v="25"/>
    <x v="207"/>
    <x v="680"/>
    <x v="1871"/>
    <x v="360"/>
    <x v="85"/>
    <x v="110"/>
    <x v="3"/>
  </r>
  <r>
    <x v="2168"/>
    <x v="260"/>
    <x v="9"/>
    <x v="458"/>
    <x v="244"/>
    <x v="26"/>
    <x v="334"/>
    <x v="992"/>
    <x v="2505"/>
    <x v="585"/>
    <x v="85"/>
    <x v="110"/>
    <x v="4"/>
  </r>
  <r>
    <x v="2169"/>
    <x v="260"/>
    <x v="12"/>
    <x v="436"/>
    <x v="245"/>
    <x v="12"/>
    <x v="233"/>
    <x v="346"/>
    <x v="1448"/>
    <x v="416"/>
    <x v="85"/>
    <x v="110"/>
    <x v="5"/>
  </r>
  <r>
    <x v="2170"/>
    <x v="260"/>
    <x v="15"/>
    <x v="443"/>
    <x v="245"/>
    <x v="11"/>
    <x v="406"/>
    <x v="883"/>
    <x v="2556"/>
    <x v="750"/>
    <x v="85"/>
    <x v="110"/>
    <x v="6"/>
  </r>
  <r>
    <x v="2171"/>
    <x v="260"/>
    <x v="20"/>
    <x v="432"/>
    <x v="243"/>
    <x v="37"/>
    <x v="395"/>
    <x v="404"/>
    <x v="2567"/>
    <x v="742"/>
    <x v="85"/>
    <x v="110"/>
    <x v="7"/>
  </r>
  <r>
    <x v="2172"/>
    <x v="260"/>
    <x v="25"/>
    <x v="458"/>
    <x v="243"/>
    <x v="32"/>
    <x v="801"/>
    <x v="1056"/>
    <x v="3268"/>
    <x v="1645"/>
    <x v="85"/>
    <x v="110"/>
    <x v="8"/>
  </r>
  <r>
    <x v="2173"/>
    <x v="261"/>
    <x v="1"/>
    <x v="2683"/>
    <x v="1623"/>
    <x v="31"/>
    <x v="3150"/>
    <x v="2807"/>
    <x v="1394"/>
    <x v="1977"/>
    <x v="86"/>
    <x v="260"/>
    <x v="1"/>
  </r>
  <r>
    <x v="2174"/>
    <x v="261"/>
    <x v="4"/>
    <x v="2687"/>
    <x v="1623"/>
    <x v="36"/>
    <x v="3136"/>
    <x v="2796"/>
    <x v="992"/>
    <x v="1908"/>
    <x v="86"/>
    <x v="260"/>
    <x v="2"/>
  </r>
  <r>
    <x v="2175"/>
    <x v="261"/>
    <x v="6"/>
    <x v="2705"/>
    <x v="1623"/>
    <x v="35"/>
    <x v="3238"/>
    <x v="3140"/>
    <x v="1411"/>
    <x v="2268"/>
    <x v="86"/>
    <x v="260"/>
    <x v="3"/>
  </r>
  <r>
    <x v="2176"/>
    <x v="261"/>
    <x v="9"/>
    <x v="2707"/>
    <x v="1623"/>
    <x v="38"/>
    <x v="2164"/>
    <x v="2739"/>
    <x v="462"/>
    <x v="541"/>
    <x v="86"/>
    <x v="260"/>
    <x v="4"/>
  </r>
  <r>
    <x v="2177"/>
    <x v="261"/>
    <x v="12"/>
    <x v="2710"/>
    <x v="1623"/>
    <x v="38"/>
    <x v="3422"/>
    <x v="3451"/>
    <x v="2667"/>
    <x v="3304"/>
    <x v="86"/>
    <x v="260"/>
    <x v="5"/>
  </r>
  <r>
    <x v="2178"/>
    <x v="261"/>
    <x v="13"/>
    <x v="2711"/>
    <x v="1623"/>
    <x v="38"/>
    <x v="3403"/>
    <x v="3446"/>
    <x v="2194"/>
    <x v="3106"/>
    <x v="86"/>
    <x v="260"/>
    <x v="5"/>
  </r>
  <r>
    <x v="2179"/>
    <x v="261"/>
    <x v="17"/>
    <x v="2689"/>
    <x v="1623"/>
    <x v="33"/>
    <x v="1355"/>
    <x v="2229"/>
    <x v="174"/>
    <x v="270"/>
    <x v="86"/>
    <x v="260"/>
    <x v="6"/>
  </r>
  <r>
    <x v="2180"/>
    <x v="261"/>
    <x v="22"/>
    <x v="2712"/>
    <x v="1620"/>
    <x v="29"/>
    <x v="2971"/>
    <x v="2903"/>
    <x v="829"/>
    <x v="1379"/>
    <x v="86"/>
    <x v="260"/>
    <x v="7"/>
  </r>
  <r>
    <x v="2181"/>
    <x v="261"/>
    <x v="27"/>
    <x v="2716"/>
    <x v="1620"/>
    <x v="37"/>
    <x v="3180"/>
    <x v="3133"/>
    <x v="1424"/>
    <x v="2006"/>
    <x v="86"/>
    <x v="260"/>
    <x v="8"/>
  </r>
  <r>
    <x v="2182"/>
    <x v="261"/>
    <x v="29"/>
    <x v="2714"/>
    <x v="1650"/>
    <x v="35"/>
    <x v="3196"/>
    <x v="3176"/>
    <x v="1196"/>
    <x v="2106"/>
    <x v="86"/>
    <x v="260"/>
    <x v="9"/>
  </r>
  <r>
    <x v="2183"/>
    <x v="262"/>
    <x v="1"/>
    <x v="2226"/>
    <x v="1531"/>
    <x v="31"/>
    <x v="2479"/>
    <x v="2480"/>
    <x v="1225"/>
    <x v="1590"/>
    <x v="157"/>
    <x v="162"/>
    <x v="1"/>
  </r>
  <r>
    <x v="2184"/>
    <x v="262"/>
    <x v="4"/>
    <x v="2236"/>
    <x v="1531"/>
    <x v="29"/>
    <x v="2357"/>
    <x v="2430"/>
    <x v="969"/>
    <x v="1394"/>
    <x v="157"/>
    <x v="162"/>
    <x v="2"/>
  </r>
  <r>
    <x v="2185"/>
    <x v="262"/>
    <x v="6"/>
    <x v="2245"/>
    <x v="1531"/>
    <x v="28"/>
    <x v="2167"/>
    <x v="2326"/>
    <x v="681"/>
    <x v="1099"/>
    <x v="157"/>
    <x v="162"/>
    <x v="3"/>
  </r>
  <r>
    <x v="2186"/>
    <x v="262"/>
    <x v="9"/>
    <x v="2262"/>
    <x v="1531"/>
    <x v="35"/>
    <x v="1940"/>
    <x v="1638"/>
    <x v="546"/>
    <x v="806"/>
    <x v="157"/>
    <x v="162"/>
    <x v="4"/>
  </r>
  <r>
    <x v="2187"/>
    <x v="262"/>
    <x v="12"/>
    <x v="2274"/>
    <x v="1533"/>
    <x v="37"/>
    <x v="2242"/>
    <x v="1913"/>
    <x v="743"/>
    <x v="1172"/>
    <x v="157"/>
    <x v="162"/>
    <x v="5"/>
  </r>
  <r>
    <x v="2188"/>
    <x v="262"/>
    <x v="15"/>
    <x v="2288"/>
    <x v="1533"/>
    <x v="38"/>
    <x v="2130"/>
    <x v="1948"/>
    <x v="608"/>
    <x v="1003"/>
    <x v="157"/>
    <x v="162"/>
    <x v="6"/>
  </r>
  <r>
    <x v="2189"/>
    <x v="262"/>
    <x v="20"/>
    <x v="2307"/>
    <x v="1533"/>
    <x v="39"/>
    <x v="2300"/>
    <x v="2110"/>
    <x v="825"/>
    <x v="1236"/>
    <x v="157"/>
    <x v="162"/>
    <x v="7"/>
  </r>
  <r>
    <x v="2190"/>
    <x v="262"/>
    <x v="25"/>
    <x v="2314"/>
    <x v="1533"/>
    <x v="39"/>
    <x v="1507"/>
    <x v="1474"/>
    <x v="310"/>
    <x v="528"/>
    <x v="157"/>
    <x v="162"/>
    <x v="8"/>
  </r>
  <r>
    <x v="2191"/>
    <x v="262"/>
    <x v="28"/>
    <x v="2319"/>
    <x v="1533"/>
    <x v="43"/>
    <x v="2094"/>
    <x v="1925"/>
    <x v="617"/>
    <x v="923"/>
    <x v="157"/>
    <x v="162"/>
    <x v="9"/>
  </r>
  <r>
    <x v="2192"/>
    <x v="263"/>
    <x v="3"/>
    <x v="1379"/>
    <x v="812"/>
    <x v="31"/>
    <x v="847"/>
    <x v="1446"/>
    <x v="802"/>
    <x v="605"/>
    <x v="216"/>
    <x v="211"/>
    <x v="1"/>
  </r>
  <r>
    <x v="2193"/>
    <x v="263"/>
    <x v="11"/>
    <x v="1385"/>
    <x v="827"/>
    <x v="40"/>
    <x v="610"/>
    <x v="1408"/>
    <x v="2258"/>
    <x v="442"/>
    <x v="216"/>
    <x v="211"/>
    <x v="4"/>
  </r>
  <r>
    <x v="2194"/>
    <x v="263"/>
    <x v="13"/>
    <x v="1388"/>
    <x v="827"/>
    <x v="41"/>
    <x v="216"/>
    <x v="648"/>
    <x v="2592"/>
    <x v="174"/>
    <x v="216"/>
    <x v="211"/>
    <x v="5"/>
  </r>
  <r>
    <x v="2195"/>
    <x v="263"/>
    <x v="17"/>
    <x v="1389"/>
    <x v="827"/>
    <x v="38"/>
    <x v="1733"/>
    <x v="2330"/>
    <x v="2689"/>
    <x v="1610"/>
    <x v="216"/>
    <x v="211"/>
    <x v="6"/>
  </r>
  <r>
    <x v="2196"/>
    <x v="263"/>
    <x v="22"/>
    <x v="1391"/>
    <x v="827"/>
    <x v="26"/>
    <x v="1638"/>
    <x v="2334"/>
    <x v="2894"/>
    <x v="1465"/>
    <x v="216"/>
    <x v="211"/>
    <x v="7"/>
  </r>
  <r>
    <x v="2197"/>
    <x v="263"/>
    <x v="27"/>
    <x v="1393"/>
    <x v="827"/>
    <x v="28"/>
    <x v="2472"/>
    <x v="2875"/>
    <x v="3149"/>
    <x v="2805"/>
    <x v="216"/>
    <x v="211"/>
    <x v="8"/>
  </r>
  <r>
    <x v="2198"/>
    <x v="263"/>
    <x v="29"/>
    <x v="1375"/>
    <x v="855"/>
    <x v="31"/>
    <x v="919"/>
    <x v="1857"/>
    <x v="2289"/>
    <x v="649"/>
    <x v="216"/>
    <x v="211"/>
    <x v="9"/>
  </r>
  <r>
    <x v="2199"/>
    <x v="264"/>
    <x v="1"/>
    <x v="2492"/>
    <x v="1527"/>
    <x v="43"/>
    <x v="2757"/>
    <x v="2239"/>
    <x v="379"/>
    <x v="1577"/>
    <x v="240"/>
    <x v="234"/>
    <x v="1"/>
  </r>
  <r>
    <x v="2200"/>
    <x v="264"/>
    <x v="4"/>
    <x v="2505"/>
    <x v="1534"/>
    <x v="34"/>
    <x v="3044"/>
    <x v="2513"/>
    <x v="796"/>
    <x v="2170"/>
    <x v="240"/>
    <x v="234"/>
    <x v="2"/>
  </r>
  <r>
    <x v="2201"/>
    <x v="264"/>
    <x v="6"/>
    <x v="2515"/>
    <x v="1550"/>
    <x v="30"/>
    <x v="2510"/>
    <x v="2005"/>
    <x v="244"/>
    <x v="1146"/>
    <x v="240"/>
    <x v="234"/>
    <x v="3"/>
  </r>
  <r>
    <x v="2202"/>
    <x v="264"/>
    <x v="9"/>
    <x v="2520"/>
    <x v="1556"/>
    <x v="30"/>
    <x v="2796"/>
    <x v="2278"/>
    <x v="381"/>
    <x v="1552"/>
    <x v="240"/>
    <x v="234"/>
    <x v="4"/>
  </r>
  <r>
    <x v="2203"/>
    <x v="264"/>
    <x v="12"/>
    <x v="2521"/>
    <x v="1575"/>
    <x v="30"/>
    <x v="3014"/>
    <x v="2493"/>
    <x v="744"/>
    <x v="1985"/>
    <x v="240"/>
    <x v="234"/>
    <x v="5"/>
  </r>
  <r>
    <x v="2204"/>
    <x v="264"/>
    <x v="15"/>
    <x v="2566"/>
    <x v="1591"/>
    <x v="29"/>
    <x v="829"/>
    <x v="837"/>
    <x v="21"/>
    <x v="213"/>
    <x v="240"/>
    <x v="234"/>
    <x v="6"/>
  </r>
  <r>
    <x v="2205"/>
    <x v="264"/>
    <x v="20"/>
    <x v="2549"/>
    <x v="1598"/>
    <x v="23"/>
    <x v="3087"/>
    <x v="2828"/>
    <x v="726"/>
    <x v="2116"/>
    <x v="240"/>
    <x v="234"/>
    <x v="7"/>
  </r>
  <r>
    <x v="2206"/>
    <x v="264"/>
    <x v="25"/>
    <x v="2557"/>
    <x v="1611"/>
    <x v="27"/>
    <x v="1669"/>
    <x v="1813"/>
    <x v="279"/>
    <x v="433"/>
    <x v="240"/>
    <x v="234"/>
    <x v="8"/>
  </r>
  <r>
    <x v="2207"/>
    <x v="264"/>
    <x v="28"/>
    <x v="2562"/>
    <x v="1605"/>
    <x v="18"/>
    <x v="3107"/>
    <x v="3043"/>
    <x v="778"/>
    <x v="2120"/>
    <x v="240"/>
    <x v="234"/>
    <x v="9"/>
  </r>
  <r>
    <x v="2208"/>
    <x v="265"/>
    <x v="3"/>
    <x v="1954"/>
    <x v="933"/>
    <x v="33"/>
    <x v="2078"/>
    <x v="2382"/>
    <x v="647"/>
    <x v="1265"/>
    <x v="69"/>
    <x v="62"/>
    <x v="1"/>
  </r>
  <r>
    <x v="2209"/>
    <x v="265"/>
    <x v="5"/>
    <x v="1976"/>
    <x v="1100"/>
    <x v="23"/>
    <x v="74"/>
    <x v="154"/>
    <x v="44"/>
    <x v="52"/>
    <x v="69"/>
    <x v="62"/>
    <x v="2"/>
  </r>
  <r>
    <x v="2210"/>
    <x v="265"/>
    <x v="8"/>
    <x v="1976"/>
    <x v="1100"/>
    <x v="42"/>
    <x v="89"/>
    <x v="230"/>
    <x v="37"/>
    <x v="63"/>
    <x v="69"/>
    <x v="62"/>
    <x v="3"/>
  </r>
  <r>
    <x v="2211"/>
    <x v="265"/>
    <x v="11"/>
    <x v="1976"/>
    <x v="1100"/>
    <x v="35"/>
    <x v="2543"/>
    <x v="3021"/>
    <x v="1117"/>
    <x v="2034"/>
    <x v="69"/>
    <x v="62"/>
    <x v="4"/>
  </r>
  <r>
    <x v="2212"/>
    <x v="265"/>
    <x v="13"/>
    <x v="1976"/>
    <x v="1100"/>
    <x v="42"/>
    <x v="1210"/>
    <x v="2132"/>
    <x v="129"/>
    <x v="509"/>
    <x v="69"/>
    <x v="62"/>
    <x v="5"/>
  </r>
  <r>
    <x v="2213"/>
    <x v="265"/>
    <x v="17"/>
    <x v="1976"/>
    <x v="1100"/>
    <x v="39"/>
    <x v="191"/>
    <x v="729"/>
    <x v="38"/>
    <x v="102"/>
    <x v="69"/>
    <x v="62"/>
    <x v="6"/>
  </r>
  <r>
    <x v="2214"/>
    <x v="265"/>
    <x v="22"/>
    <x v="1971"/>
    <x v="1100"/>
    <x v="35"/>
    <x v="386"/>
    <x v="1194"/>
    <x v="57"/>
    <x v="192"/>
    <x v="69"/>
    <x v="62"/>
    <x v="7"/>
  </r>
  <r>
    <x v="2215"/>
    <x v="265"/>
    <x v="27"/>
    <x v="1957"/>
    <x v="1100"/>
    <x v="34"/>
    <x v="1193"/>
    <x v="2134"/>
    <x v="191"/>
    <x v="507"/>
    <x v="69"/>
    <x v="62"/>
    <x v="8"/>
  </r>
  <r>
    <x v="2216"/>
    <x v="265"/>
    <x v="29"/>
    <x v="1967"/>
    <x v="1100"/>
    <x v="34"/>
    <x v="1224"/>
    <x v="2228"/>
    <x v="206"/>
    <x v="517"/>
    <x v="69"/>
    <x v="62"/>
    <x v="9"/>
  </r>
  <r>
    <x v="2217"/>
    <x v="266"/>
    <x v="1"/>
    <x v="1772"/>
    <x v="1314"/>
    <x v="24"/>
    <x v="3195"/>
    <x v="1597"/>
    <x v="2702"/>
    <x v="3316"/>
    <x v="269"/>
    <x v="265"/>
    <x v="1"/>
  </r>
  <r>
    <x v="2218"/>
    <x v="266"/>
    <x v="4"/>
    <x v="2000"/>
    <x v="1323"/>
    <x v="19"/>
    <x v="3074"/>
    <x v="2560"/>
    <x v="3332"/>
    <x v="2921"/>
    <x v="269"/>
    <x v="265"/>
    <x v="2"/>
  </r>
  <r>
    <x v="2219"/>
    <x v="266"/>
    <x v="6"/>
    <x v="2009"/>
    <x v="1311"/>
    <x v="31"/>
    <x v="1984"/>
    <x v="1387"/>
    <x v="1234"/>
    <x v="1078"/>
    <x v="269"/>
    <x v="265"/>
    <x v="3"/>
  </r>
  <r>
    <x v="2220"/>
    <x v="266"/>
    <x v="9"/>
    <x v="2009"/>
    <x v="1463"/>
    <x v="42"/>
    <x v="3155"/>
    <x v="1963"/>
    <x v="2972"/>
    <x v="3092"/>
    <x v="269"/>
    <x v="265"/>
    <x v="4"/>
  </r>
  <r>
    <x v="2221"/>
    <x v="266"/>
    <x v="12"/>
    <x v="2001"/>
    <x v="1307"/>
    <x v="45"/>
    <x v="3153"/>
    <x v="1960"/>
    <x v="3173"/>
    <x v="3090"/>
    <x v="269"/>
    <x v="265"/>
    <x v="5"/>
  </r>
  <r>
    <x v="2222"/>
    <x v="266"/>
    <x v="15"/>
    <x v="2012"/>
    <x v="1278"/>
    <x v="45"/>
    <x v="2546"/>
    <x v="1335"/>
    <x v="2037"/>
    <x v="2001"/>
    <x v="269"/>
    <x v="265"/>
    <x v="6"/>
  </r>
  <r>
    <x v="2223"/>
    <x v="266"/>
    <x v="20"/>
    <x v="2022"/>
    <x v="1361"/>
    <x v="23"/>
    <x v="3161"/>
    <x v="3405"/>
    <x v="2566"/>
    <x v="3089"/>
    <x v="269"/>
    <x v="265"/>
    <x v="7"/>
  </r>
  <r>
    <x v="2224"/>
    <x v="266"/>
    <x v="25"/>
    <x v="2011"/>
    <x v="1362"/>
    <x v="32"/>
    <x v="3009"/>
    <x v="1969"/>
    <x v="2459"/>
    <x v="2777"/>
    <x v="269"/>
    <x v="265"/>
    <x v="8"/>
  </r>
  <r>
    <x v="2225"/>
    <x v="266"/>
    <x v="28"/>
    <x v="2024"/>
    <x v="1372"/>
    <x v="38"/>
    <x v="2422"/>
    <x v="1284"/>
    <x v="1399"/>
    <x v="1746"/>
    <x v="269"/>
    <x v="265"/>
    <x v="9"/>
  </r>
  <r>
    <x v="2226"/>
    <x v="267"/>
    <x v="1"/>
    <x v="1315"/>
    <x v="767"/>
    <x v="34"/>
    <x v="1969"/>
    <x v="856"/>
    <x v="1674"/>
    <x v="2134"/>
    <x v="272"/>
    <x v="267"/>
    <x v="1"/>
  </r>
  <r>
    <x v="2227"/>
    <x v="267"/>
    <x v="4"/>
    <x v="1331"/>
    <x v="767"/>
    <x v="32"/>
    <x v="887"/>
    <x v="332"/>
    <x v="850"/>
    <x v="655"/>
    <x v="272"/>
    <x v="267"/>
    <x v="2"/>
  </r>
  <r>
    <x v="2228"/>
    <x v="267"/>
    <x v="6"/>
    <x v="1329"/>
    <x v="871"/>
    <x v="32"/>
    <x v="1701"/>
    <x v="900"/>
    <x v="1862"/>
    <x v="1663"/>
    <x v="272"/>
    <x v="267"/>
    <x v="3"/>
  </r>
  <r>
    <x v="2229"/>
    <x v="267"/>
    <x v="9"/>
    <x v="1338"/>
    <x v="871"/>
    <x v="33"/>
    <x v="320"/>
    <x v="186"/>
    <x v="597"/>
    <x v="253"/>
    <x v="272"/>
    <x v="267"/>
    <x v="4"/>
  </r>
  <r>
    <x v="2230"/>
    <x v="267"/>
    <x v="12"/>
    <x v="1344"/>
    <x v="871"/>
    <x v="35"/>
    <x v="3167"/>
    <x v="2056"/>
    <x v="3294"/>
    <x v="3442"/>
    <x v="272"/>
    <x v="267"/>
    <x v="5"/>
  </r>
  <r>
    <x v="2231"/>
    <x v="267"/>
    <x v="15"/>
    <x v="1332"/>
    <x v="871"/>
    <x v="35"/>
    <x v="742"/>
    <x v="356"/>
    <x v="414"/>
    <x v="565"/>
    <x v="272"/>
    <x v="267"/>
    <x v="6"/>
  </r>
  <r>
    <x v="2232"/>
    <x v="267"/>
    <x v="20"/>
    <x v="1340"/>
    <x v="794"/>
    <x v="25"/>
    <x v="2107"/>
    <x v="1164"/>
    <x v="2274"/>
    <x v="2346"/>
    <x v="272"/>
    <x v="267"/>
    <x v="7"/>
  </r>
  <r>
    <x v="2233"/>
    <x v="267"/>
    <x v="25"/>
    <x v="1371"/>
    <x v="871"/>
    <x v="24"/>
    <x v="1988"/>
    <x v="1168"/>
    <x v="1759"/>
    <x v="2084"/>
    <x v="272"/>
    <x v="267"/>
    <x v="8"/>
  </r>
  <r>
    <x v="2234"/>
    <x v="267"/>
    <x v="28"/>
    <x v="1380"/>
    <x v="871"/>
    <x v="24"/>
    <x v="2071"/>
    <x v="1200"/>
    <x v="1770"/>
    <x v="2208"/>
    <x v="272"/>
    <x v="267"/>
    <x v="9"/>
  </r>
  <r>
    <x v="2235"/>
    <x v="267"/>
    <x v="30"/>
    <x v="1382"/>
    <x v="871"/>
    <x v="24"/>
    <x v="385"/>
    <x v="204"/>
    <x v="332"/>
    <x v="281"/>
    <x v="272"/>
    <x v="267"/>
    <x v="10"/>
  </r>
  <r>
    <x v="2236"/>
    <x v="268"/>
    <x v="1"/>
    <x v="2680"/>
    <x v="1658"/>
    <x v="23"/>
    <x v="3325"/>
    <x v="3216"/>
    <x v="2371"/>
    <x v="2715"/>
    <x v="290"/>
    <x v="283"/>
    <x v="1"/>
  </r>
  <r>
    <x v="2237"/>
    <x v="268"/>
    <x v="4"/>
    <x v="2686"/>
    <x v="1660"/>
    <x v="29"/>
    <x v="3384"/>
    <x v="2742"/>
    <x v="2509"/>
    <x v="2954"/>
    <x v="290"/>
    <x v="283"/>
    <x v="2"/>
  </r>
  <r>
    <x v="2238"/>
    <x v="268"/>
    <x v="6"/>
    <x v="2677"/>
    <x v="1663"/>
    <x v="32"/>
    <x v="3361"/>
    <x v="2456"/>
    <x v="2364"/>
    <x v="2857"/>
    <x v="290"/>
    <x v="283"/>
    <x v="3"/>
  </r>
  <r>
    <x v="2239"/>
    <x v="268"/>
    <x v="9"/>
    <x v="2646"/>
    <x v="1636"/>
    <x v="33"/>
    <x v="3328"/>
    <x v="2416"/>
    <x v="2527"/>
    <x v="2779"/>
    <x v="290"/>
    <x v="283"/>
    <x v="4"/>
  </r>
  <r>
    <x v="2240"/>
    <x v="268"/>
    <x v="12"/>
    <x v="2645"/>
    <x v="1619"/>
    <x v="34"/>
    <x v="3383"/>
    <x v="2555"/>
    <x v="2455"/>
    <x v="3012"/>
    <x v="290"/>
    <x v="283"/>
    <x v="5"/>
  </r>
  <r>
    <x v="2241"/>
    <x v="268"/>
    <x v="15"/>
    <x v="2692"/>
    <x v="1625"/>
    <x v="34"/>
    <x v="3207"/>
    <x v="2197"/>
    <x v="1796"/>
    <x v="2172"/>
    <x v="290"/>
    <x v="283"/>
    <x v="6"/>
  </r>
  <r>
    <x v="2242"/>
    <x v="268"/>
    <x v="20"/>
    <x v="2672"/>
    <x v="1627"/>
    <x v="24"/>
    <x v="3251"/>
    <x v="2421"/>
    <x v="2283"/>
    <x v="2422"/>
    <x v="290"/>
    <x v="283"/>
    <x v="7"/>
  </r>
  <r>
    <x v="2243"/>
    <x v="268"/>
    <x v="25"/>
    <x v="2668"/>
    <x v="1617"/>
    <x v="38"/>
    <x v="3351"/>
    <x v="2722"/>
    <x v="2601"/>
    <x v="2831"/>
    <x v="290"/>
    <x v="283"/>
    <x v="8"/>
  </r>
  <r>
    <x v="2244"/>
    <x v="268"/>
    <x v="28"/>
    <x v="2678"/>
    <x v="1616"/>
    <x v="24"/>
    <x v="3378"/>
    <x v="2806"/>
    <x v="2635"/>
    <x v="2949"/>
    <x v="290"/>
    <x v="283"/>
    <x v="9"/>
  </r>
  <r>
    <x v="2245"/>
    <x v="269"/>
    <x v="1"/>
    <x v="2674"/>
    <x v="1606"/>
    <x v="36"/>
    <x v="2608"/>
    <x v="2803"/>
    <x v="984"/>
    <x v="919"/>
    <x v="301"/>
    <x v="137"/>
    <x v="1"/>
  </r>
  <r>
    <x v="2246"/>
    <x v="269"/>
    <x v="4"/>
    <x v="2693"/>
    <x v="1603"/>
    <x v="36"/>
    <x v="3406"/>
    <x v="3417"/>
    <x v="2463"/>
    <x v="3130"/>
    <x v="301"/>
    <x v="137"/>
    <x v="2"/>
  </r>
  <r>
    <x v="2247"/>
    <x v="269"/>
    <x v="6"/>
    <x v="2696"/>
    <x v="1608"/>
    <x v="38"/>
    <x v="3346"/>
    <x v="3380"/>
    <x v="1858"/>
    <x v="2766"/>
    <x v="301"/>
    <x v="137"/>
    <x v="3"/>
  </r>
  <r>
    <x v="2248"/>
    <x v="269"/>
    <x v="9"/>
    <x v="2699"/>
    <x v="1635"/>
    <x v="39"/>
    <x v="3276"/>
    <x v="3338"/>
    <x v="1664"/>
    <x v="2450"/>
    <x v="301"/>
    <x v="137"/>
    <x v="4"/>
  </r>
  <r>
    <x v="2249"/>
    <x v="269"/>
    <x v="12"/>
    <x v="2702"/>
    <x v="1637"/>
    <x v="38"/>
    <x v="3344"/>
    <x v="3378"/>
    <x v="2088"/>
    <x v="2743"/>
    <x v="301"/>
    <x v="137"/>
    <x v="5"/>
  </r>
  <r>
    <x v="2250"/>
    <x v="269"/>
    <x v="15"/>
    <x v="2708"/>
    <x v="1638"/>
    <x v="38"/>
    <x v="3265"/>
    <x v="3350"/>
    <x v="1026"/>
    <x v="2393"/>
    <x v="301"/>
    <x v="137"/>
    <x v="6"/>
  </r>
  <r>
    <x v="2251"/>
    <x v="269"/>
    <x v="20"/>
    <x v="2709"/>
    <x v="1642"/>
    <x v="33"/>
    <x v="3149"/>
    <x v="3294"/>
    <x v="1970"/>
    <x v="1916"/>
    <x v="301"/>
    <x v="137"/>
    <x v="7"/>
  </r>
  <r>
    <x v="2252"/>
    <x v="269"/>
    <x v="25"/>
    <x v="2713"/>
    <x v="1641"/>
    <x v="36"/>
    <x v="3122"/>
    <x v="3229"/>
    <x v="1646"/>
    <x v="1814"/>
    <x v="301"/>
    <x v="137"/>
    <x v="8"/>
  </r>
  <r>
    <x v="2253"/>
    <x v="269"/>
    <x v="28"/>
    <x v="2717"/>
    <x v="1630"/>
    <x v="39"/>
    <x v="3130"/>
    <x v="3292"/>
    <x v="1548"/>
    <x v="1818"/>
    <x v="301"/>
    <x v="137"/>
    <x v="9"/>
  </r>
  <r>
    <x v="2254"/>
    <x v="270"/>
    <x v="1"/>
    <x v="1030"/>
    <x v="718"/>
    <x v="35"/>
    <x v="2081"/>
    <x v="898"/>
    <x v="2831"/>
    <x v="2714"/>
    <x v="129"/>
    <x v="352"/>
    <x v="1"/>
  </r>
  <r>
    <x v="2255"/>
    <x v="270"/>
    <x v="4"/>
    <x v="1047"/>
    <x v="801"/>
    <x v="36"/>
    <x v="2322"/>
    <x v="1017"/>
    <x v="2960"/>
    <x v="3010"/>
    <x v="129"/>
    <x v="352"/>
    <x v="2"/>
  </r>
  <r>
    <x v="2256"/>
    <x v="270"/>
    <x v="6"/>
    <x v="1053"/>
    <x v="782"/>
    <x v="40"/>
    <x v="2347"/>
    <x v="1170"/>
    <x v="3012"/>
    <x v="3040"/>
    <x v="129"/>
    <x v="352"/>
    <x v="3"/>
  </r>
  <r>
    <x v="2257"/>
    <x v="270"/>
    <x v="9"/>
    <x v="1054"/>
    <x v="782"/>
    <x v="40"/>
    <x v="2716"/>
    <x v="1648"/>
    <x v="3267"/>
    <x v="3295"/>
    <x v="129"/>
    <x v="352"/>
    <x v="4"/>
  </r>
  <r>
    <x v="2258"/>
    <x v="270"/>
    <x v="12"/>
    <x v="1070"/>
    <x v="771"/>
    <x v="36"/>
    <x v="2688"/>
    <x v="2091"/>
    <x v="3141"/>
    <x v="3269"/>
    <x v="129"/>
    <x v="352"/>
    <x v="5"/>
  </r>
  <r>
    <x v="2259"/>
    <x v="270"/>
    <x v="15"/>
    <x v="1073"/>
    <x v="768"/>
    <x v="39"/>
    <x v="2881"/>
    <x v="2605"/>
    <x v="3241"/>
    <x v="3373"/>
    <x v="129"/>
    <x v="352"/>
    <x v="6"/>
  </r>
  <r>
    <x v="2260"/>
    <x v="270"/>
    <x v="20"/>
    <x v="1059"/>
    <x v="767"/>
    <x v="37"/>
    <x v="2506"/>
    <x v="2549"/>
    <x v="3091"/>
    <x v="3163"/>
    <x v="129"/>
    <x v="352"/>
    <x v="7"/>
  </r>
  <r>
    <x v="2261"/>
    <x v="270"/>
    <x v="25"/>
    <x v="1074"/>
    <x v="772"/>
    <x v="37"/>
    <x v="2692"/>
    <x v="2626"/>
    <x v="3205"/>
    <x v="3271"/>
    <x v="129"/>
    <x v="352"/>
    <x v="8"/>
  </r>
  <r>
    <x v="2262"/>
    <x v="270"/>
    <x v="28"/>
    <x v="1071"/>
    <x v="843"/>
    <x v="37"/>
    <x v="2672"/>
    <x v="2400"/>
    <x v="3184"/>
    <x v="3254"/>
    <x v="129"/>
    <x v="352"/>
    <x v="9"/>
  </r>
  <r>
    <x v="2263"/>
    <x v="271"/>
    <x v="3"/>
    <x v="1582"/>
    <x v="649"/>
    <x v="35"/>
    <x v="1152"/>
    <x v="1817"/>
    <x v="2538"/>
    <x v="709"/>
    <x v="24"/>
    <x v="59"/>
    <x v="1"/>
  </r>
  <r>
    <x v="2264"/>
    <x v="271"/>
    <x v="5"/>
    <x v="1587"/>
    <x v="651"/>
    <x v="35"/>
    <x v="632"/>
    <x v="1558"/>
    <x v="1410"/>
    <x v="396"/>
    <x v="24"/>
    <x v="59"/>
    <x v="2"/>
  </r>
  <r>
    <x v="2265"/>
    <x v="271"/>
    <x v="8"/>
    <x v="1592"/>
    <x v="640"/>
    <x v="34"/>
    <x v="1150"/>
    <x v="871"/>
    <x v="2654"/>
    <x v="703"/>
    <x v="24"/>
    <x v="59"/>
    <x v="3"/>
  </r>
  <r>
    <x v="2266"/>
    <x v="271"/>
    <x v="11"/>
    <x v="1599"/>
    <x v="650"/>
    <x v="38"/>
    <x v="1536"/>
    <x v="886"/>
    <x v="3050"/>
    <x v="1070"/>
    <x v="24"/>
    <x v="59"/>
    <x v="4"/>
  </r>
  <r>
    <x v="2267"/>
    <x v="271"/>
    <x v="13"/>
    <x v="1605"/>
    <x v="650"/>
    <x v="19"/>
    <x v="999"/>
    <x v="688"/>
    <x v="2119"/>
    <x v="586"/>
    <x v="24"/>
    <x v="59"/>
    <x v="5"/>
  </r>
  <r>
    <x v="2268"/>
    <x v="271"/>
    <x v="17"/>
    <x v="1613"/>
    <x v="654"/>
    <x v="32"/>
    <x v="774"/>
    <x v="658"/>
    <x v="2338"/>
    <x v="462"/>
    <x v="24"/>
    <x v="59"/>
    <x v="6"/>
  </r>
  <r>
    <x v="2269"/>
    <x v="271"/>
    <x v="22"/>
    <x v="1598"/>
    <x v="657"/>
    <x v="22"/>
    <x v="889"/>
    <x v="761"/>
    <x v="2380"/>
    <x v="521"/>
    <x v="24"/>
    <x v="59"/>
    <x v="7"/>
  </r>
  <r>
    <x v="2270"/>
    <x v="271"/>
    <x v="27"/>
    <x v="1603"/>
    <x v="675"/>
    <x v="27"/>
    <x v="1519"/>
    <x v="1008"/>
    <x v="3095"/>
    <x v="1038"/>
    <x v="24"/>
    <x v="59"/>
    <x v="8"/>
  </r>
  <r>
    <x v="2271"/>
    <x v="271"/>
    <x v="29"/>
    <x v="1600"/>
    <x v="674"/>
    <x v="30"/>
    <x v="1100"/>
    <x v="909"/>
    <x v="2736"/>
    <x v="658"/>
    <x v="24"/>
    <x v="59"/>
    <x v="9"/>
  </r>
  <r>
    <x v="2272"/>
    <x v="272"/>
    <x v="1"/>
    <x v="925"/>
    <x v="838"/>
    <x v="19"/>
    <x v="1625"/>
    <x v="2324"/>
    <x v="2934"/>
    <x v="2244"/>
    <x v="359"/>
    <x v="342"/>
    <x v="1"/>
  </r>
  <r>
    <x v="2273"/>
    <x v="272"/>
    <x v="4"/>
    <x v="926"/>
    <x v="838"/>
    <x v="30"/>
    <x v="1787"/>
    <x v="1274"/>
    <x v="3088"/>
    <x v="2486"/>
    <x v="359"/>
    <x v="342"/>
    <x v="2"/>
  </r>
  <r>
    <x v="2274"/>
    <x v="272"/>
    <x v="6"/>
    <x v="926"/>
    <x v="854"/>
    <x v="26"/>
    <x v="1374"/>
    <x v="2294"/>
    <x v="2701"/>
    <x v="1874"/>
    <x v="359"/>
    <x v="342"/>
    <x v="3"/>
  </r>
  <r>
    <x v="2275"/>
    <x v="272"/>
    <x v="9"/>
    <x v="974"/>
    <x v="854"/>
    <x v="28"/>
    <x v="1051"/>
    <x v="2092"/>
    <x v="2390"/>
    <x v="1273"/>
    <x v="359"/>
    <x v="342"/>
    <x v="4"/>
  </r>
  <r>
    <x v="2276"/>
    <x v="272"/>
    <x v="12"/>
    <x v="974"/>
    <x v="854"/>
    <x v="37"/>
    <x v="1470"/>
    <x v="972"/>
    <x v="2758"/>
    <x v="1917"/>
    <x v="359"/>
    <x v="342"/>
    <x v="5"/>
  </r>
  <r>
    <x v="2277"/>
    <x v="272"/>
    <x v="15"/>
    <x v="974"/>
    <x v="854"/>
    <x v="26"/>
    <x v="1073"/>
    <x v="2167"/>
    <x v="2163"/>
    <x v="1304"/>
    <x v="359"/>
    <x v="342"/>
    <x v="6"/>
  </r>
  <r>
    <x v="2278"/>
    <x v="273"/>
    <x v="1"/>
    <x v="1896"/>
    <x v="983"/>
    <x v="28"/>
    <x v="2439"/>
    <x v="2599"/>
    <x v="794"/>
    <x v="1954"/>
    <x v="361"/>
    <x v="344"/>
    <x v="1"/>
  </r>
  <r>
    <x v="2279"/>
    <x v="273"/>
    <x v="4"/>
    <x v="1913"/>
    <x v="983"/>
    <x v="31"/>
    <x v="2287"/>
    <x v="2550"/>
    <x v="1981"/>
    <x v="1672"/>
    <x v="361"/>
    <x v="344"/>
    <x v="2"/>
  </r>
  <r>
    <x v="2280"/>
    <x v="273"/>
    <x v="6"/>
    <x v="1937"/>
    <x v="1396"/>
    <x v="22"/>
    <x v="2588"/>
    <x v="2587"/>
    <x v="1326"/>
    <x v="2176"/>
    <x v="361"/>
    <x v="344"/>
    <x v="3"/>
  </r>
  <r>
    <x v="2281"/>
    <x v="274"/>
    <x v="1"/>
    <x v="2499"/>
    <x v="1691"/>
    <x v="19"/>
    <x v="3319"/>
    <x v="3320"/>
    <x v="2930"/>
    <x v="3072"/>
    <x v="372"/>
    <x v="355"/>
    <x v="1"/>
  </r>
  <r>
    <x v="2282"/>
    <x v="274"/>
    <x v="4"/>
    <x v="2499"/>
    <x v="1632"/>
    <x v="36"/>
    <x v="2960"/>
    <x v="1859"/>
    <x v="1169"/>
    <x v="1957"/>
    <x v="372"/>
    <x v="355"/>
    <x v="2"/>
  </r>
  <r>
    <x v="2283"/>
    <x v="274"/>
    <x v="5"/>
    <x v="2507"/>
    <x v="1631"/>
    <x v="30"/>
    <x v="3216"/>
    <x v="2881"/>
    <x v="2140"/>
    <x v="2709"/>
    <x v="372"/>
    <x v="355"/>
    <x v="2"/>
  </r>
  <r>
    <x v="2284"/>
    <x v="274"/>
    <x v="6"/>
    <x v="2509"/>
    <x v="1632"/>
    <x v="27"/>
    <x v="3342"/>
    <x v="2428"/>
    <x v="2779"/>
    <x v="3109"/>
    <x v="372"/>
    <x v="355"/>
    <x v="3"/>
  </r>
  <r>
    <x v="2285"/>
    <x v="274"/>
    <x v="9"/>
    <x v="2510"/>
    <x v="1621"/>
    <x v="36"/>
    <x v="2707"/>
    <x v="1463"/>
    <x v="835"/>
    <x v="1445"/>
    <x v="372"/>
    <x v="355"/>
    <x v="4"/>
  </r>
  <r>
    <x v="2286"/>
    <x v="274"/>
    <x v="12"/>
    <x v="2519"/>
    <x v="1639"/>
    <x v="22"/>
    <x v="3194"/>
    <x v="2017"/>
    <x v="2024"/>
    <x v="2609"/>
    <x v="372"/>
    <x v="355"/>
    <x v="5"/>
  </r>
  <r>
    <x v="2287"/>
    <x v="274"/>
    <x v="15"/>
    <x v="2525"/>
    <x v="1622"/>
    <x v="30"/>
    <x v="3124"/>
    <x v="1964"/>
    <x v="1583"/>
    <x v="2325"/>
    <x v="372"/>
    <x v="355"/>
    <x v="6"/>
  </r>
  <r>
    <x v="2288"/>
    <x v="274"/>
    <x v="20"/>
    <x v="2556"/>
    <x v="1664"/>
    <x v="40"/>
    <x v="3047"/>
    <x v="2051"/>
    <x v="1398"/>
    <x v="1987"/>
    <x v="372"/>
    <x v="355"/>
    <x v="7"/>
  </r>
  <r>
    <x v="2289"/>
    <x v="274"/>
    <x v="25"/>
    <x v="2535"/>
    <x v="1667"/>
    <x v="42"/>
    <x v="3019"/>
    <x v="1952"/>
    <x v="1994"/>
    <x v="1949"/>
    <x v="372"/>
    <x v="355"/>
    <x v="8"/>
  </r>
  <r>
    <x v="2290"/>
    <x v="274"/>
    <x v="28"/>
    <x v="2535"/>
    <x v="1667"/>
    <x v="47"/>
    <x v="2026"/>
    <x v="1217"/>
    <x v="755"/>
    <x v="601"/>
    <x v="372"/>
    <x v="355"/>
    <x v="9"/>
  </r>
  <r>
    <x v="2291"/>
    <x v="275"/>
    <x v="1"/>
    <x v="1392"/>
    <x v="822"/>
    <x v="25"/>
    <x v="2514"/>
    <x v="1098"/>
    <x v="2256"/>
    <x v="2859"/>
    <x v="388"/>
    <x v="220"/>
    <x v="1"/>
  </r>
  <r>
    <x v="2292"/>
    <x v="275"/>
    <x v="4"/>
    <x v="1408"/>
    <x v="822"/>
    <x v="28"/>
    <x v="246"/>
    <x v="196"/>
    <x v="256"/>
    <x v="201"/>
    <x v="388"/>
    <x v="220"/>
    <x v="2"/>
  </r>
  <r>
    <x v="2293"/>
    <x v="275"/>
    <x v="6"/>
    <x v="1408"/>
    <x v="883"/>
    <x v="20"/>
    <x v="3081"/>
    <x v="2269"/>
    <x v="2946"/>
    <x v="3355"/>
    <x v="388"/>
    <x v="220"/>
    <x v="3"/>
  </r>
  <r>
    <x v="2294"/>
    <x v="275"/>
    <x v="9"/>
    <x v="1422"/>
    <x v="923"/>
    <x v="26"/>
    <x v="1745"/>
    <x v="1201"/>
    <x v="949"/>
    <x v="1567"/>
    <x v="388"/>
    <x v="220"/>
    <x v="4"/>
  </r>
  <r>
    <x v="2295"/>
    <x v="275"/>
    <x v="12"/>
    <x v="1435"/>
    <x v="957"/>
    <x v="26"/>
    <x v="573"/>
    <x v="299"/>
    <x v="133"/>
    <x v="398"/>
    <x v="388"/>
    <x v="220"/>
    <x v="5"/>
  </r>
  <r>
    <x v="2296"/>
    <x v="275"/>
    <x v="15"/>
    <x v="1451"/>
    <x v="970"/>
    <x v="35"/>
    <x v="1062"/>
    <x v="865"/>
    <x v="327"/>
    <x v="726"/>
    <x v="388"/>
    <x v="220"/>
    <x v="6"/>
  </r>
  <r>
    <x v="2297"/>
    <x v="275"/>
    <x v="20"/>
    <x v="1445"/>
    <x v="970"/>
    <x v="23"/>
    <x v="1399"/>
    <x v="1089"/>
    <x v="313"/>
    <x v="1062"/>
    <x v="388"/>
    <x v="220"/>
    <x v="7"/>
  </r>
  <r>
    <x v="2298"/>
    <x v="275"/>
    <x v="25"/>
    <x v="1455"/>
    <x v="944"/>
    <x v="21"/>
    <x v="2205"/>
    <x v="1644"/>
    <x v="3124"/>
    <x v="2314"/>
    <x v="388"/>
    <x v="220"/>
    <x v="8"/>
  </r>
  <r>
    <x v="2299"/>
    <x v="275"/>
    <x v="28"/>
    <x v="1506"/>
    <x v="945"/>
    <x v="28"/>
    <x v="2012"/>
    <x v="1313"/>
    <x v="3123"/>
    <x v="1887"/>
    <x v="388"/>
    <x v="220"/>
    <x v="9"/>
  </r>
  <r>
    <x v="2300"/>
    <x v="276"/>
    <x v="1"/>
    <x v="302"/>
    <x v="254"/>
    <x v="23"/>
    <x v="530"/>
    <x v="181"/>
    <x v="603"/>
    <x v="1226"/>
    <x v="279"/>
    <x v="150"/>
    <x v="1"/>
  </r>
  <r>
    <x v="2301"/>
    <x v="276"/>
    <x v="4"/>
    <x v="340"/>
    <x v="257"/>
    <x v="19"/>
    <x v="342"/>
    <x v="133"/>
    <x v="548"/>
    <x v="677"/>
    <x v="279"/>
    <x v="150"/>
    <x v="2"/>
  </r>
  <r>
    <x v="2302"/>
    <x v="276"/>
    <x v="6"/>
    <x v="417"/>
    <x v="267"/>
    <x v="18"/>
    <x v="162"/>
    <x v="70"/>
    <x v="301"/>
    <x v="257"/>
    <x v="279"/>
    <x v="150"/>
    <x v="3"/>
  </r>
  <r>
    <x v="2303"/>
    <x v="276"/>
    <x v="9"/>
    <x v="467"/>
    <x v="267"/>
    <x v="13"/>
    <x v="1515"/>
    <x v="842"/>
    <x v="2440"/>
    <x v="2809"/>
    <x v="279"/>
    <x v="150"/>
    <x v="4"/>
  </r>
  <r>
    <x v="2304"/>
    <x v="276"/>
    <x v="12"/>
    <x v="497"/>
    <x v="267"/>
    <x v="13"/>
    <x v="1827"/>
    <x v="864"/>
    <x v="2664"/>
    <x v="3073"/>
    <x v="279"/>
    <x v="150"/>
    <x v="5"/>
  </r>
  <r>
    <x v="2305"/>
    <x v="276"/>
    <x v="15"/>
    <x v="558"/>
    <x v="267"/>
    <x v="13"/>
    <x v="1743"/>
    <x v="1099"/>
    <x v="2516"/>
    <x v="2916"/>
    <x v="279"/>
    <x v="150"/>
    <x v="6"/>
  </r>
  <r>
    <x v="2306"/>
    <x v="276"/>
    <x v="20"/>
    <x v="593"/>
    <x v="267"/>
    <x v="13"/>
    <x v="1238"/>
    <x v="1012"/>
    <x v="1968"/>
    <x v="2194"/>
    <x v="279"/>
    <x v="150"/>
    <x v="7"/>
  </r>
  <r>
    <x v="2307"/>
    <x v="276"/>
    <x v="25"/>
    <x v="630"/>
    <x v="267"/>
    <x v="11"/>
    <x v="629"/>
    <x v="597"/>
    <x v="1164"/>
    <x v="970"/>
    <x v="279"/>
    <x v="150"/>
    <x v="8"/>
  </r>
  <r>
    <x v="2308"/>
    <x v="276"/>
    <x v="28"/>
    <x v="709"/>
    <x v="267"/>
    <x v="13"/>
    <x v="2128"/>
    <x v="1659"/>
    <x v="2971"/>
    <x v="3128"/>
    <x v="279"/>
    <x v="150"/>
    <x v="9"/>
  </r>
  <r>
    <x v="2309"/>
    <x v="277"/>
    <x v="17"/>
    <x v="2"/>
    <x v="76"/>
    <x v="20"/>
    <x v="260"/>
    <x v="870"/>
    <x v="2499"/>
    <x v="759"/>
    <x v="286"/>
    <x v="278"/>
    <x v="6"/>
  </r>
  <r>
    <x v="2310"/>
    <x v="277"/>
    <x v="22"/>
    <x v="2"/>
    <x v="76"/>
    <x v="16"/>
    <x v="230"/>
    <x v="789"/>
    <x v="2367"/>
    <x v="645"/>
    <x v="286"/>
    <x v="278"/>
    <x v="7"/>
  </r>
  <r>
    <x v="2311"/>
    <x v="277"/>
    <x v="27"/>
    <x v="2"/>
    <x v="76"/>
    <x v="30"/>
    <x v="185"/>
    <x v="647"/>
    <x v="1755"/>
    <x v="486"/>
    <x v="286"/>
    <x v="278"/>
    <x v="8"/>
  </r>
  <r>
    <x v="2312"/>
    <x v="277"/>
    <x v="29"/>
    <x v="2"/>
    <x v="76"/>
    <x v="29"/>
    <x v="247"/>
    <x v="866"/>
    <x v="2457"/>
    <x v="724"/>
    <x v="286"/>
    <x v="278"/>
    <x v="9"/>
  </r>
  <r>
    <x v="2313"/>
    <x v="278"/>
    <x v="1"/>
    <x v="2047"/>
    <x v="1128"/>
    <x v="35"/>
    <x v="2862"/>
    <x v="1671"/>
    <x v="2362"/>
    <x v="2487"/>
    <x v="102"/>
    <x v="163"/>
    <x v="1"/>
  </r>
  <r>
    <x v="2314"/>
    <x v="278"/>
    <x v="4"/>
    <x v="2051"/>
    <x v="1128"/>
    <x v="28"/>
    <x v="3057"/>
    <x v="1798"/>
    <x v="2449"/>
    <x v="2855"/>
    <x v="102"/>
    <x v="163"/>
    <x v="2"/>
  </r>
  <r>
    <x v="2315"/>
    <x v="278"/>
    <x v="6"/>
    <x v="2053"/>
    <x v="1131"/>
    <x v="28"/>
    <x v="2579"/>
    <x v="1346"/>
    <x v="1327"/>
    <x v="1997"/>
    <x v="102"/>
    <x v="163"/>
    <x v="3"/>
  </r>
  <r>
    <x v="2316"/>
    <x v="278"/>
    <x v="9"/>
    <x v="2058"/>
    <x v="1132"/>
    <x v="29"/>
    <x v="1026"/>
    <x v="489"/>
    <x v="287"/>
    <x v="417"/>
    <x v="102"/>
    <x v="163"/>
    <x v="4"/>
  </r>
  <r>
    <x v="2317"/>
    <x v="278"/>
    <x v="12"/>
    <x v="1982"/>
    <x v="1132"/>
    <x v="28"/>
    <x v="2963"/>
    <x v="1681"/>
    <x v="1794"/>
    <x v="2712"/>
    <x v="102"/>
    <x v="163"/>
    <x v="5"/>
  </r>
  <r>
    <x v="2318"/>
    <x v="278"/>
    <x v="15"/>
    <x v="1986"/>
    <x v="1132"/>
    <x v="28"/>
    <x v="1359"/>
    <x v="685"/>
    <x v="431"/>
    <x v="574"/>
    <x v="102"/>
    <x v="163"/>
    <x v="6"/>
  </r>
  <r>
    <x v="2319"/>
    <x v="278"/>
    <x v="20"/>
    <x v="1986"/>
    <x v="1141"/>
    <x v="35"/>
    <x v="2392"/>
    <x v="1485"/>
    <x v="1468"/>
    <x v="1773"/>
    <x v="102"/>
    <x v="163"/>
    <x v="7"/>
  </r>
  <r>
    <x v="2320"/>
    <x v="278"/>
    <x v="25"/>
    <x v="1998"/>
    <x v="1136"/>
    <x v="24"/>
    <x v="1387"/>
    <x v="869"/>
    <x v="456"/>
    <x v="581"/>
    <x v="102"/>
    <x v="163"/>
    <x v="8"/>
  </r>
  <r>
    <x v="2321"/>
    <x v="278"/>
    <x v="28"/>
    <x v="2035"/>
    <x v="1135"/>
    <x v="21"/>
    <x v="1973"/>
    <x v="1355"/>
    <x v="698"/>
    <x v="1024"/>
    <x v="102"/>
    <x v="163"/>
    <x v="9"/>
  </r>
  <r>
    <x v="2322"/>
    <x v="279"/>
    <x v="1"/>
    <x v="1202"/>
    <x v="1122"/>
    <x v="20"/>
    <x v="1677"/>
    <x v="877"/>
    <x v="3132"/>
    <x v="1835"/>
    <x v="158"/>
    <x v="368"/>
    <x v="1"/>
  </r>
  <r>
    <x v="2323"/>
    <x v="279"/>
    <x v="4"/>
    <x v="1202"/>
    <x v="1119"/>
    <x v="22"/>
    <x v="1262"/>
    <x v="683"/>
    <x v="2594"/>
    <x v="1237"/>
    <x v="158"/>
    <x v="368"/>
    <x v="2"/>
  </r>
  <r>
    <x v="2324"/>
    <x v="279"/>
    <x v="6"/>
    <x v="1206"/>
    <x v="1119"/>
    <x v="21"/>
    <x v="1784"/>
    <x v="944"/>
    <x v="3069"/>
    <x v="1999"/>
    <x v="158"/>
    <x v="368"/>
    <x v="3"/>
  </r>
  <r>
    <x v="2325"/>
    <x v="279"/>
    <x v="9"/>
    <x v="1212"/>
    <x v="1119"/>
    <x v="25"/>
    <x v="1461"/>
    <x v="716"/>
    <x v="2728"/>
    <x v="1509"/>
    <x v="158"/>
    <x v="368"/>
    <x v="4"/>
  </r>
  <r>
    <x v="2326"/>
    <x v="279"/>
    <x v="12"/>
    <x v="1222"/>
    <x v="1125"/>
    <x v="31"/>
    <x v="1645"/>
    <x v="1452"/>
    <x v="2873"/>
    <x v="1752"/>
    <x v="158"/>
    <x v="368"/>
    <x v="5"/>
  </r>
  <r>
    <x v="2327"/>
    <x v="279"/>
    <x v="15"/>
    <x v="1246"/>
    <x v="1125"/>
    <x v="39"/>
    <x v="1029"/>
    <x v="1677"/>
    <x v="2247"/>
    <x v="907"/>
    <x v="158"/>
    <x v="368"/>
    <x v="6"/>
  </r>
  <r>
    <x v="2328"/>
    <x v="279"/>
    <x v="20"/>
    <x v="1257"/>
    <x v="1125"/>
    <x v="15"/>
    <x v="1257"/>
    <x v="1503"/>
    <x v="2781"/>
    <x v="1166"/>
    <x v="158"/>
    <x v="368"/>
    <x v="7"/>
  </r>
  <r>
    <x v="2329"/>
    <x v="279"/>
    <x v="25"/>
    <x v="1265"/>
    <x v="1125"/>
    <x v="15"/>
    <x v="1599"/>
    <x v="1924"/>
    <x v="2769"/>
    <x v="1644"/>
    <x v="158"/>
    <x v="368"/>
    <x v="8"/>
  </r>
  <r>
    <x v="2330"/>
    <x v="279"/>
    <x v="28"/>
    <x v="1268"/>
    <x v="1125"/>
    <x v="15"/>
    <x v="1011"/>
    <x v="1815"/>
    <x v="1810"/>
    <x v="851"/>
    <x v="158"/>
    <x v="368"/>
    <x v="9"/>
  </r>
  <r>
    <x v="2331"/>
    <x v="280"/>
    <x v="3"/>
    <x v="187"/>
    <x v="35"/>
    <x v="26"/>
    <x v="1526"/>
    <x v="915"/>
    <x v="2739"/>
    <x v="3119"/>
    <x v="291"/>
    <x v="317"/>
    <x v="1"/>
  </r>
  <r>
    <x v="2332"/>
    <x v="280"/>
    <x v="5"/>
    <x v="193"/>
    <x v="35"/>
    <x v="23"/>
    <x v="1740"/>
    <x v="625"/>
    <x v="2963"/>
    <x v="3236"/>
    <x v="291"/>
    <x v="317"/>
    <x v="2"/>
  </r>
  <r>
    <x v="2333"/>
    <x v="280"/>
    <x v="8"/>
    <x v="204"/>
    <x v="35"/>
    <x v="23"/>
    <x v="1790"/>
    <x v="906"/>
    <x v="3061"/>
    <x v="3268"/>
    <x v="291"/>
    <x v="317"/>
    <x v="3"/>
  </r>
  <r>
    <x v="2334"/>
    <x v="280"/>
    <x v="11"/>
    <x v="225"/>
    <x v="35"/>
    <x v="23"/>
    <x v="2010"/>
    <x v="521"/>
    <x v="3217"/>
    <x v="3367"/>
    <x v="291"/>
    <x v="317"/>
    <x v="4"/>
  </r>
  <r>
    <x v="2335"/>
    <x v="280"/>
    <x v="13"/>
    <x v="226"/>
    <x v="35"/>
    <x v="24"/>
    <x v="1665"/>
    <x v="1029"/>
    <x v="2855"/>
    <x v="3183"/>
    <x v="291"/>
    <x v="317"/>
    <x v="5"/>
  </r>
  <r>
    <x v="2336"/>
    <x v="280"/>
    <x v="17"/>
    <x v="227"/>
    <x v="43"/>
    <x v="29"/>
    <x v="1132"/>
    <x v="1166"/>
    <x v="1872"/>
    <x v="2678"/>
    <x v="291"/>
    <x v="317"/>
    <x v="6"/>
  </r>
  <r>
    <x v="2337"/>
    <x v="280"/>
    <x v="22"/>
    <x v="247"/>
    <x v="43"/>
    <x v="29"/>
    <x v="508"/>
    <x v="664"/>
    <x v="646"/>
    <x v="1277"/>
    <x v="291"/>
    <x v="317"/>
    <x v="7"/>
  </r>
  <r>
    <x v="2338"/>
    <x v="280"/>
    <x v="27"/>
    <x v="238"/>
    <x v="43"/>
    <x v="29"/>
    <x v="1493"/>
    <x v="1440"/>
    <x v="2597"/>
    <x v="3060"/>
    <x v="291"/>
    <x v="317"/>
    <x v="8"/>
  </r>
  <r>
    <x v="2339"/>
    <x v="281"/>
    <x v="1"/>
    <x v="1963"/>
    <x v="790"/>
    <x v="42"/>
    <x v="1922"/>
    <x v="2835"/>
    <x v="867"/>
    <x v="1025"/>
    <x v="37"/>
    <x v="107"/>
    <x v="1"/>
  </r>
  <r>
    <x v="2340"/>
    <x v="281"/>
    <x v="4"/>
    <x v="1966"/>
    <x v="709"/>
    <x v="39"/>
    <x v="2586"/>
    <x v="3230"/>
    <x v="1988"/>
    <x v="2124"/>
    <x v="37"/>
    <x v="107"/>
    <x v="2"/>
  </r>
  <r>
    <x v="2341"/>
    <x v="281"/>
    <x v="6"/>
    <x v="1969"/>
    <x v="700"/>
    <x v="39"/>
    <x v="2664"/>
    <x v="3274"/>
    <x v="2161"/>
    <x v="2248"/>
    <x v="37"/>
    <x v="107"/>
    <x v="3"/>
  </r>
  <r>
    <x v="2342"/>
    <x v="281"/>
    <x v="9"/>
    <x v="1964"/>
    <x v="702"/>
    <x v="39"/>
    <x v="2405"/>
    <x v="3179"/>
    <x v="2066"/>
    <x v="1816"/>
    <x v="37"/>
    <x v="107"/>
    <x v="4"/>
  </r>
  <r>
    <x v="2343"/>
    <x v="281"/>
    <x v="12"/>
    <x v="1965"/>
    <x v="711"/>
    <x v="31"/>
    <x v="2827"/>
    <x v="3352"/>
    <x v="2442"/>
    <x v="2528"/>
    <x v="37"/>
    <x v="107"/>
    <x v="5"/>
  </r>
  <r>
    <x v="2344"/>
    <x v="281"/>
    <x v="15"/>
    <x v="1968"/>
    <x v="710"/>
    <x v="38"/>
    <x v="2584"/>
    <x v="3247"/>
    <x v="2055"/>
    <x v="2113"/>
    <x v="37"/>
    <x v="107"/>
    <x v="6"/>
  </r>
  <r>
    <x v="2345"/>
    <x v="281"/>
    <x v="20"/>
    <x v="2048"/>
    <x v="713"/>
    <x v="39"/>
    <x v="2111"/>
    <x v="3047"/>
    <x v="1752"/>
    <x v="1216"/>
    <x v="37"/>
    <x v="107"/>
    <x v="7"/>
  </r>
  <r>
    <x v="2346"/>
    <x v="281"/>
    <x v="25"/>
    <x v="1945"/>
    <x v="712"/>
    <x v="39"/>
    <x v="1944"/>
    <x v="2957"/>
    <x v="982"/>
    <x v="1097"/>
    <x v="37"/>
    <x v="107"/>
    <x v="8"/>
  </r>
  <r>
    <x v="2347"/>
    <x v="281"/>
    <x v="28"/>
    <x v="1975"/>
    <x v="711"/>
    <x v="41"/>
    <x v="1437"/>
    <x v="2703"/>
    <x v="551"/>
    <x v="623"/>
    <x v="37"/>
    <x v="107"/>
    <x v="9"/>
  </r>
  <r>
    <x v="2348"/>
    <x v="282"/>
    <x v="1"/>
    <x v="2005"/>
    <x v="1250"/>
    <x v="36"/>
    <x v="2648"/>
    <x v="3381"/>
    <x v="1391"/>
    <x v="2168"/>
    <x v="363"/>
    <x v="291"/>
    <x v="1"/>
  </r>
  <r>
    <x v="2349"/>
    <x v="282"/>
    <x v="4"/>
    <x v="2003"/>
    <x v="1257"/>
    <x v="36"/>
    <x v="3082"/>
    <x v="3398"/>
    <x v="2205"/>
    <x v="2937"/>
    <x v="363"/>
    <x v="291"/>
    <x v="2"/>
  </r>
  <r>
    <x v="2350"/>
    <x v="282"/>
    <x v="6"/>
    <x v="2004"/>
    <x v="1256"/>
    <x v="36"/>
    <x v="2364"/>
    <x v="3096"/>
    <x v="738"/>
    <x v="1695"/>
    <x v="363"/>
    <x v="291"/>
    <x v="3"/>
  </r>
  <r>
    <x v="2351"/>
    <x v="282"/>
    <x v="9"/>
    <x v="2008"/>
    <x v="1262"/>
    <x v="36"/>
    <x v="2601"/>
    <x v="3255"/>
    <x v="1432"/>
    <x v="2098"/>
    <x v="363"/>
    <x v="291"/>
    <x v="4"/>
  </r>
  <r>
    <x v="2352"/>
    <x v="282"/>
    <x v="12"/>
    <x v="2013"/>
    <x v="1264"/>
    <x v="36"/>
    <x v="2499"/>
    <x v="3190"/>
    <x v="1009"/>
    <x v="1923"/>
    <x v="363"/>
    <x v="291"/>
    <x v="5"/>
  </r>
  <r>
    <x v="2353"/>
    <x v="282"/>
    <x v="15"/>
    <x v="2014"/>
    <x v="1267"/>
    <x v="36"/>
    <x v="2334"/>
    <x v="3144"/>
    <x v="746"/>
    <x v="1614"/>
    <x v="363"/>
    <x v="291"/>
    <x v="6"/>
  </r>
  <r>
    <x v="2354"/>
    <x v="282"/>
    <x v="20"/>
    <x v="2029"/>
    <x v="1267"/>
    <x v="34"/>
    <x v="2551"/>
    <x v="3268"/>
    <x v="1035"/>
    <x v="1989"/>
    <x v="363"/>
    <x v="291"/>
    <x v="7"/>
  </r>
  <r>
    <x v="2355"/>
    <x v="282"/>
    <x v="25"/>
    <x v="2039"/>
    <x v="1272"/>
    <x v="35"/>
    <x v="2099"/>
    <x v="3121"/>
    <x v="666"/>
    <x v="1196"/>
    <x v="363"/>
    <x v="291"/>
    <x v="8"/>
  </r>
  <r>
    <x v="2356"/>
    <x v="282"/>
    <x v="28"/>
    <x v="2046"/>
    <x v="1276"/>
    <x v="39"/>
    <x v="2411"/>
    <x v="3253"/>
    <x v="929"/>
    <x v="1707"/>
    <x v="363"/>
    <x v="291"/>
    <x v="9"/>
  </r>
  <r>
    <x v="2357"/>
    <x v="283"/>
    <x v="1"/>
    <x v="2373"/>
    <x v="1380"/>
    <x v="25"/>
    <x v="2539"/>
    <x v="2913"/>
    <x v="1313"/>
    <x v="1507"/>
    <x v="62"/>
    <x v="41"/>
    <x v="1"/>
  </r>
  <r>
    <x v="2358"/>
    <x v="283"/>
    <x v="4"/>
    <x v="2518"/>
    <x v="1397"/>
    <x v="38"/>
    <x v="3025"/>
    <x v="3279"/>
    <x v="2067"/>
    <x v="2050"/>
    <x v="62"/>
    <x v="41"/>
    <x v="2"/>
  </r>
  <r>
    <x v="2359"/>
    <x v="283"/>
    <x v="6"/>
    <x v="2383"/>
    <x v="1409"/>
    <x v="40"/>
    <x v="1855"/>
    <x v="2595"/>
    <x v="605"/>
    <x v="652"/>
    <x v="62"/>
    <x v="41"/>
    <x v="3"/>
  </r>
  <r>
    <x v="2360"/>
    <x v="283"/>
    <x v="9"/>
    <x v="2384"/>
    <x v="1414"/>
    <x v="41"/>
    <x v="1750"/>
    <x v="2509"/>
    <x v="620"/>
    <x v="590"/>
    <x v="62"/>
    <x v="41"/>
    <x v="4"/>
  </r>
  <r>
    <x v="2361"/>
    <x v="283"/>
    <x v="12"/>
    <x v="2388"/>
    <x v="1410"/>
    <x v="41"/>
    <x v="1101"/>
    <x v="2064"/>
    <x v="361"/>
    <x v="342"/>
    <x v="62"/>
    <x v="41"/>
    <x v="5"/>
  </r>
  <r>
    <x v="2362"/>
    <x v="283"/>
    <x v="15"/>
    <x v="2389"/>
    <x v="1419"/>
    <x v="44"/>
    <x v="1705"/>
    <x v="2527"/>
    <x v="552"/>
    <x v="559"/>
    <x v="62"/>
    <x v="41"/>
    <x v="6"/>
  </r>
  <r>
    <x v="2363"/>
    <x v="283"/>
    <x v="20"/>
    <x v="2387"/>
    <x v="1425"/>
    <x v="41"/>
    <x v="2342"/>
    <x v="3018"/>
    <x v="1081"/>
    <x v="1156"/>
    <x v="62"/>
    <x v="41"/>
    <x v="7"/>
  </r>
  <r>
    <x v="2364"/>
    <x v="283"/>
    <x v="25"/>
    <x v="2393"/>
    <x v="1426"/>
    <x v="41"/>
    <x v="1962"/>
    <x v="2736"/>
    <x v="764"/>
    <x v="730"/>
    <x v="62"/>
    <x v="41"/>
    <x v="8"/>
  </r>
  <r>
    <x v="2365"/>
    <x v="283"/>
    <x v="27"/>
    <x v="2360"/>
    <x v="1426"/>
    <x v="41"/>
    <x v="2233"/>
    <x v="3026"/>
    <x v="1061"/>
    <x v="1050"/>
    <x v="62"/>
    <x v="41"/>
    <x v="8"/>
  </r>
  <r>
    <x v="2366"/>
    <x v="283"/>
    <x v="29"/>
    <x v="2361"/>
    <x v="1426"/>
    <x v="41"/>
    <x v="2378"/>
    <x v="3159"/>
    <x v="1153"/>
    <x v="1274"/>
    <x v="62"/>
    <x v="41"/>
    <x v="9"/>
  </r>
  <r>
    <x v="2367"/>
    <x v="284"/>
    <x v="1"/>
    <x v="2224"/>
    <x v="1349"/>
    <x v="35"/>
    <x v="1948"/>
    <x v="2648"/>
    <x v="501"/>
    <x v="828"/>
    <x v="111"/>
    <x v="130"/>
    <x v="1"/>
  </r>
  <r>
    <x v="2368"/>
    <x v="284"/>
    <x v="4"/>
    <x v="2228"/>
    <x v="1379"/>
    <x v="37"/>
    <x v="2312"/>
    <x v="2831"/>
    <x v="714"/>
    <x v="1321"/>
    <x v="111"/>
    <x v="130"/>
    <x v="2"/>
  </r>
  <r>
    <x v="2369"/>
    <x v="284"/>
    <x v="6"/>
    <x v="2241"/>
    <x v="1379"/>
    <x v="37"/>
    <x v="2947"/>
    <x v="3285"/>
    <x v="1564"/>
    <x v="2425"/>
    <x v="111"/>
    <x v="130"/>
    <x v="3"/>
  </r>
  <r>
    <x v="2370"/>
    <x v="284"/>
    <x v="9"/>
    <x v="2247"/>
    <x v="1379"/>
    <x v="37"/>
    <x v="3214"/>
    <x v="3389"/>
    <x v="2501"/>
    <x v="3039"/>
    <x v="111"/>
    <x v="130"/>
    <x v="4"/>
  </r>
  <r>
    <x v="2371"/>
    <x v="284"/>
    <x v="12"/>
    <x v="2249"/>
    <x v="1380"/>
    <x v="37"/>
    <x v="3360"/>
    <x v="3435"/>
    <x v="2938"/>
    <x v="3335"/>
    <x v="111"/>
    <x v="130"/>
    <x v="5"/>
  </r>
  <r>
    <x v="2372"/>
    <x v="284"/>
    <x v="15"/>
    <x v="2271"/>
    <x v="1381"/>
    <x v="28"/>
    <x v="3341"/>
    <x v="3441"/>
    <x v="2852"/>
    <x v="3303"/>
    <x v="111"/>
    <x v="130"/>
    <x v="6"/>
  </r>
  <r>
    <x v="2373"/>
    <x v="284"/>
    <x v="20"/>
    <x v="2276"/>
    <x v="1381"/>
    <x v="37"/>
    <x v="773"/>
    <x v="1742"/>
    <x v="156"/>
    <x v="264"/>
    <x v="111"/>
    <x v="130"/>
    <x v="7"/>
  </r>
  <r>
    <x v="2374"/>
    <x v="284"/>
    <x v="25"/>
    <x v="2278"/>
    <x v="1386"/>
    <x v="41"/>
    <x v="2221"/>
    <x v="2906"/>
    <x v="590"/>
    <x v="1140"/>
    <x v="111"/>
    <x v="130"/>
    <x v="8"/>
  </r>
  <r>
    <x v="2375"/>
    <x v="284"/>
    <x v="28"/>
    <x v="2257"/>
    <x v="1386"/>
    <x v="41"/>
    <x v="2840"/>
    <x v="3267"/>
    <x v="1323"/>
    <x v="2173"/>
    <x v="111"/>
    <x v="130"/>
    <x v="9"/>
  </r>
  <r>
    <x v="2376"/>
    <x v="285"/>
    <x v="1"/>
    <x v="1050"/>
    <x v="1029"/>
    <x v="34"/>
    <x v="2406"/>
    <x v="2843"/>
    <x v="1806"/>
    <x v="3087"/>
    <x v="117"/>
    <x v="135"/>
    <x v="1"/>
  </r>
  <r>
    <x v="2377"/>
    <x v="285"/>
    <x v="3"/>
    <x v="1050"/>
    <x v="1029"/>
    <x v="34"/>
    <x v="1859"/>
    <x v="2452"/>
    <x v="976"/>
    <x v="2387"/>
    <x v="117"/>
    <x v="135"/>
    <x v="1"/>
  </r>
  <r>
    <x v="2378"/>
    <x v="285"/>
    <x v="5"/>
    <x v="1043"/>
    <x v="1029"/>
    <x v="34"/>
    <x v="2314"/>
    <x v="2845"/>
    <x v="1619"/>
    <x v="3002"/>
    <x v="117"/>
    <x v="135"/>
    <x v="2"/>
  </r>
  <r>
    <x v="2379"/>
    <x v="285"/>
    <x v="8"/>
    <x v="1046"/>
    <x v="1030"/>
    <x v="36"/>
    <x v="1992"/>
    <x v="2618"/>
    <x v="1438"/>
    <x v="2574"/>
    <x v="117"/>
    <x v="135"/>
    <x v="3"/>
  </r>
  <r>
    <x v="2380"/>
    <x v="285"/>
    <x v="11"/>
    <x v="1048"/>
    <x v="1030"/>
    <x v="36"/>
    <x v="2058"/>
    <x v="2666"/>
    <x v="1586"/>
    <x v="2671"/>
    <x v="117"/>
    <x v="135"/>
    <x v="4"/>
  </r>
  <r>
    <x v="2381"/>
    <x v="285"/>
    <x v="13"/>
    <x v="1051"/>
    <x v="1030"/>
    <x v="36"/>
    <x v="2079"/>
    <x v="2693"/>
    <x v="1407"/>
    <x v="2697"/>
    <x v="117"/>
    <x v="135"/>
    <x v="5"/>
  </r>
  <r>
    <x v="2382"/>
    <x v="285"/>
    <x v="17"/>
    <x v="1057"/>
    <x v="1031"/>
    <x v="36"/>
    <x v="2024"/>
    <x v="2686"/>
    <x v="1463"/>
    <x v="2613"/>
    <x v="117"/>
    <x v="135"/>
    <x v="6"/>
  </r>
  <r>
    <x v="2383"/>
    <x v="285"/>
    <x v="22"/>
    <x v="1055"/>
    <x v="1032"/>
    <x v="44"/>
    <x v="1881"/>
    <x v="2655"/>
    <x v="1418"/>
    <x v="2426"/>
    <x v="117"/>
    <x v="135"/>
    <x v="7"/>
  </r>
  <r>
    <x v="2384"/>
    <x v="285"/>
    <x v="27"/>
    <x v="1060"/>
    <x v="1032"/>
    <x v="44"/>
    <x v="2123"/>
    <x v="2770"/>
    <x v="2369"/>
    <x v="2744"/>
    <x v="117"/>
    <x v="135"/>
    <x v="8"/>
  </r>
  <r>
    <x v="2385"/>
    <x v="285"/>
    <x v="29"/>
    <x v="1065"/>
    <x v="1033"/>
    <x v="44"/>
    <x v="1755"/>
    <x v="2320"/>
    <x v="1402"/>
    <x v="2202"/>
    <x v="117"/>
    <x v="135"/>
    <x v="9"/>
  </r>
  <r>
    <x v="2386"/>
    <x v="286"/>
    <x v="3"/>
    <x v="2797"/>
    <x v="1646"/>
    <x v="45"/>
    <x v="3159"/>
    <x v="3278"/>
    <x v="1094"/>
    <x v="1683"/>
    <x v="155"/>
    <x v="178"/>
    <x v="1"/>
  </r>
  <r>
    <x v="2387"/>
    <x v="286"/>
    <x v="5"/>
    <x v="2802"/>
    <x v="1647"/>
    <x v="42"/>
    <x v="3026"/>
    <x v="3204"/>
    <x v="689"/>
    <x v="1254"/>
    <x v="155"/>
    <x v="178"/>
    <x v="2"/>
  </r>
  <r>
    <x v="2388"/>
    <x v="286"/>
    <x v="8"/>
    <x v="2805"/>
    <x v="1649"/>
    <x v="42"/>
    <x v="2855"/>
    <x v="3100"/>
    <x v="592"/>
    <x v="936"/>
    <x v="155"/>
    <x v="178"/>
    <x v="3"/>
  </r>
  <r>
    <x v="2389"/>
    <x v="286"/>
    <x v="11"/>
    <x v="2803"/>
    <x v="1651"/>
    <x v="42"/>
    <x v="3144"/>
    <x v="3323"/>
    <x v="1138"/>
    <x v="1579"/>
    <x v="155"/>
    <x v="178"/>
    <x v="4"/>
  </r>
  <r>
    <x v="2390"/>
    <x v="286"/>
    <x v="13"/>
    <x v="2804"/>
    <x v="1652"/>
    <x v="40"/>
    <x v="3141"/>
    <x v="3329"/>
    <x v="991"/>
    <x v="1568"/>
    <x v="155"/>
    <x v="178"/>
    <x v="5"/>
  </r>
  <r>
    <x v="2391"/>
    <x v="286"/>
    <x v="17"/>
    <x v="2806"/>
    <x v="1653"/>
    <x v="40"/>
    <x v="2865"/>
    <x v="3173"/>
    <x v="488"/>
    <x v="948"/>
    <x v="155"/>
    <x v="178"/>
    <x v="6"/>
  </r>
  <r>
    <x v="2392"/>
    <x v="286"/>
    <x v="22"/>
    <x v="2807"/>
    <x v="1656"/>
    <x v="39"/>
    <x v="2541"/>
    <x v="3056"/>
    <x v="419"/>
    <x v="651"/>
    <x v="155"/>
    <x v="178"/>
    <x v="7"/>
  </r>
  <r>
    <x v="2393"/>
    <x v="286"/>
    <x v="27"/>
    <x v="2808"/>
    <x v="1659"/>
    <x v="39"/>
    <x v="2299"/>
    <x v="2958"/>
    <x v="355"/>
    <x v="515"/>
    <x v="155"/>
    <x v="178"/>
    <x v="8"/>
  </r>
  <r>
    <x v="2394"/>
    <x v="286"/>
    <x v="29"/>
    <x v="2809"/>
    <x v="1655"/>
    <x v="39"/>
    <x v="2899"/>
    <x v="3303"/>
    <x v="677"/>
    <x v="987"/>
    <x v="155"/>
    <x v="178"/>
    <x v="9"/>
  </r>
  <r>
    <x v="2395"/>
    <x v="287"/>
    <x v="0"/>
    <x v="769"/>
    <x v="517"/>
    <x v="36"/>
    <x v="846"/>
    <x v="1953"/>
    <x v="1493"/>
    <x v="1169"/>
    <x v="178"/>
    <x v="183"/>
    <x v="0"/>
  </r>
  <r>
    <x v="2396"/>
    <x v="287"/>
    <x v="3"/>
    <x v="771"/>
    <x v="517"/>
    <x v="36"/>
    <x v="794"/>
    <x v="1916"/>
    <x v="1150"/>
    <x v="1109"/>
    <x v="178"/>
    <x v="183"/>
    <x v="1"/>
  </r>
  <r>
    <x v="2397"/>
    <x v="287"/>
    <x v="5"/>
    <x v="762"/>
    <x v="517"/>
    <x v="36"/>
    <x v="1030"/>
    <x v="2012"/>
    <x v="1185"/>
    <x v="1543"/>
    <x v="178"/>
    <x v="183"/>
    <x v="2"/>
  </r>
  <r>
    <x v="2398"/>
    <x v="287"/>
    <x v="8"/>
    <x v="765"/>
    <x v="508"/>
    <x v="37"/>
    <x v="1058"/>
    <x v="2062"/>
    <x v="1318"/>
    <x v="1578"/>
    <x v="178"/>
    <x v="183"/>
    <x v="3"/>
  </r>
  <r>
    <x v="2399"/>
    <x v="287"/>
    <x v="11"/>
    <x v="767"/>
    <x v="508"/>
    <x v="37"/>
    <x v="1221"/>
    <x v="2209"/>
    <x v="1525"/>
    <x v="1846"/>
    <x v="178"/>
    <x v="183"/>
    <x v="4"/>
  </r>
  <r>
    <x v="2400"/>
    <x v="287"/>
    <x v="13"/>
    <x v="773"/>
    <x v="508"/>
    <x v="43"/>
    <x v="407"/>
    <x v="1349"/>
    <x v="523"/>
    <x v="522"/>
    <x v="178"/>
    <x v="183"/>
    <x v="5"/>
  </r>
  <r>
    <x v="2401"/>
    <x v="287"/>
    <x v="17"/>
    <x v="780"/>
    <x v="508"/>
    <x v="43"/>
    <x v="245"/>
    <x v="1018"/>
    <x v="467"/>
    <x v="310"/>
    <x v="178"/>
    <x v="183"/>
    <x v="6"/>
  </r>
  <r>
    <x v="2402"/>
    <x v="287"/>
    <x v="22"/>
    <x v="782"/>
    <x v="508"/>
    <x v="41"/>
    <x v="286"/>
    <x v="1187"/>
    <x v="513"/>
    <x v="364"/>
    <x v="178"/>
    <x v="183"/>
    <x v="7"/>
  </r>
  <r>
    <x v="2403"/>
    <x v="287"/>
    <x v="27"/>
    <x v="761"/>
    <x v="508"/>
    <x v="41"/>
    <x v="572"/>
    <x v="1855"/>
    <x v="1119"/>
    <x v="739"/>
    <x v="178"/>
    <x v="183"/>
    <x v="8"/>
  </r>
  <r>
    <x v="2404"/>
    <x v="287"/>
    <x v="29"/>
    <x v="761"/>
    <x v="508"/>
    <x v="37"/>
    <x v="78"/>
    <x v="352"/>
    <x v="359"/>
    <x v="98"/>
    <x v="178"/>
    <x v="183"/>
    <x v="9"/>
  </r>
  <r>
    <x v="2405"/>
    <x v="288"/>
    <x v="1"/>
    <x v="2600"/>
    <x v="1533"/>
    <x v="23"/>
    <x v="2159"/>
    <x v="2911"/>
    <x v="998"/>
    <x v="602"/>
    <x v="236"/>
    <x v="232"/>
    <x v="1"/>
  </r>
  <r>
    <x v="2406"/>
    <x v="288"/>
    <x v="3"/>
    <x v="2601"/>
    <x v="1533"/>
    <x v="31"/>
    <x v="3256"/>
    <x v="3423"/>
    <x v="2549"/>
    <x v="2526"/>
    <x v="236"/>
    <x v="232"/>
    <x v="1"/>
  </r>
  <r>
    <x v="2407"/>
    <x v="288"/>
    <x v="5"/>
    <x v="2603"/>
    <x v="1533"/>
    <x v="35"/>
    <x v="2610"/>
    <x v="3132"/>
    <x v="1001"/>
    <x v="993"/>
    <x v="236"/>
    <x v="232"/>
    <x v="2"/>
  </r>
  <r>
    <x v="2408"/>
    <x v="288"/>
    <x v="8"/>
    <x v="2610"/>
    <x v="1533"/>
    <x v="35"/>
    <x v="3007"/>
    <x v="3363"/>
    <x v="1753"/>
    <x v="1652"/>
    <x v="236"/>
    <x v="232"/>
    <x v="3"/>
  </r>
  <r>
    <x v="2409"/>
    <x v="288"/>
    <x v="11"/>
    <x v="2611"/>
    <x v="1547"/>
    <x v="31"/>
    <x v="3296"/>
    <x v="3426"/>
    <x v="2625"/>
    <x v="2672"/>
    <x v="236"/>
    <x v="232"/>
    <x v="4"/>
  </r>
  <r>
    <x v="2410"/>
    <x v="288"/>
    <x v="13"/>
    <x v="2616"/>
    <x v="1555"/>
    <x v="29"/>
    <x v="3266"/>
    <x v="3402"/>
    <x v="2395"/>
    <x v="2565"/>
    <x v="236"/>
    <x v="232"/>
    <x v="5"/>
  </r>
  <r>
    <x v="2411"/>
    <x v="288"/>
    <x v="17"/>
    <x v="2618"/>
    <x v="1584"/>
    <x v="30"/>
    <x v="3252"/>
    <x v="3413"/>
    <x v="2384"/>
    <x v="2496"/>
    <x v="236"/>
    <x v="232"/>
    <x v="6"/>
  </r>
  <r>
    <x v="2412"/>
    <x v="288"/>
    <x v="22"/>
    <x v="2605"/>
    <x v="1584"/>
    <x v="30"/>
    <x v="3037"/>
    <x v="3374"/>
    <x v="1839"/>
    <x v="1744"/>
    <x v="236"/>
    <x v="232"/>
    <x v="7"/>
  </r>
  <r>
    <x v="2413"/>
    <x v="288"/>
    <x v="27"/>
    <x v="2609"/>
    <x v="1588"/>
    <x v="30"/>
    <x v="3002"/>
    <x v="3383"/>
    <x v="1483"/>
    <x v="1642"/>
    <x v="236"/>
    <x v="232"/>
    <x v="8"/>
  </r>
  <r>
    <x v="2414"/>
    <x v="288"/>
    <x v="29"/>
    <x v="2614"/>
    <x v="1601"/>
    <x v="34"/>
    <x v="2655"/>
    <x v="3319"/>
    <x v="736"/>
    <x v="1042"/>
    <x v="236"/>
    <x v="232"/>
    <x v="9"/>
  </r>
  <r>
    <x v="2415"/>
    <x v="289"/>
    <x v="1"/>
    <x v="1493"/>
    <x v="1125"/>
    <x v="34"/>
    <x v="2259"/>
    <x v="2824"/>
    <x v="3006"/>
    <x v="2357"/>
    <x v="263"/>
    <x v="89"/>
    <x v="1"/>
  </r>
  <r>
    <x v="2416"/>
    <x v="289"/>
    <x v="3"/>
    <x v="1475"/>
    <x v="1079"/>
    <x v="35"/>
    <x v="575"/>
    <x v="1303"/>
    <x v="643"/>
    <x v="395"/>
    <x v="263"/>
    <x v="89"/>
    <x v="1"/>
  </r>
  <r>
    <x v="2417"/>
    <x v="289"/>
    <x v="5"/>
    <x v="1495"/>
    <x v="979"/>
    <x v="37"/>
    <x v="2631"/>
    <x v="3150"/>
    <x v="2892"/>
    <x v="2887"/>
    <x v="263"/>
    <x v="89"/>
    <x v="2"/>
  </r>
  <r>
    <x v="2418"/>
    <x v="289"/>
    <x v="8"/>
    <x v="1500"/>
    <x v="1078"/>
    <x v="38"/>
    <x v="2126"/>
    <x v="2982"/>
    <x v="2480"/>
    <x v="2111"/>
    <x v="263"/>
    <x v="89"/>
    <x v="3"/>
  </r>
  <r>
    <x v="2419"/>
    <x v="289"/>
    <x v="11"/>
    <x v="1501"/>
    <x v="1048"/>
    <x v="40"/>
    <x v="2146"/>
    <x v="2916"/>
    <x v="2569"/>
    <x v="2152"/>
    <x v="263"/>
    <x v="89"/>
    <x v="4"/>
  </r>
  <r>
    <x v="2420"/>
    <x v="289"/>
    <x v="13"/>
    <x v="1503"/>
    <x v="1049"/>
    <x v="40"/>
    <x v="2328"/>
    <x v="3045"/>
    <x v="2410"/>
    <x v="2462"/>
    <x v="263"/>
    <x v="89"/>
    <x v="5"/>
  </r>
  <r>
    <x v="2421"/>
    <x v="289"/>
    <x v="17"/>
    <x v="1522"/>
    <x v="1129"/>
    <x v="26"/>
    <x v="2566"/>
    <x v="3051"/>
    <x v="2523"/>
    <x v="2773"/>
    <x v="263"/>
    <x v="89"/>
    <x v="6"/>
  </r>
  <r>
    <x v="2422"/>
    <x v="289"/>
    <x v="22"/>
    <x v="1558"/>
    <x v="1137"/>
    <x v="39"/>
    <x v="13"/>
    <x v="7"/>
    <x v="189"/>
    <x v="15"/>
    <x v="263"/>
    <x v="89"/>
    <x v="7"/>
  </r>
  <r>
    <x v="2423"/>
    <x v="289"/>
    <x v="27"/>
    <x v="1519"/>
    <x v="1137"/>
    <x v="39"/>
    <x v="1202"/>
    <x v="2223"/>
    <x v="1787"/>
    <x v="792"/>
    <x v="263"/>
    <x v="89"/>
    <x v="8"/>
  </r>
  <r>
    <x v="2424"/>
    <x v="289"/>
    <x v="29"/>
    <x v="1525"/>
    <x v="1151"/>
    <x v="36"/>
    <x v="538"/>
    <x v="1590"/>
    <x v="1519"/>
    <x v="357"/>
    <x v="263"/>
    <x v="89"/>
    <x v="9"/>
  </r>
  <r>
    <x v="2425"/>
    <x v="290"/>
    <x v="1"/>
    <x v="784"/>
    <x v="401"/>
    <x v="28"/>
    <x v="664"/>
    <x v="2034"/>
    <x v="266"/>
    <x v="876"/>
    <x v="273"/>
    <x v="130"/>
    <x v="1"/>
  </r>
  <r>
    <x v="2426"/>
    <x v="290"/>
    <x v="4"/>
    <x v="784"/>
    <x v="483"/>
    <x v="31"/>
    <x v="77"/>
    <x v="289"/>
    <x v="39"/>
    <x v="97"/>
    <x v="273"/>
    <x v="130"/>
    <x v="2"/>
  </r>
  <r>
    <x v="2427"/>
    <x v="290"/>
    <x v="6"/>
    <x v="805"/>
    <x v="483"/>
    <x v="31"/>
    <x v="1941"/>
    <x v="2929"/>
    <x v="2200"/>
    <x v="2830"/>
    <x v="273"/>
    <x v="130"/>
    <x v="3"/>
  </r>
  <r>
    <x v="2428"/>
    <x v="290"/>
    <x v="9"/>
    <x v="849"/>
    <x v="483"/>
    <x v="29"/>
    <x v="560"/>
    <x v="1968"/>
    <x v="471"/>
    <x v="664"/>
    <x v="273"/>
    <x v="130"/>
    <x v="4"/>
  </r>
  <r>
    <x v="2429"/>
    <x v="290"/>
    <x v="12"/>
    <x v="881"/>
    <x v="483"/>
    <x v="21"/>
    <x v="1017"/>
    <x v="2049"/>
    <x v="769"/>
    <x v="1351"/>
    <x v="273"/>
    <x v="130"/>
    <x v="5"/>
  </r>
  <r>
    <x v="2430"/>
    <x v="290"/>
    <x v="15"/>
    <x v="899"/>
    <x v="483"/>
    <x v="21"/>
    <x v="172"/>
    <x v="697"/>
    <x v="74"/>
    <x v="198"/>
    <x v="273"/>
    <x v="130"/>
    <x v="6"/>
  </r>
  <r>
    <x v="2431"/>
    <x v="290"/>
    <x v="20"/>
    <x v="876"/>
    <x v="519"/>
    <x v="28"/>
    <x v="955"/>
    <x v="2077"/>
    <x v="564"/>
    <x v="1228"/>
    <x v="273"/>
    <x v="130"/>
    <x v="7"/>
  </r>
  <r>
    <x v="2432"/>
    <x v="290"/>
    <x v="25"/>
    <x v="865"/>
    <x v="519"/>
    <x v="28"/>
    <x v="527"/>
    <x v="1822"/>
    <x v="258"/>
    <x v="619"/>
    <x v="273"/>
    <x v="130"/>
    <x v="8"/>
  </r>
  <r>
    <x v="2433"/>
    <x v="290"/>
    <x v="28"/>
    <x v="881"/>
    <x v="521"/>
    <x v="21"/>
    <x v="1966"/>
    <x v="2821"/>
    <x v="2551"/>
    <x v="2778"/>
    <x v="273"/>
    <x v="130"/>
    <x v="9"/>
  </r>
  <r>
    <x v="2434"/>
    <x v="291"/>
    <x v="1"/>
    <x v="1077"/>
    <x v="1051"/>
    <x v="34"/>
    <x v="1389"/>
    <x v="2151"/>
    <x v="2630"/>
    <x v="1603"/>
    <x v="265"/>
    <x v="257"/>
    <x v="1"/>
  </r>
  <r>
    <x v="2435"/>
    <x v="291"/>
    <x v="6"/>
    <x v="1100"/>
    <x v="810"/>
    <x v="35"/>
    <x v="723"/>
    <x v="1937"/>
    <x v="1125"/>
    <x v="678"/>
    <x v="265"/>
    <x v="257"/>
    <x v="3"/>
  </r>
  <r>
    <x v="2436"/>
    <x v="291"/>
    <x v="15"/>
    <x v="1122"/>
    <x v="891"/>
    <x v="50"/>
    <x v="302"/>
    <x v="396"/>
    <x v="246"/>
    <x v="279"/>
    <x v="265"/>
    <x v="257"/>
    <x v="6"/>
  </r>
  <r>
    <x v="2437"/>
    <x v="291"/>
    <x v="20"/>
    <x v="1081"/>
    <x v="930"/>
    <x v="49"/>
    <x v="177"/>
    <x v="1084"/>
    <x v="433"/>
    <x v="172"/>
    <x v="265"/>
    <x v="257"/>
    <x v="7"/>
  </r>
  <r>
    <x v="2438"/>
    <x v="291"/>
    <x v="27"/>
    <x v="1096"/>
    <x v="891"/>
    <x v="34"/>
    <x v="568"/>
    <x v="786"/>
    <x v="565"/>
    <x v="529"/>
    <x v="265"/>
    <x v="257"/>
    <x v="8"/>
  </r>
  <r>
    <x v="2439"/>
    <x v="291"/>
    <x v="29"/>
    <x v="1099"/>
    <x v="891"/>
    <x v="36"/>
    <x v="1027"/>
    <x v="1914"/>
    <x v="986"/>
    <x v="1052"/>
    <x v="265"/>
    <x v="257"/>
    <x v="9"/>
  </r>
  <r>
    <x v="2440"/>
    <x v="292"/>
    <x v="3"/>
    <x v="2946"/>
    <x v="1834"/>
    <x v="25"/>
    <x v="3488"/>
    <x v="3465"/>
    <x v="2190"/>
    <x v="2334"/>
    <x v="295"/>
    <x v="92"/>
    <x v="1"/>
  </r>
  <r>
    <x v="2441"/>
    <x v="292"/>
    <x v="5"/>
    <x v="2945"/>
    <x v="1835"/>
    <x v="28"/>
    <x v="3486"/>
    <x v="3462"/>
    <x v="1993"/>
    <x v="2165"/>
    <x v="295"/>
    <x v="92"/>
    <x v="2"/>
  </r>
  <r>
    <x v="2442"/>
    <x v="292"/>
    <x v="8"/>
    <x v="2947"/>
    <x v="1836"/>
    <x v="29"/>
    <x v="3489"/>
    <x v="3467"/>
    <x v="2322"/>
    <x v="2226"/>
    <x v="295"/>
    <x v="92"/>
    <x v="3"/>
  </r>
  <r>
    <x v="2443"/>
    <x v="292"/>
    <x v="13"/>
    <x v="2948"/>
    <x v="1838"/>
    <x v="31"/>
    <x v="3487"/>
    <x v="3466"/>
    <x v="2174"/>
    <x v="1944"/>
    <x v="295"/>
    <x v="92"/>
    <x v="5"/>
  </r>
  <r>
    <x v="2444"/>
    <x v="292"/>
    <x v="17"/>
    <x v="2949"/>
    <x v="1839"/>
    <x v="31"/>
    <x v="3492"/>
    <x v="3468"/>
    <x v="2541"/>
    <x v="2281"/>
    <x v="295"/>
    <x v="92"/>
    <x v="6"/>
  </r>
  <r>
    <x v="2445"/>
    <x v="292"/>
    <x v="22"/>
    <x v="2950"/>
    <x v="1840"/>
    <x v="28"/>
    <x v="3510"/>
    <x v="3481"/>
    <x v="3324"/>
    <x v="3267"/>
    <x v="295"/>
    <x v="92"/>
    <x v="7"/>
  </r>
  <r>
    <x v="2446"/>
    <x v="292"/>
    <x v="27"/>
    <x v="2951"/>
    <x v="1841"/>
    <x v="28"/>
    <x v="3501"/>
    <x v="3477"/>
    <x v="3158"/>
    <x v="2979"/>
    <x v="295"/>
    <x v="92"/>
    <x v="8"/>
  </r>
  <r>
    <x v="2447"/>
    <x v="292"/>
    <x v="29"/>
    <x v="2952"/>
    <x v="1837"/>
    <x v="23"/>
    <x v="3473"/>
    <x v="3463"/>
    <x v="1705"/>
    <x v="1124"/>
    <x v="295"/>
    <x v="92"/>
    <x v="9"/>
  </r>
  <r>
    <x v="2448"/>
    <x v="293"/>
    <x v="3"/>
    <x v="1330"/>
    <x v="751"/>
    <x v="39"/>
    <x v="1558"/>
    <x v="2189"/>
    <x v="1064"/>
    <x v="1469"/>
    <x v="296"/>
    <x v="129"/>
    <x v="1"/>
  </r>
  <r>
    <x v="2449"/>
    <x v="293"/>
    <x v="5"/>
    <x v="1339"/>
    <x v="684"/>
    <x v="43"/>
    <x v="1727"/>
    <x v="2451"/>
    <x v="1611"/>
    <x v="1697"/>
    <x v="296"/>
    <x v="129"/>
    <x v="2"/>
  </r>
  <r>
    <x v="2450"/>
    <x v="293"/>
    <x v="8"/>
    <x v="1476"/>
    <x v="693"/>
    <x v="43"/>
    <x v="117"/>
    <x v="366"/>
    <x v="43"/>
    <x v="91"/>
    <x v="296"/>
    <x v="129"/>
    <x v="3"/>
  </r>
  <r>
    <x v="2451"/>
    <x v="293"/>
    <x v="11"/>
    <x v="1349"/>
    <x v="697"/>
    <x v="43"/>
    <x v="559"/>
    <x v="1496"/>
    <x v="668"/>
    <x v="429"/>
    <x v="296"/>
    <x v="129"/>
    <x v="4"/>
  </r>
  <r>
    <x v="2452"/>
    <x v="293"/>
    <x v="13"/>
    <x v="1353"/>
    <x v="699"/>
    <x v="32"/>
    <x v="556"/>
    <x v="1499"/>
    <x v="530"/>
    <x v="426"/>
    <x v="296"/>
    <x v="129"/>
    <x v="5"/>
  </r>
  <r>
    <x v="2453"/>
    <x v="293"/>
    <x v="17"/>
    <x v="1357"/>
    <x v="699"/>
    <x v="33"/>
    <x v="313"/>
    <x v="1138"/>
    <x v="341"/>
    <x v="247"/>
    <x v="296"/>
    <x v="129"/>
    <x v="6"/>
  </r>
  <r>
    <x v="2454"/>
    <x v="293"/>
    <x v="22"/>
    <x v="1370"/>
    <x v="699"/>
    <x v="32"/>
    <x v="476"/>
    <x v="1633"/>
    <x v="783"/>
    <x v="375"/>
    <x v="296"/>
    <x v="129"/>
    <x v="7"/>
  </r>
  <r>
    <x v="2455"/>
    <x v="293"/>
    <x v="27"/>
    <x v="1518"/>
    <x v="699"/>
    <x v="37"/>
    <x v="84"/>
    <x v="334"/>
    <x v="1020"/>
    <x v="71"/>
    <x v="296"/>
    <x v="129"/>
    <x v="8"/>
  </r>
  <r>
    <x v="2456"/>
    <x v="293"/>
    <x v="29"/>
    <x v="1536"/>
    <x v="699"/>
    <x v="39"/>
    <x v="482"/>
    <x v="1516"/>
    <x v="1259"/>
    <x v="317"/>
    <x v="296"/>
    <x v="129"/>
    <x v="9"/>
  </r>
  <r>
    <x v="2457"/>
    <x v="294"/>
    <x v="3"/>
    <x v="832"/>
    <x v="621"/>
    <x v="35"/>
    <x v="2616"/>
    <x v="3053"/>
    <x v="2165"/>
    <x v="3327"/>
    <x v="315"/>
    <x v="261"/>
    <x v="1"/>
  </r>
  <r>
    <x v="2458"/>
    <x v="294"/>
    <x v="5"/>
    <x v="824"/>
    <x v="621"/>
    <x v="32"/>
    <x v="1808"/>
    <x v="3482"/>
    <x v="1332"/>
    <x v="2635"/>
    <x v="315"/>
    <x v="261"/>
    <x v="2"/>
  </r>
  <r>
    <x v="2459"/>
    <x v="294"/>
    <x v="8"/>
    <x v="836"/>
    <x v="621"/>
    <x v="32"/>
    <x v="1469"/>
    <x v="3482"/>
    <x v="719"/>
    <x v="2138"/>
    <x v="315"/>
    <x v="261"/>
    <x v="3"/>
  </r>
  <r>
    <x v="2460"/>
    <x v="294"/>
    <x v="11"/>
    <x v="845"/>
    <x v="621"/>
    <x v="35"/>
    <x v="1386"/>
    <x v="3482"/>
    <x v="813"/>
    <x v="1998"/>
    <x v="315"/>
    <x v="261"/>
    <x v="4"/>
  </r>
  <r>
    <x v="2461"/>
    <x v="294"/>
    <x v="13"/>
    <x v="854"/>
    <x v="621"/>
    <x v="41"/>
    <x v="1390"/>
    <x v="3482"/>
    <x v="622"/>
    <x v="2002"/>
    <x v="315"/>
    <x v="261"/>
    <x v="5"/>
  </r>
  <r>
    <x v="2462"/>
    <x v="294"/>
    <x v="17"/>
    <x v="854"/>
    <x v="606"/>
    <x v="41"/>
    <x v="1126"/>
    <x v="3482"/>
    <x v="515"/>
    <x v="1564"/>
    <x v="315"/>
    <x v="261"/>
    <x v="6"/>
  </r>
  <r>
    <x v="2463"/>
    <x v="294"/>
    <x v="22"/>
    <x v="859"/>
    <x v="606"/>
    <x v="30"/>
    <x v="332"/>
    <x v="319"/>
    <x v="86"/>
    <x v="404"/>
    <x v="315"/>
    <x v="261"/>
    <x v="7"/>
  </r>
  <r>
    <x v="2464"/>
    <x v="294"/>
    <x v="27"/>
    <x v="862"/>
    <x v="606"/>
    <x v="29"/>
    <x v="1044"/>
    <x v="2311"/>
    <x v="281"/>
    <x v="1422"/>
    <x v="315"/>
    <x v="261"/>
    <x v="8"/>
  </r>
  <r>
    <x v="2465"/>
    <x v="294"/>
    <x v="29"/>
    <x v="898"/>
    <x v="630"/>
    <x v="36"/>
    <x v="478"/>
    <x v="1599"/>
    <x v="106"/>
    <x v="553"/>
    <x v="315"/>
    <x v="261"/>
    <x v="9"/>
  </r>
  <r>
    <x v="2466"/>
    <x v="295"/>
    <x v="3"/>
    <x v="2488"/>
    <x v="1322"/>
    <x v="35"/>
    <x v="2783"/>
    <x v="3271"/>
    <x v="1409"/>
    <x v="1643"/>
    <x v="344"/>
    <x v="49"/>
    <x v="1"/>
  </r>
  <r>
    <x v="2467"/>
    <x v="295"/>
    <x v="5"/>
    <x v="2465"/>
    <x v="1325"/>
    <x v="34"/>
    <x v="1697"/>
    <x v="2495"/>
    <x v="363"/>
    <x v="506"/>
    <x v="344"/>
    <x v="49"/>
    <x v="2"/>
  </r>
  <r>
    <x v="2468"/>
    <x v="295"/>
    <x v="8"/>
    <x v="2487"/>
    <x v="1324"/>
    <x v="41"/>
    <x v="2214"/>
    <x v="2990"/>
    <x v="711"/>
    <x v="837"/>
    <x v="344"/>
    <x v="49"/>
    <x v="3"/>
  </r>
  <r>
    <x v="2469"/>
    <x v="295"/>
    <x v="11"/>
    <x v="2495"/>
    <x v="1326"/>
    <x v="42"/>
    <x v="1533"/>
    <x v="2440"/>
    <x v="340"/>
    <x v="440"/>
    <x v="344"/>
    <x v="49"/>
    <x v="4"/>
  </r>
  <r>
    <x v="2470"/>
    <x v="295"/>
    <x v="13"/>
    <x v="2496"/>
    <x v="1330"/>
    <x v="41"/>
    <x v="220"/>
    <x v="337"/>
    <x v="99"/>
    <x v="90"/>
    <x v="344"/>
    <x v="49"/>
    <x v="5"/>
  </r>
  <r>
    <x v="2471"/>
    <x v="295"/>
    <x v="17"/>
    <x v="2497"/>
    <x v="1329"/>
    <x v="41"/>
    <x v="1333"/>
    <x v="3482"/>
    <x v="226"/>
    <x v="379"/>
    <x v="344"/>
    <x v="49"/>
    <x v="6"/>
  </r>
  <r>
    <x v="2472"/>
    <x v="295"/>
    <x v="22"/>
    <x v="2470"/>
    <x v="1298"/>
    <x v="43"/>
    <x v="389"/>
    <x v="863"/>
    <x v="152"/>
    <x v="133"/>
    <x v="344"/>
    <x v="49"/>
    <x v="7"/>
  </r>
  <r>
    <x v="2473"/>
    <x v="295"/>
    <x v="27"/>
    <x v="2500"/>
    <x v="1331"/>
    <x v="43"/>
    <x v="1230"/>
    <x v="1337"/>
    <x v="240"/>
    <x v="335"/>
    <x v="344"/>
    <x v="49"/>
    <x v="8"/>
  </r>
  <r>
    <x v="2474"/>
    <x v="295"/>
    <x v="29"/>
    <x v="2500"/>
    <x v="1331"/>
    <x v="43"/>
    <x v="787"/>
    <x v="1048"/>
    <x v="178"/>
    <x v="227"/>
    <x v="344"/>
    <x v="49"/>
    <x v="9"/>
  </r>
  <r>
    <x v="2475"/>
    <x v="296"/>
    <x v="1"/>
    <x v="1227"/>
    <x v="1183"/>
    <x v="39"/>
    <x v="1937"/>
    <x v="2680"/>
    <x v="899"/>
    <x v="2234"/>
    <x v="365"/>
    <x v="347"/>
    <x v="1"/>
  </r>
  <r>
    <x v="2476"/>
    <x v="296"/>
    <x v="29"/>
    <x v="1201"/>
    <x v="1207"/>
    <x v="44"/>
    <x v="1860"/>
    <x v="2951"/>
    <x v="1053"/>
    <x v="2130"/>
    <x v="365"/>
    <x v="347"/>
    <x v="9"/>
  </r>
  <r>
    <x v="2477"/>
    <x v="297"/>
    <x v="3"/>
    <x v="2349"/>
    <x v="1454"/>
    <x v="31"/>
    <x v="3049"/>
    <x v="3200"/>
    <x v="2529"/>
    <x v="2529"/>
    <x v="373"/>
    <x v="357"/>
    <x v="1"/>
  </r>
  <r>
    <x v="2478"/>
    <x v="297"/>
    <x v="5"/>
    <x v="2311"/>
    <x v="1394"/>
    <x v="31"/>
    <x v="2366"/>
    <x v="2733"/>
    <x v="1202"/>
    <x v="1344"/>
    <x v="373"/>
    <x v="357"/>
    <x v="2"/>
  </r>
  <r>
    <x v="2479"/>
    <x v="297"/>
    <x v="8"/>
    <x v="2350"/>
    <x v="1393"/>
    <x v="40"/>
    <x v="2169"/>
    <x v="2637"/>
    <x v="663"/>
    <x v="988"/>
    <x v="373"/>
    <x v="357"/>
    <x v="3"/>
  </r>
  <r>
    <x v="2480"/>
    <x v="297"/>
    <x v="11"/>
    <x v="2317"/>
    <x v="1392"/>
    <x v="40"/>
    <x v="2793"/>
    <x v="3004"/>
    <x v="1554"/>
    <x v="2023"/>
    <x v="373"/>
    <x v="357"/>
    <x v="4"/>
  </r>
  <r>
    <x v="2481"/>
    <x v="297"/>
    <x v="13"/>
    <x v="2331"/>
    <x v="1395"/>
    <x v="41"/>
    <x v="1857"/>
    <x v="2506"/>
    <x v="390"/>
    <x v="687"/>
    <x v="373"/>
    <x v="357"/>
    <x v="5"/>
  </r>
  <r>
    <x v="2482"/>
    <x v="297"/>
    <x v="17"/>
    <x v="2332"/>
    <x v="1395"/>
    <x v="32"/>
    <x v="2413"/>
    <x v="2945"/>
    <x v="818"/>
    <x v="1355"/>
    <x v="373"/>
    <x v="357"/>
    <x v="6"/>
  </r>
  <r>
    <x v="2483"/>
    <x v="297"/>
    <x v="22"/>
    <x v="2334"/>
    <x v="1395"/>
    <x v="33"/>
    <x v="2794"/>
    <x v="3154"/>
    <x v="1648"/>
    <x v="1996"/>
    <x v="373"/>
    <x v="357"/>
    <x v="7"/>
  </r>
  <r>
    <x v="2484"/>
    <x v="297"/>
    <x v="27"/>
    <x v="2336"/>
    <x v="1395"/>
    <x v="26"/>
    <x v="2884"/>
    <x v="3196"/>
    <x v="1850"/>
    <x v="2153"/>
    <x v="373"/>
    <x v="357"/>
    <x v="8"/>
  </r>
  <r>
    <x v="2485"/>
    <x v="297"/>
    <x v="29"/>
    <x v="2338"/>
    <x v="1395"/>
    <x v="28"/>
    <x v="1924"/>
    <x v="2630"/>
    <x v="442"/>
    <x v="746"/>
    <x v="373"/>
    <x v="357"/>
    <x v="9"/>
  </r>
  <r>
    <x v="2486"/>
    <x v="298"/>
    <x v="1"/>
    <x v="1996"/>
    <x v="1415"/>
    <x v="38"/>
    <x v="2622"/>
    <x v="2979"/>
    <x v="1298"/>
    <x v="2144"/>
    <x v="239"/>
    <x v="129"/>
    <x v="1"/>
  </r>
  <r>
    <x v="2487"/>
    <x v="298"/>
    <x v="4"/>
    <x v="2017"/>
    <x v="1416"/>
    <x v="44"/>
    <x v="2981"/>
    <x v="3195"/>
    <x v="1679"/>
    <x v="2721"/>
    <x v="239"/>
    <x v="129"/>
    <x v="2"/>
  </r>
  <r>
    <x v="2488"/>
    <x v="298"/>
    <x v="6"/>
    <x v="2015"/>
    <x v="1416"/>
    <x v="46"/>
    <x v="2803"/>
    <x v="3116"/>
    <x v="1622"/>
    <x v="2437"/>
    <x v="239"/>
    <x v="129"/>
    <x v="3"/>
  </r>
  <r>
    <x v="2489"/>
    <x v="298"/>
    <x v="9"/>
    <x v="2028"/>
    <x v="1416"/>
    <x v="46"/>
    <x v="2659"/>
    <x v="3069"/>
    <x v="1877"/>
    <x v="2162"/>
    <x v="239"/>
    <x v="129"/>
    <x v="4"/>
  </r>
  <r>
    <x v="2490"/>
    <x v="298"/>
    <x v="12"/>
    <x v="2054"/>
    <x v="1412"/>
    <x v="50"/>
    <x v="2658"/>
    <x v="3073"/>
    <x v="1660"/>
    <x v="2121"/>
    <x v="239"/>
    <x v="129"/>
    <x v="5"/>
  </r>
  <r>
    <x v="2491"/>
    <x v="298"/>
    <x v="15"/>
    <x v="2063"/>
    <x v="1413"/>
    <x v="50"/>
    <x v="2703"/>
    <x v="3098"/>
    <x v="1737"/>
    <x v="2200"/>
    <x v="239"/>
    <x v="129"/>
    <x v="6"/>
  </r>
  <r>
    <x v="2492"/>
    <x v="298"/>
    <x v="20"/>
    <x v="2072"/>
    <x v="1417"/>
    <x v="39"/>
    <x v="2756"/>
    <x v="3170"/>
    <x v="1667"/>
    <x v="2264"/>
    <x v="239"/>
    <x v="129"/>
    <x v="7"/>
  </r>
  <r>
    <x v="2493"/>
    <x v="298"/>
    <x v="25"/>
    <x v="2074"/>
    <x v="1418"/>
    <x v="39"/>
    <x v="2726"/>
    <x v="3182"/>
    <x v="1874"/>
    <x v="2209"/>
    <x v="239"/>
    <x v="129"/>
    <x v="8"/>
  </r>
  <r>
    <x v="2494"/>
    <x v="298"/>
    <x v="28"/>
    <x v="2076"/>
    <x v="1418"/>
    <x v="42"/>
    <x v="2710"/>
    <x v="3215"/>
    <x v="1515"/>
    <x v="2184"/>
    <x v="239"/>
    <x v="129"/>
    <x v="9"/>
  </r>
  <r>
    <x v="2495"/>
    <x v="299"/>
    <x v="3"/>
    <x v="2700"/>
    <x v="1634"/>
    <x v="41"/>
    <x v="2776"/>
    <x v="3298"/>
    <x v="627"/>
    <x v="1082"/>
    <x v="244"/>
    <x v="316"/>
    <x v="1"/>
  </r>
  <r>
    <x v="2496"/>
    <x v="299"/>
    <x v="5"/>
    <x v="2704"/>
    <x v="1634"/>
    <x v="42"/>
    <x v="2791"/>
    <x v="3291"/>
    <x v="810"/>
    <x v="1092"/>
    <x v="244"/>
    <x v="316"/>
    <x v="2"/>
  </r>
  <r>
    <x v="2497"/>
    <x v="299"/>
    <x v="8"/>
    <x v="2736"/>
    <x v="1648"/>
    <x v="42"/>
    <x v="2828"/>
    <x v="3325"/>
    <x v="842"/>
    <x v="1085"/>
    <x v="244"/>
    <x v="316"/>
    <x v="3"/>
  </r>
  <r>
    <x v="2498"/>
    <x v="299"/>
    <x v="11"/>
    <x v="2742"/>
    <x v="1661"/>
    <x v="42"/>
    <x v="2660"/>
    <x v="3250"/>
    <x v="636"/>
    <x v="849"/>
    <x v="244"/>
    <x v="316"/>
    <x v="4"/>
  </r>
  <r>
    <x v="2499"/>
    <x v="299"/>
    <x v="13"/>
    <x v="2744"/>
    <x v="1666"/>
    <x v="42"/>
    <x v="2425"/>
    <x v="3158"/>
    <x v="418"/>
    <x v="653"/>
    <x v="244"/>
    <x v="316"/>
    <x v="5"/>
  </r>
  <r>
    <x v="2500"/>
    <x v="299"/>
    <x v="17"/>
    <x v="2750"/>
    <x v="1668"/>
    <x v="42"/>
    <x v="2857"/>
    <x v="3355"/>
    <x v="632"/>
    <x v="1087"/>
    <x v="244"/>
    <x v="316"/>
    <x v="6"/>
  </r>
  <r>
    <x v="2501"/>
    <x v="299"/>
    <x v="22"/>
    <x v="2751"/>
    <x v="1670"/>
    <x v="47"/>
    <x v="2730"/>
    <x v="3344"/>
    <x v="599"/>
    <x v="911"/>
    <x v="244"/>
    <x v="316"/>
    <x v="7"/>
  </r>
  <r>
    <x v="2502"/>
    <x v="299"/>
    <x v="27"/>
    <x v="2752"/>
    <x v="1671"/>
    <x v="45"/>
    <x v="3004"/>
    <x v="3416"/>
    <x v="918"/>
    <x v="1347"/>
    <x v="244"/>
    <x v="316"/>
    <x v="8"/>
  </r>
  <r>
    <x v="2503"/>
    <x v="299"/>
    <x v="29"/>
    <x v="2754"/>
    <x v="1672"/>
    <x v="45"/>
    <x v="3023"/>
    <x v="3427"/>
    <x v="847"/>
    <x v="1399"/>
    <x v="244"/>
    <x v="316"/>
    <x v="9"/>
  </r>
  <r>
    <x v="2504"/>
    <x v="300"/>
    <x v="3"/>
    <x v="2157"/>
    <x v="1332"/>
    <x v="43"/>
    <x v="574"/>
    <x v="1728"/>
    <x v="613"/>
    <x v="229"/>
    <x v="246"/>
    <x v="300"/>
    <x v="1"/>
  </r>
  <r>
    <x v="2505"/>
    <x v="300"/>
    <x v="5"/>
    <x v="2045"/>
    <x v="1332"/>
    <x v="39"/>
    <x v="1505"/>
    <x v="2472"/>
    <x v="1078"/>
    <x v="634"/>
    <x v="246"/>
    <x v="300"/>
    <x v="2"/>
  </r>
  <r>
    <x v="2506"/>
    <x v="300"/>
    <x v="8"/>
    <x v="2083"/>
    <x v="1332"/>
    <x v="39"/>
    <x v="17"/>
    <x v="5"/>
    <x v="135"/>
    <x v="29"/>
    <x v="246"/>
    <x v="300"/>
    <x v="3"/>
  </r>
  <r>
    <x v="2507"/>
    <x v="300"/>
    <x v="11"/>
    <x v="2089"/>
    <x v="1328"/>
    <x v="40"/>
    <x v="1514"/>
    <x v="2654"/>
    <x v="747"/>
    <x v="609"/>
    <x v="246"/>
    <x v="300"/>
    <x v="4"/>
  </r>
  <r>
    <x v="2508"/>
    <x v="300"/>
    <x v="13"/>
    <x v="2091"/>
    <x v="1333"/>
    <x v="40"/>
    <x v="938"/>
    <x v="2174"/>
    <x v="382"/>
    <x v="362"/>
    <x v="246"/>
    <x v="300"/>
    <x v="5"/>
  </r>
  <r>
    <x v="2509"/>
    <x v="300"/>
    <x v="17"/>
    <x v="2092"/>
    <x v="1333"/>
    <x v="42"/>
    <x v="1037"/>
    <x v="2343"/>
    <x v="674"/>
    <x v="409"/>
    <x v="246"/>
    <x v="300"/>
    <x v="6"/>
  </r>
  <r>
    <x v="2510"/>
    <x v="300"/>
    <x v="22"/>
    <x v="2095"/>
    <x v="1333"/>
    <x v="37"/>
    <x v="651"/>
    <x v="2068"/>
    <x v="498"/>
    <x v="256"/>
    <x v="246"/>
    <x v="300"/>
    <x v="7"/>
  </r>
  <r>
    <x v="2511"/>
    <x v="300"/>
    <x v="27"/>
    <x v="2095"/>
    <x v="1333"/>
    <x v="40"/>
    <x v="907"/>
    <x v="2338"/>
    <x v="913"/>
    <x v="345"/>
    <x v="246"/>
    <x v="300"/>
    <x v="8"/>
  </r>
  <r>
    <x v="2512"/>
    <x v="300"/>
    <x v="29"/>
    <x v="2104"/>
    <x v="1333"/>
    <x v="36"/>
    <x v="143"/>
    <x v="855"/>
    <x v="121"/>
    <x v="78"/>
    <x v="246"/>
    <x v="300"/>
    <x v="9"/>
  </r>
  <r>
    <x v="2513"/>
    <x v="301"/>
    <x v="1"/>
    <x v="1963"/>
    <x v="790"/>
    <x v="42"/>
    <x v="1922"/>
    <x v="2835"/>
    <x v="867"/>
    <x v="1025"/>
    <x v="37"/>
    <x v="285"/>
    <x v="1"/>
  </r>
  <r>
    <x v="2514"/>
    <x v="301"/>
    <x v="4"/>
    <x v="1966"/>
    <x v="709"/>
    <x v="39"/>
    <x v="2586"/>
    <x v="3230"/>
    <x v="1988"/>
    <x v="2124"/>
    <x v="37"/>
    <x v="285"/>
    <x v="2"/>
  </r>
  <r>
    <x v="2515"/>
    <x v="301"/>
    <x v="6"/>
    <x v="1969"/>
    <x v="700"/>
    <x v="39"/>
    <x v="2664"/>
    <x v="3274"/>
    <x v="2161"/>
    <x v="2248"/>
    <x v="37"/>
    <x v="285"/>
    <x v="3"/>
  </r>
  <r>
    <x v="2516"/>
    <x v="301"/>
    <x v="9"/>
    <x v="1964"/>
    <x v="702"/>
    <x v="39"/>
    <x v="2405"/>
    <x v="3179"/>
    <x v="2066"/>
    <x v="1816"/>
    <x v="37"/>
    <x v="285"/>
    <x v="4"/>
  </r>
  <r>
    <x v="2517"/>
    <x v="302"/>
    <x v="3"/>
    <x v="2926"/>
    <x v="1774"/>
    <x v="55"/>
    <x v="3414"/>
    <x v="2434"/>
    <x v="2240"/>
    <x v="1491"/>
    <x v="298"/>
    <x v="287"/>
    <x v="1"/>
  </r>
  <r>
    <x v="2518"/>
    <x v="302"/>
    <x v="5"/>
    <x v="2927"/>
    <x v="1775"/>
    <x v="55"/>
    <x v="3442"/>
    <x v="2567"/>
    <x v="2528"/>
    <x v="1929"/>
    <x v="298"/>
    <x v="287"/>
    <x v="2"/>
  </r>
  <r>
    <x v="2519"/>
    <x v="302"/>
    <x v="8"/>
    <x v="2928"/>
    <x v="1777"/>
    <x v="55"/>
    <x v="3445"/>
    <x v="3480"/>
    <x v="2729"/>
    <x v="1975"/>
    <x v="298"/>
    <x v="287"/>
    <x v="3"/>
  </r>
  <r>
    <x v="2520"/>
    <x v="302"/>
    <x v="11"/>
    <x v="2929"/>
    <x v="1776"/>
    <x v="55"/>
    <x v="3468"/>
    <x v="2839"/>
    <x v="2827"/>
    <x v="2340"/>
    <x v="298"/>
    <x v="287"/>
    <x v="4"/>
  </r>
  <r>
    <x v="2521"/>
    <x v="302"/>
    <x v="13"/>
    <x v="2930"/>
    <x v="1780"/>
    <x v="55"/>
    <x v="3434"/>
    <x v="2645"/>
    <x v="2661"/>
    <x v="1732"/>
    <x v="298"/>
    <x v="287"/>
    <x v="5"/>
  </r>
  <r>
    <x v="2522"/>
    <x v="302"/>
    <x v="17"/>
    <x v="2931"/>
    <x v="1781"/>
    <x v="55"/>
    <x v="3420"/>
    <x v="2675"/>
    <x v="2511"/>
    <x v="1576"/>
    <x v="298"/>
    <x v="287"/>
    <x v="6"/>
  </r>
  <r>
    <x v="2523"/>
    <x v="302"/>
    <x v="22"/>
    <x v="2933"/>
    <x v="1782"/>
    <x v="45"/>
    <x v="3454"/>
    <x v="3003"/>
    <x v="2868"/>
    <x v="2117"/>
    <x v="298"/>
    <x v="287"/>
    <x v="7"/>
  </r>
  <r>
    <x v="2524"/>
    <x v="302"/>
    <x v="27"/>
    <x v="2934"/>
    <x v="1778"/>
    <x v="45"/>
    <x v="3476"/>
    <x v="3113"/>
    <x v="3033"/>
    <x v="2441"/>
    <x v="298"/>
    <x v="287"/>
    <x v="8"/>
  </r>
  <r>
    <x v="2525"/>
    <x v="302"/>
    <x v="29"/>
    <x v="2935"/>
    <x v="1779"/>
    <x v="50"/>
    <x v="3466"/>
    <x v="3138"/>
    <x v="2876"/>
    <x v="2318"/>
    <x v="298"/>
    <x v="287"/>
    <x v="9"/>
  </r>
  <r>
    <x v="2526"/>
    <x v="303"/>
    <x v="6"/>
    <x v="513"/>
    <x v="127"/>
    <x v="19"/>
    <x v="358"/>
    <x v="966"/>
    <x v="573"/>
    <x v="596"/>
    <x v="234"/>
    <x v="225"/>
    <x v="3"/>
  </r>
  <r>
    <x v="2527"/>
    <x v="303"/>
    <x v="9"/>
    <x v="513"/>
    <x v="127"/>
    <x v="19"/>
    <x v="85"/>
    <x v="228"/>
    <x v="90"/>
    <x v="126"/>
    <x v="234"/>
    <x v="225"/>
    <x v="4"/>
  </r>
  <r>
    <x v="2528"/>
    <x v="303"/>
    <x v="12"/>
    <x v="514"/>
    <x v="127"/>
    <x v="22"/>
    <x v="196"/>
    <x v="614"/>
    <x v="196"/>
    <x v="293"/>
    <x v="234"/>
    <x v="225"/>
    <x v="5"/>
  </r>
  <r>
    <x v="2529"/>
    <x v="303"/>
    <x v="15"/>
    <x v="516"/>
    <x v="129"/>
    <x v="22"/>
    <x v="61"/>
    <x v="99"/>
    <x v="67"/>
    <x v="85"/>
    <x v="234"/>
    <x v="225"/>
    <x v="6"/>
  </r>
  <r>
    <x v="2530"/>
    <x v="304"/>
    <x v="1"/>
    <x v="2631"/>
    <x v="1503"/>
    <x v="26"/>
    <x v="2958"/>
    <x v="2907"/>
    <x v="1657"/>
    <x v="1506"/>
    <x v="56"/>
    <x v="319"/>
    <x v="1"/>
  </r>
  <r>
    <x v="2531"/>
    <x v="304"/>
    <x v="4"/>
    <x v="2621"/>
    <x v="1540"/>
    <x v="28"/>
    <x v="2957"/>
    <x v="2953"/>
    <x v="1589"/>
    <x v="1520"/>
    <x v="56"/>
    <x v="319"/>
    <x v="2"/>
  </r>
  <r>
    <x v="2532"/>
    <x v="304"/>
    <x v="6"/>
    <x v="2628"/>
    <x v="1502"/>
    <x v="35"/>
    <x v="2913"/>
    <x v="2814"/>
    <x v="1501"/>
    <x v="1420"/>
    <x v="56"/>
    <x v="319"/>
    <x v="3"/>
  </r>
  <r>
    <x v="2533"/>
    <x v="304"/>
    <x v="9"/>
    <x v="2607"/>
    <x v="1486"/>
    <x v="36"/>
    <x v="3201"/>
    <x v="3145"/>
    <x v="2268"/>
    <x v="2327"/>
    <x v="56"/>
    <x v="319"/>
    <x v="4"/>
  </r>
  <r>
    <x v="2534"/>
    <x v="304"/>
    <x v="12"/>
    <x v="2635"/>
    <x v="1501"/>
    <x v="37"/>
    <x v="2972"/>
    <x v="2975"/>
    <x v="1613"/>
    <x v="1525"/>
    <x v="56"/>
    <x v="319"/>
    <x v="5"/>
  </r>
  <r>
    <x v="2535"/>
    <x v="304"/>
    <x v="15"/>
    <x v="2637"/>
    <x v="1501"/>
    <x v="37"/>
    <x v="3172"/>
    <x v="3172"/>
    <x v="2182"/>
    <x v="2141"/>
    <x v="56"/>
    <x v="319"/>
    <x v="6"/>
  </r>
  <r>
    <x v="2536"/>
    <x v="304"/>
    <x v="20"/>
    <x v="2643"/>
    <x v="1500"/>
    <x v="37"/>
    <x v="3267"/>
    <x v="3128"/>
    <x v="2542"/>
    <x v="2540"/>
    <x v="56"/>
    <x v="319"/>
    <x v="7"/>
  </r>
  <r>
    <x v="2537"/>
    <x v="304"/>
    <x v="25"/>
    <x v="2642"/>
    <x v="1499"/>
    <x v="38"/>
    <x v="3184"/>
    <x v="3120"/>
    <x v="2392"/>
    <x v="2166"/>
    <x v="56"/>
    <x v="319"/>
    <x v="8"/>
  </r>
  <r>
    <x v="2538"/>
    <x v="304"/>
    <x v="28"/>
    <x v="2651"/>
    <x v="1498"/>
    <x v="38"/>
    <x v="3269"/>
    <x v="3401"/>
    <x v="2634"/>
    <x v="2524"/>
    <x v="56"/>
    <x v="319"/>
    <x v="9"/>
  </r>
  <r>
    <x v="2539"/>
    <x v="305"/>
    <x v="3"/>
    <x v="1683"/>
    <x v="943"/>
    <x v="28"/>
    <x v="1972"/>
    <x v="947"/>
    <x v="1012"/>
    <x v="1551"/>
    <x v="189"/>
    <x v="193"/>
    <x v="1"/>
  </r>
  <r>
    <x v="2540"/>
    <x v="305"/>
    <x v="5"/>
    <x v="2222"/>
    <x v="934"/>
    <x v="15"/>
    <x v="1281"/>
    <x v="868"/>
    <x v="267"/>
    <x v="453"/>
    <x v="189"/>
    <x v="193"/>
    <x v="2"/>
  </r>
  <r>
    <x v="2541"/>
    <x v="305"/>
    <x v="8"/>
    <x v="2235"/>
    <x v="951"/>
    <x v="15"/>
    <x v="1323"/>
    <x v="675"/>
    <x v="539"/>
    <x v="468"/>
    <x v="189"/>
    <x v="193"/>
    <x v="3"/>
  </r>
  <r>
    <x v="2542"/>
    <x v="305"/>
    <x v="11"/>
    <x v="2204"/>
    <x v="948"/>
    <x v="15"/>
    <x v="1908"/>
    <x v="1081"/>
    <x v="516"/>
    <x v="804"/>
    <x v="189"/>
    <x v="193"/>
    <x v="4"/>
  </r>
  <r>
    <x v="2543"/>
    <x v="305"/>
    <x v="13"/>
    <x v="2323"/>
    <x v="948"/>
    <x v="15"/>
    <x v="3388"/>
    <x v="2497"/>
    <x v="3340"/>
    <x v="3359"/>
    <x v="189"/>
    <x v="193"/>
    <x v="5"/>
  </r>
  <r>
    <x v="2544"/>
    <x v="305"/>
    <x v="17"/>
    <x v="2328"/>
    <x v="972"/>
    <x v="15"/>
    <x v="3366"/>
    <x v="1920"/>
    <x v="3323"/>
    <x v="3328"/>
    <x v="189"/>
    <x v="193"/>
    <x v="6"/>
  </r>
  <r>
    <x v="2545"/>
    <x v="305"/>
    <x v="22"/>
    <x v="2337"/>
    <x v="985"/>
    <x v="17"/>
    <x v="3230"/>
    <x v="2114"/>
    <x v="3047"/>
    <x v="3016"/>
    <x v="189"/>
    <x v="193"/>
    <x v="7"/>
  </r>
  <r>
    <x v="2546"/>
    <x v="305"/>
    <x v="27"/>
    <x v="2353"/>
    <x v="984"/>
    <x v="17"/>
    <x v="2445"/>
    <x v="1139"/>
    <x v="1307"/>
    <x v="1369"/>
    <x v="189"/>
    <x v="193"/>
    <x v="8"/>
  </r>
  <r>
    <x v="2547"/>
    <x v="305"/>
    <x v="29"/>
    <x v="2347"/>
    <x v="1026"/>
    <x v="8"/>
    <x v="2986"/>
    <x v="1517"/>
    <x v="2267"/>
    <x v="2378"/>
    <x v="189"/>
    <x v="193"/>
    <x v="9"/>
  </r>
  <r>
    <x v="2548"/>
    <x v="306"/>
    <x v="1"/>
    <x v="1972"/>
    <x v="1039"/>
    <x v="27"/>
    <x v="2867"/>
    <x v="2248"/>
    <x v="2581"/>
    <x v="2576"/>
    <x v="202"/>
    <x v="78"/>
    <x v="1"/>
  </r>
  <r>
    <x v="2549"/>
    <x v="306"/>
    <x v="4"/>
    <x v="1961"/>
    <x v="1081"/>
    <x v="27"/>
    <x v="1974"/>
    <x v="589"/>
    <x v="1238"/>
    <x v="1112"/>
    <x v="202"/>
    <x v="78"/>
    <x v="2"/>
  </r>
  <r>
    <x v="2550"/>
    <x v="306"/>
    <x v="6"/>
    <x v="2010"/>
    <x v="1087"/>
    <x v="29"/>
    <x v="1588"/>
    <x v="423"/>
    <x v="2611"/>
    <x v="686"/>
    <x v="202"/>
    <x v="78"/>
    <x v="3"/>
  </r>
  <r>
    <x v="2551"/>
    <x v="306"/>
    <x v="9"/>
    <x v="2064"/>
    <x v="1118"/>
    <x v="28"/>
    <x v="1662"/>
    <x v="442"/>
    <x v="2117"/>
    <x v="704"/>
    <x v="202"/>
    <x v="78"/>
    <x v="4"/>
  </r>
  <r>
    <x v="2552"/>
    <x v="306"/>
    <x v="12"/>
    <x v="2060"/>
    <x v="1145"/>
    <x v="21"/>
    <x v="2185"/>
    <x v="1919"/>
    <x v="1606"/>
    <x v="1330"/>
    <x v="202"/>
    <x v="78"/>
    <x v="5"/>
  </r>
  <r>
    <x v="2553"/>
    <x v="306"/>
    <x v="15"/>
    <x v="2219"/>
    <x v="1172"/>
    <x v="35"/>
    <x v="2915"/>
    <x v="2690"/>
    <x v="2219"/>
    <x v="2384"/>
    <x v="202"/>
    <x v="78"/>
    <x v="6"/>
  </r>
  <r>
    <x v="2554"/>
    <x v="306"/>
    <x v="20"/>
    <x v="2134"/>
    <x v="1185"/>
    <x v="12"/>
    <x v="1919"/>
    <x v="561"/>
    <x v="527"/>
    <x v="881"/>
    <x v="202"/>
    <x v="78"/>
    <x v="7"/>
  </r>
  <r>
    <x v="2555"/>
    <x v="306"/>
    <x v="25"/>
    <x v="2230"/>
    <x v="1208"/>
    <x v="28"/>
    <x v="2285"/>
    <x v="2287"/>
    <x v="981"/>
    <x v="1278"/>
    <x v="202"/>
    <x v="78"/>
    <x v="8"/>
  </r>
  <r>
    <x v="2556"/>
    <x v="306"/>
    <x v="28"/>
    <x v="2298"/>
    <x v="1218"/>
    <x v="28"/>
    <x v="2973"/>
    <x v="2718"/>
    <x v="2105"/>
    <x v="2424"/>
    <x v="202"/>
    <x v="78"/>
    <x v="9"/>
  </r>
  <r>
    <x v="2557"/>
    <x v="307"/>
    <x v="1"/>
    <x v="2695"/>
    <x v="1532"/>
    <x v="6"/>
    <x v="3228"/>
    <x v="3328"/>
    <x v="2394"/>
    <x v="2256"/>
    <x v="336"/>
    <x v="99"/>
    <x v="1"/>
  </r>
  <r>
    <x v="2558"/>
    <x v="307"/>
    <x v="4"/>
    <x v="2691"/>
    <x v="1549"/>
    <x v="20"/>
    <x v="3234"/>
    <x v="2860"/>
    <x v="1901"/>
    <x v="2289"/>
    <x v="336"/>
    <x v="99"/>
    <x v="2"/>
  </r>
  <r>
    <x v="2559"/>
    <x v="307"/>
    <x v="6"/>
    <x v="2694"/>
    <x v="1549"/>
    <x v="24"/>
    <x v="3322"/>
    <x v="3019"/>
    <x v="2299"/>
    <x v="2681"/>
    <x v="336"/>
    <x v="99"/>
    <x v="3"/>
  </r>
  <r>
    <x v="2560"/>
    <x v="307"/>
    <x v="9"/>
    <x v="2698"/>
    <x v="1593"/>
    <x v="25"/>
    <x v="3349"/>
    <x v="3163"/>
    <x v="2476"/>
    <x v="2768"/>
    <x v="336"/>
    <x v="99"/>
    <x v="4"/>
  </r>
  <r>
    <x v="2561"/>
    <x v="307"/>
    <x v="12"/>
    <x v="2719"/>
    <x v="1593"/>
    <x v="26"/>
    <x v="3324"/>
    <x v="2858"/>
    <x v="2361"/>
    <x v="2643"/>
    <x v="336"/>
    <x v="99"/>
    <x v="5"/>
  </r>
  <r>
    <x v="2562"/>
    <x v="308"/>
    <x v="0"/>
    <x v="412"/>
    <x v="177"/>
    <x v="30"/>
    <x v="2955"/>
    <x v="2243"/>
    <x v="3480"/>
    <x v="3495"/>
    <x v="276"/>
    <x v="271"/>
    <x v="0"/>
  </r>
  <r>
    <x v="2563"/>
    <x v="308"/>
    <x v="3"/>
    <x v="395"/>
    <x v="184"/>
    <x v="34"/>
    <x v="1793"/>
    <x v="1399"/>
    <x v="3010"/>
    <x v="3140"/>
    <x v="276"/>
    <x v="271"/>
    <x v="1"/>
  </r>
  <r>
    <x v="2564"/>
    <x v="308"/>
    <x v="5"/>
    <x v="411"/>
    <x v="209"/>
    <x v="34"/>
    <x v="2001"/>
    <x v="1575"/>
    <x v="3064"/>
    <x v="3253"/>
    <x v="276"/>
    <x v="271"/>
    <x v="2"/>
  </r>
  <r>
    <x v="2565"/>
    <x v="308"/>
    <x v="8"/>
    <x v="411"/>
    <x v="209"/>
    <x v="34"/>
    <x v="1917"/>
    <x v="1583"/>
    <x v="3034"/>
    <x v="3209"/>
    <x v="276"/>
    <x v="271"/>
    <x v="3"/>
  </r>
  <r>
    <x v="2566"/>
    <x v="308"/>
    <x v="11"/>
    <x v="427"/>
    <x v="226"/>
    <x v="34"/>
    <x v="1668"/>
    <x v="1382"/>
    <x v="2741"/>
    <x v="2993"/>
    <x v="276"/>
    <x v="271"/>
    <x v="4"/>
  </r>
  <r>
    <x v="2567"/>
    <x v="308"/>
    <x v="13"/>
    <x v="471"/>
    <x v="238"/>
    <x v="37"/>
    <x v="1678"/>
    <x v="1363"/>
    <x v="2735"/>
    <x v="2960"/>
    <x v="276"/>
    <x v="271"/>
    <x v="5"/>
  </r>
  <r>
    <x v="2568"/>
    <x v="308"/>
    <x v="17"/>
    <x v="474"/>
    <x v="238"/>
    <x v="34"/>
    <x v="1203"/>
    <x v="1073"/>
    <x v="2298"/>
    <x v="2406"/>
    <x v="276"/>
    <x v="271"/>
    <x v="6"/>
  </r>
  <r>
    <x v="2569"/>
    <x v="308"/>
    <x v="22"/>
    <x v="478"/>
    <x v="238"/>
    <x v="25"/>
    <x v="1010"/>
    <x v="1143"/>
    <x v="2237"/>
    <x v="2056"/>
    <x v="276"/>
    <x v="271"/>
    <x v="7"/>
  </r>
  <r>
    <x v="2570"/>
    <x v="308"/>
    <x v="27"/>
    <x v="481"/>
    <x v="238"/>
    <x v="25"/>
    <x v="1501"/>
    <x v="1488"/>
    <x v="2774"/>
    <x v="2782"/>
    <x v="276"/>
    <x v="271"/>
    <x v="8"/>
  </r>
  <r>
    <x v="2571"/>
    <x v="308"/>
    <x v="29"/>
    <x v="476"/>
    <x v="238"/>
    <x v="25"/>
    <x v="1680"/>
    <x v="1620"/>
    <x v="2806"/>
    <x v="2959"/>
    <x v="276"/>
    <x v="271"/>
    <x v="9"/>
  </r>
  <r>
    <x v="2572"/>
    <x v="309"/>
    <x v="1"/>
    <x v="2087"/>
    <x v="1390"/>
    <x v="28"/>
    <x v="2962"/>
    <x v="2663"/>
    <x v="3152"/>
    <x v="2602"/>
    <x v="352"/>
    <x v="337"/>
    <x v="1"/>
  </r>
  <r>
    <x v="2573"/>
    <x v="309"/>
    <x v="4"/>
    <x v="2106"/>
    <x v="1390"/>
    <x v="27"/>
    <x v="3051"/>
    <x v="2774"/>
    <x v="3387"/>
    <x v="2790"/>
    <x v="352"/>
    <x v="337"/>
    <x v="2"/>
  </r>
  <r>
    <x v="2574"/>
    <x v="309"/>
    <x v="6"/>
    <x v="2077"/>
    <x v="1390"/>
    <x v="27"/>
    <x v="2706"/>
    <x v="2471"/>
    <x v="1811"/>
    <x v="2177"/>
    <x v="352"/>
    <x v="337"/>
    <x v="3"/>
  </r>
  <r>
    <x v="2575"/>
    <x v="309"/>
    <x v="9"/>
    <x v="2143"/>
    <x v="1427"/>
    <x v="33"/>
    <x v="2528"/>
    <x v="1982"/>
    <x v="1242"/>
    <x v="1792"/>
    <x v="352"/>
    <x v="337"/>
    <x v="4"/>
  </r>
  <r>
    <x v="2576"/>
    <x v="309"/>
    <x v="12"/>
    <x v="2130"/>
    <x v="1449"/>
    <x v="31"/>
    <x v="3400"/>
    <x v="3041"/>
    <x v="3278"/>
    <x v="3440"/>
    <x v="352"/>
    <x v="337"/>
    <x v="5"/>
  </r>
  <r>
    <x v="2577"/>
    <x v="309"/>
    <x v="15"/>
    <x v="2209"/>
    <x v="1452"/>
    <x v="38"/>
    <x v="3335"/>
    <x v="3011"/>
    <x v="3062"/>
    <x v="3319"/>
    <x v="352"/>
    <x v="337"/>
    <x v="6"/>
  </r>
  <r>
    <x v="2578"/>
    <x v="309"/>
    <x v="20"/>
    <x v="2248"/>
    <x v="1466"/>
    <x v="41"/>
    <x v="3279"/>
    <x v="3030"/>
    <x v="2916"/>
    <x v="3168"/>
    <x v="352"/>
    <x v="337"/>
    <x v="7"/>
  </r>
  <r>
    <x v="2579"/>
    <x v="309"/>
    <x v="25"/>
    <x v="2254"/>
    <x v="1466"/>
    <x v="35"/>
    <x v="3334"/>
    <x v="3333"/>
    <x v="3227"/>
    <x v="3287"/>
    <x v="352"/>
    <x v="337"/>
    <x v="8"/>
  </r>
  <r>
    <x v="2580"/>
    <x v="309"/>
    <x v="28"/>
    <x v="2290"/>
    <x v="1515"/>
    <x v="27"/>
    <x v="3156"/>
    <x v="2921"/>
    <x v="3008"/>
    <x v="2872"/>
    <x v="352"/>
    <x v="337"/>
    <x v="9"/>
  </r>
  <r>
    <x v="2581"/>
    <x v="309"/>
    <x v="30"/>
    <x v="2341"/>
    <x v="1523"/>
    <x v="31"/>
    <x v="3227"/>
    <x v="3009"/>
    <x v="2996"/>
    <x v="3006"/>
    <x v="352"/>
    <x v="337"/>
    <x v="10"/>
  </r>
  <r>
    <x v="2582"/>
    <x v="310"/>
    <x v="4"/>
    <x v="2691"/>
    <x v="1532"/>
    <x v="6"/>
    <x v="12"/>
    <x v="10"/>
    <x v="228"/>
    <x v="30"/>
    <x v="336"/>
    <x v="320"/>
    <x v="2"/>
  </r>
  <r>
    <x v="2583"/>
    <x v="310"/>
    <x v="6"/>
    <x v="2694"/>
    <x v="1592"/>
    <x v="20"/>
    <x v="3410"/>
    <x v="3251"/>
    <x v="2998"/>
    <x v="3198"/>
    <x v="336"/>
    <x v="320"/>
    <x v="3"/>
  </r>
  <r>
    <x v="2584"/>
    <x v="310"/>
    <x v="9"/>
    <x v="2698"/>
    <x v="1593"/>
    <x v="22"/>
    <x v="3349"/>
    <x v="3163"/>
    <x v="2476"/>
    <x v="2768"/>
    <x v="336"/>
    <x v="320"/>
    <x v="4"/>
  </r>
  <r>
    <x v="2585"/>
    <x v="310"/>
    <x v="12"/>
    <x v="2698"/>
    <x v="1593"/>
    <x v="22"/>
    <x v="3349"/>
    <x v="3163"/>
    <x v="2476"/>
    <x v="2762"/>
    <x v="336"/>
    <x v="320"/>
    <x v="5"/>
  </r>
  <r>
    <x v="2586"/>
    <x v="310"/>
    <x v="17"/>
    <x v="2724"/>
    <x v="1551"/>
    <x v="18"/>
    <x v="3208"/>
    <x v="3104"/>
    <x v="1695"/>
    <x v="2109"/>
    <x v="336"/>
    <x v="320"/>
    <x v="6"/>
  </r>
  <r>
    <x v="2587"/>
    <x v="310"/>
    <x v="22"/>
    <x v="2724"/>
    <x v="1551"/>
    <x v="32"/>
    <x v="2931"/>
    <x v="2915"/>
    <x v="1080"/>
    <x v="1285"/>
    <x v="336"/>
    <x v="320"/>
    <x v="7"/>
  </r>
  <r>
    <x v="2588"/>
    <x v="310"/>
    <x v="27"/>
    <x v="2728"/>
    <x v="1551"/>
    <x v="26"/>
    <x v="3498"/>
    <x v="3470"/>
    <x v="3507"/>
    <x v="3512"/>
    <x v="336"/>
    <x v="320"/>
    <x v="8"/>
  </r>
  <r>
    <x v="2589"/>
    <x v="310"/>
    <x v="29"/>
    <x v="2733"/>
    <x v="1551"/>
    <x v="20"/>
    <x v="2914"/>
    <x v="3288"/>
    <x v="882"/>
    <x v="1208"/>
    <x v="336"/>
    <x v="320"/>
    <x v="9"/>
  </r>
  <r>
    <x v="2590"/>
    <x v="311"/>
    <x v="3"/>
    <x v="619"/>
    <x v="400"/>
    <x v="21"/>
    <x v="710"/>
    <x v="266"/>
    <x v="490"/>
    <x v="1153"/>
    <x v="182"/>
    <x v="188"/>
    <x v="1"/>
  </r>
  <r>
    <x v="2591"/>
    <x v="311"/>
    <x v="5"/>
    <x v="693"/>
    <x v="474"/>
    <x v="31"/>
    <x v="605"/>
    <x v="222"/>
    <x v="268"/>
    <x v="855"/>
    <x v="182"/>
    <x v="188"/>
    <x v="2"/>
  </r>
  <r>
    <x v="2592"/>
    <x v="311"/>
    <x v="8"/>
    <x v="731"/>
    <x v="474"/>
    <x v="34"/>
    <x v="1179"/>
    <x v="205"/>
    <x v="1100"/>
    <x v="1852"/>
    <x v="182"/>
    <x v="188"/>
    <x v="3"/>
  </r>
  <r>
    <x v="2593"/>
    <x v="311"/>
    <x v="11"/>
    <x v="802"/>
    <x v="579"/>
    <x v="34"/>
    <x v="60"/>
    <x v="58"/>
    <x v="489"/>
    <x v="69"/>
    <x v="182"/>
    <x v="188"/>
    <x v="4"/>
  </r>
  <r>
    <x v="2594"/>
    <x v="311"/>
    <x v="13"/>
    <x v="905"/>
    <x v="625"/>
    <x v="36"/>
    <x v="583"/>
    <x v="768"/>
    <x v="388"/>
    <x v="650"/>
    <x v="182"/>
    <x v="188"/>
    <x v="5"/>
  </r>
  <r>
    <x v="2595"/>
    <x v="311"/>
    <x v="17"/>
    <x v="1005"/>
    <x v="631"/>
    <x v="35"/>
    <x v="211"/>
    <x v="367"/>
    <x v="77"/>
    <x v="228"/>
    <x v="182"/>
    <x v="188"/>
    <x v="6"/>
  </r>
  <r>
    <x v="2596"/>
    <x v="311"/>
    <x v="22"/>
    <x v="1154"/>
    <x v="730"/>
    <x v="3"/>
    <x v="492"/>
    <x v="214"/>
    <x v="150"/>
    <x v="447"/>
    <x v="182"/>
    <x v="188"/>
    <x v="7"/>
  </r>
  <r>
    <x v="2597"/>
    <x v="311"/>
    <x v="27"/>
    <x v="1183"/>
    <x v="741"/>
    <x v="23"/>
    <x v="1367"/>
    <x v="808"/>
    <x v="669"/>
    <x v="1418"/>
    <x v="182"/>
    <x v="188"/>
    <x v="8"/>
  </r>
  <r>
    <x v="2598"/>
    <x v="311"/>
    <x v="29"/>
    <x v="1307"/>
    <x v="749"/>
    <x v="33"/>
    <x v="1204"/>
    <x v="776"/>
    <x v="748"/>
    <x v="1018"/>
    <x v="182"/>
    <x v="188"/>
    <x v="9"/>
  </r>
  <r>
    <x v="2599"/>
    <x v="312"/>
    <x v="1"/>
    <x v="386"/>
    <x v="81"/>
    <x v="29"/>
    <x v="1304"/>
    <x v="520"/>
    <x v="2306"/>
    <x v="2647"/>
    <x v="223"/>
    <x v="52"/>
    <x v="1"/>
  </r>
  <r>
    <x v="2600"/>
    <x v="312"/>
    <x v="3"/>
    <x v="314"/>
    <x v="153"/>
    <x v="33"/>
    <x v="706"/>
    <x v="630"/>
    <x v="999"/>
    <x v="1684"/>
    <x v="223"/>
    <x v="52"/>
    <x v="1"/>
  </r>
  <r>
    <x v="2601"/>
    <x v="312"/>
    <x v="5"/>
    <x v="461"/>
    <x v="140"/>
    <x v="24"/>
    <x v="1810"/>
    <x v="1298"/>
    <x v="3306"/>
    <x v="3099"/>
    <x v="223"/>
    <x v="52"/>
    <x v="2"/>
  </r>
  <r>
    <x v="2602"/>
    <x v="312"/>
    <x v="8"/>
    <x v="522"/>
    <x v="153"/>
    <x v="31"/>
    <x v="1273"/>
    <x v="975"/>
    <x v="3133"/>
    <x v="2404"/>
    <x v="223"/>
    <x v="52"/>
    <x v="3"/>
  </r>
  <r>
    <x v="2603"/>
    <x v="312"/>
    <x v="11"/>
    <x v="624"/>
    <x v="370"/>
    <x v="28"/>
    <x v="199"/>
    <x v="172"/>
    <x v="2649"/>
    <x v="266"/>
    <x v="223"/>
    <x v="52"/>
    <x v="4"/>
  </r>
  <r>
    <x v="2604"/>
    <x v="312"/>
    <x v="13"/>
    <x v="716"/>
    <x v="372"/>
    <x v="38"/>
    <x v="886"/>
    <x v="718"/>
    <x v="598"/>
    <x v="1323"/>
    <x v="223"/>
    <x v="52"/>
    <x v="5"/>
  </r>
  <r>
    <x v="2605"/>
    <x v="312"/>
    <x v="17"/>
    <x v="800"/>
    <x v="398"/>
    <x v="32"/>
    <x v="1791"/>
    <x v="1332"/>
    <x v="2020"/>
    <x v="2651"/>
    <x v="223"/>
    <x v="52"/>
    <x v="6"/>
  </r>
  <r>
    <x v="2606"/>
    <x v="312"/>
    <x v="22"/>
    <x v="811"/>
    <x v="406"/>
    <x v="27"/>
    <x v="2051"/>
    <x v="1314"/>
    <x v="2663"/>
    <x v="2941"/>
    <x v="223"/>
    <x v="52"/>
    <x v="7"/>
  </r>
  <r>
    <x v="2607"/>
    <x v="312"/>
    <x v="27"/>
    <x v="806"/>
    <x v="406"/>
    <x v="36"/>
    <x v="2625"/>
    <x v="1057"/>
    <x v="3204"/>
    <x v="3370"/>
    <x v="223"/>
    <x v="52"/>
    <x v="8"/>
  </r>
  <r>
    <x v="2608"/>
    <x v="313"/>
    <x v="1"/>
    <x v="666"/>
    <x v="296"/>
    <x v="16"/>
    <x v="544"/>
    <x v="1504"/>
    <x v="1306"/>
    <x v="775"/>
    <x v="12"/>
    <x v="12"/>
    <x v="1"/>
  </r>
  <r>
    <x v="2609"/>
    <x v="313"/>
    <x v="4"/>
    <x v="671"/>
    <x v="305"/>
    <x v="21"/>
    <x v="376"/>
    <x v="1281"/>
    <x v="658"/>
    <x v="523"/>
    <x v="12"/>
    <x v="12"/>
    <x v="2"/>
  </r>
  <r>
    <x v="2610"/>
    <x v="313"/>
    <x v="6"/>
    <x v="677"/>
    <x v="305"/>
    <x v="24"/>
    <x v="151"/>
    <x v="588"/>
    <x v="371"/>
    <x v="204"/>
    <x v="12"/>
    <x v="12"/>
    <x v="3"/>
  </r>
  <r>
    <x v="2611"/>
    <x v="313"/>
    <x v="9"/>
    <x v="686"/>
    <x v="312"/>
    <x v="22"/>
    <x v="235"/>
    <x v="968"/>
    <x v="518"/>
    <x v="320"/>
    <x v="12"/>
    <x v="12"/>
    <x v="4"/>
  </r>
  <r>
    <x v="2612"/>
    <x v="313"/>
    <x v="12"/>
    <x v="696"/>
    <x v="305"/>
    <x v="21"/>
    <x v="618"/>
    <x v="1711"/>
    <x v="1351"/>
    <x v="872"/>
    <x v="12"/>
    <x v="12"/>
    <x v="5"/>
  </r>
  <r>
    <x v="2613"/>
    <x v="313"/>
    <x v="15"/>
    <x v="697"/>
    <x v="305"/>
    <x v="21"/>
    <x v="95"/>
    <x v="340"/>
    <x v="242"/>
    <x v="121"/>
    <x v="12"/>
    <x v="12"/>
    <x v="6"/>
  </r>
  <r>
    <x v="2614"/>
    <x v="313"/>
    <x v="20"/>
    <x v="700"/>
    <x v="305"/>
    <x v="13"/>
    <x v="73"/>
    <x v="218"/>
    <x v="254"/>
    <x v="95"/>
    <x v="12"/>
    <x v="12"/>
    <x v="7"/>
  </r>
  <r>
    <x v="2615"/>
    <x v="313"/>
    <x v="25"/>
    <x v="703"/>
    <x v="305"/>
    <x v="13"/>
    <x v="631"/>
    <x v="1777"/>
    <x v="1803"/>
    <x v="903"/>
    <x v="12"/>
    <x v="12"/>
    <x v="8"/>
  </r>
  <r>
    <x v="2616"/>
    <x v="313"/>
    <x v="28"/>
    <x v="714"/>
    <x v="305"/>
    <x v="11"/>
    <x v="436"/>
    <x v="1443"/>
    <x v="1299"/>
    <x v="591"/>
    <x v="12"/>
    <x v="12"/>
    <x v="9"/>
  </r>
  <r>
    <x v="2617"/>
    <x v="314"/>
    <x v="1"/>
    <x v="1203"/>
    <x v="953"/>
    <x v="16"/>
    <x v="1679"/>
    <x v="970"/>
    <x v="2184"/>
    <x v="1836"/>
    <x v="14"/>
    <x v="14"/>
    <x v="1"/>
  </r>
  <r>
    <x v="2618"/>
    <x v="314"/>
    <x v="4"/>
    <x v="1213"/>
    <x v="953"/>
    <x v="33"/>
    <x v="2379"/>
    <x v="1323"/>
    <x v="2890"/>
    <x v="2900"/>
    <x v="14"/>
    <x v="14"/>
    <x v="2"/>
  </r>
  <r>
    <x v="2619"/>
    <x v="314"/>
    <x v="6"/>
    <x v="1214"/>
    <x v="953"/>
    <x v="33"/>
    <x v="1971"/>
    <x v="1019"/>
    <x v="2014"/>
    <x v="2316"/>
    <x v="14"/>
    <x v="14"/>
    <x v="3"/>
  </r>
  <r>
    <x v="2620"/>
    <x v="314"/>
    <x v="9"/>
    <x v="1218"/>
    <x v="953"/>
    <x v="33"/>
    <x v="2513"/>
    <x v="1505"/>
    <x v="3039"/>
    <x v="3050"/>
    <x v="14"/>
    <x v="14"/>
    <x v="4"/>
  </r>
  <r>
    <x v="2621"/>
    <x v="314"/>
    <x v="12"/>
    <x v="1223"/>
    <x v="953"/>
    <x v="33"/>
    <x v="2416"/>
    <x v="1394"/>
    <x v="2746"/>
    <x v="2929"/>
    <x v="14"/>
    <x v="14"/>
    <x v="5"/>
  </r>
  <r>
    <x v="2622"/>
    <x v="314"/>
    <x v="15"/>
    <x v="1244"/>
    <x v="947"/>
    <x v="32"/>
    <x v="2241"/>
    <x v="1336"/>
    <x v="2822"/>
    <x v="2702"/>
    <x v="14"/>
    <x v="14"/>
    <x v="6"/>
  </r>
  <r>
    <x v="2623"/>
    <x v="314"/>
    <x v="20"/>
    <x v="1251"/>
    <x v="947"/>
    <x v="38"/>
    <x v="1997"/>
    <x v="1398"/>
    <x v="2213"/>
    <x v="2304"/>
    <x v="14"/>
    <x v="14"/>
    <x v="7"/>
  </r>
  <r>
    <x v="2624"/>
    <x v="314"/>
    <x v="21"/>
    <x v="1251"/>
    <x v="947"/>
    <x v="28"/>
    <x v="2374"/>
    <x v="2101"/>
    <x v="2885"/>
    <x v="2869"/>
    <x v="14"/>
    <x v="14"/>
    <x v="7"/>
  </r>
  <r>
    <x v="2625"/>
    <x v="314"/>
    <x v="25"/>
    <x v="1258"/>
    <x v="947"/>
    <x v="38"/>
    <x v="2848"/>
    <x v="2125"/>
    <x v="3272"/>
    <x v="3274"/>
    <x v="14"/>
    <x v="14"/>
    <x v="8"/>
  </r>
  <r>
    <x v="2626"/>
    <x v="314"/>
    <x v="26"/>
    <x v="1251"/>
    <x v="941"/>
    <x v="38"/>
    <x v="2561"/>
    <x v="1909"/>
    <x v="3097"/>
    <x v="3071"/>
    <x v="14"/>
    <x v="14"/>
    <x v="8"/>
  </r>
  <r>
    <x v="2627"/>
    <x v="314"/>
    <x v="28"/>
    <x v="1260"/>
    <x v="947"/>
    <x v="33"/>
    <x v="2318"/>
    <x v="1772"/>
    <x v="2986"/>
    <x v="2780"/>
    <x v="14"/>
    <x v="14"/>
    <x v="9"/>
  </r>
  <r>
    <x v="2628"/>
    <x v="315"/>
    <x v="0"/>
    <x v="486"/>
    <x v="119"/>
    <x v="15"/>
    <x v="785"/>
    <x v="1378"/>
    <x v="2939"/>
    <x v="1571"/>
    <x v="150"/>
    <x v="155"/>
    <x v="0"/>
  </r>
  <r>
    <x v="2629"/>
    <x v="315"/>
    <x v="3"/>
    <x v="486"/>
    <x v="119"/>
    <x v="10"/>
    <x v="845"/>
    <x v="1426"/>
    <x v="3007"/>
    <x v="1670"/>
    <x v="150"/>
    <x v="155"/>
    <x v="1"/>
  </r>
  <r>
    <x v="2630"/>
    <x v="315"/>
    <x v="5"/>
    <x v="486"/>
    <x v="119"/>
    <x v="10"/>
    <x v="777"/>
    <x v="1542"/>
    <x v="2897"/>
    <x v="1562"/>
    <x v="150"/>
    <x v="155"/>
    <x v="2"/>
  </r>
  <r>
    <x v="2631"/>
    <x v="315"/>
    <x v="8"/>
    <x v="486"/>
    <x v="119"/>
    <x v="10"/>
    <x v="494"/>
    <x v="1263"/>
    <x v="2404"/>
    <x v="897"/>
    <x v="150"/>
    <x v="155"/>
    <x v="3"/>
  </r>
  <r>
    <x v="2632"/>
    <x v="315"/>
    <x v="11"/>
    <x v="492"/>
    <x v="119"/>
    <x v="15"/>
    <x v="569"/>
    <x v="1320"/>
    <x v="2508"/>
    <x v="1044"/>
    <x v="150"/>
    <x v="155"/>
    <x v="4"/>
  </r>
  <r>
    <x v="2633"/>
    <x v="315"/>
    <x v="13"/>
    <x v="492"/>
    <x v="119"/>
    <x v="11"/>
    <x v="586"/>
    <x v="1290"/>
    <x v="2472"/>
    <x v="1084"/>
    <x v="150"/>
    <x v="155"/>
    <x v="5"/>
  </r>
  <r>
    <x v="2634"/>
    <x v="315"/>
    <x v="17"/>
    <x v="492"/>
    <x v="119"/>
    <x v="16"/>
    <x v="402"/>
    <x v="1152"/>
    <x v="2034"/>
    <x v="690"/>
    <x v="150"/>
    <x v="155"/>
    <x v="6"/>
  </r>
  <r>
    <x v="2635"/>
    <x v="315"/>
    <x v="22"/>
    <x v="492"/>
    <x v="119"/>
    <x v="13"/>
    <x v="861"/>
    <x v="1740"/>
    <x v="3068"/>
    <x v="1673"/>
    <x v="150"/>
    <x v="155"/>
    <x v="7"/>
  </r>
  <r>
    <x v="2636"/>
    <x v="315"/>
    <x v="27"/>
    <x v="492"/>
    <x v="119"/>
    <x v="13"/>
    <x v="619"/>
    <x v="1533"/>
    <x v="2697"/>
    <x v="1155"/>
    <x v="150"/>
    <x v="155"/>
    <x v="8"/>
  </r>
  <r>
    <x v="2637"/>
    <x v="315"/>
    <x v="29"/>
    <x v="492"/>
    <x v="119"/>
    <x v="13"/>
    <x v="898"/>
    <x v="1804"/>
    <x v="3035"/>
    <x v="1751"/>
    <x v="150"/>
    <x v="155"/>
    <x v="9"/>
  </r>
  <r>
    <x v="2638"/>
    <x v="316"/>
    <x v="1"/>
    <x v="1205"/>
    <x v="699"/>
    <x v="31"/>
    <x v="894"/>
    <x v="1050"/>
    <x v="596"/>
    <x v="760"/>
    <x v="252"/>
    <x v="125"/>
    <x v="1"/>
  </r>
  <r>
    <x v="2639"/>
    <x v="316"/>
    <x v="4"/>
    <x v="1302"/>
    <x v="1153"/>
    <x v="34"/>
    <x v="1335"/>
    <x v="1603"/>
    <x v="1386"/>
    <x v="1209"/>
    <x v="252"/>
    <x v="125"/>
    <x v="2"/>
  </r>
  <r>
    <x v="2640"/>
    <x v="316"/>
    <x v="6"/>
    <x v="1278"/>
    <x v="761"/>
    <x v="35"/>
    <x v="291"/>
    <x v="554"/>
    <x v="311"/>
    <x v="243"/>
    <x v="252"/>
    <x v="125"/>
    <x v="3"/>
  </r>
  <r>
    <x v="2641"/>
    <x v="316"/>
    <x v="9"/>
    <x v="1283"/>
    <x v="762"/>
    <x v="31"/>
    <x v="757"/>
    <x v="1137"/>
    <x v="631"/>
    <x v="603"/>
    <x v="252"/>
    <x v="125"/>
    <x v="4"/>
  </r>
  <r>
    <x v="2642"/>
    <x v="316"/>
    <x v="12"/>
    <x v="1279"/>
    <x v="767"/>
    <x v="42"/>
    <x v="132"/>
    <x v="198"/>
    <x v="211"/>
    <x v="114"/>
    <x v="252"/>
    <x v="125"/>
    <x v="5"/>
  </r>
  <r>
    <x v="2643"/>
    <x v="316"/>
    <x v="15"/>
    <x v="1282"/>
    <x v="767"/>
    <x v="38"/>
    <x v="591"/>
    <x v="958"/>
    <x v="428"/>
    <x v="469"/>
    <x v="252"/>
    <x v="125"/>
    <x v="6"/>
  </r>
  <r>
    <x v="2644"/>
    <x v="316"/>
    <x v="20"/>
    <x v="1352"/>
    <x v="775"/>
    <x v="25"/>
    <x v="1630"/>
    <x v="1612"/>
    <x v="1590"/>
    <x v="1527"/>
    <x v="252"/>
    <x v="125"/>
    <x v="7"/>
  </r>
  <r>
    <x v="2645"/>
    <x v="316"/>
    <x v="25"/>
    <x v="1351"/>
    <x v="774"/>
    <x v="25"/>
    <x v="316"/>
    <x v="513"/>
    <x v="300"/>
    <x v="250"/>
    <x v="252"/>
    <x v="125"/>
    <x v="8"/>
  </r>
  <r>
    <x v="2646"/>
    <x v="316"/>
    <x v="28"/>
    <x v="1369"/>
    <x v="793"/>
    <x v="25"/>
    <x v="1465"/>
    <x v="1568"/>
    <x v="1566"/>
    <x v="1293"/>
    <x v="252"/>
    <x v="125"/>
    <x v="9"/>
  </r>
  <r>
    <x v="2647"/>
    <x v="317"/>
    <x v="1"/>
    <x v="421"/>
    <x v="84"/>
    <x v="15"/>
    <x v="99"/>
    <x v="247"/>
    <x v="163"/>
    <x v="152"/>
    <x v="257"/>
    <x v="251"/>
    <x v="1"/>
  </r>
  <r>
    <x v="2648"/>
    <x v="317"/>
    <x v="5"/>
    <x v="380"/>
    <x v="84"/>
    <x v="15"/>
    <x v="549"/>
    <x v="1688"/>
    <x v="1381"/>
    <x v="1158"/>
    <x v="257"/>
    <x v="251"/>
    <x v="2"/>
  </r>
  <r>
    <x v="2649"/>
    <x v="317"/>
    <x v="8"/>
    <x v="380"/>
    <x v="84"/>
    <x v="19"/>
    <x v="554"/>
    <x v="1713"/>
    <x v="1568"/>
    <x v="1177"/>
    <x v="257"/>
    <x v="251"/>
    <x v="3"/>
  </r>
  <r>
    <x v="2650"/>
    <x v="317"/>
    <x v="11"/>
    <x v="424"/>
    <x v="84"/>
    <x v="19"/>
    <x v="912"/>
    <x v="1413"/>
    <x v="2351"/>
    <x v="1897"/>
    <x v="257"/>
    <x v="251"/>
    <x v="4"/>
  </r>
  <r>
    <x v="2651"/>
    <x v="317"/>
    <x v="13"/>
    <x v="433"/>
    <x v="84"/>
    <x v="16"/>
    <x v="1539"/>
    <x v="1865"/>
    <x v="3122"/>
    <x v="2868"/>
    <x v="257"/>
    <x v="251"/>
    <x v="5"/>
  </r>
  <r>
    <x v="2652"/>
    <x v="317"/>
    <x v="17"/>
    <x v="442"/>
    <x v="84"/>
    <x v="10"/>
    <x v="465"/>
    <x v="1334"/>
    <x v="1559"/>
    <x v="896"/>
    <x v="257"/>
    <x v="251"/>
    <x v="6"/>
  </r>
  <r>
    <x v="2653"/>
    <x v="317"/>
    <x v="22"/>
    <x v="442"/>
    <x v="84"/>
    <x v="10"/>
    <x v="584"/>
    <x v="2157"/>
    <x v="1828"/>
    <x v="1147"/>
    <x v="257"/>
    <x v="251"/>
    <x v="7"/>
  </r>
  <r>
    <x v="2654"/>
    <x v="317"/>
    <x v="27"/>
    <x v="435"/>
    <x v="84"/>
    <x v="10"/>
    <x v="677"/>
    <x v="2104"/>
    <x v="2112"/>
    <x v="1428"/>
    <x v="257"/>
    <x v="251"/>
    <x v="8"/>
  </r>
  <r>
    <x v="2655"/>
    <x v="317"/>
    <x v="29"/>
    <x v="510"/>
    <x v="84"/>
    <x v="17"/>
    <x v="647"/>
    <x v="2186"/>
    <x v="2094"/>
    <x v="1225"/>
    <x v="257"/>
    <x v="251"/>
    <x v="9"/>
  </r>
  <r>
    <x v="2656"/>
    <x v="318"/>
    <x v="1"/>
    <x v="1252"/>
    <x v="711"/>
    <x v="9"/>
    <x v="2022"/>
    <x v="1414"/>
    <x v="2680"/>
    <x v="2337"/>
    <x v="308"/>
    <x v="290"/>
    <x v="1"/>
  </r>
  <r>
    <x v="2657"/>
    <x v="318"/>
    <x v="4"/>
    <x v="1252"/>
    <x v="721"/>
    <x v="11"/>
    <x v="1993"/>
    <x v="1397"/>
    <x v="2724"/>
    <x v="2300"/>
    <x v="308"/>
    <x v="290"/>
    <x v="2"/>
  </r>
  <r>
    <x v="2658"/>
    <x v="318"/>
    <x v="6"/>
    <x v="1267"/>
    <x v="721"/>
    <x v="14"/>
    <x v="1208"/>
    <x v="927"/>
    <x v="1447"/>
    <x v="1095"/>
    <x v="308"/>
    <x v="290"/>
    <x v="3"/>
  </r>
  <r>
    <x v="2659"/>
    <x v="318"/>
    <x v="9"/>
    <x v="1608"/>
    <x v="642"/>
    <x v="19"/>
    <x v="1366"/>
    <x v="999"/>
    <x v="1717"/>
    <x v="880"/>
    <x v="308"/>
    <x v="290"/>
    <x v="4"/>
  </r>
  <r>
    <x v="2660"/>
    <x v="318"/>
    <x v="12"/>
    <x v="1654"/>
    <x v="746"/>
    <x v="22"/>
    <x v="1573"/>
    <x v="1093"/>
    <x v="2300"/>
    <x v="1036"/>
    <x v="308"/>
    <x v="290"/>
    <x v="5"/>
  </r>
  <r>
    <x v="2661"/>
    <x v="318"/>
    <x v="15"/>
    <x v="1674"/>
    <x v="746"/>
    <x v="47"/>
    <x v="2057"/>
    <x v="1470"/>
    <x v="2572"/>
    <x v="1708"/>
    <x v="308"/>
    <x v="290"/>
    <x v="6"/>
  </r>
  <r>
    <x v="2662"/>
    <x v="318"/>
    <x v="20"/>
    <x v="1694"/>
    <x v="781"/>
    <x v="39"/>
    <x v="2352"/>
    <x v="2169"/>
    <x v="2970"/>
    <x v="2215"/>
    <x v="308"/>
    <x v="290"/>
    <x v="7"/>
  </r>
  <r>
    <x v="2663"/>
    <x v="318"/>
    <x v="22"/>
    <x v="1667"/>
    <x v="783"/>
    <x v="36"/>
    <x v="2552"/>
    <x v="2270"/>
    <x v="3148"/>
    <x v="2588"/>
    <x v="308"/>
    <x v="290"/>
    <x v="7"/>
  </r>
  <r>
    <x v="2664"/>
    <x v="318"/>
    <x v="27"/>
    <x v="1713"/>
    <x v="784"/>
    <x v="38"/>
    <x v="1899"/>
    <x v="1783"/>
    <x v="2326"/>
    <x v="1374"/>
    <x v="308"/>
    <x v="290"/>
    <x v="8"/>
  </r>
  <r>
    <x v="2665"/>
    <x v="318"/>
    <x v="29"/>
    <x v="1719"/>
    <x v="780"/>
    <x v="36"/>
    <x v="2323"/>
    <x v="1991"/>
    <x v="2859"/>
    <x v="2102"/>
    <x v="308"/>
    <x v="290"/>
    <x v="9"/>
  </r>
  <r>
    <x v="2666"/>
    <x v="319"/>
    <x v="1"/>
    <x v="527"/>
    <x v="239"/>
    <x v="28"/>
    <x v="51"/>
    <x v="117"/>
    <x v="110"/>
    <x v="55"/>
    <x v="221"/>
    <x v="216"/>
    <x v="1"/>
  </r>
  <r>
    <x v="2667"/>
    <x v="319"/>
    <x v="4"/>
    <x v="527"/>
    <x v="239"/>
    <x v="27"/>
    <x v="87"/>
    <x v="568"/>
    <x v="197"/>
    <x v="129"/>
    <x v="221"/>
    <x v="216"/>
    <x v="2"/>
  </r>
  <r>
    <x v="2668"/>
    <x v="319"/>
    <x v="6"/>
    <x v="530"/>
    <x v="257"/>
    <x v="26"/>
    <x v="187"/>
    <x v="946"/>
    <x v="520"/>
    <x v="275"/>
    <x v="221"/>
    <x v="216"/>
    <x v="3"/>
  </r>
  <r>
    <x v="2669"/>
    <x v="319"/>
    <x v="9"/>
    <x v="534"/>
    <x v="257"/>
    <x v="26"/>
    <x v="546"/>
    <x v="2022"/>
    <x v="2526"/>
    <x v="934"/>
    <x v="221"/>
    <x v="216"/>
    <x v="4"/>
  </r>
  <r>
    <x v="2670"/>
    <x v="319"/>
    <x v="12"/>
    <x v="528"/>
    <x v="257"/>
    <x v="27"/>
    <x v="496"/>
    <x v="1801"/>
    <x v="2355"/>
    <x v="833"/>
    <x v="221"/>
    <x v="216"/>
    <x v="5"/>
  </r>
  <r>
    <x v="2671"/>
    <x v="319"/>
    <x v="15"/>
    <x v="547"/>
    <x v="257"/>
    <x v="28"/>
    <x v="295"/>
    <x v="1130"/>
    <x v="1467"/>
    <x v="471"/>
    <x v="221"/>
    <x v="216"/>
    <x v="6"/>
  </r>
  <r>
    <x v="2672"/>
    <x v="320"/>
    <x v="1"/>
    <x v="241"/>
    <x v="207"/>
    <x v="22"/>
    <x v="390"/>
    <x v="656"/>
    <x v="3248"/>
    <x v="926"/>
    <x v="60"/>
    <x v="40"/>
    <x v="1"/>
  </r>
  <r>
    <x v="2673"/>
    <x v="320"/>
    <x v="4"/>
    <x v="242"/>
    <x v="207"/>
    <x v="23"/>
    <x v="656"/>
    <x v="796"/>
    <x v="3386"/>
    <x v="1720"/>
    <x v="60"/>
    <x v="40"/>
    <x v="2"/>
  </r>
  <r>
    <x v="2674"/>
    <x v="320"/>
    <x v="6"/>
    <x v="243"/>
    <x v="207"/>
    <x v="26"/>
    <x v="257"/>
    <x v="611"/>
    <x v="2721"/>
    <x v="548"/>
    <x v="60"/>
    <x v="40"/>
    <x v="3"/>
  </r>
  <r>
    <x v="2675"/>
    <x v="320"/>
    <x v="9"/>
    <x v="244"/>
    <x v="207"/>
    <x v="28"/>
    <x v="250"/>
    <x v="200"/>
    <x v="2514"/>
    <x v="539"/>
    <x v="60"/>
    <x v="40"/>
    <x v="4"/>
  </r>
  <r>
    <x v="2676"/>
    <x v="320"/>
    <x v="12"/>
    <x v="244"/>
    <x v="207"/>
    <x v="41"/>
    <x v="294"/>
    <x v="241"/>
    <x v="2814"/>
    <x v="640"/>
    <x v="60"/>
    <x v="40"/>
    <x v="5"/>
  </r>
  <r>
    <x v="2677"/>
    <x v="320"/>
    <x v="15"/>
    <x v="244"/>
    <x v="205"/>
    <x v="28"/>
    <x v="241"/>
    <x v="216"/>
    <x v="2754"/>
    <x v="524"/>
    <x v="60"/>
    <x v="40"/>
    <x v="6"/>
  </r>
  <r>
    <x v="2678"/>
    <x v="320"/>
    <x v="20"/>
    <x v="244"/>
    <x v="205"/>
    <x v="32"/>
    <x v="322"/>
    <x v="369"/>
    <x v="2988"/>
    <x v="718"/>
    <x v="60"/>
    <x v="40"/>
    <x v="7"/>
  </r>
  <r>
    <x v="2679"/>
    <x v="320"/>
    <x v="25"/>
    <x v="244"/>
    <x v="205"/>
    <x v="29"/>
    <x v="369"/>
    <x v="455"/>
    <x v="3005"/>
    <x v="841"/>
    <x v="60"/>
    <x v="40"/>
    <x v="8"/>
  </r>
  <r>
    <x v="2680"/>
    <x v="320"/>
    <x v="28"/>
    <x v="244"/>
    <x v="205"/>
    <x v="34"/>
    <x v="635"/>
    <x v="752"/>
    <x v="3367"/>
    <x v="1640"/>
    <x v="60"/>
    <x v="40"/>
    <x v="9"/>
  </r>
  <r>
    <x v="2681"/>
    <x v="321"/>
    <x v="20"/>
    <x v="333"/>
    <x v="379"/>
    <x v="40"/>
    <x v="462"/>
    <x v="306"/>
    <x v="2690"/>
    <x v="1000"/>
    <x v="229"/>
    <x v="223"/>
    <x v="7"/>
  </r>
  <r>
    <x v="2682"/>
    <x v="321"/>
    <x v="25"/>
    <x v="336"/>
    <x v="379"/>
    <x v="40"/>
    <x v="397"/>
    <x v="331"/>
    <x v="2336"/>
    <x v="820"/>
    <x v="229"/>
    <x v="223"/>
    <x v="8"/>
  </r>
  <r>
    <x v="2683"/>
    <x v="321"/>
    <x v="28"/>
    <x v="341"/>
    <x v="379"/>
    <x v="39"/>
    <x v="602"/>
    <x v="1660"/>
    <x v="2966"/>
    <x v="1348"/>
    <x v="229"/>
    <x v="223"/>
    <x v="9"/>
  </r>
  <r>
    <x v="2684"/>
    <x v="322"/>
    <x v="20"/>
    <x v="958"/>
    <x v="349"/>
    <x v="32"/>
    <x v="466"/>
    <x v="1710"/>
    <x v="517"/>
    <x v="516"/>
    <x v="210"/>
    <x v="24"/>
    <x v="7"/>
  </r>
  <r>
    <x v="2685"/>
    <x v="323"/>
    <x v="1"/>
    <x v="911"/>
    <x v="426"/>
    <x v="29"/>
    <x v="722"/>
    <x v="1465"/>
    <x v="967"/>
    <x v="839"/>
    <x v="210"/>
    <x v="24"/>
    <x v="1"/>
  </r>
  <r>
    <x v="2686"/>
    <x v="323"/>
    <x v="4"/>
    <x v="908"/>
    <x v="360"/>
    <x v="31"/>
    <x v="888"/>
    <x v="2096"/>
    <x v="1141"/>
    <x v="1066"/>
    <x v="210"/>
    <x v="24"/>
    <x v="2"/>
  </r>
  <r>
    <x v="2687"/>
    <x v="323"/>
    <x v="6"/>
    <x v="908"/>
    <x v="426"/>
    <x v="30"/>
    <x v="880"/>
    <x v="2168"/>
    <x v="1092"/>
    <x v="1054"/>
    <x v="210"/>
    <x v="24"/>
    <x v="3"/>
  </r>
  <r>
    <x v="2688"/>
    <x v="323"/>
    <x v="9"/>
    <x v="930"/>
    <x v="426"/>
    <x v="30"/>
    <x v="622"/>
    <x v="1876"/>
    <x v="606"/>
    <x v="688"/>
    <x v="210"/>
    <x v="24"/>
    <x v="4"/>
  </r>
  <r>
    <x v="2689"/>
    <x v="323"/>
    <x v="12"/>
    <x v="928"/>
    <x v="341"/>
    <x v="30"/>
    <x v="423"/>
    <x v="3482"/>
    <x v="333"/>
    <x v="474"/>
    <x v="210"/>
    <x v="24"/>
    <x v="5"/>
  </r>
  <r>
    <x v="2690"/>
    <x v="323"/>
    <x v="15"/>
    <x v="927"/>
    <x v="426"/>
    <x v="25"/>
    <x v="273"/>
    <x v="1142"/>
    <x v="182"/>
    <x v="300"/>
    <x v="210"/>
    <x v="24"/>
    <x v="6"/>
  </r>
  <r>
    <x v="2691"/>
    <x v="323"/>
    <x v="25"/>
    <x v="934"/>
    <x v="356"/>
    <x v="33"/>
    <x v="171"/>
    <x v="896"/>
    <x v="199"/>
    <x v="189"/>
    <x v="210"/>
    <x v="24"/>
    <x v="8"/>
  </r>
  <r>
    <x v="2692"/>
    <x v="323"/>
    <x v="28"/>
    <x v="935"/>
    <x v="357"/>
    <x v="33"/>
    <x v="198"/>
    <x v="1109"/>
    <x v="116"/>
    <x v="224"/>
    <x v="210"/>
    <x v="24"/>
    <x v="9"/>
  </r>
  <r>
    <x v="2693"/>
    <x v="324"/>
    <x v="3"/>
    <x v="1034"/>
    <x v="482"/>
    <x v="21"/>
    <x v="1562"/>
    <x v="2563"/>
    <x v="1952"/>
    <x v="1930"/>
    <x v="31"/>
    <x v="37"/>
    <x v="1"/>
  </r>
  <r>
    <x v="2694"/>
    <x v="324"/>
    <x v="5"/>
    <x v="1035"/>
    <x v="453"/>
    <x v="25"/>
    <x v="1157"/>
    <x v="2351"/>
    <x v="1017"/>
    <x v="1311"/>
    <x v="31"/>
    <x v="37"/>
    <x v="2"/>
  </r>
  <r>
    <x v="2695"/>
    <x v="324"/>
    <x v="8"/>
    <x v="1037"/>
    <x v="456"/>
    <x v="41"/>
    <x v="869"/>
    <x v="2097"/>
    <x v="664"/>
    <x v="870"/>
    <x v="31"/>
    <x v="37"/>
    <x v="3"/>
  </r>
  <r>
    <x v="2696"/>
    <x v="324"/>
    <x v="11"/>
    <x v="1032"/>
    <x v="417"/>
    <x v="41"/>
    <x v="1047"/>
    <x v="2279"/>
    <x v="915"/>
    <x v="1145"/>
    <x v="31"/>
    <x v="37"/>
    <x v="4"/>
  </r>
  <r>
    <x v="2697"/>
    <x v="324"/>
    <x v="13"/>
    <x v="1068"/>
    <x v="420"/>
    <x v="27"/>
    <x v="818"/>
    <x v="2046"/>
    <x v="641"/>
    <x v="796"/>
    <x v="31"/>
    <x v="37"/>
    <x v="5"/>
  </r>
  <r>
    <x v="2698"/>
    <x v="324"/>
    <x v="17"/>
    <x v="1038"/>
    <x v="428"/>
    <x v="27"/>
    <x v="1116"/>
    <x v="2339"/>
    <x v="1132"/>
    <x v="1247"/>
    <x v="31"/>
    <x v="37"/>
    <x v="6"/>
  </r>
  <r>
    <x v="2699"/>
    <x v="324"/>
    <x v="22"/>
    <x v="1046"/>
    <x v="429"/>
    <x v="27"/>
    <x v="966"/>
    <x v="2314"/>
    <x v="1224"/>
    <x v="989"/>
    <x v="31"/>
    <x v="37"/>
    <x v="7"/>
  </r>
  <r>
    <x v="2700"/>
    <x v="324"/>
    <x v="27"/>
    <x v="1033"/>
    <x v="430"/>
    <x v="36"/>
    <x v="1212"/>
    <x v="2596"/>
    <x v="1633"/>
    <x v="1381"/>
    <x v="31"/>
    <x v="37"/>
    <x v="8"/>
  </r>
  <r>
    <x v="2701"/>
    <x v="324"/>
    <x v="29"/>
    <x v="1041"/>
    <x v="440"/>
    <x v="37"/>
    <x v="1069"/>
    <x v="2556"/>
    <x v="1560"/>
    <x v="1176"/>
    <x v="31"/>
    <x v="37"/>
    <x v="9"/>
  </r>
  <r>
    <x v="2702"/>
    <x v="325"/>
    <x v="1"/>
    <x v="1856"/>
    <x v="1184"/>
    <x v="20"/>
    <x v="1839"/>
    <x v="2470"/>
    <x v="1159"/>
    <x v="1083"/>
    <x v="40"/>
    <x v="25"/>
    <x v="1"/>
  </r>
  <r>
    <x v="2703"/>
    <x v="325"/>
    <x v="4"/>
    <x v="1823"/>
    <x v="1189"/>
    <x v="24"/>
    <x v="2062"/>
    <x v="2976"/>
    <x v="1301"/>
    <x v="1446"/>
    <x v="40"/>
    <x v="25"/>
    <x v="2"/>
  </r>
  <r>
    <x v="2704"/>
    <x v="325"/>
    <x v="6"/>
    <x v="1827"/>
    <x v="1198"/>
    <x v="29"/>
    <x v="747"/>
    <x v="2069"/>
    <x v="396"/>
    <x v="372"/>
    <x v="40"/>
    <x v="25"/>
    <x v="3"/>
  </r>
  <r>
    <x v="2705"/>
    <x v="325"/>
    <x v="9"/>
    <x v="1804"/>
    <x v="1201"/>
    <x v="29"/>
    <x v="2137"/>
    <x v="3038"/>
    <x v="1356"/>
    <x v="1611"/>
    <x v="40"/>
    <x v="25"/>
    <x v="4"/>
  </r>
  <r>
    <x v="2706"/>
    <x v="325"/>
    <x v="12"/>
    <x v="1834"/>
    <x v="1203"/>
    <x v="29"/>
    <x v="2263"/>
    <x v="3139"/>
    <x v="1396"/>
    <x v="1789"/>
    <x v="40"/>
    <x v="25"/>
    <x v="5"/>
  </r>
  <r>
    <x v="2707"/>
    <x v="325"/>
    <x v="15"/>
    <x v="1840"/>
    <x v="1203"/>
    <x v="29"/>
    <x v="1303"/>
    <x v="2584"/>
    <x v="591"/>
    <x v="633"/>
    <x v="40"/>
    <x v="25"/>
    <x v="6"/>
  </r>
  <r>
    <x v="2708"/>
    <x v="325"/>
    <x v="20"/>
    <x v="1841"/>
    <x v="1206"/>
    <x v="26"/>
    <x v="1652"/>
    <x v="2869"/>
    <x v="803"/>
    <x v="890"/>
    <x v="40"/>
    <x v="25"/>
    <x v="7"/>
  </r>
  <r>
    <x v="2709"/>
    <x v="325"/>
    <x v="25"/>
    <x v="1843"/>
    <x v="1219"/>
    <x v="39"/>
    <x v="1890"/>
    <x v="3062"/>
    <x v="1095"/>
    <x v="1163"/>
    <x v="40"/>
    <x v="25"/>
    <x v="8"/>
  </r>
  <r>
    <x v="2710"/>
    <x v="325"/>
    <x v="28"/>
    <x v="1850"/>
    <x v="1221"/>
    <x v="25"/>
    <x v="1906"/>
    <x v="3076"/>
    <x v="1056"/>
    <x v="1171"/>
    <x v="40"/>
    <x v="25"/>
    <x v="9"/>
  </r>
  <r>
    <x v="2711"/>
    <x v="326"/>
    <x v="1"/>
    <x v="1176"/>
    <x v="448"/>
    <x v="19"/>
    <x v="92"/>
    <x v="395"/>
    <x v="255"/>
    <x v="93"/>
    <x v="50"/>
    <x v="217"/>
    <x v="1"/>
  </r>
  <r>
    <x v="2712"/>
    <x v="326"/>
    <x v="4"/>
    <x v="1039"/>
    <x v="464"/>
    <x v="21"/>
    <x v="1020"/>
    <x v="2316"/>
    <x v="1728"/>
    <x v="1111"/>
    <x v="50"/>
    <x v="217"/>
    <x v="2"/>
  </r>
  <r>
    <x v="2713"/>
    <x v="326"/>
    <x v="6"/>
    <x v="1221"/>
    <x v="470"/>
    <x v="36"/>
    <x v="229"/>
    <x v="1064"/>
    <x v="398"/>
    <x v="212"/>
    <x v="50"/>
    <x v="217"/>
    <x v="3"/>
  </r>
  <r>
    <x v="2714"/>
    <x v="326"/>
    <x v="9"/>
    <x v="1190"/>
    <x v="473"/>
    <x v="29"/>
    <x v="131"/>
    <x v="612"/>
    <x v="283"/>
    <x v="117"/>
    <x v="50"/>
    <x v="217"/>
    <x v="4"/>
  </r>
  <r>
    <x v="2715"/>
    <x v="326"/>
    <x v="12"/>
    <x v="1226"/>
    <x v="475"/>
    <x v="36"/>
    <x v="213"/>
    <x v="1005"/>
    <x v="365"/>
    <x v="205"/>
    <x v="50"/>
    <x v="217"/>
    <x v="5"/>
  </r>
  <r>
    <x v="2716"/>
    <x v="326"/>
    <x v="15"/>
    <x v="1229"/>
    <x v="475"/>
    <x v="29"/>
    <x v="277"/>
    <x v="1230"/>
    <x v="448"/>
    <x v="241"/>
    <x v="50"/>
    <x v="217"/>
    <x v="6"/>
  </r>
  <r>
    <x v="2717"/>
    <x v="326"/>
    <x v="20"/>
    <x v="1234"/>
    <x v="478"/>
    <x v="25"/>
    <x v="474"/>
    <x v="1757"/>
    <x v="690"/>
    <x v="415"/>
    <x v="50"/>
    <x v="217"/>
    <x v="7"/>
  </r>
  <r>
    <x v="2718"/>
    <x v="326"/>
    <x v="25"/>
    <x v="1230"/>
    <x v="480"/>
    <x v="37"/>
    <x v="652"/>
    <x v="2094"/>
    <x v="1106"/>
    <x v="549"/>
    <x v="50"/>
    <x v="217"/>
    <x v="8"/>
  </r>
  <r>
    <x v="2719"/>
    <x v="326"/>
    <x v="28"/>
    <x v="1241"/>
    <x v="485"/>
    <x v="37"/>
    <x v="283"/>
    <x v="1442"/>
    <x v="480"/>
    <x v="242"/>
    <x v="50"/>
    <x v="217"/>
    <x v="9"/>
  </r>
  <r>
    <x v="2720"/>
    <x v="327"/>
    <x v="1"/>
    <x v="2171"/>
    <x v="968"/>
    <x v="19"/>
    <x v="2595"/>
    <x v="3265"/>
    <x v="2409"/>
    <x v="1858"/>
    <x v="50"/>
    <x v="218"/>
    <x v="1"/>
  </r>
  <r>
    <x v="2721"/>
    <x v="327"/>
    <x v="4"/>
    <x v="2297"/>
    <x v="996"/>
    <x v="21"/>
    <x v="2231"/>
    <x v="3092"/>
    <x v="1729"/>
    <x v="1142"/>
    <x v="50"/>
    <x v="218"/>
    <x v="2"/>
  </r>
  <r>
    <x v="2722"/>
    <x v="327"/>
    <x v="6"/>
    <x v="2207"/>
    <x v="1002"/>
    <x v="36"/>
    <x v="2359"/>
    <x v="3169"/>
    <x v="1905"/>
    <x v="1432"/>
    <x v="50"/>
    <x v="218"/>
    <x v="3"/>
  </r>
  <r>
    <x v="2723"/>
    <x v="327"/>
    <x v="9"/>
    <x v="2180"/>
    <x v="1003"/>
    <x v="29"/>
    <x v="2516"/>
    <x v="3228"/>
    <x v="2123"/>
    <x v="1726"/>
    <x v="50"/>
    <x v="218"/>
    <x v="4"/>
  </r>
  <r>
    <x v="2724"/>
    <x v="327"/>
    <x v="12"/>
    <x v="2210"/>
    <x v="1004"/>
    <x v="29"/>
    <x v="2602"/>
    <x v="3256"/>
    <x v="2176"/>
    <x v="1817"/>
    <x v="50"/>
    <x v="218"/>
    <x v="5"/>
  </r>
  <r>
    <x v="2725"/>
    <x v="327"/>
    <x v="15"/>
    <x v="2215"/>
    <x v="1004"/>
    <x v="29"/>
    <x v="2883"/>
    <x v="3373"/>
    <x v="2700"/>
    <x v="2319"/>
    <x v="50"/>
    <x v="218"/>
    <x v="6"/>
  </r>
  <r>
    <x v="2726"/>
    <x v="327"/>
    <x v="20"/>
    <x v="2218"/>
    <x v="1005"/>
    <x v="25"/>
    <x v="2646"/>
    <x v="3326"/>
    <x v="2352"/>
    <x v="1895"/>
    <x v="50"/>
    <x v="218"/>
    <x v="7"/>
  </r>
  <r>
    <x v="2727"/>
    <x v="327"/>
    <x v="25"/>
    <x v="2214"/>
    <x v="1009"/>
    <x v="37"/>
    <x v="2476"/>
    <x v="3299"/>
    <x v="2186"/>
    <x v="1609"/>
    <x v="50"/>
    <x v="218"/>
    <x v="8"/>
  </r>
  <r>
    <x v="2728"/>
    <x v="327"/>
    <x v="28"/>
    <x v="2220"/>
    <x v="1006"/>
    <x v="37"/>
    <x v="2533"/>
    <x v="3346"/>
    <x v="2217"/>
    <x v="1680"/>
    <x v="50"/>
    <x v="218"/>
    <x v="9"/>
  </r>
  <r>
    <x v="2729"/>
    <x v="328"/>
    <x v="1"/>
    <x v="1738"/>
    <x v="667"/>
    <x v="19"/>
    <x v="100"/>
    <x v="341"/>
    <x v="59"/>
    <x v="72"/>
    <x v="55"/>
    <x v="318"/>
    <x v="1"/>
  </r>
  <r>
    <x v="2730"/>
    <x v="328"/>
    <x v="4"/>
    <x v="1721"/>
    <x v="666"/>
    <x v="21"/>
    <x v="53"/>
    <x v="92"/>
    <x v="94"/>
    <x v="44"/>
    <x v="55"/>
    <x v="318"/>
    <x v="2"/>
  </r>
  <r>
    <x v="2731"/>
    <x v="328"/>
    <x v="6"/>
    <x v="1732"/>
    <x v="672"/>
    <x v="36"/>
    <x v="253"/>
    <x v="1003"/>
    <x v="154"/>
    <x v="157"/>
    <x v="55"/>
    <x v="318"/>
    <x v="3"/>
  </r>
  <r>
    <x v="2732"/>
    <x v="328"/>
    <x v="9"/>
    <x v="1687"/>
    <x v="669"/>
    <x v="36"/>
    <x v="1383"/>
    <x v="2433"/>
    <x v="1058"/>
    <x v="801"/>
    <x v="55"/>
    <x v="318"/>
    <x v="4"/>
  </r>
  <r>
    <x v="2733"/>
    <x v="328"/>
    <x v="12"/>
    <x v="1748"/>
    <x v="670"/>
    <x v="29"/>
    <x v="279"/>
    <x v="1044"/>
    <x v="314"/>
    <x v="170"/>
    <x v="55"/>
    <x v="318"/>
    <x v="5"/>
  </r>
  <r>
    <x v="2734"/>
    <x v="328"/>
    <x v="15"/>
    <x v="1752"/>
    <x v="670"/>
    <x v="29"/>
    <x v="263"/>
    <x v="1094"/>
    <x v="160"/>
    <x v="158"/>
    <x v="55"/>
    <x v="318"/>
    <x v="6"/>
  </r>
  <r>
    <x v="2735"/>
    <x v="328"/>
    <x v="20"/>
    <x v="1755"/>
    <x v="677"/>
    <x v="25"/>
    <x v="104"/>
    <x v="487"/>
    <x v="83"/>
    <x v="73"/>
    <x v="55"/>
    <x v="318"/>
    <x v="7"/>
  </r>
  <r>
    <x v="2736"/>
    <x v="328"/>
    <x v="25"/>
    <x v="1754"/>
    <x v="678"/>
    <x v="37"/>
    <x v="197"/>
    <x v="986"/>
    <x v="138"/>
    <x v="122"/>
    <x v="55"/>
    <x v="318"/>
    <x v="8"/>
  </r>
  <r>
    <x v="2737"/>
    <x v="328"/>
    <x v="28"/>
    <x v="1756"/>
    <x v="679"/>
    <x v="37"/>
    <x v="368"/>
    <x v="1541"/>
    <x v="194"/>
    <x v="221"/>
    <x v="55"/>
    <x v="318"/>
    <x v="9"/>
  </r>
  <r>
    <x v="2738"/>
    <x v="329"/>
    <x v="3"/>
    <x v="847"/>
    <x v="396"/>
    <x v="21"/>
    <x v="883"/>
    <x v="1947"/>
    <x v="2446"/>
    <x v="1133"/>
    <x v="77"/>
    <x v="157"/>
    <x v="1"/>
  </r>
  <r>
    <x v="2739"/>
    <x v="329"/>
    <x v="5"/>
    <x v="856"/>
    <x v="270"/>
    <x v="31"/>
    <x v="1435"/>
    <x v="2361"/>
    <x v="3055"/>
    <x v="2067"/>
    <x v="77"/>
    <x v="157"/>
    <x v="2"/>
  </r>
  <r>
    <x v="2740"/>
    <x v="329"/>
    <x v="8"/>
    <x v="863"/>
    <x v="279"/>
    <x v="31"/>
    <x v="552"/>
    <x v="1589"/>
    <x v="2536"/>
    <x v="643"/>
    <x v="77"/>
    <x v="157"/>
    <x v="3"/>
  </r>
  <r>
    <x v="2741"/>
    <x v="329"/>
    <x v="11"/>
    <x v="866"/>
    <x v="278"/>
    <x v="29"/>
    <x v="315"/>
    <x v="1107"/>
    <x v="2470"/>
    <x v="385"/>
    <x v="77"/>
    <x v="157"/>
    <x v="4"/>
  </r>
  <r>
    <x v="2742"/>
    <x v="329"/>
    <x v="13"/>
    <x v="874"/>
    <x v="268"/>
    <x v="33"/>
    <x v="679"/>
    <x v="1630"/>
    <x v="2422"/>
    <x v="818"/>
    <x v="77"/>
    <x v="157"/>
    <x v="5"/>
  </r>
  <r>
    <x v="2743"/>
    <x v="329"/>
    <x v="17"/>
    <x v="879"/>
    <x v="268"/>
    <x v="26"/>
    <x v="261"/>
    <x v="1079"/>
    <x v="1374"/>
    <x v="292"/>
    <x v="77"/>
    <x v="157"/>
    <x v="6"/>
  </r>
  <r>
    <x v="2744"/>
    <x v="329"/>
    <x v="22"/>
    <x v="883"/>
    <x v="267"/>
    <x v="22"/>
    <x v="821"/>
    <x v="2086"/>
    <x v="2320"/>
    <x v="998"/>
    <x v="77"/>
    <x v="157"/>
    <x v="7"/>
  </r>
  <r>
    <x v="2745"/>
    <x v="329"/>
    <x v="27"/>
    <x v="886"/>
    <x v="275"/>
    <x v="23"/>
    <x v="1003"/>
    <x v="2298"/>
    <x v="2800"/>
    <x v="1308"/>
    <x v="77"/>
    <x v="157"/>
    <x v="8"/>
  </r>
  <r>
    <x v="2746"/>
    <x v="329"/>
    <x v="29"/>
    <x v="893"/>
    <x v="280"/>
    <x v="30"/>
    <x v="1024"/>
    <x v="2505"/>
    <x v="2727"/>
    <x v="1349"/>
    <x v="77"/>
    <x v="157"/>
    <x v="9"/>
  </r>
  <r>
    <x v="2747"/>
    <x v="330"/>
    <x v="1"/>
    <x v="2036"/>
    <x v="806"/>
    <x v="18"/>
    <x v="2330"/>
    <x v="3093"/>
    <x v="2454"/>
    <x v="1572"/>
    <x v="88"/>
    <x v="113"/>
    <x v="1"/>
  </r>
  <r>
    <x v="2748"/>
    <x v="330"/>
    <x v="4"/>
    <x v="2042"/>
    <x v="809"/>
    <x v="24"/>
    <x v="1920"/>
    <x v="2920"/>
    <x v="1461"/>
    <x v="964"/>
    <x v="88"/>
    <x v="113"/>
    <x v="2"/>
  </r>
  <r>
    <x v="2749"/>
    <x v="330"/>
    <x v="6"/>
    <x v="2043"/>
    <x v="809"/>
    <x v="25"/>
    <x v="138"/>
    <x v="426"/>
    <x v="64"/>
    <x v="79"/>
    <x v="88"/>
    <x v="113"/>
    <x v="3"/>
  </r>
  <r>
    <x v="2750"/>
    <x v="330"/>
    <x v="8"/>
    <x v="2040"/>
    <x v="809"/>
    <x v="32"/>
    <x v="1314"/>
    <x v="2281"/>
    <x v="688"/>
    <x v="532"/>
    <x v="88"/>
    <x v="113"/>
    <x v="3"/>
  </r>
  <r>
    <x v="2751"/>
    <x v="330"/>
    <x v="11"/>
    <x v="2044"/>
    <x v="809"/>
    <x v="25"/>
    <x v="2349"/>
    <x v="2989"/>
    <x v="2323"/>
    <x v="1616"/>
    <x v="88"/>
    <x v="113"/>
    <x v="4"/>
  </r>
  <r>
    <x v="2752"/>
    <x v="330"/>
    <x v="13"/>
    <x v="2037"/>
    <x v="809"/>
    <x v="24"/>
    <x v="1043"/>
    <x v="257"/>
    <x v="507"/>
    <x v="427"/>
    <x v="88"/>
    <x v="113"/>
    <x v="5"/>
  </r>
  <r>
    <x v="2753"/>
    <x v="330"/>
    <x v="17"/>
    <x v="2032"/>
    <x v="809"/>
    <x v="21"/>
    <x v="2429"/>
    <x v="802"/>
    <x v="2660"/>
    <x v="1753"/>
    <x v="88"/>
    <x v="113"/>
    <x v="6"/>
  </r>
  <r>
    <x v="2754"/>
    <x v="330"/>
    <x v="22"/>
    <x v="2059"/>
    <x v="809"/>
    <x v="26"/>
    <x v="917"/>
    <x v="2009"/>
    <x v="645"/>
    <x v="363"/>
    <x v="88"/>
    <x v="113"/>
    <x v="7"/>
  </r>
  <r>
    <x v="2755"/>
    <x v="330"/>
    <x v="27"/>
    <x v="2059"/>
    <x v="809"/>
    <x v="31"/>
    <x v="1450"/>
    <x v="2525"/>
    <x v="1245"/>
    <x v="587"/>
    <x v="88"/>
    <x v="113"/>
    <x v="8"/>
  </r>
  <r>
    <x v="2756"/>
    <x v="330"/>
    <x v="29"/>
    <x v="2061"/>
    <x v="809"/>
    <x v="31"/>
    <x v="2548"/>
    <x v="3223"/>
    <x v="2819"/>
    <x v="1936"/>
    <x v="88"/>
    <x v="113"/>
    <x v="9"/>
  </r>
  <r>
    <x v="2757"/>
    <x v="331"/>
    <x v="1"/>
    <x v="282"/>
    <x v="355"/>
    <x v="35"/>
    <x v="1072"/>
    <x v="2231"/>
    <x v="2148"/>
    <x v="2483"/>
    <x v="159"/>
    <x v="334"/>
    <x v="1"/>
  </r>
  <r>
    <x v="2758"/>
    <x v="331"/>
    <x v="4"/>
    <x v="280"/>
    <x v="436"/>
    <x v="35"/>
    <x v="963"/>
    <x v="2753"/>
    <x v="1455"/>
    <x v="2260"/>
    <x v="159"/>
    <x v="334"/>
    <x v="2"/>
  </r>
  <r>
    <x v="2759"/>
    <x v="331"/>
    <x v="6"/>
    <x v="282"/>
    <x v="355"/>
    <x v="34"/>
    <x v="339"/>
    <x v="1903"/>
    <x v="463"/>
    <x v="707"/>
    <x v="159"/>
    <x v="334"/>
    <x v="3"/>
  </r>
  <r>
    <x v="2760"/>
    <x v="331"/>
    <x v="9"/>
    <x v="300"/>
    <x v="355"/>
    <x v="27"/>
    <x v="324"/>
    <x v="1286"/>
    <x v="475"/>
    <x v="663"/>
    <x v="159"/>
    <x v="334"/>
    <x v="4"/>
  </r>
  <r>
    <x v="2761"/>
    <x v="331"/>
    <x v="12"/>
    <x v="301"/>
    <x v="437"/>
    <x v="25"/>
    <x v="696"/>
    <x v="1904"/>
    <x v="852"/>
    <x v="1694"/>
    <x v="159"/>
    <x v="334"/>
    <x v="5"/>
  </r>
  <r>
    <x v="2762"/>
    <x v="331"/>
    <x v="15"/>
    <x v="306"/>
    <x v="437"/>
    <x v="27"/>
    <x v="720"/>
    <x v="1928"/>
    <x v="1023"/>
    <x v="1745"/>
    <x v="159"/>
    <x v="334"/>
    <x v="6"/>
  </r>
  <r>
    <x v="2763"/>
    <x v="331"/>
    <x v="20"/>
    <x v="306"/>
    <x v="437"/>
    <x v="26"/>
    <x v="393"/>
    <x v="1519"/>
    <x v="452"/>
    <x v="844"/>
    <x v="159"/>
    <x v="334"/>
    <x v="7"/>
  </r>
  <r>
    <x v="2764"/>
    <x v="331"/>
    <x v="25"/>
    <x v="306"/>
    <x v="437"/>
    <x v="39"/>
    <x v="671"/>
    <x v="2060"/>
    <x v="1284"/>
    <x v="1628"/>
    <x v="159"/>
    <x v="334"/>
    <x v="8"/>
  </r>
  <r>
    <x v="2765"/>
    <x v="331"/>
    <x v="28"/>
    <x v="306"/>
    <x v="437"/>
    <x v="38"/>
    <x v="729"/>
    <x v="2195"/>
    <x v="1296"/>
    <x v="1748"/>
    <x v="159"/>
    <x v="334"/>
    <x v="9"/>
  </r>
  <r>
    <x v="2766"/>
    <x v="331"/>
    <x v="30"/>
    <x v="285"/>
    <x v="437"/>
    <x v="36"/>
    <x v="464"/>
    <x v="1870"/>
    <x v="683"/>
    <x v="1094"/>
    <x v="159"/>
    <x v="334"/>
    <x v="10"/>
  </r>
  <r>
    <x v="2767"/>
    <x v="332"/>
    <x v="1"/>
    <x v="294"/>
    <x v="125"/>
    <x v="7"/>
    <x v="24"/>
    <x v="16"/>
    <x v="36"/>
    <x v="13"/>
    <x v="207"/>
    <x v="80"/>
    <x v="1"/>
  </r>
  <r>
    <x v="2768"/>
    <x v="332"/>
    <x v="4"/>
    <x v="304"/>
    <x v="120"/>
    <x v="18"/>
    <x v="18"/>
    <x v="11"/>
    <x v="12"/>
    <x v="8"/>
    <x v="207"/>
    <x v="80"/>
    <x v="2"/>
  </r>
  <r>
    <x v="2769"/>
    <x v="332"/>
    <x v="6"/>
    <x v="414"/>
    <x v="123"/>
    <x v="20"/>
    <x v="1582"/>
    <x v="2823"/>
    <x v="2602"/>
    <x v="2934"/>
    <x v="207"/>
    <x v="80"/>
    <x v="3"/>
  </r>
  <r>
    <x v="2770"/>
    <x v="332"/>
    <x v="9"/>
    <x v="420"/>
    <x v="126"/>
    <x v="23"/>
    <x v="232"/>
    <x v="1022"/>
    <x v="510"/>
    <x v="421"/>
    <x v="207"/>
    <x v="80"/>
    <x v="4"/>
  </r>
  <r>
    <x v="2771"/>
    <x v="332"/>
    <x v="12"/>
    <x v="255"/>
    <x v="169"/>
    <x v="26"/>
    <x v="1384"/>
    <x v="2516"/>
    <x v="2340"/>
    <x v="2933"/>
    <x v="207"/>
    <x v="80"/>
    <x v="5"/>
  </r>
  <r>
    <x v="2772"/>
    <x v="332"/>
    <x v="15"/>
    <x v="428"/>
    <x v="167"/>
    <x v="26"/>
    <x v="239"/>
    <x v="1058"/>
    <x v="579"/>
    <x v="436"/>
    <x v="207"/>
    <x v="80"/>
    <x v="6"/>
  </r>
  <r>
    <x v="2773"/>
    <x v="332"/>
    <x v="20"/>
    <x v="446"/>
    <x v="178"/>
    <x v="26"/>
    <x v="525"/>
    <x v="1770"/>
    <x v="1222"/>
    <x v="1006"/>
    <x v="207"/>
    <x v="80"/>
    <x v="7"/>
  </r>
  <r>
    <x v="2774"/>
    <x v="332"/>
    <x v="25"/>
    <x v="352"/>
    <x v="128"/>
    <x v="25"/>
    <x v="361"/>
    <x v="1544"/>
    <x v="892"/>
    <x v="712"/>
    <x v="207"/>
    <x v="80"/>
    <x v="8"/>
  </r>
  <r>
    <x v="2775"/>
    <x v="332"/>
    <x v="28"/>
    <x v="357"/>
    <x v="128"/>
    <x v="28"/>
    <x v="1400"/>
    <x v="2750"/>
    <x v="2557"/>
    <x v="2808"/>
    <x v="207"/>
    <x v="80"/>
    <x v="9"/>
  </r>
  <r>
    <x v="2776"/>
    <x v="333"/>
    <x v="1"/>
    <x v="691"/>
    <x v="254"/>
    <x v="22"/>
    <x v="1296"/>
    <x v="2461"/>
    <x v="2687"/>
    <x v="2104"/>
    <x v="211"/>
    <x v="207"/>
    <x v="1"/>
  </r>
  <r>
    <x v="2777"/>
    <x v="333"/>
    <x v="4"/>
    <x v="504"/>
    <x v="254"/>
    <x v="24"/>
    <x v="1085"/>
    <x v="2356"/>
    <x v="2346"/>
    <x v="2105"/>
    <x v="211"/>
    <x v="207"/>
    <x v="2"/>
  </r>
  <r>
    <x v="2778"/>
    <x v="333"/>
    <x v="6"/>
    <x v="506"/>
    <x v="255"/>
    <x v="25"/>
    <x v="1376"/>
    <x v="2652"/>
    <x v="2764"/>
    <x v="2569"/>
    <x v="211"/>
    <x v="207"/>
    <x v="3"/>
  </r>
  <r>
    <x v="2779"/>
    <x v="333"/>
    <x v="9"/>
    <x v="519"/>
    <x v="255"/>
    <x v="27"/>
    <x v="799"/>
    <x v="2161"/>
    <x v="1692"/>
    <x v="1521"/>
    <x v="211"/>
    <x v="207"/>
    <x v="4"/>
  </r>
  <r>
    <x v="2780"/>
    <x v="333"/>
    <x v="12"/>
    <x v="508"/>
    <x v="255"/>
    <x v="30"/>
    <x v="711"/>
    <x v="1930"/>
    <x v="1663"/>
    <x v="1359"/>
    <x v="211"/>
    <x v="207"/>
    <x v="5"/>
  </r>
  <r>
    <x v="2781"/>
    <x v="333"/>
    <x v="15"/>
    <x v="702"/>
    <x v="256"/>
    <x v="30"/>
    <x v="978"/>
    <x v="2200"/>
    <x v="2435"/>
    <x v="1536"/>
    <x v="211"/>
    <x v="207"/>
    <x v="6"/>
  </r>
  <r>
    <x v="2782"/>
    <x v="333"/>
    <x v="20"/>
    <x v="720"/>
    <x v="264"/>
    <x v="30"/>
    <x v="1036"/>
    <x v="2366"/>
    <x v="2583"/>
    <x v="1626"/>
    <x v="211"/>
    <x v="207"/>
    <x v="7"/>
  </r>
  <r>
    <x v="2783"/>
    <x v="333"/>
    <x v="25"/>
    <x v="720"/>
    <x v="264"/>
    <x v="25"/>
    <x v="1141"/>
    <x v="2526"/>
    <x v="2718"/>
    <x v="1808"/>
    <x v="211"/>
    <x v="207"/>
    <x v="8"/>
  </r>
  <r>
    <x v="2784"/>
    <x v="333"/>
    <x v="28"/>
    <x v="705"/>
    <x v="264"/>
    <x v="29"/>
    <x v="1082"/>
    <x v="2532"/>
    <x v="2548"/>
    <x v="1738"/>
    <x v="211"/>
    <x v="207"/>
    <x v="9"/>
  </r>
  <r>
    <x v="2785"/>
    <x v="334"/>
    <x v="1"/>
    <x v="931"/>
    <x v="496"/>
    <x v="18"/>
    <x v="1548"/>
    <x v="2721"/>
    <x v="2075"/>
    <x v="2114"/>
    <x v="112"/>
    <x v="139"/>
    <x v="1"/>
  </r>
  <r>
    <x v="2786"/>
    <x v="334"/>
    <x v="4"/>
    <x v="936"/>
    <x v="496"/>
    <x v="29"/>
    <x v="1926"/>
    <x v="2931"/>
    <x v="2522"/>
    <x v="2659"/>
    <x v="112"/>
    <x v="139"/>
    <x v="2"/>
  </r>
  <r>
    <x v="2787"/>
    <x v="334"/>
    <x v="6"/>
    <x v="629"/>
    <x v="496"/>
    <x v="36"/>
    <x v="908"/>
    <x v="2120"/>
    <x v="1042"/>
    <x v="1490"/>
    <x v="112"/>
    <x v="139"/>
    <x v="3"/>
  </r>
  <r>
    <x v="2788"/>
    <x v="334"/>
    <x v="9"/>
    <x v="628"/>
    <x v="496"/>
    <x v="30"/>
    <x v="1555"/>
    <x v="2632"/>
    <x v="1723"/>
    <x v="2591"/>
    <x v="112"/>
    <x v="139"/>
    <x v="4"/>
  </r>
  <r>
    <x v="2789"/>
    <x v="334"/>
    <x v="12"/>
    <x v="628"/>
    <x v="495"/>
    <x v="29"/>
    <x v="1758"/>
    <x v="2752"/>
    <x v="1937"/>
    <x v="2822"/>
    <x v="112"/>
    <x v="139"/>
    <x v="5"/>
  </r>
  <r>
    <x v="2790"/>
    <x v="334"/>
    <x v="15"/>
    <x v="628"/>
    <x v="426"/>
    <x v="40"/>
    <x v="1405"/>
    <x v="2521"/>
    <x v="1576"/>
    <x v="2401"/>
    <x v="112"/>
    <x v="139"/>
    <x v="6"/>
  </r>
  <r>
    <x v="2791"/>
    <x v="334"/>
    <x v="20"/>
    <x v="628"/>
    <x v="452"/>
    <x v="24"/>
    <x v="1380"/>
    <x v="2575"/>
    <x v="2196"/>
    <x v="2351"/>
    <x v="112"/>
    <x v="139"/>
    <x v="7"/>
  </r>
  <r>
    <x v="2792"/>
    <x v="334"/>
    <x v="25"/>
    <x v="631"/>
    <x v="452"/>
    <x v="40"/>
    <x v="1007"/>
    <x v="2296"/>
    <x v="2023"/>
    <x v="1703"/>
    <x v="112"/>
    <x v="139"/>
    <x v="8"/>
  </r>
  <r>
    <x v="2793"/>
    <x v="334"/>
    <x v="28"/>
    <x v="628"/>
    <x v="452"/>
    <x v="39"/>
    <x v="842"/>
    <x v="2305"/>
    <x v="1621"/>
    <x v="1372"/>
    <x v="112"/>
    <x v="139"/>
    <x v="9"/>
  </r>
  <r>
    <x v="2794"/>
    <x v="335"/>
    <x v="3"/>
    <x v="2082"/>
    <x v="999"/>
    <x v="16"/>
    <x v="2503"/>
    <x v="3189"/>
    <x v="2387"/>
    <x v="1849"/>
    <x v="270"/>
    <x v="266"/>
    <x v="1"/>
  </r>
  <r>
    <x v="2795"/>
    <x v="335"/>
    <x v="5"/>
    <x v="2119"/>
    <x v="998"/>
    <x v="22"/>
    <x v="2500"/>
    <x v="3237"/>
    <x v="1989"/>
    <x v="1793"/>
    <x v="270"/>
    <x v="266"/>
    <x v="2"/>
  </r>
  <r>
    <x v="2796"/>
    <x v="335"/>
    <x v="8"/>
    <x v="2164"/>
    <x v="998"/>
    <x v="30"/>
    <x v="2380"/>
    <x v="3193"/>
    <x v="1781"/>
    <x v="1511"/>
    <x v="270"/>
    <x v="266"/>
    <x v="3"/>
  </r>
  <r>
    <x v="2797"/>
    <x v="335"/>
    <x v="11"/>
    <x v="2102"/>
    <x v="1010"/>
    <x v="44"/>
    <x v="2781"/>
    <x v="3418"/>
    <x v="2443"/>
    <x v="2274"/>
    <x v="270"/>
    <x v="266"/>
    <x v="4"/>
  </r>
  <r>
    <x v="2798"/>
    <x v="335"/>
    <x v="13"/>
    <x v="2103"/>
    <x v="986"/>
    <x v="45"/>
    <x v="2040"/>
    <x v="3290"/>
    <x v="1180"/>
    <x v="1047"/>
    <x v="270"/>
    <x v="266"/>
    <x v="5"/>
  </r>
  <r>
    <x v="2799"/>
    <x v="335"/>
    <x v="17"/>
    <x v="2108"/>
    <x v="1011"/>
    <x v="40"/>
    <x v="1194"/>
    <x v="2917"/>
    <x v="988"/>
    <x v="460"/>
    <x v="270"/>
    <x v="266"/>
    <x v="6"/>
  </r>
  <r>
    <x v="2800"/>
    <x v="335"/>
    <x v="22"/>
    <x v="2112"/>
    <x v="997"/>
    <x v="37"/>
    <x v="2226"/>
    <x v="3183"/>
    <x v="1930"/>
    <x v="1332"/>
    <x v="270"/>
    <x v="266"/>
    <x v="7"/>
  </r>
  <r>
    <x v="2801"/>
    <x v="335"/>
    <x v="27"/>
    <x v="2114"/>
    <x v="997"/>
    <x v="35"/>
    <x v="1978"/>
    <x v="3087"/>
    <x v="1404"/>
    <x v="962"/>
    <x v="270"/>
    <x v="266"/>
    <x v="8"/>
  </r>
  <r>
    <x v="2802"/>
    <x v="335"/>
    <x v="29"/>
    <x v="2120"/>
    <x v="994"/>
    <x v="31"/>
    <x v="1852"/>
    <x v="3074"/>
    <x v="1165"/>
    <x v="825"/>
    <x v="270"/>
    <x v="266"/>
    <x v="9"/>
  </r>
  <r>
    <x v="2803"/>
    <x v="336"/>
    <x v="1"/>
    <x v="1356"/>
    <x v="491"/>
    <x v="19"/>
    <x v="1651"/>
    <x v="1471"/>
    <x v="3065"/>
    <x v="1556"/>
    <x v="292"/>
    <x v="91"/>
    <x v="1"/>
  </r>
  <r>
    <x v="2804"/>
    <x v="336"/>
    <x v="4"/>
    <x v="1275"/>
    <x v="491"/>
    <x v="19"/>
    <x v="1451"/>
    <x v="1863"/>
    <x v="2955"/>
    <x v="1409"/>
    <x v="292"/>
    <x v="91"/>
    <x v="2"/>
  </r>
  <r>
    <x v="2805"/>
    <x v="336"/>
    <x v="6"/>
    <x v="1311"/>
    <x v="500"/>
    <x v="29"/>
    <x v="920"/>
    <x v="1333"/>
    <x v="2622"/>
    <x v="692"/>
    <x v="292"/>
    <x v="91"/>
    <x v="3"/>
  </r>
  <r>
    <x v="2806"/>
    <x v="336"/>
    <x v="9"/>
    <x v="1311"/>
    <x v="500"/>
    <x v="25"/>
    <x v="961"/>
    <x v="2136"/>
    <x v="2777"/>
    <x v="748"/>
    <x v="292"/>
    <x v="91"/>
    <x v="4"/>
  </r>
  <r>
    <x v="2807"/>
    <x v="336"/>
    <x v="12"/>
    <x v="1289"/>
    <x v="463"/>
    <x v="23"/>
    <x v="1441"/>
    <x v="2501"/>
    <x v="3020"/>
    <x v="1370"/>
    <x v="292"/>
    <x v="91"/>
    <x v="5"/>
  </r>
  <r>
    <x v="2808"/>
    <x v="336"/>
    <x v="15"/>
    <x v="1292"/>
    <x v="463"/>
    <x v="20"/>
    <x v="1836"/>
    <x v="2553"/>
    <x v="3146"/>
    <x v="1951"/>
    <x v="292"/>
    <x v="91"/>
    <x v="6"/>
  </r>
  <r>
    <x v="2809"/>
    <x v="336"/>
    <x v="20"/>
    <x v="1301"/>
    <x v="465"/>
    <x v="19"/>
    <x v="1794"/>
    <x v="2274"/>
    <x v="3169"/>
    <x v="1889"/>
    <x v="292"/>
    <x v="91"/>
    <x v="7"/>
  </r>
  <r>
    <x v="2810"/>
    <x v="336"/>
    <x v="25"/>
    <x v="1309"/>
    <x v="463"/>
    <x v="43"/>
    <x v="1704"/>
    <x v="2473"/>
    <x v="3042"/>
    <x v="1692"/>
    <x v="292"/>
    <x v="91"/>
    <x v="8"/>
  </r>
  <r>
    <x v="2811"/>
    <x v="336"/>
    <x v="28"/>
    <x v="1310"/>
    <x v="463"/>
    <x v="42"/>
    <x v="103"/>
    <x v="284"/>
    <x v="1885"/>
    <x v="94"/>
    <x v="292"/>
    <x v="91"/>
    <x v="9"/>
  </r>
  <r>
    <x v="2812"/>
    <x v="337"/>
    <x v="3"/>
    <x v="257"/>
    <x v="29"/>
    <x v="23"/>
    <x v="705"/>
    <x v="1912"/>
    <x v="2206"/>
    <x v="1830"/>
    <x v="101"/>
    <x v="122"/>
    <x v="1"/>
  </r>
  <r>
    <x v="2813"/>
    <x v="337"/>
    <x v="13"/>
    <x v="251"/>
    <x v="45"/>
    <x v="22"/>
    <x v="484"/>
    <x v="1610"/>
    <x v="1665"/>
    <x v="1204"/>
    <x v="101"/>
    <x v="122"/>
    <x v="5"/>
  </r>
  <r>
    <x v="2814"/>
    <x v="337"/>
    <x v="17"/>
    <x v="251"/>
    <x v="45"/>
    <x v="22"/>
    <x v="101"/>
    <x v="380"/>
    <x v="102"/>
    <x v="179"/>
    <x v="101"/>
    <x v="122"/>
    <x v="6"/>
  </r>
  <r>
    <x v="2815"/>
    <x v="337"/>
    <x v="22"/>
    <x v="251"/>
    <x v="46"/>
    <x v="34"/>
    <x v="780"/>
    <x v="2131"/>
    <x v="2515"/>
    <x v="2008"/>
    <x v="101"/>
    <x v="122"/>
    <x v="7"/>
  </r>
  <r>
    <x v="2816"/>
    <x v="337"/>
    <x v="27"/>
    <x v="251"/>
    <x v="46"/>
    <x v="34"/>
    <x v="662"/>
    <x v="2075"/>
    <x v="2035"/>
    <x v="1719"/>
    <x v="101"/>
    <x v="122"/>
    <x v="8"/>
  </r>
  <r>
    <x v="2817"/>
    <x v="337"/>
    <x v="29"/>
    <x v="251"/>
    <x v="46"/>
    <x v="35"/>
    <x v="1391"/>
    <x v="2763"/>
    <x v="3029"/>
    <x v="2945"/>
    <x v="101"/>
    <x v="122"/>
    <x v="9"/>
  </r>
  <r>
    <x v="2818"/>
    <x v="338"/>
    <x v="1"/>
    <x v="1350"/>
    <x v="534"/>
    <x v="32"/>
    <x v="543"/>
    <x v="1683"/>
    <x v="670"/>
    <x v="418"/>
    <x v="231"/>
    <x v="240"/>
    <x v="1"/>
  </r>
  <r>
    <x v="2819"/>
    <x v="338"/>
    <x v="4"/>
    <x v="1350"/>
    <x v="528"/>
    <x v="33"/>
    <x v="1108"/>
    <x v="2283"/>
    <x v="2015"/>
    <x v="869"/>
    <x v="231"/>
    <x v="240"/>
    <x v="2"/>
  </r>
  <r>
    <x v="2820"/>
    <x v="338"/>
    <x v="6"/>
    <x v="1350"/>
    <x v="528"/>
    <x v="33"/>
    <x v="1484"/>
    <x v="2561"/>
    <x v="2599"/>
    <x v="1350"/>
    <x v="231"/>
    <x v="240"/>
    <x v="3"/>
  </r>
  <r>
    <x v="2821"/>
    <x v="338"/>
    <x v="9"/>
    <x v="1362"/>
    <x v="528"/>
    <x v="38"/>
    <x v="1316"/>
    <x v="2565"/>
    <x v="2316"/>
    <x v="1104"/>
    <x v="231"/>
    <x v="240"/>
    <x v="4"/>
  </r>
  <r>
    <x v="2822"/>
    <x v="338"/>
    <x v="12"/>
    <x v="1364"/>
    <x v="533"/>
    <x v="31"/>
    <x v="1004"/>
    <x v="2349"/>
    <x v="2108"/>
    <x v="755"/>
    <x v="231"/>
    <x v="240"/>
    <x v="5"/>
  </r>
  <r>
    <x v="2823"/>
    <x v="338"/>
    <x v="15"/>
    <x v="1364"/>
    <x v="533"/>
    <x v="35"/>
    <x v="770"/>
    <x v="2040"/>
    <x v="1190"/>
    <x v="568"/>
    <x v="231"/>
    <x v="240"/>
    <x v="6"/>
  </r>
  <r>
    <x v="2824"/>
    <x v="338"/>
    <x v="20"/>
    <x v="1367"/>
    <x v="532"/>
    <x v="37"/>
    <x v="921"/>
    <x v="2247"/>
    <x v="1891"/>
    <x v="657"/>
    <x v="231"/>
    <x v="240"/>
    <x v="7"/>
  </r>
  <r>
    <x v="2825"/>
    <x v="338"/>
    <x v="25"/>
    <x v="1365"/>
    <x v="532"/>
    <x v="30"/>
    <x v="1428"/>
    <x v="2890"/>
    <x v="2720"/>
    <x v="1253"/>
    <x v="231"/>
    <x v="240"/>
    <x v="8"/>
  </r>
  <r>
    <x v="2826"/>
    <x v="338"/>
    <x v="28"/>
    <x v="1363"/>
    <x v="545"/>
    <x v="47"/>
    <x v="1330"/>
    <x v="2904"/>
    <x v="2561"/>
    <x v="1121"/>
    <x v="231"/>
    <x v="240"/>
    <x v="9"/>
  </r>
  <r>
    <x v="2827"/>
    <x v="339"/>
    <x v="1"/>
    <x v="201"/>
    <x v="1"/>
    <x v="26"/>
    <x v="72"/>
    <x v="242"/>
    <x v="1303"/>
    <x v="123"/>
    <x v="379"/>
    <x v="315"/>
    <x v="1"/>
  </r>
  <r>
    <x v="2828"/>
    <x v="339"/>
    <x v="4"/>
    <x v="209"/>
    <x v="2"/>
    <x v="25"/>
    <x v="264"/>
    <x v="1112"/>
    <x v="1244"/>
    <x v="572"/>
    <x v="379"/>
    <x v="315"/>
    <x v="2"/>
  </r>
  <r>
    <x v="2829"/>
    <x v="339"/>
    <x v="6"/>
    <x v="201"/>
    <x v="3"/>
    <x v="40"/>
    <x v="375"/>
    <x v="1486"/>
    <x v="1916"/>
    <x v="889"/>
    <x v="379"/>
    <x v="315"/>
    <x v="3"/>
  </r>
  <r>
    <x v="2830"/>
    <x v="339"/>
    <x v="9"/>
    <x v="144"/>
    <x v="5"/>
    <x v="37"/>
    <x v="164"/>
    <x v="753"/>
    <x v="519"/>
    <x v="337"/>
    <x v="379"/>
    <x v="315"/>
    <x v="4"/>
  </r>
  <r>
    <x v="2831"/>
    <x v="339"/>
    <x v="12"/>
    <x v="146"/>
    <x v="5"/>
    <x v="38"/>
    <x v="296"/>
    <x v="1260"/>
    <x v="1417"/>
    <x v="696"/>
    <x v="379"/>
    <x v="315"/>
    <x v="5"/>
  </r>
  <r>
    <x v="2832"/>
    <x v="339"/>
    <x v="15"/>
    <x v="208"/>
    <x v="4"/>
    <x v="31"/>
    <x v="32"/>
    <x v="20"/>
    <x v="4"/>
    <x v="20"/>
    <x v="379"/>
    <x v="315"/>
    <x v="6"/>
  </r>
  <r>
    <x v="2833"/>
    <x v="339"/>
    <x v="20"/>
    <x v="224"/>
    <x v="5"/>
    <x v="19"/>
    <x v="33"/>
    <x v="22"/>
    <x v="5"/>
    <x v="25"/>
    <x v="379"/>
    <x v="315"/>
    <x v="7"/>
  </r>
  <r>
    <x v="2834"/>
    <x v="339"/>
    <x v="25"/>
    <x v="200"/>
    <x v="5"/>
    <x v="20"/>
    <x v="83"/>
    <x v="415"/>
    <x v="223"/>
    <x v="156"/>
    <x v="379"/>
    <x v="315"/>
    <x v="8"/>
  </r>
  <r>
    <x v="2835"/>
    <x v="339"/>
    <x v="28"/>
    <x v="214"/>
    <x v="5"/>
    <x v="20"/>
    <x v="80"/>
    <x v="428"/>
    <x v="216"/>
    <x v="146"/>
    <x v="379"/>
    <x v="315"/>
    <x v="9"/>
  </r>
  <r>
    <x v="2836"/>
    <x v="340"/>
    <x v="3"/>
    <x v="331"/>
    <x v="300"/>
    <x v="28"/>
    <x v="192"/>
    <x v="206"/>
    <x v="1651"/>
    <x v="353"/>
    <x v="64"/>
    <x v="43"/>
    <x v="1"/>
  </r>
  <r>
    <x v="2837"/>
    <x v="340"/>
    <x v="5"/>
    <x v="332"/>
    <x v="297"/>
    <x v="34"/>
    <x v="1025"/>
    <x v="1007"/>
    <x v="1211"/>
    <x v="2336"/>
    <x v="64"/>
    <x v="43"/>
    <x v="2"/>
  </r>
  <r>
    <x v="2838"/>
    <x v="340"/>
    <x v="8"/>
    <x v="333"/>
    <x v="301"/>
    <x v="40"/>
    <x v="958"/>
    <x v="982"/>
    <x v="574"/>
    <x v="2159"/>
    <x v="64"/>
    <x v="43"/>
    <x v="3"/>
  </r>
  <r>
    <x v="2839"/>
    <x v="340"/>
    <x v="11"/>
    <x v="336"/>
    <x v="304"/>
    <x v="41"/>
    <x v="979"/>
    <x v="763"/>
    <x v="493"/>
    <x v="2216"/>
    <x v="64"/>
    <x v="43"/>
    <x v="4"/>
  </r>
  <r>
    <x v="2840"/>
    <x v="340"/>
    <x v="13"/>
    <x v="345"/>
    <x v="309"/>
    <x v="31"/>
    <x v="1458"/>
    <x v="2332"/>
    <x v="1033"/>
    <x v="2893"/>
    <x v="64"/>
    <x v="43"/>
    <x v="5"/>
  </r>
  <r>
    <x v="2841"/>
    <x v="340"/>
    <x v="17"/>
    <x v="348"/>
    <x v="308"/>
    <x v="30"/>
    <x v="772"/>
    <x v="1096"/>
    <x v="331"/>
    <x v="1791"/>
    <x v="64"/>
    <x v="43"/>
    <x v="6"/>
  </r>
  <r>
    <x v="2842"/>
    <x v="340"/>
    <x v="22"/>
    <x v="349"/>
    <x v="310"/>
    <x v="23"/>
    <x v="415"/>
    <x v="674"/>
    <x v="204"/>
    <x v="850"/>
    <x v="64"/>
    <x v="43"/>
    <x v="7"/>
  </r>
  <r>
    <x v="2843"/>
    <x v="340"/>
    <x v="27"/>
    <x v="349"/>
    <x v="303"/>
    <x v="17"/>
    <x v="765"/>
    <x v="1077"/>
    <x v="1018"/>
    <x v="1763"/>
    <x v="64"/>
    <x v="43"/>
    <x v="8"/>
  </r>
  <r>
    <x v="2844"/>
    <x v="340"/>
    <x v="29"/>
    <x v="350"/>
    <x v="303"/>
    <x v="25"/>
    <x v="405"/>
    <x v="748"/>
    <x v="430"/>
    <x v="819"/>
    <x v="64"/>
    <x v="43"/>
    <x v="9"/>
  </r>
  <r>
    <x v="2845"/>
    <x v="341"/>
    <x v="1"/>
    <x v="1689"/>
    <x v="1007"/>
    <x v="32"/>
    <x v="1867"/>
    <x v="3119"/>
    <x v="745"/>
    <x v="1366"/>
    <x v="145"/>
    <x v="149"/>
    <x v="1"/>
  </r>
  <r>
    <x v="2846"/>
    <x v="341"/>
    <x v="4"/>
    <x v="1707"/>
    <x v="963"/>
    <x v="28"/>
    <x v="2277"/>
    <x v="3339"/>
    <x v="1592"/>
    <x v="2048"/>
    <x v="145"/>
    <x v="149"/>
    <x v="2"/>
  </r>
  <r>
    <x v="2847"/>
    <x v="341"/>
    <x v="6"/>
    <x v="1714"/>
    <x v="956"/>
    <x v="34"/>
    <x v="2153"/>
    <x v="3311"/>
    <x v="1057"/>
    <x v="1821"/>
    <x v="145"/>
    <x v="149"/>
    <x v="3"/>
  </r>
  <r>
    <x v="2848"/>
    <x v="341"/>
    <x v="9"/>
    <x v="1716"/>
    <x v="955"/>
    <x v="32"/>
    <x v="2104"/>
    <x v="1762"/>
    <x v="1074"/>
    <x v="1704"/>
    <x v="145"/>
    <x v="149"/>
    <x v="4"/>
  </r>
  <r>
    <x v="2849"/>
    <x v="341"/>
    <x v="12"/>
    <x v="1720"/>
    <x v="961"/>
    <x v="47"/>
    <x v="2489"/>
    <x v="2105"/>
    <x v="1697"/>
    <x v="2412"/>
    <x v="145"/>
    <x v="149"/>
    <x v="5"/>
  </r>
  <r>
    <x v="2850"/>
    <x v="341"/>
    <x v="15"/>
    <x v="1746"/>
    <x v="960"/>
    <x v="46"/>
    <x v="984"/>
    <x v="1068"/>
    <x v="282"/>
    <x v="513"/>
    <x v="145"/>
    <x v="149"/>
    <x v="6"/>
  </r>
  <r>
    <x v="2851"/>
    <x v="341"/>
    <x v="20"/>
    <x v="1723"/>
    <x v="959"/>
    <x v="35"/>
    <x v="1585"/>
    <x v="1722"/>
    <x v="504"/>
    <x v="959"/>
    <x v="145"/>
    <x v="149"/>
    <x v="7"/>
  </r>
  <r>
    <x v="2852"/>
    <x v="341"/>
    <x v="25"/>
    <x v="1717"/>
    <x v="958"/>
    <x v="43"/>
    <x v="2537"/>
    <x v="2176"/>
    <x v="2095"/>
    <x v="2478"/>
    <x v="145"/>
    <x v="149"/>
    <x v="8"/>
  </r>
  <r>
    <x v="2853"/>
    <x v="341"/>
    <x v="28"/>
    <x v="1730"/>
    <x v="962"/>
    <x v="47"/>
    <x v="2087"/>
    <x v="1868"/>
    <x v="2131"/>
    <x v="1656"/>
    <x v="145"/>
    <x v="149"/>
    <x v="9"/>
  </r>
  <r>
    <x v="2854"/>
    <x v="342"/>
    <x v="1"/>
    <x v="1138"/>
    <x v="537"/>
    <x v="19"/>
    <x v="910"/>
    <x v="943"/>
    <x v="614"/>
    <x v="817"/>
    <x v="192"/>
    <x v="195"/>
    <x v="1"/>
  </r>
  <r>
    <x v="2855"/>
    <x v="342"/>
    <x v="4"/>
    <x v="1138"/>
    <x v="556"/>
    <x v="20"/>
    <x v="425"/>
    <x v="494"/>
    <x v="2862"/>
    <x v="399"/>
    <x v="192"/>
    <x v="195"/>
    <x v="2"/>
  </r>
  <r>
    <x v="2856"/>
    <x v="342"/>
    <x v="6"/>
    <x v="1136"/>
    <x v="556"/>
    <x v="28"/>
    <x v="1754"/>
    <x v="1439"/>
    <x v="2106"/>
    <x v="2070"/>
    <x v="192"/>
    <x v="195"/>
    <x v="3"/>
  </r>
  <r>
    <x v="2857"/>
    <x v="342"/>
    <x v="9"/>
    <x v="1136"/>
    <x v="556"/>
    <x v="34"/>
    <x v="1074"/>
    <x v="1037"/>
    <x v="946"/>
    <x v="1064"/>
    <x v="192"/>
    <x v="195"/>
    <x v="4"/>
  </r>
  <r>
    <x v="2858"/>
    <x v="343"/>
    <x v="12"/>
    <x v="1114"/>
    <x v="556"/>
    <x v="26"/>
    <x v="1828"/>
    <x v="1219"/>
    <x v="2218"/>
    <x v="2240"/>
    <x v="192"/>
    <x v="195"/>
    <x v="5"/>
  </r>
  <r>
    <x v="2859"/>
    <x v="343"/>
    <x v="15"/>
    <x v="1137"/>
    <x v="556"/>
    <x v="27"/>
    <x v="1933"/>
    <x v="1669"/>
    <x v="2640"/>
    <x v="2369"/>
    <x v="192"/>
    <x v="195"/>
    <x v="6"/>
  </r>
  <r>
    <x v="2860"/>
    <x v="343"/>
    <x v="17"/>
    <x v="1168"/>
    <x v="556"/>
    <x v="27"/>
    <x v="1243"/>
    <x v="1318"/>
    <x v="1963"/>
    <x v="1256"/>
    <x v="192"/>
    <x v="195"/>
    <x v="6"/>
  </r>
  <r>
    <x v="2861"/>
    <x v="343"/>
    <x v="22"/>
    <x v="1168"/>
    <x v="556"/>
    <x v="25"/>
    <x v="839"/>
    <x v="1113"/>
    <x v="1645"/>
    <x v="740"/>
    <x v="192"/>
    <x v="195"/>
    <x v="7"/>
  </r>
  <r>
    <x v="2862"/>
    <x v="343"/>
    <x v="27"/>
    <x v="1145"/>
    <x v="543"/>
    <x v="27"/>
    <x v="1276"/>
    <x v="1509"/>
    <x v="2195"/>
    <x v="1336"/>
    <x v="192"/>
    <x v="195"/>
    <x v="8"/>
  </r>
  <r>
    <x v="2863"/>
    <x v="343"/>
    <x v="29"/>
    <x v="1145"/>
    <x v="543"/>
    <x v="27"/>
    <x v="1956"/>
    <x v="1995"/>
    <x v="2788"/>
    <x v="2405"/>
    <x v="192"/>
    <x v="195"/>
    <x v="9"/>
  </r>
  <r>
    <x v="2864"/>
    <x v="344"/>
    <x v="1"/>
    <x v="353"/>
    <x v="454"/>
    <x v="15"/>
    <x v="665"/>
    <x v="532"/>
    <x v="789"/>
    <x v="1516"/>
    <x v="218"/>
    <x v="292"/>
    <x v="1"/>
  </r>
  <r>
    <x v="2865"/>
    <x v="344"/>
    <x v="4"/>
    <x v="356"/>
    <x v="471"/>
    <x v="19"/>
    <x v="1177"/>
    <x v="2124"/>
    <x v="1509"/>
    <x v="2535"/>
    <x v="218"/>
    <x v="292"/>
    <x v="2"/>
  </r>
  <r>
    <x v="2866"/>
    <x v="344"/>
    <x v="6"/>
    <x v="387"/>
    <x v="471"/>
    <x v="18"/>
    <x v="1325"/>
    <x v="1864"/>
    <x v="2152"/>
    <x v="2693"/>
    <x v="218"/>
    <x v="292"/>
    <x v="3"/>
  </r>
  <r>
    <x v="2867"/>
    <x v="344"/>
    <x v="9"/>
    <x v="389"/>
    <x v="479"/>
    <x v="21"/>
    <x v="964"/>
    <x v="1495"/>
    <x v="2113"/>
    <x v="2092"/>
    <x v="218"/>
    <x v="292"/>
    <x v="4"/>
  </r>
  <r>
    <x v="2868"/>
    <x v="344"/>
    <x v="12"/>
    <x v="399"/>
    <x v="450"/>
    <x v="30"/>
    <x v="1242"/>
    <x v="2050"/>
    <x v="1812"/>
    <x v="2555"/>
    <x v="218"/>
    <x v="292"/>
    <x v="5"/>
  </r>
  <r>
    <x v="2869"/>
    <x v="344"/>
    <x v="15"/>
    <x v="392"/>
    <x v="469"/>
    <x v="31"/>
    <x v="1066"/>
    <x v="2099"/>
    <x v="1226"/>
    <x v="2307"/>
    <x v="218"/>
    <x v="292"/>
    <x v="6"/>
  </r>
  <r>
    <x v="2870"/>
    <x v="344"/>
    <x v="20"/>
    <x v="393"/>
    <x v="466"/>
    <x v="26"/>
    <x v="1031"/>
    <x v="2445"/>
    <x v="1193"/>
    <x v="2250"/>
    <x v="218"/>
    <x v="292"/>
    <x v="7"/>
  </r>
  <r>
    <x v="2871"/>
    <x v="344"/>
    <x v="25"/>
    <x v="394"/>
    <x v="468"/>
    <x v="24"/>
    <x v="183"/>
    <x v="859"/>
    <x v="250"/>
    <x v="314"/>
    <x v="218"/>
    <x v="292"/>
    <x v="8"/>
  </r>
  <r>
    <x v="2872"/>
    <x v="344"/>
    <x v="28"/>
    <x v="415"/>
    <x v="472"/>
    <x v="27"/>
    <x v="1112"/>
    <x v="2358"/>
    <x v="1587"/>
    <x v="2333"/>
    <x v="218"/>
    <x v="292"/>
    <x v="9"/>
  </r>
  <r>
    <x v="2873"/>
    <x v="345"/>
    <x v="3"/>
    <x v="2246"/>
    <x v="1150"/>
    <x v="40"/>
    <x v="11"/>
    <x v="23"/>
    <x v="20"/>
    <x v="22"/>
    <x v="311"/>
    <x v="292"/>
    <x v="1"/>
  </r>
  <r>
    <x v="2874"/>
    <x v="345"/>
    <x v="5"/>
    <x v="2263"/>
    <x v="1149"/>
    <x v="39"/>
    <x v="6"/>
    <x v="9"/>
    <x v="6"/>
    <x v="14"/>
    <x v="311"/>
    <x v="292"/>
    <x v="2"/>
  </r>
  <r>
    <x v="2875"/>
    <x v="345"/>
    <x v="8"/>
    <x v="2259"/>
    <x v="1138"/>
    <x v="32"/>
    <x v="2734"/>
    <x v="2677"/>
    <x v="2585"/>
    <x v="1978"/>
    <x v="311"/>
    <x v="292"/>
    <x v="3"/>
  </r>
  <r>
    <x v="2876"/>
    <x v="345"/>
    <x v="11"/>
    <x v="2309"/>
    <x v="1148"/>
    <x v="34"/>
    <x v="2782"/>
    <x v="2312"/>
    <x v="2698"/>
    <x v="2018"/>
    <x v="311"/>
    <x v="292"/>
    <x v="4"/>
  </r>
  <r>
    <x v="2877"/>
    <x v="345"/>
    <x v="13"/>
    <x v="2346"/>
    <x v="1146"/>
    <x v="34"/>
    <x v="2901"/>
    <x v="2207"/>
    <x v="2706"/>
    <x v="2193"/>
    <x v="311"/>
    <x v="292"/>
    <x v="5"/>
  </r>
  <r>
    <x v="2878"/>
    <x v="345"/>
    <x v="17"/>
    <x v="2344"/>
    <x v="1139"/>
    <x v="35"/>
    <x v="2412"/>
    <x v="2015"/>
    <x v="2002"/>
    <x v="1345"/>
    <x v="311"/>
    <x v="292"/>
    <x v="6"/>
  </r>
  <r>
    <x v="2879"/>
    <x v="345"/>
    <x v="22"/>
    <x v="2212"/>
    <x v="1173"/>
    <x v="36"/>
    <x v="2527"/>
    <x v="1946"/>
    <x v="2233"/>
    <x v="1682"/>
    <x v="311"/>
    <x v="292"/>
    <x v="7"/>
  </r>
  <r>
    <x v="2880"/>
    <x v="345"/>
    <x v="27"/>
    <x v="2209"/>
    <x v="1161"/>
    <x v="36"/>
    <x v="2845"/>
    <x v="2260"/>
    <x v="2749"/>
    <x v="2246"/>
    <x v="311"/>
    <x v="292"/>
    <x v="8"/>
  </r>
  <r>
    <x v="2881"/>
    <x v="345"/>
    <x v="29"/>
    <x v="2205"/>
    <x v="1159"/>
    <x v="36"/>
    <x v="1661"/>
    <x v="1110"/>
    <x v="2768"/>
    <x v="631"/>
    <x v="311"/>
    <x v="292"/>
    <x v="9"/>
  </r>
  <r>
    <x v="2882"/>
    <x v="346"/>
    <x v="1"/>
    <x v="2006"/>
    <x v="1177"/>
    <x v="27"/>
    <x v="1835"/>
    <x v="1247"/>
    <x v="730"/>
    <x v="901"/>
    <x v="318"/>
    <x v="297"/>
    <x v="1"/>
  </r>
  <r>
    <x v="2883"/>
    <x v="346"/>
    <x v="4"/>
    <x v="2018"/>
    <x v="1166"/>
    <x v="28"/>
    <x v="366"/>
    <x v="233"/>
    <x v="297"/>
    <x v="173"/>
    <x v="318"/>
    <x v="297"/>
    <x v="2"/>
  </r>
  <r>
    <x v="2884"/>
    <x v="346"/>
    <x v="6"/>
    <x v="2021"/>
    <x v="1171"/>
    <x v="32"/>
    <x v="2098"/>
    <x v="1404"/>
    <x v="1075"/>
    <x v="1214"/>
    <x v="318"/>
    <x v="297"/>
    <x v="3"/>
  </r>
  <r>
    <x v="2885"/>
    <x v="346"/>
    <x v="12"/>
    <x v="2027"/>
    <x v="1179"/>
    <x v="23"/>
    <x v="1649"/>
    <x v="1227"/>
    <x v="763"/>
    <x v="725"/>
    <x v="318"/>
    <x v="297"/>
    <x v="5"/>
  </r>
  <r>
    <x v="2886"/>
    <x v="346"/>
    <x v="15"/>
    <x v="2031"/>
    <x v="1179"/>
    <x v="21"/>
    <x v="1228"/>
    <x v="892"/>
    <x v="751"/>
    <x v="499"/>
    <x v="318"/>
    <x v="297"/>
    <x v="6"/>
  </r>
  <r>
    <x v="2887"/>
    <x v="346"/>
    <x v="20"/>
    <x v="2071"/>
    <x v="1180"/>
    <x v="0"/>
    <x v="1291"/>
    <x v="1460"/>
    <x v="217"/>
    <x v="510"/>
    <x v="318"/>
    <x v="297"/>
    <x v="7"/>
  </r>
  <r>
    <x v="2888"/>
    <x v="346"/>
    <x v="25"/>
    <x v="2062"/>
    <x v="1180"/>
    <x v="0"/>
    <x v="2177"/>
    <x v="2246"/>
    <x v="869"/>
    <x v="1322"/>
    <x v="318"/>
    <x v="297"/>
    <x v="8"/>
  </r>
  <r>
    <x v="2889"/>
    <x v="346"/>
    <x v="28"/>
    <x v="2079"/>
    <x v="1182"/>
    <x v="1"/>
    <x v="2191"/>
    <x v="2337"/>
    <x v="895"/>
    <x v="1314"/>
    <x v="318"/>
    <x v="297"/>
    <x v="9"/>
  </r>
  <r>
    <x v="2890"/>
    <x v="347"/>
    <x v="1"/>
    <x v="1293"/>
    <x v="551"/>
    <x v="38"/>
    <x v="2321"/>
    <x v="1472"/>
    <x v="2626"/>
    <x v="2733"/>
    <x v="137"/>
    <x v="297"/>
    <x v="1"/>
  </r>
  <r>
    <x v="2891"/>
    <x v="347"/>
    <x v="4"/>
    <x v="1299"/>
    <x v="577"/>
    <x v="39"/>
    <x v="2465"/>
    <x v="1615"/>
    <x v="2717"/>
    <x v="2920"/>
    <x v="137"/>
    <x v="297"/>
    <x v="2"/>
  </r>
  <r>
    <x v="2892"/>
    <x v="347"/>
    <x v="6"/>
    <x v="1304"/>
    <x v="578"/>
    <x v="36"/>
    <x v="2554"/>
    <x v="1640"/>
    <x v="2791"/>
    <x v="3014"/>
    <x v="137"/>
    <x v="297"/>
    <x v="3"/>
  </r>
  <r>
    <x v="2893"/>
    <x v="347"/>
    <x v="9"/>
    <x v="1314"/>
    <x v="580"/>
    <x v="38"/>
    <x v="2741"/>
    <x v="1836"/>
    <x v="3130"/>
    <x v="3153"/>
    <x v="137"/>
    <x v="297"/>
    <x v="4"/>
  </r>
  <r>
    <x v="2894"/>
    <x v="347"/>
    <x v="12"/>
    <x v="1323"/>
    <x v="574"/>
    <x v="36"/>
    <x v="2891"/>
    <x v="1993"/>
    <x v="3199"/>
    <x v="3248"/>
    <x v="137"/>
    <x v="297"/>
    <x v="5"/>
  </r>
  <r>
    <x v="2895"/>
    <x v="347"/>
    <x v="15"/>
    <x v="1337"/>
    <x v="575"/>
    <x v="38"/>
    <x v="2547"/>
    <x v="1779"/>
    <x v="2918"/>
    <x v="2963"/>
    <x v="137"/>
    <x v="297"/>
    <x v="6"/>
  </r>
  <r>
    <x v="2896"/>
    <x v="347"/>
    <x v="20"/>
    <x v="1336"/>
    <x v="584"/>
    <x v="38"/>
    <x v="2569"/>
    <x v="1844"/>
    <x v="2967"/>
    <x v="2991"/>
    <x v="137"/>
    <x v="297"/>
    <x v="7"/>
  </r>
  <r>
    <x v="2897"/>
    <x v="347"/>
    <x v="25"/>
    <x v="1348"/>
    <x v="590"/>
    <x v="38"/>
    <x v="2507"/>
    <x v="1824"/>
    <x v="2993"/>
    <x v="2909"/>
    <x v="137"/>
    <x v="297"/>
    <x v="8"/>
  </r>
  <r>
    <x v="2898"/>
    <x v="347"/>
    <x v="28"/>
    <x v="1354"/>
    <x v="664"/>
    <x v="37"/>
    <x v="2478"/>
    <x v="1967"/>
    <x v="2954"/>
    <x v="2873"/>
    <x v="137"/>
    <x v="297"/>
    <x v="9"/>
  </r>
  <r>
    <x v="2899"/>
    <x v="348"/>
    <x v="1"/>
    <x v="1848"/>
    <x v="1106"/>
    <x v="26"/>
    <x v="2279"/>
    <x v="2489"/>
    <x v="1814"/>
    <x v="1799"/>
    <x v="48"/>
    <x v="187"/>
    <x v="1"/>
  </r>
  <r>
    <x v="2900"/>
    <x v="348"/>
    <x v="4"/>
    <x v="1831"/>
    <x v="1095"/>
    <x v="26"/>
    <x v="2435"/>
    <x v="2968"/>
    <x v="1838"/>
    <x v="2096"/>
    <x v="48"/>
    <x v="187"/>
    <x v="2"/>
  </r>
  <r>
    <x v="2901"/>
    <x v="348"/>
    <x v="6"/>
    <x v="1833"/>
    <x v="1098"/>
    <x v="29"/>
    <x v="2036"/>
    <x v="2754"/>
    <x v="1115"/>
    <x v="1386"/>
    <x v="48"/>
    <x v="187"/>
    <x v="3"/>
  </r>
  <r>
    <x v="2902"/>
    <x v="348"/>
    <x v="9"/>
    <x v="1803"/>
    <x v="1096"/>
    <x v="35"/>
    <x v="2060"/>
    <x v="2846"/>
    <x v="1231"/>
    <x v="1476"/>
    <x v="48"/>
    <x v="187"/>
    <x v="4"/>
  </r>
  <r>
    <x v="2903"/>
    <x v="348"/>
    <x v="12"/>
    <x v="1832"/>
    <x v="1103"/>
    <x v="34"/>
    <x v="2559"/>
    <x v="3126"/>
    <x v="1841"/>
    <x v="2321"/>
    <x v="48"/>
    <x v="187"/>
    <x v="5"/>
  </r>
  <r>
    <x v="2904"/>
    <x v="348"/>
    <x v="15"/>
    <x v="1836"/>
    <x v="1103"/>
    <x v="31"/>
    <x v="1910"/>
    <x v="2797"/>
    <x v="1050"/>
    <x v="1202"/>
    <x v="48"/>
    <x v="187"/>
    <x v="6"/>
  </r>
  <r>
    <x v="2905"/>
    <x v="348"/>
    <x v="20"/>
    <x v="1837"/>
    <x v="1108"/>
    <x v="37"/>
    <x v="1846"/>
    <x v="2833"/>
    <x v="1076"/>
    <x v="1123"/>
    <x v="48"/>
    <x v="187"/>
    <x v="7"/>
  </r>
  <r>
    <x v="2906"/>
    <x v="348"/>
    <x v="25"/>
    <x v="1839"/>
    <x v="1109"/>
    <x v="40"/>
    <x v="2088"/>
    <x v="3055"/>
    <x v="1499"/>
    <x v="1477"/>
    <x v="48"/>
    <x v="187"/>
    <x v="8"/>
  </r>
  <r>
    <x v="2907"/>
    <x v="348"/>
    <x v="28"/>
    <x v="1842"/>
    <x v="1107"/>
    <x v="39"/>
    <x v="2203"/>
    <x v="3131"/>
    <x v="1635"/>
    <x v="1674"/>
    <x v="48"/>
    <x v="187"/>
    <x v="9"/>
  </r>
  <r>
    <x v="2908"/>
    <x v="349"/>
    <x v="1"/>
    <x v="1551"/>
    <x v="842"/>
    <x v="24"/>
    <x v="2345"/>
    <x v="2442"/>
    <x v="2493"/>
    <x v="2445"/>
    <x v="125"/>
    <x v="50"/>
    <x v="1"/>
  </r>
  <r>
    <x v="2909"/>
    <x v="349"/>
    <x v="4"/>
    <x v="1567"/>
    <x v="842"/>
    <x v="29"/>
    <x v="2295"/>
    <x v="2401"/>
    <x v="2492"/>
    <x v="2306"/>
    <x v="125"/>
    <x v="50"/>
    <x v="2"/>
  </r>
  <r>
    <x v="2910"/>
    <x v="349"/>
    <x v="6"/>
    <x v="1579"/>
    <x v="828"/>
    <x v="30"/>
    <x v="2269"/>
    <x v="2847"/>
    <x v="2544"/>
    <x v="2253"/>
    <x v="125"/>
    <x v="50"/>
    <x v="3"/>
  </r>
  <r>
    <x v="2911"/>
    <x v="349"/>
    <x v="9"/>
    <x v="1596"/>
    <x v="838"/>
    <x v="32"/>
    <x v="2092"/>
    <x v="2894"/>
    <x v="2429"/>
    <x v="1899"/>
    <x v="125"/>
    <x v="50"/>
    <x v="4"/>
  </r>
  <r>
    <x v="2912"/>
    <x v="349"/>
    <x v="12"/>
    <x v="1604"/>
    <x v="871"/>
    <x v="32"/>
    <x v="1834"/>
    <x v="2729"/>
    <x v="2221"/>
    <x v="1453"/>
    <x v="125"/>
    <x v="50"/>
    <x v="5"/>
  </r>
  <r>
    <x v="2913"/>
    <x v="349"/>
    <x v="15"/>
    <x v="1621"/>
    <x v="838"/>
    <x v="32"/>
    <x v="1901"/>
    <x v="2042"/>
    <x v="2272"/>
    <x v="1538"/>
    <x v="125"/>
    <x v="50"/>
    <x v="6"/>
  </r>
  <r>
    <x v="2914"/>
    <x v="349"/>
    <x v="20"/>
    <x v="1633"/>
    <x v="811"/>
    <x v="17"/>
    <x v="2157"/>
    <x v="2058"/>
    <x v="2494"/>
    <x v="1959"/>
    <x v="125"/>
    <x v="50"/>
    <x v="7"/>
  </r>
  <r>
    <x v="2915"/>
    <x v="349"/>
    <x v="25"/>
    <x v="1628"/>
    <x v="870"/>
    <x v="17"/>
    <x v="2464"/>
    <x v="2542"/>
    <x v="2737"/>
    <x v="2523"/>
    <x v="125"/>
    <x v="50"/>
    <x v="8"/>
  </r>
  <r>
    <x v="2916"/>
    <x v="349"/>
    <x v="28"/>
    <x v="1636"/>
    <x v="868"/>
    <x v="16"/>
    <x v="2222"/>
    <x v="2515"/>
    <x v="2375"/>
    <x v="2072"/>
    <x v="125"/>
    <x v="50"/>
    <x v="9"/>
  </r>
  <r>
    <x v="2917"/>
    <x v="350"/>
    <x v="1"/>
    <x v="1710"/>
    <x v="822"/>
    <x v="21"/>
    <x v="2813"/>
    <x v="3289"/>
    <x v="3080"/>
    <x v="2853"/>
    <x v="212"/>
    <x v="208"/>
    <x v="1"/>
  </r>
  <r>
    <x v="2918"/>
    <x v="350"/>
    <x v="4"/>
    <x v="1657"/>
    <x v="787"/>
    <x v="30"/>
    <x v="2473"/>
    <x v="1534"/>
    <x v="2484"/>
    <x v="2489"/>
    <x v="212"/>
    <x v="208"/>
    <x v="2"/>
  </r>
  <r>
    <x v="2919"/>
    <x v="350"/>
    <x v="6"/>
    <x v="1688"/>
    <x v="787"/>
    <x v="29"/>
    <x v="2638"/>
    <x v="1739"/>
    <x v="2535"/>
    <x v="2657"/>
    <x v="212"/>
    <x v="208"/>
    <x v="3"/>
  </r>
  <r>
    <x v="2920"/>
    <x v="350"/>
    <x v="9"/>
    <x v="1682"/>
    <x v="787"/>
    <x v="26"/>
    <x v="2301"/>
    <x v="2249"/>
    <x v="2038"/>
    <x v="2131"/>
    <x v="212"/>
    <x v="208"/>
    <x v="4"/>
  </r>
  <r>
    <x v="2921"/>
    <x v="350"/>
    <x v="12"/>
    <x v="1677"/>
    <x v="787"/>
    <x v="26"/>
    <x v="2873"/>
    <x v="2769"/>
    <x v="2829"/>
    <x v="2968"/>
    <x v="212"/>
    <x v="208"/>
    <x v="5"/>
  </r>
  <r>
    <x v="2922"/>
    <x v="350"/>
    <x v="15"/>
    <x v="1682"/>
    <x v="797"/>
    <x v="26"/>
    <x v="2897"/>
    <x v="2811"/>
    <x v="2909"/>
    <x v="3013"/>
    <x v="212"/>
    <x v="208"/>
    <x v="6"/>
  </r>
  <r>
    <x v="2923"/>
    <x v="350"/>
    <x v="20"/>
    <x v="1682"/>
    <x v="796"/>
    <x v="27"/>
    <x v="2843"/>
    <x v="3343"/>
    <x v="2886"/>
    <x v="2930"/>
    <x v="212"/>
    <x v="208"/>
    <x v="7"/>
  </r>
  <r>
    <x v="2924"/>
    <x v="350"/>
    <x v="25"/>
    <x v="1686"/>
    <x v="796"/>
    <x v="24"/>
    <x v="2750"/>
    <x v="3349"/>
    <x v="2782"/>
    <x v="2800"/>
    <x v="212"/>
    <x v="208"/>
    <x v="8"/>
  </r>
  <r>
    <x v="2925"/>
    <x v="350"/>
    <x v="28"/>
    <x v="1697"/>
    <x v="796"/>
    <x v="34"/>
    <x v="3055"/>
    <x v="3424"/>
    <x v="3118"/>
    <x v="3174"/>
    <x v="212"/>
    <x v="208"/>
    <x v="9"/>
  </r>
  <r>
    <x v="2926"/>
    <x v="351"/>
    <x v="1"/>
    <x v="1468"/>
    <x v="823"/>
    <x v="27"/>
    <x v="2239"/>
    <x v="2071"/>
    <x v="2332"/>
    <x v="2356"/>
    <x v="220"/>
    <x v="82"/>
    <x v="1"/>
  </r>
  <r>
    <x v="2927"/>
    <x v="351"/>
    <x v="4"/>
    <x v="1498"/>
    <x v="799"/>
    <x v="27"/>
    <x v="2086"/>
    <x v="2121"/>
    <x v="2220"/>
    <x v="2035"/>
    <x v="220"/>
    <x v="82"/>
    <x v="2"/>
  </r>
  <r>
    <x v="2928"/>
    <x v="351"/>
    <x v="6"/>
    <x v="1550"/>
    <x v="799"/>
    <x v="30"/>
    <x v="2147"/>
    <x v="2119"/>
    <x v="2310"/>
    <x v="2094"/>
    <x v="220"/>
    <x v="82"/>
    <x v="3"/>
  </r>
  <r>
    <x v="2929"/>
    <x v="351"/>
    <x v="9"/>
    <x v="1548"/>
    <x v="791"/>
    <x v="46"/>
    <x v="1853"/>
    <x v="1861"/>
    <x v="2553"/>
    <x v="1573"/>
    <x v="220"/>
    <x v="82"/>
    <x v="4"/>
  </r>
  <r>
    <x v="2930"/>
    <x v="351"/>
    <x v="12"/>
    <x v="1553"/>
    <x v="791"/>
    <x v="46"/>
    <x v="2257"/>
    <x v="2165"/>
    <x v="2475"/>
    <x v="2271"/>
    <x v="220"/>
    <x v="82"/>
    <x v="5"/>
  </r>
  <r>
    <x v="2931"/>
    <x v="351"/>
    <x v="15"/>
    <x v="1566"/>
    <x v="791"/>
    <x v="46"/>
    <x v="1640"/>
    <x v="1715"/>
    <x v="2401"/>
    <x v="1246"/>
    <x v="220"/>
    <x v="82"/>
    <x v="6"/>
  </r>
  <r>
    <x v="2932"/>
    <x v="351"/>
    <x v="20"/>
    <x v="1585"/>
    <x v="807"/>
    <x v="32"/>
    <x v="1964"/>
    <x v="2030"/>
    <x v="2716"/>
    <x v="1696"/>
    <x v="220"/>
    <x v="82"/>
    <x v="7"/>
  </r>
  <r>
    <x v="2933"/>
    <x v="351"/>
    <x v="25"/>
    <x v="1597"/>
    <x v="807"/>
    <x v="33"/>
    <x v="2705"/>
    <x v="2624"/>
    <x v="2951"/>
    <x v="2860"/>
    <x v="220"/>
    <x v="82"/>
    <x v="8"/>
  </r>
  <r>
    <x v="2934"/>
    <x v="351"/>
    <x v="28"/>
    <x v="1587"/>
    <x v="807"/>
    <x v="14"/>
    <x v="2818"/>
    <x v="2670"/>
    <x v="2968"/>
    <x v="3003"/>
    <x v="220"/>
    <x v="82"/>
    <x v="9"/>
  </r>
  <r>
    <x v="2935"/>
    <x v="352"/>
    <x v="3"/>
    <x v="1796"/>
    <x v="789"/>
    <x v="26"/>
    <x v="2515"/>
    <x v="3218"/>
    <x v="2149"/>
    <x v="2303"/>
    <x v="224"/>
    <x v="83"/>
    <x v="1"/>
  </r>
  <r>
    <x v="2936"/>
    <x v="352"/>
    <x v="5"/>
    <x v="1779"/>
    <x v="713"/>
    <x v="26"/>
    <x v="1483"/>
    <x v="85"/>
    <x v="492"/>
    <x v="805"/>
    <x v="224"/>
    <x v="83"/>
    <x v="2"/>
  </r>
  <r>
    <x v="2937"/>
    <x v="352"/>
    <x v="8"/>
    <x v="1783"/>
    <x v="777"/>
    <x v="26"/>
    <x v="1361"/>
    <x v="97"/>
    <x v="495"/>
    <x v="706"/>
    <x v="224"/>
    <x v="83"/>
    <x v="3"/>
  </r>
  <r>
    <x v="2938"/>
    <x v="352"/>
    <x v="13"/>
    <x v="1799"/>
    <x v="777"/>
    <x v="26"/>
    <x v="1927"/>
    <x v="3482"/>
    <x v="894"/>
    <x v="1281"/>
    <x v="224"/>
    <x v="83"/>
    <x v="5"/>
  </r>
  <r>
    <x v="2939"/>
    <x v="352"/>
    <x v="22"/>
    <x v="1815"/>
    <x v="777"/>
    <x v="26"/>
    <x v="1893"/>
    <x v="2927"/>
    <x v="1073"/>
    <x v="1198"/>
    <x v="224"/>
    <x v="83"/>
    <x v="7"/>
  </r>
  <r>
    <x v="2940"/>
    <x v="352"/>
    <x v="27"/>
    <x v="1812"/>
    <x v="777"/>
    <x v="26"/>
    <x v="2255"/>
    <x v="217"/>
    <x v="1627"/>
    <x v="1801"/>
    <x v="224"/>
    <x v="83"/>
    <x v="8"/>
  </r>
  <r>
    <x v="2941"/>
    <x v="352"/>
    <x v="29"/>
    <x v="1817"/>
    <x v="785"/>
    <x v="33"/>
    <x v="1990"/>
    <x v="3089"/>
    <x v="1066"/>
    <x v="1341"/>
    <x v="224"/>
    <x v="83"/>
    <x v="9"/>
  </r>
  <r>
    <x v="2942"/>
    <x v="353"/>
    <x v="1"/>
    <x v="2300"/>
    <x v="917"/>
    <x v="17"/>
    <x v="2184"/>
    <x v="3027"/>
    <x v="1390"/>
    <x v="1079"/>
    <x v="248"/>
    <x v="244"/>
    <x v="1"/>
  </r>
  <r>
    <x v="2943"/>
    <x v="353"/>
    <x v="4"/>
    <x v="2312"/>
    <x v="922"/>
    <x v="17"/>
    <x v="2525"/>
    <x v="3205"/>
    <x v="1807"/>
    <x v="1587"/>
    <x v="248"/>
    <x v="244"/>
    <x v="2"/>
  </r>
  <r>
    <x v="2944"/>
    <x v="353"/>
    <x v="6"/>
    <x v="2066"/>
    <x v="940"/>
    <x v="21"/>
    <x v="2522"/>
    <x v="3206"/>
    <x v="1756"/>
    <x v="1893"/>
    <x v="248"/>
    <x v="244"/>
    <x v="3"/>
  </r>
  <r>
    <x v="2945"/>
    <x v="353"/>
    <x v="9"/>
    <x v="2086"/>
    <x v="939"/>
    <x v="24"/>
    <x v="2369"/>
    <x v="3130"/>
    <x v="1512"/>
    <x v="1595"/>
    <x v="248"/>
    <x v="244"/>
    <x v="4"/>
  </r>
  <r>
    <x v="2946"/>
    <x v="353"/>
    <x v="12"/>
    <x v="2093"/>
    <x v="939"/>
    <x v="24"/>
    <x v="2657"/>
    <x v="3257"/>
    <x v="1936"/>
    <x v="2060"/>
    <x v="248"/>
    <x v="244"/>
    <x v="5"/>
  </r>
  <r>
    <x v="2947"/>
    <x v="353"/>
    <x v="15"/>
    <x v="2097"/>
    <x v="931"/>
    <x v="31"/>
    <x v="2674"/>
    <x v="3262"/>
    <x v="2018"/>
    <x v="2090"/>
    <x v="248"/>
    <x v="244"/>
    <x v="6"/>
  </r>
  <r>
    <x v="2948"/>
    <x v="353"/>
    <x v="20"/>
    <x v="2111"/>
    <x v="932"/>
    <x v="35"/>
    <x v="1120"/>
    <x v="2381"/>
    <x v="1186"/>
    <x v="434"/>
    <x v="248"/>
    <x v="244"/>
    <x v="7"/>
  </r>
  <r>
    <x v="2949"/>
    <x v="353"/>
    <x v="25"/>
    <x v="2078"/>
    <x v="926"/>
    <x v="35"/>
    <x v="1653"/>
    <x v="2830"/>
    <x v="1423"/>
    <x v="691"/>
    <x v="248"/>
    <x v="244"/>
    <x v="8"/>
  </r>
  <r>
    <x v="2950"/>
    <x v="353"/>
    <x v="28"/>
    <x v="2088"/>
    <x v="925"/>
    <x v="36"/>
    <x v="1121"/>
    <x v="2546"/>
    <x v="768"/>
    <x v="438"/>
    <x v="248"/>
    <x v="244"/>
    <x v="9"/>
  </r>
  <r>
    <x v="2951"/>
    <x v="354"/>
    <x v="3"/>
    <x v="2936"/>
    <x v="1825"/>
    <x v="41"/>
    <x v="3470"/>
    <x v="3457"/>
    <x v="1875"/>
    <x v="1884"/>
    <x v="304"/>
    <x v="288"/>
    <x v="1"/>
  </r>
  <r>
    <x v="2952"/>
    <x v="354"/>
    <x v="5"/>
    <x v="2937"/>
    <x v="1826"/>
    <x v="36"/>
    <x v="3459"/>
    <x v="3455"/>
    <x v="1653"/>
    <x v="1689"/>
    <x v="304"/>
    <x v="288"/>
    <x v="2"/>
  </r>
  <r>
    <x v="2953"/>
    <x v="354"/>
    <x v="8"/>
    <x v="2940"/>
    <x v="1827"/>
    <x v="34"/>
    <x v="3453"/>
    <x v="3454"/>
    <x v="1658"/>
    <x v="1646"/>
    <x v="304"/>
    <x v="288"/>
    <x v="3"/>
  </r>
  <r>
    <x v="2954"/>
    <x v="354"/>
    <x v="9"/>
    <x v="2938"/>
    <x v="1828"/>
    <x v="39"/>
    <x v="3456"/>
    <x v="3456"/>
    <x v="1701"/>
    <x v="1662"/>
    <x v="304"/>
    <x v="288"/>
    <x v="4"/>
  </r>
  <r>
    <x v="2955"/>
    <x v="354"/>
    <x v="12"/>
    <x v="2939"/>
    <x v="1828"/>
    <x v="39"/>
    <x v="3447"/>
    <x v="3458"/>
    <x v="1479"/>
    <x v="1537"/>
    <x v="304"/>
    <x v="288"/>
    <x v="5"/>
  </r>
  <r>
    <x v="2956"/>
    <x v="354"/>
    <x v="15"/>
    <x v="2942"/>
    <x v="1829"/>
    <x v="39"/>
    <x v="3469"/>
    <x v="3459"/>
    <x v="1925"/>
    <x v="1855"/>
    <x v="304"/>
    <x v="288"/>
    <x v="6"/>
  </r>
  <r>
    <x v="2957"/>
    <x v="354"/>
    <x v="20"/>
    <x v="2941"/>
    <x v="1830"/>
    <x v="39"/>
    <x v="3481"/>
    <x v="3461"/>
    <x v="2236"/>
    <x v="2097"/>
    <x v="304"/>
    <x v="288"/>
    <x v="7"/>
  </r>
  <r>
    <x v="2958"/>
    <x v="354"/>
    <x v="25"/>
    <x v="2943"/>
    <x v="1831"/>
    <x v="39"/>
    <x v="3474"/>
    <x v="3464"/>
    <x v="2129"/>
    <x v="1904"/>
    <x v="304"/>
    <x v="288"/>
    <x v="8"/>
  </r>
  <r>
    <x v="2959"/>
    <x v="354"/>
    <x v="28"/>
    <x v="2944"/>
    <x v="1832"/>
    <x v="40"/>
    <x v="3452"/>
    <x v="3460"/>
    <x v="1774"/>
    <x v="1608"/>
    <x v="304"/>
    <x v="288"/>
    <x v="9"/>
  </r>
  <r>
    <x v="2960"/>
    <x v="355"/>
    <x v="1"/>
    <x v="2313"/>
    <x v="1126"/>
    <x v="25"/>
    <x v="2893"/>
    <x v="3191"/>
    <x v="1666"/>
    <x v="2243"/>
    <x v="312"/>
    <x v="293"/>
    <x v="1"/>
  </r>
  <r>
    <x v="2961"/>
    <x v="355"/>
    <x v="4"/>
    <x v="2177"/>
    <x v="1133"/>
    <x v="25"/>
    <x v="2557"/>
    <x v="2961"/>
    <x v="1942"/>
    <x v="1796"/>
    <x v="312"/>
    <x v="293"/>
    <x v="2"/>
  </r>
  <r>
    <x v="2962"/>
    <x v="355"/>
    <x v="6"/>
    <x v="2176"/>
    <x v="1117"/>
    <x v="27"/>
    <x v="2332"/>
    <x v="3032"/>
    <x v="1748"/>
    <x v="1412"/>
    <x v="312"/>
    <x v="293"/>
    <x v="3"/>
  </r>
  <r>
    <x v="2963"/>
    <x v="355"/>
    <x v="9"/>
    <x v="2186"/>
    <x v="1117"/>
    <x v="28"/>
    <x v="310"/>
    <x v="1119"/>
    <x v="347"/>
    <x v="137"/>
    <x v="312"/>
    <x v="293"/>
    <x v="4"/>
  </r>
  <r>
    <x v="2964"/>
    <x v="355"/>
    <x v="12"/>
    <x v="2190"/>
    <x v="1117"/>
    <x v="28"/>
    <x v="2724"/>
    <x v="3219"/>
    <x v="1401"/>
    <x v="2045"/>
    <x v="312"/>
    <x v="293"/>
    <x v="5"/>
  </r>
  <r>
    <x v="2965"/>
    <x v="355"/>
    <x v="15"/>
    <x v="2151"/>
    <x v="1117"/>
    <x v="28"/>
    <x v="1998"/>
    <x v="2857"/>
    <x v="934"/>
    <x v="951"/>
    <x v="312"/>
    <x v="293"/>
    <x v="6"/>
  </r>
  <r>
    <x v="2966"/>
    <x v="355"/>
    <x v="20"/>
    <x v="2191"/>
    <x v="1117"/>
    <x v="30"/>
    <x v="1799"/>
    <x v="2751"/>
    <x v="511"/>
    <x v="744"/>
    <x v="312"/>
    <x v="293"/>
    <x v="7"/>
  </r>
  <r>
    <x v="2967"/>
    <x v="355"/>
    <x v="25"/>
    <x v="2187"/>
    <x v="1169"/>
    <x v="31"/>
    <x v="3036"/>
    <x v="3407"/>
    <x v="2177"/>
    <x v="2669"/>
    <x v="312"/>
    <x v="293"/>
    <x v="8"/>
  </r>
  <r>
    <x v="2968"/>
    <x v="355"/>
    <x v="28"/>
    <x v="2199"/>
    <x v="1169"/>
    <x v="34"/>
    <x v="3063"/>
    <x v="3422"/>
    <x v="2189"/>
    <x v="2716"/>
    <x v="312"/>
    <x v="293"/>
    <x v="9"/>
  </r>
  <r>
    <x v="2969"/>
    <x v="356"/>
    <x v="1"/>
    <x v="2325"/>
    <x v="1196"/>
    <x v="24"/>
    <x v="2440"/>
    <x v="3034"/>
    <x v="1422"/>
    <x v="1417"/>
    <x v="342"/>
    <x v="325"/>
    <x v="1"/>
  </r>
  <r>
    <x v="2970"/>
    <x v="356"/>
    <x v="4"/>
    <x v="2355"/>
    <x v="1196"/>
    <x v="25"/>
    <x v="2773"/>
    <x v="3242"/>
    <x v="1295"/>
    <x v="1922"/>
    <x v="342"/>
    <x v="325"/>
    <x v="2"/>
  </r>
  <r>
    <x v="2971"/>
    <x v="356"/>
    <x v="6"/>
    <x v="2352"/>
    <x v="1196"/>
    <x v="25"/>
    <x v="2206"/>
    <x v="3005"/>
    <x v="570"/>
    <x v="1027"/>
    <x v="342"/>
    <x v="325"/>
    <x v="3"/>
  </r>
  <r>
    <x v="2972"/>
    <x v="356"/>
    <x v="9"/>
    <x v="2362"/>
    <x v="1196"/>
    <x v="32"/>
    <x v="2822"/>
    <x v="3321"/>
    <x v="1363"/>
    <x v="1993"/>
    <x v="342"/>
    <x v="325"/>
    <x v="4"/>
  </r>
  <r>
    <x v="2973"/>
    <x v="356"/>
    <x v="12"/>
    <x v="2366"/>
    <x v="1175"/>
    <x v="32"/>
    <x v="3000"/>
    <x v="3396"/>
    <x v="1683"/>
    <x v="2373"/>
    <x v="342"/>
    <x v="325"/>
    <x v="5"/>
  </r>
  <r>
    <x v="2974"/>
    <x v="356"/>
    <x v="15"/>
    <x v="2368"/>
    <x v="1175"/>
    <x v="33"/>
    <x v="3018"/>
    <x v="3375"/>
    <x v="1816"/>
    <x v="2429"/>
    <x v="342"/>
    <x v="325"/>
    <x v="6"/>
  </r>
  <r>
    <x v="2975"/>
    <x v="356"/>
    <x v="20"/>
    <x v="2359"/>
    <x v="1174"/>
    <x v="33"/>
    <x v="3076"/>
    <x v="3404"/>
    <x v="2914"/>
    <x v="2564"/>
    <x v="342"/>
    <x v="325"/>
    <x v="7"/>
  </r>
  <r>
    <x v="2976"/>
    <x v="356"/>
    <x v="25"/>
    <x v="2369"/>
    <x v="1174"/>
    <x v="33"/>
    <x v="2841"/>
    <x v="3377"/>
    <x v="2997"/>
    <x v="2017"/>
    <x v="342"/>
    <x v="325"/>
    <x v="8"/>
  </r>
  <r>
    <x v="2977"/>
    <x v="356"/>
    <x v="28"/>
    <x v="2370"/>
    <x v="1174"/>
    <x v="35"/>
    <x v="3163"/>
    <x v="3439"/>
    <x v="3089"/>
    <x v="2786"/>
    <x v="342"/>
    <x v="325"/>
    <x v="9"/>
  </r>
  <r>
    <x v="2978"/>
    <x v="357"/>
    <x v="3"/>
    <x v="278"/>
    <x v="136"/>
    <x v="39"/>
    <x v="716"/>
    <x v="1664"/>
    <x v="1347"/>
    <x v="1780"/>
    <x v="87"/>
    <x v="112"/>
    <x v="1"/>
  </r>
  <r>
    <x v="2979"/>
    <x v="357"/>
    <x v="5"/>
    <x v="279"/>
    <x v="136"/>
    <x v="36"/>
    <x v="735"/>
    <x v="1726"/>
    <x v="1382"/>
    <x v="1822"/>
    <x v="87"/>
    <x v="112"/>
    <x v="2"/>
  </r>
  <r>
    <x v="2980"/>
    <x v="357"/>
    <x v="8"/>
    <x v="284"/>
    <x v="131"/>
    <x v="37"/>
    <x v="822"/>
    <x v="1860"/>
    <x v="1602"/>
    <x v="1965"/>
    <x v="87"/>
    <x v="112"/>
    <x v="3"/>
  </r>
  <r>
    <x v="2981"/>
    <x v="357"/>
    <x v="9"/>
    <x v="285"/>
    <x v="132"/>
    <x v="41"/>
    <x v="687"/>
    <x v="1769"/>
    <x v="1358"/>
    <x v="1688"/>
    <x v="87"/>
    <x v="112"/>
    <x v="4"/>
  </r>
  <r>
    <x v="2982"/>
    <x v="357"/>
    <x v="12"/>
    <x v="292"/>
    <x v="133"/>
    <x v="41"/>
    <x v="724"/>
    <x v="1821"/>
    <x v="1089"/>
    <x v="1769"/>
    <x v="87"/>
    <x v="112"/>
    <x v="5"/>
  </r>
  <r>
    <x v="2983"/>
    <x v="357"/>
    <x v="15"/>
    <x v="295"/>
    <x v="134"/>
    <x v="42"/>
    <x v="948"/>
    <x v="2073"/>
    <x v="1731"/>
    <x v="2210"/>
    <x v="87"/>
    <x v="112"/>
    <x v="6"/>
  </r>
  <r>
    <x v="2984"/>
    <x v="357"/>
    <x v="20"/>
    <x v="298"/>
    <x v="134"/>
    <x v="42"/>
    <x v="860"/>
    <x v="2053"/>
    <x v="2043"/>
    <x v="2019"/>
    <x v="87"/>
    <x v="112"/>
    <x v="7"/>
  </r>
  <r>
    <x v="2985"/>
    <x v="357"/>
    <x v="25"/>
    <x v="304"/>
    <x v="137"/>
    <x v="42"/>
    <x v="972"/>
    <x v="2291"/>
    <x v="2121"/>
    <x v="2251"/>
    <x v="87"/>
    <x v="112"/>
    <x v="8"/>
  </r>
  <r>
    <x v="2986"/>
    <x v="357"/>
    <x v="28"/>
    <x v="305"/>
    <x v="137"/>
    <x v="43"/>
    <x v="431"/>
    <x v="1756"/>
    <x v="1144"/>
    <x v="945"/>
    <x v="87"/>
    <x v="112"/>
    <x v="9"/>
  </r>
  <r>
    <x v="2987"/>
    <x v="358"/>
    <x v="1"/>
    <x v="2261"/>
    <x v="1169"/>
    <x v="17"/>
    <x v="3305"/>
    <x v="3425"/>
    <x v="3002"/>
    <x v="3211"/>
    <x v="303"/>
    <x v="289"/>
    <x v="1"/>
  </r>
  <r>
    <x v="2988"/>
    <x v="359"/>
    <x v="4"/>
    <x v="2094"/>
    <x v="1077"/>
    <x v="17"/>
    <x v="2403"/>
    <x v="3020"/>
    <x v="1253"/>
    <x v="1638"/>
    <x v="303"/>
    <x v="289"/>
    <x v="2"/>
  </r>
  <r>
    <x v="2989"/>
    <x v="359"/>
    <x v="6"/>
    <x v="2096"/>
    <x v="1076"/>
    <x v="24"/>
    <x v="2749"/>
    <x v="3220"/>
    <x v="1911"/>
    <x v="2219"/>
    <x v="303"/>
    <x v="289"/>
    <x v="3"/>
  </r>
  <r>
    <x v="2990"/>
    <x v="359"/>
    <x v="9"/>
    <x v="2107"/>
    <x v="1072"/>
    <x v="24"/>
    <x v="2950"/>
    <x v="3342"/>
    <x v="2363"/>
    <x v="2573"/>
    <x v="303"/>
    <x v="289"/>
    <x v="4"/>
  </r>
  <r>
    <x v="2991"/>
    <x v="359"/>
    <x v="12"/>
    <x v="2109"/>
    <x v="1077"/>
    <x v="24"/>
    <x v="2461"/>
    <x v="3148"/>
    <x v="1427"/>
    <x v="1714"/>
    <x v="303"/>
    <x v="289"/>
    <x v="5"/>
  </r>
  <r>
    <x v="2992"/>
    <x v="359"/>
    <x v="20"/>
    <x v="2126"/>
    <x v="1085"/>
    <x v="31"/>
    <x v="2519"/>
    <x v="3254"/>
    <x v="1615"/>
    <x v="1806"/>
    <x v="303"/>
    <x v="289"/>
    <x v="7"/>
  </r>
  <r>
    <x v="2993"/>
    <x v="359"/>
    <x v="25"/>
    <x v="2123"/>
    <x v="1086"/>
    <x v="31"/>
    <x v="2704"/>
    <x v="3353"/>
    <x v="2091"/>
    <x v="2112"/>
    <x v="303"/>
    <x v="289"/>
    <x v="8"/>
  </r>
  <r>
    <x v="2994"/>
    <x v="359"/>
    <x v="28"/>
    <x v="2124"/>
    <x v="1086"/>
    <x v="27"/>
    <x v="2755"/>
    <x v="3391"/>
    <x v="2154"/>
    <x v="2195"/>
    <x v="303"/>
    <x v="289"/>
    <x v="9"/>
  </r>
  <r>
    <x v="2995"/>
    <x v="360"/>
    <x v="1"/>
    <x v="1939"/>
    <x v="846"/>
    <x v="25"/>
    <x v="2417"/>
    <x v="2611"/>
    <x v="1580"/>
    <x v="1870"/>
    <x v="146"/>
    <x v="288"/>
    <x v="1"/>
  </r>
  <r>
    <x v="2996"/>
    <x v="360"/>
    <x v="4"/>
    <x v="1939"/>
    <x v="846"/>
    <x v="25"/>
    <x v="2417"/>
    <x v="2611"/>
    <x v="1580"/>
    <x v="1878"/>
    <x v="146"/>
    <x v="288"/>
    <x v="2"/>
  </r>
  <r>
    <x v="2997"/>
    <x v="360"/>
    <x v="6"/>
    <x v="1941"/>
    <x v="849"/>
    <x v="25"/>
    <x v="2163"/>
    <x v="2518"/>
    <x v="959"/>
    <x v="1436"/>
    <x v="146"/>
    <x v="288"/>
    <x v="3"/>
  </r>
  <r>
    <x v="2998"/>
    <x v="360"/>
    <x v="9"/>
    <x v="1944"/>
    <x v="850"/>
    <x v="26"/>
    <x v="2466"/>
    <x v="2852"/>
    <x v="1533"/>
    <x v="1947"/>
    <x v="146"/>
    <x v="288"/>
    <x v="4"/>
  </r>
  <r>
    <x v="2999"/>
    <x v="360"/>
    <x v="20"/>
    <x v="1962"/>
    <x v="852"/>
    <x v="26"/>
    <x v="2053"/>
    <x v="2607"/>
    <x v="883"/>
    <x v="1224"/>
    <x v="146"/>
    <x v="288"/>
    <x v="7"/>
  </r>
  <r>
    <x v="3000"/>
    <x v="360"/>
    <x v="25"/>
    <x v="1942"/>
    <x v="850"/>
    <x v="26"/>
    <x v="2289"/>
    <x v="2809"/>
    <x v="1352"/>
    <x v="1637"/>
    <x v="146"/>
    <x v="288"/>
    <x v="8"/>
  </r>
  <r>
    <x v="3001"/>
    <x v="360"/>
    <x v="28"/>
    <x v="1940"/>
    <x v="850"/>
    <x v="26"/>
    <x v="2419"/>
    <x v="2980"/>
    <x v="1516"/>
    <x v="1866"/>
    <x v="146"/>
    <x v="288"/>
    <x v="9"/>
  </r>
  <r>
    <x v="3002"/>
    <x v="361"/>
    <x v="1"/>
    <x v="2101"/>
    <x v="1028"/>
    <x v="41"/>
    <x v="2278"/>
    <x v="1403"/>
    <x v="2334"/>
    <x v="1419"/>
    <x v="314"/>
    <x v="295"/>
    <x v="1"/>
  </r>
  <r>
    <x v="3003"/>
    <x v="361"/>
    <x v="4"/>
    <x v="2128"/>
    <x v="1025"/>
    <x v="43"/>
    <x v="2150"/>
    <x v="1245"/>
    <x v="2179"/>
    <x v="1194"/>
    <x v="314"/>
    <x v="295"/>
    <x v="2"/>
  </r>
  <r>
    <x v="3004"/>
    <x v="361"/>
    <x v="6"/>
    <x v="2129"/>
    <x v="1024"/>
    <x v="34"/>
    <x v="2220"/>
    <x v="1209"/>
    <x v="2399"/>
    <x v="1309"/>
    <x v="314"/>
    <x v="295"/>
    <x v="3"/>
  </r>
  <r>
    <x v="3005"/>
    <x v="361"/>
    <x v="9"/>
    <x v="2131"/>
    <x v="1023"/>
    <x v="32"/>
    <x v="2175"/>
    <x v="1241"/>
    <x v="2360"/>
    <x v="1245"/>
    <x v="314"/>
    <x v="295"/>
    <x v="4"/>
  </r>
  <r>
    <x v="3006"/>
    <x v="361"/>
    <x v="12"/>
    <x v="2141"/>
    <x v="1020"/>
    <x v="32"/>
    <x v="2336"/>
    <x v="1341"/>
    <x v="2563"/>
    <x v="1454"/>
    <x v="314"/>
    <x v="295"/>
    <x v="5"/>
  </r>
  <r>
    <x v="3007"/>
    <x v="361"/>
    <x v="15"/>
    <x v="2141"/>
    <x v="1020"/>
    <x v="32"/>
    <x v="2693"/>
    <x v="1704"/>
    <x v="2969"/>
    <x v="2055"/>
    <x v="314"/>
    <x v="295"/>
    <x v="6"/>
  </r>
  <r>
    <x v="3008"/>
    <x v="361"/>
    <x v="20"/>
    <x v="2141"/>
    <x v="1021"/>
    <x v="42"/>
    <x v="2520"/>
    <x v="1744"/>
    <x v="2693"/>
    <x v="1786"/>
    <x v="314"/>
    <x v="295"/>
    <x v="7"/>
  </r>
  <r>
    <x v="3009"/>
    <x v="361"/>
    <x v="25"/>
    <x v="2115"/>
    <x v="1017"/>
    <x v="42"/>
    <x v="1949"/>
    <x v="1311"/>
    <x v="1827"/>
    <x v="928"/>
    <x v="314"/>
    <x v="295"/>
    <x v="8"/>
  </r>
  <r>
    <x v="3010"/>
    <x v="361"/>
    <x v="28"/>
    <x v="2113"/>
    <x v="1018"/>
    <x v="42"/>
    <x v="1911"/>
    <x v="1407"/>
    <x v="1319"/>
    <x v="885"/>
    <x v="314"/>
    <x v="295"/>
    <x v="9"/>
  </r>
  <r>
    <x v="3011"/>
    <x v="362"/>
    <x v="1"/>
    <x v="1564"/>
    <x v="720"/>
    <x v="23"/>
    <x v="904"/>
    <x v="335"/>
    <x v="1287"/>
    <x v="543"/>
    <x v="376"/>
    <x v="359"/>
    <x v="1"/>
  </r>
  <r>
    <x v="3012"/>
    <x v="362"/>
    <x v="4"/>
    <x v="1568"/>
    <x v="720"/>
    <x v="20"/>
    <x v="673"/>
    <x v="236"/>
    <x v="443"/>
    <x v="431"/>
    <x v="376"/>
    <x v="359"/>
    <x v="2"/>
  </r>
  <r>
    <x v="3013"/>
    <x v="362"/>
    <x v="6"/>
    <x v="1569"/>
    <x v="720"/>
    <x v="26"/>
    <x v="2618"/>
    <x v="1258"/>
    <x v="3156"/>
    <x v="2784"/>
    <x v="376"/>
    <x v="359"/>
    <x v="3"/>
  </r>
  <r>
    <x v="3014"/>
    <x v="362"/>
    <x v="9"/>
    <x v="1570"/>
    <x v="720"/>
    <x v="26"/>
    <x v="2760"/>
    <x v="1386"/>
    <x v="3155"/>
    <x v="2939"/>
    <x v="376"/>
    <x v="359"/>
    <x v="4"/>
  </r>
  <r>
    <x v="3015"/>
    <x v="362"/>
    <x v="12"/>
    <x v="1573"/>
    <x v="720"/>
    <x v="24"/>
    <x v="1897"/>
    <x v="833"/>
    <x v="2468"/>
    <x v="1581"/>
    <x v="376"/>
    <x v="359"/>
    <x v="5"/>
  </r>
  <r>
    <x v="3016"/>
    <x v="362"/>
    <x v="15"/>
    <x v="1556"/>
    <x v="720"/>
    <x v="19"/>
    <x v="712"/>
    <x v="803"/>
    <x v="432"/>
    <x v="452"/>
    <x v="376"/>
    <x v="359"/>
    <x v="6"/>
  </r>
  <r>
    <x v="3017"/>
    <x v="362"/>
    <x v="20"/>
    <x v="1556"/>
    <x v="785"/>
    <x v="10"/>
    <x v="928"/>
    <x v="964"/>
    <x v="750"/>
    <x v="556"/>
    <x v="376"/>
    <x v="359"/>
    <x v="7"/>
  </r>
  <r>
    <x v="3018"/>
    <x v="362"/>
    <x v="25"/>
    <x v="1586"/>
    <x v="785"/>
    <x v="18"/>
    <x v="1805"/>
    <x v="1663"/>
    <x v="1822"/>
    <x v="1443"/>
    <x v="376"/>
    <x v="359"/>
    <x v="8"/>
  </r>
  <r>
    <x v="3019"/>
    <x v="362"/>
    <x v="28"/>
    <x v="1555"/>
    <x v="785"/>
    <x v="16"/>
    <x v="1676"/>
    <x v="969"/>
    <x v="1632"/>
    <x v="1298"/>
    <x v="376"/>
    <x v="359"/>
    <x v="9"/>
  </r>
  <r>
    <x v="3020"/>
    <x v="363"/>
    <x v="1"/>
    <x v="261"/>
    <x v="190"/>
    <x v="17"/>
    <x v="675"/>
    <x v="838"/>
    <x v="2734"/>
    <x v="1747"/>
    <x v="322"/>
    <x v="301"/>
    <x v="1"/>
  </r>
  <r>
    <x v="3021"/>
    <x v="363"/>
    <x v="4"/>
    <x v="261"/>
    <x v="190"/>
    <x v="19"/>
    <x v="505"/>
    <x v="692"/>
    <x v="2308"/>
    <x v="1239"/>
    <x v="322"/>
    <x v="301"/>
    <x v="2"/>
  </r>
  <r>
    <x v="3022"/>
    <x v="363"/>
    <x v="6"/>
    <x v="266"/>
    <x v="190"/>
    <x v="26"/>
    <x v="513"/>
    <x v="629"/>
    <x v="2056"/>
    <x v="1262"/>
    <x v="322"/>
    <x v="301"/>
    <x v="3"/>
  </r>
  <r>
    <x v="3023"/>
    <x v="363"/>
    <x v="9"/>
    <x v="277"/>
    <x v="190"/>
    <x v="26"/>
    <x v="516"/>
    <x v="693"/>
    <x v="2132"/>
    <x v="1240"/>
    <x v="322"/>
    <x v="301"/>
    <x v="4"/>
  </r>
  <r>
    <x v="3024"/>
    <x v="363"/>
    <x v="12"/>
    <x v="289"/>
    <x v="192"/>
    <x v="28"/>
    <x v="289"/>
    <x v="394"/>
    <x v="1385"/>
    <x v="579"/>
    <x v="322"/>
    <x v="301"/>
    <x v="5"/>
  </r>
  <r>
    <x v="3025"/>
    <x v="363"/>
    <x v="15"/>
    <x v="317"/>
    <x v="192"/>
    <x v="50"/>
    <x v="108"/>
    <x v="129"/>
    <x v="278"/>
    <x v="191"/>
    <x v="322"/>
    <x v="301"/>
    <x v="6"/>
  </r>
  <r>
    <x v="3026"/>
    <x v="363"/>
    <x v="20"/>
    <x v="346"/>
    <x v="192"/>
    <x v="51"/>
    <x v="550"/>
    <x v="835"/>
    <x v="2441"/>
    <x v="1213"/>
    <x v="322"/>
    <x v="301"/>
    <x v="7"/>
  </r>
  <r>
    <x v="3027"/>
    <x v="363"/>
    <x v="25"/>
    <x v="346"/>
    <x v="192"/>
    <x v="51"/>
    <x v="519"/>
    <x v="788"/>
    <x v="2407"/>
    <x v="1144"/>
    <x v="322"/>
    <x v="301"/>
    <x v="8"/>
  </r>
  <r>
    <x v="3028"/>
    <x v="363"/>
    <x v="28"/>
    <x v="346"/>
    <x v="192"/>
    <x v="51"/>
    <x v="434"/>
    <x v="823"/>
    <x v="2029"/>
    <x v="916"/>
    <x v="322"/>
    <x v="301"/>
    <x v="9"/>
  </r>
  <r>
    <x v="3029"/>
    <x v="364"/>
    <x v="1"/>
    <x v="924"/>
    <x v="758"/>
    <x v="15"/>
    <x v="1854"/>
    <x v="1055"/>
    <x v="3311"/>
    <x v="2587"/>
    <x v="307"/>
    <x v="30"/>
    <x v="1"/>
  </r>
  <r>
    <x v="3030"/>
    <x v="364"/>
    <x v="4"/>
    <x v="918"/>
    <x v="758"/>
    <x v="17"/>
    <x v="2181"/>
    <x v="1392"/>
    <x v="3416"/>
    <x v="3017"/>
    <x v="307"/>
    <x v="30"/>
    <x v="2"/>
  </r>
  <r>
    <x v="3031"/>
    <x v="364"/>
    <x v="6"/>
    <x v="903"/>
    <x v="758"/>
    <x v="17"/>
    <x v="2160"/>
    <x v="1526"/>
    <x v="3417"/>
    <x v="3004"/>
    <x v="307"/>
    <x v="30"/>
    <x v="3"/>
  </r>
  <r>
    <x v="3032"/>
    <x v="364"/>
    <x v="9"/>
    <x v="901"/>
    <x v="785"/>
    <x v="16"/>
    <x v="2013"/>
    <x v="1507"/>
    <x v="3378"/>
    <x v="2811"/>
    <x v="307"/>
    <x v="30"/>
    <x v="4"/>
  </r>
  <r>
    <x v="3033"/>
    <x v="364"/>
    <x v="29"/>
    <x v="674"/>
    <x v="614"/>
    <x v="18"/>
    <x v="1797"/>
    <x v="1564"/>
    <x v="3411"/>
    <x v="2820"/>
    <x v="307"/>
    <x v="30"/>
    <x v="9"/>
  </r>
  <r>
    <x v="3034"/>
    <x v="365"/>
    <x v="1"/>
    <x v="1640"/>
    <x v="682"/>
    <x v="25"/>
    <x v="1265"/>
    <x v="686"/>
    <x v="2288"/>
    <x v="757"/>
    <x v="330"/>
    <x v="311"/>
    <x v="1"/>
  </r>
  <r>
    <x v="3035"/>
    <x v="365"/>
    <x v="4"/>
    <x v="1642"/>
    <x v="691"/>
    <x v="26"/>
    <x v="1632"/>
    <x v="852"/>
    <x v="2586"/>
    <x v="1117"/>
    <x v="330"/>
    <x v="311"/>
    <x v="2"/>
  </r>
  <r>
    <x v="3036"/>
    <x v="365"/>
    <x v="6"/>
    <x v="1651"/>
    <x v="692"/>
    <x v="26"/>
    <x v="1259"/>
    <x v="721"/>
    <x v="2379"/>
    <x v="749"/>
    <x v="330"/>
    <x v="311"/>
    <x v="3"/>
  </r>
  <r>
    <x v="3037"/>
    <x v="365"/>
    <x v="9"/>
    <x v="1656"/>
    <x v="690"/>
    <x v="26"/>
    <x v="1401"/>
    <x v="854"/>
    <x v="2550"/>
    <x v="861"/>
    <x v="330"/>
    <x v="311"/>
    <x v="4"/>
  </r>
  <r>
    <x v="3038"/>
    <x v="365"/>
    <x v="12"/>
    <x v="1661"/>
    <x v="689"/>
    <x v="26"/>
    <x v="1002"/>
    <x v="619"/>
    <x v="2125"/>
    <x v="558"/>
    <x v="330"/>
    <x v="311"/>
    <x v="5"/>
  </r>
  <r>
    <x v="3039"/>
    <x v="365"/>
    <x v="15"/>
    <x v="1662"/>
    <x v="695"/>
    <x v="27"/>
    <x v="683"/>
    <x v="447"/>
    <x v="1959"/>
    <x v="402"/>
    <x v="330"/>
    <x v="311"/>
    <x v="6"/>
  </r>
  <r>
    <x v="3040"/>
    <x v="365"/>
    <x v="20"/>
    <x v="1664"/>
    <x v="696"/>
    <x v="43"/>
    <x v="430"/>
    <x v="323"/>
    <x v="1845"/>
    <x v="254"/>
    <x v="330"/>
    <x v="311"/>
    <x v="7"/>
  </r>
  <r>
    <x v="3041"/>
    <x v="365"/>
    <x v="25"/>
    <x v="1668"/>
    <x v="695"/>
    <x v="46"/>
    <x v="856"/>
    <x v="691"/>
    <x v="2031"/>
    <x v="476"/>
    <x v="330"/>
    <x v="311"/>
    <x v="8"/>
  </r>
  <r>
    <x v="3042"/>
    <x v="365"/>
    <x v="28"/>
    <x v="1669"/>
    <x v="694"/>
    <x v="46"/>
    <x v="900"/>
    <x v="795"/>
    <x v="2198"/>
    <x v="497"/>
    <x v="330"/>
    <x v="311"/>
    <x v="9"/>
  </r>
  <r>
    <x v="3043"/>
    <x v="366"/>
    <x v="1"/>
    <x v="78"/>
    <x v="34"/>
    <x v="13"/>
    <x v="1229"/>
    <x v="267"/>
    <x v="2694"/>
    <x v="2982"/>
    <x v="7"/>
    <x v="55"/>
    <x v="1"/>
  </r>
  <r>
    <x v="3044"/>
    <x v="366"/>
    <x v="4"/>
    <x v="89"/>
    <x v="34"/>
    <x v="20"/>
    <x v="1256"/>
    <x v="271"/>
    <x v="2564"/>
    <x v="3001"/>
    <x v="7"/>
    <x v="55"/>
    <x v="2"/>
  </r>
  <r>
    <x v="3045"/>
    <x v="366"/>
    <x v="6"/>
    <x v="89"/>
    <x v="34"/>
    <x v="20"/>
    <x v="1364"/>
    <x v="270"/>
    <x v="2674"/>
    <x v="3103"/>
    <x v="7"/>
    <x v="55"/>
    <x v="3"/>
  </r>
  <r>
    <x v="3046"/>
    <x v="366"/>
    <x v="9"/>
    <x v="102"/>
    <x v="36"/>
    <x v="20"/>
    <x v="1765"/>
    <x v="420"/>
    <x v="3056"/>
    <x v="3326"/>
    <x v="7"/>
    <x v="55"/>
    <x v="4"/>
  </r>
  <r>
    <x v="3047"/>
    <x v="366"/>
    <x v="12"/>
    <x v="125"/>
    <x v="36"/>
    <x v="20"/>
    <x v="2065"/>
    <x v="560"/>
    <x v="3215"/>
    <x v="3418"/>
    <x v="7"/>
    <x v="55"/>
    <x v="5"/>
  </r>
  <r>
    <x v="3048"/>
    <x v="366"/>
    <x v="15"/>
    <x v="125"/>
    <x v="36"/>
    <x v="28"/>
    <x v="1849"/>
    <x v="457"/>
    <x v="3077"/>
    <x v="3348"/>
    <x v="7"/>
    <x v="55"/>
    <x v="6"/>
  </r>
  <r>
    <x v="3049"/>
    <x v="366"/>
    <x v="20"/>
    <x v="117"/>
    <x v="36"/>
    <x v="29"/>
    <x v="1861"/>
    <x v="531"/>
    <x v="3052"/>
    <x v="3353"/>
    <x v="7"/>
    <x v="55"/>
    <x v="7"/>
  </r>
  <r>
    <x v="3050"/>
    <x v="366"/>
    <x v="25"/>
    <x v="118"/>
    <x v="39"/>
    <x v="33"/>
    <x v="1723"/>
    <x v="552"/>
    <x v="2928"/>
    <x v="3284"/>
    <x v="7"/>
    <x v="55"/>
    <x v="8"/>
  </r>
  <r>
    <x v="3051"/>
    <x v="366"/>
    <x v="28"/>
    <x v="118"/>
    <x v="39"/>
    <x v="33"/>
    <x v="1748"/>
    <x v="565"/>
    <x v="2959"/>
    <x v="3302"/>
    <x v="7"/>
    <x v="55"/>
    <x v="9"/>
  </r>
  <r>
    <x v="3052"/>
    <x v="367"/>
    <x v="1"/>
    <x v="2354"/>
    <x v="1507"/>
    <x v="29"/>
    <x v="3235"/>
    <x v="2593"/>
    <x v="2620"/>
    <x v="3009"/>
    <x v="268"/>
    <x v="264"/>
    <x v="1"/>
  </r>
  <r>
    <x v="3053"/>
    <x v="367"/>
    <x v="4"/>
    <x v="2356"/>
    <x v="1509"/>
    <x v="33"/>
    <x v="3277"/>
    <x v="2668"/>
    <x v="2643"/>
    <x v="3107"/>
    <x v="268"/>
    <x v="264"/>
    <x v="2"/>
  </r>
  <r>
    <x v="3054"/>
    <x v="367"/>
    <x v="6"/>
    <x v="2363"/>
    <x v="1509"/>
    <x v="35"/>
    <x v="3331"/>
    <x v="2716"/>
    <x v="2704"/>
    <x v="3221"/>
    <x v="268"/>
    <x v="264"/>
    <x v="3"/>
  </r>
  <r>
    <x v="3055"/>
    <x v="367"/>
    <x v="9"/>
    <x v="2371"/>
    <x v="1509"/>
    <x v="35"/>
    <x v="3353"/>
    <x v="2766"/>
    <x v="2818"/>
    <x v="3255"/>
    <x v="268"/>
    <x v="264"/>
    <x v="4"/>
  </r>
  <r>
    <x v="3056"/>
    <x v="367"/>
    <x v="12"/>
    <x v="2382"/>
    <x v="1516"/>
    <x v="38"/>
    <x v="3217"/>
    <x v="2464"/>
    <x v="2211"/>
    <x v="2928"/>
    <x v="268"/>
    <x v="264"/>
    <x v="5"/>
  </r>
  <r>
    <x v="3057"/>
    <x v="367"/>
    <x v="15"/>
    <x v="2386"/>
    <x v="1512"/>
    <x v="39"/>
    <x v="2752"/>
    <x v="2080"/>
    <x v="1167"/>
    <x v="1813"/>
    <x v="268"/>
    <x v="264"/>
    <x v="6"/>
  </r>
  <r>
    <x v="3058"/>
    <x v="367"/>
    <x v="20"/>
    <x v="2391"/>
    <x v="1515"/>
    <x v="40"/>
    <x v="2763"/>
    <x v="2220"/>
    <x v="1357"/>
    <x v="1820"/>
    <x v="268"/>
    <x v="264"/>
    <x v="7"/>
  </r>
  <r>
    <x v="3059"/>
    <x v="367"/>
    <x v="25"/>
    <x v="2394"/>
    <x v="1507"/>
    <x v="41"/>
    <x v="2806"/>
    <x v="1884"/>
    <x v="1274"/>
    <x v="1906"/>
    <x v="268"/>
    <x v="264"/>
    <x v="8"/>
  </r>
  <r>
    <x v="3060"/>
    <x v="367"/>
    <x v="28"/>
    <x v="2410"/>
    <x v="1505"/>
    <x v="43"/>
    <x v="2964"/>
    <x v="1675"/>
    <x v="1192"/>
    <x v="2150"/>
    <x v="268"/>
    <x v="264"/>
    <x v="9"/>
  </r>
  <r>
    <x v="3061"/>
    <x v="368"/>
    <x v="1"/>
    <x v="138"/>
    <x v="266"/>
    <x v="29"/>
    <x v="653"/>
    <x v="482"/>
    <x v="2097"/>
    <x v="1856"/>
    <x v="325"/>
    <x v="304"/>
    <x v="1"/>
  </r>
  <r>
    <x v="3062"/>
    <x v="368"/>
    <x v="4"/>
    <x v="147"/>
    <x v="266"/>
    <x v="33"/>
    <x v="657"/>
    <x v="297"/>
    <x v="1987"/>
    <x v="1862"/>
    <x v="325"/>
    <x v="304"/>
    <x v="2"/>
  </r>
  <r>
    <x v="3063"/>
    <x v="368"/>
    <x v="6"/>
    <x v="147"/>
    <x v="266"/>
    <x v="33"/>
    <x v="542"/>
    <x v="179"/>
    <x v="2376"/>
    <x v="1498"/>
    <x v="325"/>
    <x v="304"/>
    <x v="3"/>
  </r>
  <r>
    <x v="3064"/>
    <x v="368"/>
    <x v="9"/>
    <x v="262"/>
    <x v="266"/>
    <x v="33"/>
    <x v="1041"/>
    <x v="391"/>
    <x v="2759"/>
    <x v="2511"/>
    <x v="325"/>
    <x v="304"/>
    <x v="4"/>
  </r>
  <r>
    <x v="3065"/>
    <x v="368"/>
    <x v="12"/>
    <x v="267"/>
    <x v="266"/>
    <x v="33"/>
    <x v="844"/>
    <x v="372"/>
    <x v="2151"/>
    <x v="2068"/>
    <x v="325"/>
    <x v="304"/>
    <x v="5"/>
  </r>
  <r>
    <x v="3066"/>
    <x v="368"/>
    <x v="15"/>
    <x v="264"/>
    <x v="273"/>
    <x v="33"/>
    <x v="566"/>
    <x v="246"/>
    <x v="1687"/>
    <x v="1410"/>
    <x v="325"/>
    <x v="304"/>
    <x v="6"/>
  </r>
  <r>
    <x v="3067"/>
    <x v="368"/>
    <x v="20"/>
    <x v="367"/>
    <x v="272"/>
    <x v="45"/>
    <x v="500"/>
    <x v="255"/>
    <x v="1294"/>
    <x v="1041"/>
    <x v="325"/>
    <x v="304"/>
    <x v="7"/>
  </r>
  <r>
    <x v="3068"/>
    <x v="368"/>
    <x v="25"/>
    <x v="372"/>
    <x v="272"/>
    <x v="45"/>
    <x v="811"/>
    <x v="441"/>
    <x v="2181"/>
    <x v="1829"/>
    <x v="325"/>
    <x v="304"/>
    <x v="8"/>
  </r>
  <r>
    <x v="3069"/>
    <x v="368"/>
    <x v="28"/>
    <x v="390"/>
    <x v="272"/>
    <x v="47"/>
    <x v="416"/>
    <x v="195"/>
    <x v="1027"/>
    <x v="811"/>
    <x v="325"/>
    <x v="304"/>
    <x v="9"/>
  </r>
  <r>
    <x v="3070"/>
    <x v="369"/>
    <x v="1"/>
    <x v="9"/>
    <x v="287"/>
    <x v="21"/>
    <x v="1110"/>
    <x v="501"/>
    <x v="2799"/>
    <x v="2981"/>
    <x v="386"/>
    <x v="366"/>
    <x v="1"/>
  </r>
  <r>
    <x v="3071"/>
    <x v="369"/>
    <x v="4"/>
    <x v="7"/>
    <x v="333"/>
    <x v="14"/>
    <x v="1513"/>
    <x v="667"/>
    <x v="3154"/>
    <x v="3281"/>
    <x v="386"/>
    <x v="366"/>
    <x v="2"/>
  </r>
  <r>
    <x v="3072"/>
    <x v="369"/>
    <x v="6"/>
    <x v="9"/>
    <x v="333"/>
    <x v="15"/>
    <x v="1486"/>
    <x v="673"/>
    <x v="3162"/>
    <x v="3264"/>
    <x v="386"/>
    <x v="366"/>
    <x v="3"/>
  </r>
  <r>
    <x v="3073"/>
    <x v="369"/>
    <x v="9"/>
    <x v="10"/>
    <x v="333"/>
    <x v="16"/>
    <x v="1145"/>
    <x v="555"/>
    <x v="2953"/>
    <x v="3029"/>
    <x v="386"/>
    <x v="366"/>
    <x v="4"/>
  </r>
  <r>
    <x v="3074"/>
    <x v="369"/>
    <x v="12"/>
    <x v="58"/>
    <x v="333"/>
    <x v="23"/>
    <x v="977"/>
    <x v="407"/>
    <x v="2653"/>
    <x v="2707"/>
    <x v="386"/>
    <x v="366"/>
    <x v="5"/>
  </r>
  <r>
    <x v="3075"/>
    <x v="369"/>
    <x v="15"/>
    <x v="58"/>
    <x v="333"/>
    <x v="23"/>
    <x v="1233"/>
    <x v="539"/>
    <x v="2843"/>
    <x v="3036"/>
    <x v="386"/>
    <x v="366"/>
    <x v="6"/>
  </r>
  <r>
    <x v="3076"/>
    <x v="369"/>
    <x v="20"/>
    <x v="4"/>
    <x v="334"/>
    <x v="22"/>
    <x v="1636"/>
    <x v="769"/>
    <x v="3269"/>
    <x v="3344"/>
    <x v="386"/>
    <x v="366"/>
    <x v="7"/>
  </r>
  <r>
    <x v="3077"/>
    <x v="369"/>
    <x v="25"/>
    <x v="11"/>
    <x v="334"/>
    <x v="22"/>
    <x v="2114"/>
    <x v="1030"/>
    <x v="3432"/>
    <x v="3462"/>
    <x v="386"/>
    <x v="366"/>
    <x v="8"/>
  </r>
  <r>
    <x v="3078"/>
    <x v="369"/>
    <x v="28"/>
    <x v="42"/>
    <x v="334"/>
    <x v="25"/>
    <x v="2296"/>
    <x v="1269"/>
    <x v="3428"/>
    <x v="3476"/>
    <x v="386"/>
    <x v="366"/>
    <x v="9"/>
  </r>
  <r>
    <x v="3079"/>
    <x v="370"/>
    <x v="1"/>
    <x v="1117"/>
    <x v="457"/>
    <x v="32"/>
    <x v="2108"/>
    <x v="1448"/>
    <x v="3119"/>
    <x v="2649"/>
    <x v="21"/>
    <x v="57"/>
    <x v="1"/>
  </r>
  <r>
    <x v="3080"/>
    <x v="370"/>
    <x v="4"/>
    <x v="1117"/>
    <x v="457"/>
    <x v="31"/>
    <x v="2442"/>
    <x v="1565"/>
    <x v="3210"/>
    <x v="3062"/>
    <x v="21"/>
    <x v="57"/>
    <x v="2"/>
  </r>
  <r>
    <x v="3081"/>
    <x v="370"/>
    <x v="6"/>
    <x v="1091"/>
    <x v="457"/>
    <x v="32"/>
    <x v="2055"/>
    <x v="1324"/>
    <x v="2817"/>
    <x v="2621"/>
    <x v="21"/>
    <x v="57"/>
    <x v="3"/>
  </r>
  <r>
    <x v="3082"/>
    <x v="370"/>
    <x v="9"/>
    <x v="1105"/>
    <x v="621"/>
    <x v="32"/>
    <x v="581"/>
    <x v="468"/>
    <x v="369"/>
    <x v="536"/>
    <x v="21"/>
    <x v="57"/>
    <x v="4"/>
  </r>
  <r>
    <x v="3083"/>
    <x v="370"/>
    <x v="12"/>
    <x v="1115"/>
    <x v="621"/>
    <x v="27"/>
    <x v="654"/>
    <x v="578"/>
    <x v="345"/>
    <x v="604"/>
    <x v="21"/>
    <x v="57"/>
    <x v="5"/>
  </r>
  <r>
    <x v="3084"/>
    <x v="370"/>
    <x v="15"/>
    <x v="1146"/>
    <x v="621"/>
    <x v="37"/>
    <x v="1429"/>
    <x v="1250"/>
    <x v="1581"/>
    <x v="1563"/>
    <x v="21"/>
    <x v="57"/>
    <x v="6"/>
  </r>
  <r>
    <x v="3085"/>
    <x v="370"/>
    <x v="20"/>
    <x v="1108"/>
    <x v="621"/>
    <x v="43"/>
    <x v="2127"/>
    <x v="2187"/>
    <x v="2860"/>
    <x v="2696"/>
    <x v="21"/>
    <x v="57"/>
    <x v="7"/>
  </r>
  <r>
    <x v="3086"/>
    <x v="370"/>
    <x v="25"/>
    <x v="1093"/>
    <x v="621"/>
    <x v="43"/>
    <x v="2424"/>
    <x v="2313"/>
    <x v="3201"/>
    <x v="3063"/>
    <x v="21"/>
    <x v="57"/>
    <x v="8"/>
  </r>
  <r>
    <x v="3087"/>
    <x v="370"/>
    <x v="28"/>
    <x v="1100"/>
    <x v="621"/>
    <x v="43"/>
    <x v="1903"/>
    <x v="1690"/>
    <x v="2604"/>
    <x v="2368"/>
    <x v="21"/>
    <x v="57"/>
    <x v="9"/>
  </r>
  <r>
    <x v="3088"/>
    <x v="371"/>
    <x v="6"/>
    <x v="0"/>
    <x v="15"/>
    <x v="28"/>
    <x v="1182"/>
    <x v="547"/>
    <x v="3246"/>
    <x v="3076"/>
    <x v="42"/>
    <x v="118"/>
    <x v="3"/>
  </r>
  <r>
    <x v="3089"/>
    <x v="371"/>
    <x v="12"/>
    <x v="18"/>
    <x v="19"/>
    <x v="26"/>
    <x v="1133"/>
    <x v="562"/>
    <x v="3290"/>
    <x v="2992"/>
    <x v="42"/>
    <x v="118"/>
    <x v="5"/>
  </r>
  <r>
    <x v="3090"/>
    <x v="371"/>
    <x v="15"/>
    <x v="30"/>
    <x v="19"/>
    <x v="26"/>
    <x v="1214"/>
    <x v="616"/>
    <x v="3310"/>
    <x v="3059"/>
    <x v="42"/>
    <x v="118"/>
    <x v="6"/>
  </r>
  <r>
    <x v="3091"/>
    <x v="371"/>
    <x v="20"/>
    <x v="34"/>
    <x v="22"/>
    <x v="31"/>
    <x v="1317"/>
    <x v="824"/>
    <x v="3369"/>
    <x v="3141"/>
    <x v="42"/>
    <x v="118"/>
    <x v="7"/>
  </r>
  <r>
    <x v="3092"/>
    <x v="371"/>
    <x v="25"/>
    <x v="30"/>
    <x v="21"/>
    <x v="35"/>
    <x v="1718"/>
    <x v="1061"/>
    <x v="3465"/>
    <x v="3356"/>
    <x v="42"/>
    <x v="118"/>
    <x v="8"/>
  </r>
  <r>
    <x v="3093"/>
    <x v="371"/>
    <x v="28"/>
    <x v="36"/>
    <x v="23"/>
    <x v="34"/>
    <x v="1788"/>
    <x v="1127"/>
    <x v="3467"/>
    <x v="3377"/>
    <x v="42"/>
    <x v="118"/>
    <x v="9"/>
  </r>
  <r>
    <x v="3094"/>
    <x v="372"/>
    <x v="1"/>
    <x v="2402"/>
    <x v="1243"/>
    <x v="17"/>
    <x v="3111"/>
    <x v="1594"/>
    <x v="2423"/>
    <x v="2590"/>
    <x v="116"/>
    <x v="134"/>
    <x v="1"/>
  </r>
  <r>
    <x v="3095"/>
    <x v="372"/>
    <x v="4"/>
    <x v="2395"/>
    <x v="1248"/>
    <x v="30"/>
    <x v="3409"/>
    <x v="2591"/>
    <x v="3328"/>
    <x v="3413"/>
    <x v="116"/>
    <x v="134"/>
    <x v="2"/>
  </r>
  <r>
    <x v="3096"/>
    <x v="372"/>
    <x v="6"/>
    <x v="2399"/>
    <x v="1246"/>
    <x v="28"/>
    <x v="3376"/>
    <x v="2241"/>
    <x v="3168"/>
    <x v="3298"/>
    <x v="116"/>
    <x v="134"/>
    <x v="3"/>
  </r>
  <r>
    <x v="3097"/>
    <x v="372"/>
    <x v="9"/>
    <x v="2399"/>
    <x v="1247"/>
    <x v="28"/>
    <x v="3129"/>
    <x v="1646"/>
    <x v="2345"/>
    <x v="2634"/>
    <x v="116"/>
    <x v="134"/>
    <x v="4"/>
  </r>
  <r>
    <x v="3098"/>
    <x v="372"/>
    <x v="12"/>
    <x v="2433"/>
    <x v="1254"/>
    <x v="38"/>
    <x v="2927"/>
    <x v="1692"/>
    <x v="1700"/>
    <x v="2030"/>
    <x v="116"/>
    <x v="134"/>
    <x v="5"/>
  </r>
  <r>
    <x v="3099"/>
    <x v="372"/>
    <x v="15"/>
    <x v="2430"/>
    <x v="1256"/>
    <x v="30"/>
    <x v="3035"/>
    <x v="1585"/>
    <x v="1964"/>
    <x v="2313"/>
    <x v="116"/>
    <x v="134"/>
    <x v="6"/>
  </r>
  <r>
    <x v="3100"/>
    <x v="372"/>
    <x v="20"/>
    <x v="2437"/>
    <x v="1285"/>
    <x v="35"/>
    <x v="3088"/>
    <x v="1816"/>
    <x v="2137"/>
    <x v="2443"/>
    <x v="116"/>
    <x v="134"/>
    <x v="7"/>
  </r>
  <r>
    <x v="3101"/>
    <x v="372"/>
    <x v="25"/>
    <x v="2443"/>
    <x v="1354"/>
    <x v="45"/>
    <x v="3192"/>
    <x v="2285"/>
    <x v="2713"/>
    <x v="2748"/>
    <x v="116"/>
    <x v="134"/>
    <x v="8"/>
  </r>
  <r>
    <x v="3102"/>
    <x v="372"/>
    <x v="28"/>
    <x v="2451"/>
    <x v="1348"/>
    <x v="44"/>
    <x v="3022"/>
    <x v="2084"/>
    <x v="3198"/>
    <x v="2230"/>
    <x v="116"/>
    <x v="134"/>
    <x v="9"/>
  </r>
  <r>
    <x v="3103"/>
    <x v="373"/>
    <x v="1"/>
    <x v="364"/>
    <x v="67"/>
    <x v="24"/>
    <x v="714"/>
    <x v="373"/>
    <x v="1727"/>
    <x v="1625"/>
    <x v="275"/>
    <x v="270"/>
    <x v="1"/>
  </r>
  <r>
    <x v="3104"/>
    <x v="373"/>
    <x v="4"/>
    <x v="396"/>
    <x v="67"/>
    <x v="24"/>
    <x v="727"/>
    <x v="365"/>
    <x v="1685"/>
    <x v="1596"/>
    <x v="275"/>
    <x v="270"/>
    <x v="2"/>
  </r>
  <r>
    <x v="3105"/>
    <x v="373"/>
    <x v="6"/>
    <x v="475"/>
    <x v="172"/>
    <x v="21"/>
    <x v="242"/>
    <x v="126"/>
    <x v="468"/>
    <x v="425"/>
    <x v="275"/>
    <x v="270"/>
    <x v="3"/>
  </r>
  <r>
    <x v="3106"/>
    <x v="373"/>
    <x v="9"/>
    <x v="505"/>
    <x v="172"/>
    <x v="21"/>
    <x v="202"/>
    <x v="104"/>
    <x v="378"/>
    <x v="322"/>
    <x v="275"/>
    <x v="270"/>
    <x v="4"/>
  </r>
  <r>
    <x v="3107"/>
    <x v="373"/>
    <x v="12"/>
    <x v="505"/>
    <x v="172"/>
    <x v="22"/>
    <x v="255"/>
    <x v="128"/>
    <x v="439"/>
    <x v="419"/>
    <x v="275"/>
    <x v="270"/>
    <x v="5"/>
  </r>
  <r>
    <x v="3108"/>
    <x v="373"/>
    <x v="15"/>
    <x v="541"/>
    <x v="174"/>
    <x v="22"/>
    <x v="238"/>
    <x v="136"/>
    <x v="410"/>
    <x v="392"/>
    <x v="275"/>
    <x v="270"/>
    <x v="6"/>
  </r>
  <r>
    <x v="3109"/>
    <x v="373"/>
    <x v="20"/>
    <x v="554"/>
    <x v="174"/>
    <x v="37"/>
    <x v="252"/>
    <x v="165"/>
    <x v="434"/>
    <x v="400"/>
    <x v="275"/>
    <x v="270"/>
    <x v="7"/>
  </r>
  <r>
    <x v="3110"/>
    <x v="373"/>
    <x v="25"/>
    <x v="557"/>
    <x v="174"/>
    <x v="37"/>
    <x v="225"/>
    <x v="134"/>
    <x v="425"/>
    <x v="361"/>
    <x v="275"/>
    <x v="270"/>
    <x v="8"/>
  </r>
  <r>
    <x v="3111"/>
    <x v="373"/>
    <x v="28"/>
    <x v="568"/>
    <x v="174"/>
    <x v="37"/>
    <x v="79"/>
    <x v="50"/>
    <x v="185"/>
    <x v="105"/>
    <x v="275"/>
    <x v="270"/>
    <x v="9"/>
  </r>
  <r>
    <x v="3112"/>
    <x v="374"/>
    <x v="1"/>
    <x v="960"/>
    <x v="351"/>
    <x v="23"/>
    <x v="2109"/>
    <x v="822"/>
    <x v="3211"/>
    <x v="2856"/>
    <x v="339"/>
    <x v="324"/>
    <x v="1"/>
  </r>
  <r>
    <x v="3113"/>
    <x v="374"/>
    <x v="4"/>
    <x v="960"/>
    <x v="351"/>
    <x v="22"/>
    <x v="2224"/>
    <x v="907"/>
    <x v="3251"/>
    <x v="3008"/>
    <x v="339"/>
    <x v="324"/>
    <x v="2"/>
  </r>
  <r>
    <x v="3114"/>
    <x v="374"/>
    <x v="6"/>
    <x v="976"/>
    <x v="351"/>
    <x v="19"/>
    <x v="1931"/>
    <x v="791"/>
    <x v="3024"/>
    <x v="2605"/>
    <x v="339"/>
    <x v="324"/>
    <x v="3"/>
  </r>
  <r>
    <x v="3115"/>
    <x v="374"/>
    <x v="9"/>
    <x v="976"/>
    <x v="351"/>
    <x v="28"/>
    <x v="1982"/>
    <x v="858"/>
    <x v="2889"/>
    <x v="2675"/>
    <x v="339"/>
    <x v="324"/>
    <x v="4"/>
  </r>
  <r>
    <x v="3116"/>
    <x v="374"/>
    <x v="12"/>
    <x v="976"/>
    <x v="351"/>
    <x v="24"/>
    <x v="1173"/>
    <x v="546"/>
    <x v="1898"/>
    <x v="1439"/>
    <x v="339"/>
    <x v="324"/>
    <x v="5"/>
  </r>
  <r>
    <x v="3117"/>
    <x v="374"/>
    <x v="15"/>
    <x v="976"/>
    <x v="351"/>
    <x v="21"/>
    <x v="2120"/>
    <x v="925"/>
    <x v="3051"/>
    <x v="2861"/>
    <x v="339"/>
    <x v="324"/>
    <x v="6"/>
  </r>
  <r>
    <x v="3118"/>
    <x v="374"/>
    <x v="20"/>
    <x v="976"/>
    <x v="351"/>
    <x v="18"/>
    <x v="1760"/>
    <x v="951"/>
    <x v="2738"/>
    <x v="2363"/>
    <x v="339"/>
    <x v="324"/>
    <x v="7"/>
  </r>
  <r>
    <x v="3119"/>
    <x v="374"/>
    <x v="25"/>
    <x v="976"/>
    <x v="351"/>
    <x v="18"/>
    <x v="634"/>
    <x v="425"/>
    <x v="1179"/>
    <x v="672"/>
    <x v="339"/>
    <x v="324"/>
    <x v="8"/>
  </r>
  <r>
    <x v="3120"/>
    <x v="374"/>
    <x v="28"/>
    <x v="1003"/>
    <x v="351"/>
    <x v="18"/>
    <x v="2215"/>
    <x v="1491"/>
    <x v="3187"/>
    <x v="2940"/>
    <x v="339"/>
    <x v="324"/>
    <x v="9"/>
  </r>
  <r>
    <x v="3121"/>
    <x v="375"/>
    <x v="1"/>
    <x v="2565"/>
    <x v="1436"/>
    <x v="16"/>
    <x v="3372"/>
    <x v="2787"/>
    <x v="3333"/>
    <x v="3084"/>
    <x v="364"/>
    <x v="346"/>
    <x v="1"/>
  </r>
  <r>
    <x v="3122"/>
    <x v="375"/>
    <x v="4"/>
    <x v="2561"/>
    <x v="1437"/>
    <x v="21"/>
    <x v="3338"/>
    <x v="2678"/>
    <x v="3337"/>
    <x v="2984"/>
    <x v="364"/>
    <x v="346"/>
    <x v="2"/>
  </r>
  <r>
    <x v="3123"/>
    <x v="375"/>
    <x v="6"/>
    <x v="2571"/>
    <x v="1437"/>
    <x v="20"/>
    <x v="3386"/>
    <x v="2863"/>
    <x v="3391"/>
    <x v="3127"/>
    <x v="364"/>
    <x v="346"/>
    <x v="3"/>
  </r>
  <r>
    <x v="3124"/>
    <x v="375"/>
    <x v="9"/>
    <x v="2572"/>
    <x v="1437"/>
    <x v="23"/>
    <x v="3369"/>
    <x v="2779"/>
    <x v="3433"/>
    <x v="3075"/>
    <x v="364"/>
    <x v="346"/>
    <x v="4"/>
  </r>
  <r>
    <x v="3125"/>
    <x v="375"/>
    <x v="12"/>
    <x v="2573"/>
    <x v="1437"/>
    <x v="25"/>
    <x v="3310"/>
    <x v="2653"/>
    <x v="3271"/>
    <x v="2839"/>
    <x v="364"/>
    <x v="346"/>
    <x v="5"/>
  </r>
  <r>
    <x v="3126"/>
    <x v="375"/>
    <x v="15"/>
    <x v="2536"/>
    <x v="1423"/>
    <x v="31"/>
    <x v="3413"/>
    <x v="3036"/>
    <x v="3457"/>
    <x v="3382"/>
    <x v="364"/>
    <x v="346"/>
    <x v="6"/>
  </r>
  <r>
    <x v="3127"/>
    <x v="375"/>
    <x v="20"/>
    <x v="2539"/>
    <x v="1401"/>
    <x v="40"/>
    <x v="3340"/>
    <x v="2870"/>
    <x v="3341"/>
    <x v="3047"/>
    <x v="364"/>
    <x v="346"/>
    <x v="7"/>
  </r>
  <r>
    <x v="3128"/>
    <x v="375"/>
    <x v="25"/>
    <x v="2551"/>
    <x v="1405"/>
    <x v="40"/>
    <x v="3263"/>
    <x v="2783"/>
    <x v="3054"/>
    <x v="2729"/>
    <x v="364"/>
    <x v="346"/>
    <x v="8"/>
  </r>
  <r>
    <x v="3129"/>
    <x v="375"/>
    <x v="28"/>
    <x v="2550"/>
    <x v="1399"/>
    <x v="42"/>
    <x v="3348"/>
    <x v="3002"/>
    <x v="3357"/>
    <x v="3041"/>
    <x v="364"/>
    <x v="346"/>
    <x v="9"/>
  </r>
  <r>
    <x v="3130"/>
    <x v="376"/>
    <x v="1"/>
    <x v="2320"/>
    <x v="1215"/>
    <x v="23"/>
    <x v="2560"/>
    <x v="2724"/>
    <x v="1494"/>
    <x v="1621"/>
    <x v="362"/>
    <x v="345"/>
    <x v="1"/>
  </r>
  <r>
    <x v="3131"/>
    <x v="376"/>
    <x v="4"/>
    <x v="2318"/>
    <x v="1215"/>
    <x v="23"/>
    <x v="3017"/>
    <x v="2999"/>
    <x v="2143"/>
    <x v="2491"/>
    <x v="362"/>
    <x v="345"/>
    <x v="2"/>
  </r>
  <r>
    <x v="3132"/>
    <x v="376"/>
    <x v="6"/>
    <x v="2322"/>
    <x v="1229"/>
    <x v="24"/>
    <x v="2718"/>
    <x v="2569"/>
    <x v="1480"/>
    <x v="1890"/>
    <x v="362"/>
    <x v="345"/>
    <x v="3"/>
  </r>
  <r>
    <x v="3133"/>
    <x v="376"/>
    <x v="9"/>
    <x v="2348"/>
    <x v="1181"/>
    <x v="28"/>
    <x v="2949"/>
    <x v="2848"/>
    <x v="1867"/>
    <x v="2276"/>
    <x v="362"/>
    <x v="345"/>
    <x v="4"/>
  </r>
  <r>
    <x v="3134"/>
    <x v="376"/>
    <x v="12"/>
    <x v="2351"/>
    <x v="1199"/>
    <x v="29"/>
    <x v="2916"/>
    <x v="2805"/>
    <x v="1747"/>
    <x v="2199"/>
    <x v="362"/>
    <x v="345"/>
    <x v="5"/>
  </r>
  <r>
    <x v="3135"/>
    <x v="376"/>
    <x v="15"/>
    <x v="2378"/>
    <x v="1200"/>
    <x v="37"/>
    <x v="2243"/>
    <x v="2301"/>
    <x v="774"/>
    <x v="1046"/>
    <x v="362"/>
    <x v="345"/>
    <x v="6"/>
  </r>
  <r>
    <x v="3136"/>
    <x v="376"/>
    <x v="20"/>
    <x v="2380"/>
    <x v="1200"/>
    <x v="36"/>
    <x v="3075"/>
    <x v="3000"/>
    <x v="2276"/>
    <x v="2536"/>
    <x v="362"/>
    <x v="345"/>
    <x v="7"/>
  </r>
  <r>
    <x v="3137"/>
    <x v="376"/>
    <x v="25"/>
    <x v="2400"/>
    <x v="1200"/>
    <x v="38"/>
    <x v="2623"/>
    <x v="2768"/>
    <x v="2083"/>
    <x v="1574"/>
    <x v="362"/>
    <x v="345"/>
    <x v="8"/>
  </r>
  <r>
    <x v="3138"/>
    <x v="376"/>
    <x v="28"/>
    <x v="2404"/>
    <x v="1200"/>
    <x v="35"/>
    <x v="2467"/>
    <x v="2687"/>
    <x v="1260"/>
    <x v="1324"/>
    <x v="362"/>
    <x v="345"/>
    <x v="9"/>
  </r>
  <r>
    <x v="3139"/>
    <x v="377"/>
    <x v="15"/>
    <x v="61"/>
    <x v="70"/>
    <x v="20"/>
    <x v="987"/>
    <x v="781"/>
    <x v="2324"/>
    <x v="2725"/>
    <x v="96"/>
    <x v="119"/>
    <x v="6"/>
  </r>
  <r>
    <x v="3140"/>
    <x v="377"/>
    <x v="20"/>
    <x v="81"/>
    <x v="70"/>
    <x v="38"/>
    <x v="1205"/>
    <x v="912"/>
    <x v="2692"/>
    <x v="2957"/>
    <x v="96"/>
    <x v="119"/>
    <x v="7"/>
  </r>
  <r>
    <x v="3141"/>
    <x v="377"/>
    <x v="25"/>
    <x v="158"/>
    <x v="70"/>
    <x v="28"/>
    <x v="1320"/>
    <x v="826"/>
    <x v="2802"/>
    <x v="2951"/>
    <x v="96"/>
    <x v="119"/>
    <x v="8"/>
  </r>
  <r>
    <x v="3142"/>
    <x v="377"/>
    <x v="28"/>
    <x v="248"/>
    <x v="85"/>
    <x v="39"/>
    <x v="1455"/>
    <x v="918"/>
    <x v="2795"/>
    <x v="3021"/>
    <x v="96"/>
    <x v="119"/>
    <x v="9"/>
  </r>
  <r>
    <x v="3143"/>
    <x v="378"/>
    <x v="1"/>
    <x v="65"/>
    <x v="12"/>
    <x v="19"/>
    <x v="536"/>
    <x v="325"/>
    <x v="2676"/>
    <x v="1681"/>
    <x v="72"/>
    <x v="63"/>
    <x v="1"/>
  </r>
  <r>
    <x v="3144"/>
    <x v="378"/>
    <x v="4"/>
    <x v="66"/>
    <x v="12"/>
    <x v="17"/>
    <x v="707"/>
    <x v="505"/>
    <x v="2877"/>
    <x v="2220"/>
    <x v="72"/>
    <x v="63"/>
    <x v="2"/>
  </r>
  <r>
    <x v="3145"/>
    <x v="378"/>
    <x v="6"/>
    <x v="68"/>
    <x v="12"/>
    <x v="20"/>
    <x v="895"/>
    <x v="636"/>
    <x v="2903"/>
    <x v="2548"/>
    <x v="72"/>
    <x v="63"/>
    <x v="3"/>
  </r>
  <r>
    <x v="3146"/>
    <x v="378"/>
    <x v="9"/>
    <x v="68"/>
    <x v="12"/>
    <x v="20"/>
    <x v="896"/>
    <x v="662"/>
    <x v="2907"/>
    <x v="2552"/>
    <x v="72"/>
    <x v="63"/>
    <x v="4"/>
  </r>
  <r>
    <x v="3147"/>
    <x v="378"/>
    <x v="12"/>
    <x v="68"/>
    <x v="12"/>
    <x v="24"/>
    <x v="609"/>
    <x v="508"/>
    <x v="2672"/>
    <x v="1903"/>
    <x v="72"/>
    <x v="63"/>
    <x v="5"/>
  </r>
  <r>
    <x v="3148"/>
    <x v="379"/>
    <x v="1"/>
    <x v="158"/>
    <x v="189"/>
    <x v="24"/>
    <x v="798"/>
    <x v="713"/>
    <x v="3347"/>
    <x v="2145"/>
    <x v="345"/>
    <x v="156"/>
    <x v="1"/>
  </r>
  <r>
    <x v="3149"/>
    <x v="379"/>
    <x v="4"/>
    <x v="158"/>
    <x v="189"/>
    <x v="24"/>
    <x v="969"/>
    <x v="818"/>
    <x v="3402"/>
    <x v="2481"/>
    <x v="345"/>
    <x v="156"/>
    <x v="2"/>
  </r>
  <r>
    <x v="3150"/>
    <x v="379"/>
    <x v="15"/>
    <x v="95"/>
    <x v="67"/>
    <x v="25"/>
    <x v="812"/>
    <x v="440"/>
    <x v="3443"/>
    <x v="2329"/>
    <x v="345"/>
    <x v="156"/>
    <x v="6"/>
  </r>
  <r>
    <x v="3151"/>
    <x v="380"/>
    <x v="1"/>
    <x v="378"/>
    <x v="81"/>
    <x v="25"/>
    <x v="418"/>
    <x v="174"/>
    <x v="700"/>
    <x v="827"/>
    <x v="154"/>
    <x v="160"/>
    <x v="1"/>
  </r>
  <r>
    <x v="3152"/>
    <x v="380"/>
    <x v="4"/>
    <x v="384"/>
    <x v="185"/>
    <x v="15"/>
    <x v="349"/>
    <x v="197"/>
    <x v="718"/>
    <x v="661"/>
    <x v="154"/>
    <x v="160"/>
    <x v="2"/>
  </r>
  <r>
    <x v="3153"/>
    <x v="380"/>
    <x v="6"/>
    <x v="387"/>
    <x v="185"/>
    <x v="26"/>
    <x v="258"/>
    <x v="130"/>
    <x v="754"/>
    <x v="477"/>
    <x v="154"/>
    <x v="160"/>
    <x v="3"/>
  </r>
  <r>
    <x v="3154"/>
    <x v="380"/>
    <x v="9"/>
    <x v="408"/>
    <x v="185"/>
    <x v="29"/>
    <x v="541"/>
    <x v="264"/>
    <x v="1199"/>
    <x v="1106"/>
    <x v="154"/>
    <x v="160"/>
    <x v="4"/>
  </r>
  <r>
    <x v="3155"/>
    <x v="380"/>
    <x v="12"/>
    <x v="344"/>
    <x v="224"/>
    <x v="27"/>
    <x v="420"/>
    <x v="203"/>
    <x v="762"/>
    <x v="866"/>
    <x v="154"/>
    <x v="160"/>
    <x v="5"/>
  </r>
  <r>
    <x v="3156"/>
    <x v="380"/>
    <x v="15"/>
    <x v="425"/>
    <x v="213"/>
    <x v="26"/>
    <x v="532"/>
    <x v="274"/>
    <x v="1699"/>
    <x v="1051"/>
    <x v="154"/>
    <x v="160"/>
    <x v="6"/>
  </r>
  <r>
    <x v="3157"/>
    <x v="380"/>
    <x v="20"/>
    <x v="437"/>
    <x v="203"/>
    <x v="44"/>
    <x v="267"/>
    <x v="164"/>
    <x v="623"/>
    <x v="467"/>
    <x v="154"/>
    <x v="160"/>
    <x v="7"/>
  </r>
  <r>
    <x v="3158"/>
    <x v="380"/>
    <x v="25"/>
    <x v="441"/>
    <x v="194"/>
    <x v="33"/>
    <x v="371"/>
    <x v="201"/>
    <x v="1096"/>
    <x v="659"/>
    <x v="154"/>
    <x v="160"/>
    <x v="8"/>
  </r>
  <r>
    <x v="3159"/>
    <x v="380"/>
    <x v="28"/>
    <x v="453"/>
    <x v="206"/>
    <x v="33"/>
    <x v="329"/>
    <x v="191"/>
    <x v="928"/>
    <x v="580"/>
    <x v="154"/>
    <x v="160"/>
    <x v="9"/>
  </r>
  <r>
    <x v="3160"/>
    <x v="381"/>
    <x v="1"/>
    <x v="1870"/>
    <x v="964"/>
    <x v="26"/>
    <x v="2453"/>
    <x v="2711"/>
    <x v="2313"/>
    <x v="2038"/>
    <x v="254"/>
    <x v="87"/>
    <x v="1"/>
  </r>
  <r>
    <x v="3161"/>
    <x v="381"/>
    <x v="4"/>
    <x v="1871"/>
    <x v="942"/>
    <x v="27"/>
    <x v="1800"/>
    <x v="2368"/>
    <x v="1079"/>
    <x v="1005"/>
    <x v="254"/>
    <x v="87"/>
    <x v="2"/>
  </r>
  <r>
    <x v="3162"/>
    <x v="381"/>
    <x v="6"/>
    <x v="1894"/>
    <x v="946"/>
    <x v="30"/>
    <x v="2449"/>
    <x v="2977"/>
    <x v="2433"/>
    <x v="1992"/>
    <x v="254"/>
    <x v="87"/>
    <x v="3"/>
  </r>
  <r>
    <x v="3163"/>
    <x v="381"/>
    <x v="9"/>
    <x v="1880"/>
    <x v="929"/>
    <x v="32"/>
    <x v="721"/>
    <x v="1687"/>
    <x v="528"/>
    <x v="338"/>
    <x v="254"/>
    <x v="87"/>
    <x v="4"/>
  </r>
  <r>
    <x v="3164"/>
    <x v="381"/>
    <x v="12"/>
    <x v="1883"/>
    <x v="892"/>
    <x v="32"/>
    <x v="2124"/>
    <x v="2788"/>
    <x v="1860"/>
    <x v="1450"/>
    <x v="254"/>
    <x v="87"/>
    <x v="5"/>
  </r>
  <r>
    <x v="3165"/>
    <x v="381"/>
    <x v="15"/>
    <x v="1914"/>
    <x v="936"/>
    <x v="32"/>
    <x v="2245"/>
    <x v="2695"/>
    <x v="2231"/>
    <x v="1613"/>
    <x v="254"/>
    <x v="87"/>
    <x v="6"/>
  </r>
  <r>
    <x v="3166"/>
    <x v="381"/>
    <x v="20"/>
    <x v="1925"/>
    <x v="937"/>
    <x v="24"/>
    <x v="1979"/>
    <x v="2777"/>
    <x v="1966"/>
    <x v="1168"/>
    <x v="254"/>
    <x v="87"/>
    <x v="7"/>
  </r>
  <r>
    <x v="3167"/>
    <x v="381"/>
    <x v="25"/>
    <x v="1926"/>
    <x v="928"/>
    <x v="24"/>
    <x v="2030"/>
    <x v="2891"/>
    <x v="1969"/>
    <x v="1248"/>
    <x v="254"/>
    <x v="87"/>
    <x v="8"/>
  </r>
  <r>
    <x v="3168"/>
    <x v="381"/>
    <x v="28"/>
    <x v="1932"/>
    <x v="938"/>
    <x v="25"/>
    <x v="2139"/>
    <x v="2998"/>
    <x v="2062"/>
    <x v="1414"/>
    <x v="254"/>
    <x v="87"/>
    <x v="9"/>
  </r>
  <r>
    <x v="3169"/>
    <x v="382"/>
    <x v="1"/>
    <x v="2769"/>
    <x v="1573"/>
    <x v="30"/>
    <x v="2874"/>
    <x v="2932"/>
    <x v="1469"/>
    <x v="1093"/>
    <x v="321"/>
    <x v="299"/>
    <x v="1"/>
  </r>
  <r>
    <x v="3170"/>
    <x v="382"/>
    <x v="4"/>
    <x v="2774"/>
    <x v="1574"/>
    <x v="32"/>
    <x v="2880"/>
    <x v="2969"/>
    <x v="1550"/>
    <x v="1096"/>
    <x v="321"/>
    <x v="299"/>
    <x v="2"/>
  </r>
  <r>
    <x v="3171"/>
    <x v="382"/>
    <x v="6"/>
    <x v="2780"/>
    <x v="1576"/>
    <x v="37"/>
    <x v="2935"/>
    <x v="3078"/>
    <x v="1691"/>
    <x v="1164"/>
    <x v="321"/>
    <x v="299"/>
    <x v="3"/>
  </r>
  <r>
    <x v="3172"/>
    <x v="382"/>
    <x v="9"/>
    <x v="2782"/>
    <x v="1576"/>
    <x v="36"/>
    <x v="2953"/>
    <x v="3095"/>
    <x v="1642"/>
    <x v="1191"/>
    <x v="321"/>
    <x v="299"/>
    <x v="4"/>
  </r>
  <r>
    <x v="3173"/>
    <x v="382"/>
    <x v="12"/>
    <x v="2785"/>
    <x v="1578"/>
    <x v="36"/>
    <x v="3001"/>
    <x v="3151"/>
    <x v="1582"/>
    <x v="1294"/>
    <x v="321"/>
    <x v="299"/>
    <x v="5"/>
  </r>
  <r>
    <x v="3174"/>
    <x v="382"/>
    <x v="15"/>
    <x v="2786"/>
    <x v="1579"/>
    <x v="36"/>
    <x v="2768"/>
    <x v="3175"/>
    <x v="1264"/>
    <x v="913"/>
    <x v="321"/>
    <x v="299"/>
    <x v="6"/>
  </r>
  <r>
    <x v="3175"/>
    <x v="382"/>
    <x v="20"/>
    <x v="2788"/>
    <x v="1579"/>
    <x v="27"/>
    <x v="2122"/>
    <x v="2790"/>
    <x v="541"/>
    <x v="464"/>
    <x v="321"/>
    <x v="299"/>
    <x v="7"/>
  </r>
  <r>
    <x v="3176"/>
    <x v="382"/>
    <x v="25"/>
    <x v="2791"/>
    <x v="1581"/>
    <x v="28"/>
    <x v="2824"/>
    <x v="3226"/>
    <x v="1503"/>
    <x v="971"/>
    <x v="321"/>
    <x v="299"/>
    <x v="8"/>
  </r>
  <r>
    <x v="3177"/>
    <x v="382"/>
    <x v="28"/>
    <x v="2757"/>
    <x v="1582"/>
    <x v="28"/>
    <x v="2333"/>
    <x v="3007"/>
    <x v="874"/>
    <x v="584"/>
    <x v="321"/>
    <x v="299"/>
    <x v="9"/>
  </r>
  <r>
    <x v="3178"/>
    <x v="383"/>
    <x v="1"/>
    <x v="308"/>
    <x v="102"/>
    <x v="33"/>
    <x v="487"/>
    <x v="1000"/>
    <x v="1131"/>
    <x v="1107"/>
    <x v="329"/>
    <x v="309"/>
    <x v="1"/>
  </r>
  <r>
    <x v="3179"/>
    <x v="383"/>
    <x v="4"/>
    <x v="312"/>
    <x v="103"/>
    <x v="33"/>
    <x v="547"/>
    <x v="1033"/>
    <x v="1546"/>
    <x v="1264"/>
    <x v="329"/>
    <x v="309"/>
    <x v="2"/>
  </r>
  <r>
    <x v="3180"/>
    <x v="383"/>
    <x v="6"/>
    <x v="318"/>
    <x v="103"/>
    <x v="33"/>
    <x v="1028"/>
    <x v="1827"/>
    <x v="2309"/>
    <x v="2385"/>
    <x v="329"/>
    <x v="309"/>
    <x v="3"/>
  </r>
  <r>
    <x v="3181"/>
    <x v="383"/>
    <x v="9"/>
    <x v="315"/>
    <x v="103"/>
    <x v="33"/>
    <x v="1394"/>
    <x v="3482"/>
    <x v="2952"/>
    <x v="2858"/>
    <x v="329"/>
    <x v="309"/>
    <x v="4"/>
  </r>
  <r>
    <x v="3182"/>
    <x v="383"/>
    <x v="12"/>
    <x v="332"/>
    <x v="103"/>
    <x v="34"/>
    <x v="645"/>
    <x v="1389"/>
    <x v="1335"/>
    <x v="1497"/>
    <x v="329"/>
    <x v="309"/>
    <x v="5"/>
  </r>
  <r>
    <x v="3183"/>
    <x v="383"/>
    <x v="15"/>
    <x v="337"/>
    <x v="103"/>
    <x v="40"/>
    <x v="587"/>
    <x v="1412"/>
    <x v="1741"/>
    <x v="1317"/>
    <x v="329"/>
    <x v="309"/>
    <x v="6"/>
  </r>
  <r>
    <x v="3184"/>
    <x v="383"/>
    <x v="20"/>
    <x v="339"/>
    <x v="103"/>
    <x v="35"/>
    <x v="851"/>
    <x v="1745"/>
    <x v="2100"/>
    <x v="1932"/>
    <x v="329"/>
    <x v="309"/>
    <x v="7"/>
  </r>
  <r>
    <x v="3185"/>
    <x v="383"/>
    <x v="25"/>
    <x v="335"/>
    <x v="103"/>
    <x v="31"/>
    <x v="899"/>
    <x v="1814"/>
    <x v="2266"/>
    <x v="2032"/>
    <x v="329"/>
    <x v="309"/>
    <x v="8"/>
  </r>
  <r>
    <x v="3186"/>
    <x v="383"/>
    <x v="28"/>
    <x v="338"/>
    <x v="103"/>
    <x v="34"/>
    <x v="744"/>
    <x v="1794"/>
    <x v="1824"/>
    <x v="1740"/>
    <x v="329"/>
    <x v="309"/>
    <x v="9"/>
  </r>
  <r>
    <x v="3187"/>
    <x v="384"/>
    <x v="1"/>
    <x v="768"/>
    <x v="321"/>
    <x v="42"/>
    <x v="1266"/>
    <x v="2365"/>
    <x v="2847"/>
    <x v="1915"/>
    <x v="367"/>
    <x v="126"/>
    <x v="1"/>
  </r>
  <r>
    <x v="3188"/>
    <x v="384"/>
    <x v="4"/>
    <x v="768"/>
    <x v="321"/>
    <x v="48"/>
    <x v="1756"/>
    <x v="2628"/>
    <x v="3066"/>
    <x v="2637"/>
    <x v="367"/>
    <x v="126"/>
    <x v="2"/>
  </r>
  <r>
    <x v="3189"/>
    <x v="384"/>
    <x v="6"/>
    <x v="777"/>
    <x v="337"/>
    <x v="47"/>
    <x v="993"/>
    <x v="2159"/>
    <x v="2259"/>
    <x v="1434"/>
    <x v="367"/>
    <x v="126"/>
    <x v="3"/>
  </r>
  <r>
    <x v="3190"/>
    <x v="384"/>
    <x v="9"/>
    <x v="795"/>
    <x v="337"/>
    <x v="41"/>
    <x v="571"/>
    <x v="1733"/>
    <x v="1625"/>
    <x v="716"/>
    <x v="367"/>
    <x v="126"/>
    <x v="4"/>
  </r>
  <r>
    <x v="3191"/>
    <x v="384"/>
    <x v="11"/>
    <x v="795"/>
    <x v="337"/>
    <x v="28"/>
    <x v="558"/>
    <x v="1232"/>
    <x v="804"/>
    <x v="695"/>
    <x v="367"/>
    <x v="126"/>
    <x v="4"/>
  </r>
  <r>
    <x v="3192"/>
    <x v="384"/>
    <x v="13"/>
    <x v="790"/>
    <x v="337"/>
    <x v="22"/>
    <x v="1372"/>
    <x v="1922"/>
    <x v="2229"/>
    <x v="2079"/>
    <x v="367"/>
    <x v="126"/>
    <x v="5"/>
  </r>
  <r>
    <x v="3193"/>
    <x v="384"/>
    <x v="17"/>
    <x v="786"/>
    <x v="337"/>
    <x v="28"/>
    <x v="641"/>
    <x v="1344"/>
    <x v="1098"/>
    <x v="835"/>
    <x v="367"/>
    <x v="126"/>
    <x v="6"/>
  </r>
  <r>
    <x v="3194"/>
    <x v="384"/>
    <x v="22"/>
    <x v="787"/>
    <x v="340"/>
    <x v="37"/>
    <x v="1225"/>
    <x v="1882"/>
    <x v="2582"/>
    <x v="1837"/>
    <x v="367"/>
    <x v="126"/>
    <x v="7"/>
  </r>
  <r>
    <x v="3195"/>
    <x v="384"/>
    <x v="27"/>
    <x v="791"/>
    <x v="340"/>
    <x v="33"/>
    <x v="450"/>
    <x v="1203"/>
    <x v="577"/>
    <x v="569"/>
    <x v="367"/>
    <x v="126"/>
    <x v="8"/>
  </r>
  <r>
    <x v="3196"/>
    <x v="384"/>
    <x v="29"/>
    <x v="789"/>
    <x v="339"/>
    <x v="34"/>
    <x v="453"/>
    <x v="1270"/>
    <x v="841"/>
    <x v="578"/>
    <x v="367"/>
    <x v="126"/>
    <x v="9"/>
  </r>
  <r>
    <x v="3197"/>
    <x v="385"/>
    <x v="1"/>
    <x v="1021"/>
    <x v="458"/>
    <x v="18"/>
    <x v="1757"/>
    <x v="1133"/>
    <x v="2417"/>
    <x v="2263"/>
    <x v="280"/>
    <x v="273"/>
    <x v="1"/>
  </r>
  <r>
    <x v="3198"/>
    <x v="385"/>
    <x v="4"/>
    <x v="1027"/>
    <x v="458"/>
    <x v="30"/>
    <x v="203"/>
    <x v="328"/>
    <x v="547"/>
    <x v="218"/>
    <x v="280"/>
    <x v="273"/>
    <x v="2"/>
  </r>
  <r>
    <x v="3199"/>
    <x v="385"/>
    <x v="5"/>
    <x v="1027"/>
    <x v="477"/>
    <x v="30"/>
    <x v="976"/>
    <x v="756"/>
    <x v="1572"/>
    <x v="1026"/>
    <x v="280"/>
    <x v="273"/>
    <x v="2"/>
  </r>
  <r>
    <x v="3200"/>
    <x v="385"/>
    <x v="6"/>
    <x v="1109"/>
    <x v="458"/>
    <x v="29"/>
    <x v="1547"/>
    <x v="2887"/>
    <x v="1943"/>
    <x v="1790"/>
    <x v="280"/>
    <x v="273"/>
    <x v="3"/>
  </r>
  <r>
    <x v="3201"/>
    <x v="385"/>
    <x v="9"/>
    <x v="1115"/>
    <x v="465"/>
    <x v="26"/>
    <x v="866"/>
    <x v="1197"/>
    <x v="1353"/>
    <x v="799"/>
    <x v="280"/>
    <x v="273"/>
    <x v="4"/>
  </r>
  <r>
    <x v="3202"/>
    <x v="385"/>
    <x v="12"/>
    <x v="1097"/>
    <x v="465"/>
    <x v="31"/>
    <x v="314"/>
    <x v="617"/>
    <x v="403"/>
    <x v="296"/>
    <x v="280"/>
    <x v="273"/>
    <x v="5"/>
  </r>
  <r>
    <x v="3203"/>
    <x v="385"/>
    <x v="15"/>
    <x v="1186"/>
    <x v="465"/>
    <x v="36"/>
    <x v="713"/>
    <x v="1046"/>
    <x v="828"/>
    <x v="624"/>
    <x v="280"/>
    <x v="273"/>
    <x v="6"/>
  </r>
  <r>
    <x v="3204"/>
    <x v="385"/>
    <x v="20"/>
    <x v="1178"/>
    <x v="499"/>
    <x v="22"/>
    <x v="337"/>
    <x v="599"/>
    <x v="436"/>
    <x v="295"/>
    <x v="280"/>
    <x v="273"/>
    <x v="7"/>
  </r>
  <r>
    <x v="3205"/>
    <x v="385"/>
    <x v="25"/>
    <x v="1167"/>
    <x v="493"/>
    <x v="34"/>
    <x v="82"/>
    <x v="120"/>
    <x v="56"/>
    <x v="82"/>
    <x v="280"/>
    <x v="273"/>
    <x v="8"/>
  </r>
  <r>
    <x v="3206"/>
    <x v="385"/>
    <x v="28"/>
    <x v="1162"/>
    <x v="493"/>
    <x v="28"/>
    <x v="1586"/>
    <x v="1983"/>
    <x v="1518"/>
    <x v="1762"/>
    <x v="280"/>
    <x v="273"/>
    <x v="9"/>
  </r>
  <r>
    <x v="3207"/>
    <x v="386"/>
    <x v="3"/>
    <x v="533"/>
    <x v="552"/>
    <x v="29"/>
    <x v="685"/>
    <x v="777"/>
    <x v="580"/>
    <x v="1288"/>
    <x v="383"/>
    <x v="335"/>
    <x v="1"/>
  </r>
  <r>
    <x v="3208"/>
    <x v="386"/>
    <x v="5"/>
    <x v="532"/>
    <x v="557"/>
    <x v="30"/>
    <x v="1319"/>
    <x v="1307"/>
    <x v="1458"/>
    <x v="2457"/>
    <x v="383"/>
    <x v="335"/>
    <x v="2"/>
  </r>
  <r>
    <x v="3209"/>
    <x v="386"/>
    <x v="8"/>
    <x v="540"/>
    <x v="548"/>
    <x v="30"/>
    <x v="1159"/>
    <x v="1257"/>
    <x v="1143"/>
    <x v="2182"/>
    <x v="383"/>
    <x v="335"/>
    <x v="3"/>
  </r>
  <r>
    <x v="3210"/>
    <x v="386"/>
    <x v="11"/>
    <x v="547"/>
    <x v="571"/>
    <x v="33"/>
    <x v="1235"/>
    <x v="1244"/>
    <x v="1414"/>
    <x v="2287"/>
    <x v="383"/>
    <x v="335"/>
    <x v="4"/>
  </r>
  <r>
    <x v="3211"/>
    <x v="386"/>
    <x v="13"/>
    <x v="1063"/>
    <x v="570"/>
    <x v="29"/>
    <x v="617"/>
    <x v="889"/>
    <x v="321"/>
    <x v="594"/>
    <x v="383"/>
    <x v="335"/>
    <x v="5"/>
  </r>
  <r>
    <x v="3212"/>
    <x v="386"/>
    <x v="17"/>
    <x v="1062"/>
    <x v="571"/>
    <x v="34"/>
    <x v="205"/>
    <x v="159"/>
    <x v="123"/>
    <x v="216"/>
    <x v="383"/>
    <x v="335"/>
    <x v="6"/>
  </r>
  <r>
    <x v="3213"/>
    <x v="386"/>
    <x v="22"/>
    <x v="1072"/>
    <x v="571"/>
    <x v="33"/>
    <x v="621"/>
    <x v="804"/>
    <x v="633"/>
    <x v="592"/>
    <x v="383"/>
    <x v="335"/>
    <x v="7"/>
  </r>
  <r>
    <x v="3214"/>
    <x v="386"/>
    <x v="27"/>
    <x v="1071"/>
    <x v="571"/>
    <x v="27"/>
    <x v="697"/>
    <x v="902"/>
    <x v="779"/>
    <x v="679"/>
    <x v="383"/>
    <x v="335"/>
    <x v="8"/>
  </r>
  <r>
    <x v="3215"/>
    <x v="387"/>
    <x v="15"/>
    <x v="19"/>
    <x v="17"/>
    <x v="25"/>
    <x v="522"/>
    <x v="878"/>
    <x v="2908"/>
    <x v="1777"/>
    <x v="36"/>
    <x v="144"/>
    <x v="6"/>
  </r>
  <r>
    <x v="3216"/>
    <x v="388"/>
    <x v="3"/>
    <x v="2855"/>
    <x v="1709"/>
    <x v="27"/>
    <x v="3465"/>
    <x v="3354"/>
    <x v="3151"/>
    <x v="3321"/>
    <x v="214"/>
    <x v="81"/>
    <x v="1"/>
  </r>
  <r>
    <x v="3217"/>
    <x v="389"/>
    <x v="5"/>
    <x v="2856"/>
    <x v="1717"/>
    <x v="31"/>
    <x v="2902"/>
    <x v="1961"/>
    <x v="1659"/>
    <x v="774"/>
    <x v="214"/>
    <x v="209"/>
    <x v="2"/>
  </r>
  <r>
    <x v="3218"/>
    <x v="389"/>
    <x v="8"/>
    <x v="2857"/>
    <x v="1719"/>
    <x v="31"/>
    <x v="3104"/>
    <x v="2514"/>
    <x v="1962"/>
    <x v="1118"/>
    <x v="214"/>
    <x v="209"/>
    <x v="3"/>
  </r>
  <r>
    <x v="3219"/>
    <x v="389"/>
    <x v="11"/>
    <x v="2858"/>
    <x v="1720"/>
    <x v="32"/>
    <x v="3377"/>
    <x v="3033"/>
    <x v="2479"/>
    <x v="2311"/>
    <x v="214"/>
    <x v="209"/>
    <x v="4"/>
  </r>
  <r>
    <x v="3220"/>
    <x v="389"/>
    <x v="13"/>
    <x v="2859"/>
    <x v="1722"/>
    <x v="31"/>
    <x v="3326"/>
    <x v="2606"/>
    <x v="1840"/>
    <x v="2007"/>
    <x v="214"/>
    <x v="209"/>
    <x v="5"/>
  </r>
  <r>
    <x v="3221"/>
    <x v="389"/>
    <x v="17"/>
    <x v="2860"/>
    <x v="1723"/>
    <x v="32"/>
    <x v="3096"/>
    <x v="1649"/>
    <x v="1552"/>
    <x v="1080"/>
    <x v="214"/>
    <x v="209"/>
    <x v="6"/>
  </r>
  <r>
    <x v="3222"/>
    <x v="389"/>
    <x v="22"/>
    <x v="2861"/>
    <x v="1748"/>
    <x v="38"/>
    <x v="3284"/>
    <x v="1978"/>
    <x v="2103"/>
    <x v="1731"/>
    <x v="214"/>
    <x v="209"/>
    <x v="7"/>
  </r>
  <r>
    <x v="3223"/>
    <x v="389"/>
    <x v="27"/>
    <x v="2863"/>
    <x v="1754"/>
    <x v="40"/>
    <x v="3222"/>
    <x v="1834"/>
    <x v="2006"/>
    <x v="1478"/>
    <x v="214"/>
    <x v="209"/>
    <x v="8"/>
  </r>
  <r>
    <x v="3224"/>
    <x v="389"/>
    <x v="29"/>
    <x v="2862"/>
    <x v="1752"/>
    <x v="38"/>
    <x v="2929"/>
    <x v="1514"/>
    <x v="1025"/>
    <x v="777"/>
    <x v="214"/>
    <x v="209"/>
    <x v="9"/>
  </r>
  <r>
    <x v="3225"/>
    <x v="390"/>
    <x v="1"/>
    <x v="67"/>
    <x v="6"/>
    <x v="20"/>
    <x v="973"/>
    <x v="387"/>
    <x v="3165"/>
    <x v="2683"/>
    <x v="227"/>
    <x v="84"/>
    <x v="1"/>
  </r>
  <r>
    <x v="3226"/>
    <x v="390"/>
    <x v="4"/>
    <x v="83"/>
    <x v="6"/>
    <x v="19"/>
    <x v="1459"/>
    <x v="646"/>
    <x v="3292"/>
    <x v="3169"/>
    <x v="227"/>
    <x v="84"/>
    <x v="2"/>
  </r>
  <r>
    <x v="3227"/>
    <x v="390"/>
    <x v="6"/>
    <x v="97"/>
    <x v="6"/>
    <x v="20"/>
    <x v="1418"/>
    <x v="590"/>
    <x v="3252"/>
    <x v="3125"/>
    <x v="227"/>
    <x v="84"/>
    <x v="3"/>
  </r>
  <r>
    <x v="3228"/>
    <x v="390"/>
    <x v="9"/>
    <x v="100"/>
    <x v="6"/>
    <x v="20"/>
    <x v="1282"/>
    <x v="1285"/>
    <x v="3231"/>
    <x v="2994"/>
    <x v="227"/>
    <x v="84"/>
    <x v="4"/>
  </r>
  <r>
    <x v="3229"/>
    <x v="390"/>
    <x v="12"/>
    <x v="100"/>
    <x v="6"/>
    <x v="30"/>
    <x v="367"/>
    <x v="627"/>
    <x v="2437"/>
    <x v="984"/>
    <x v="227"/>
    <x v="84"/>
    <x v="5"/>
  </r>
  <r>
    <x v="3230"/>
    <x v="390"/>
    <x v="15"/>
    <x v="94"/>
    <x v="6"/>
    <x v="34"/>
    <x v="951"/>
    <x v="1345"/>
    <x v="3115"/>
    <x v="2572"/>
    <x v="227"/>
    <x v="84"/>
    <x v="6"/>
  </r>
  <r>
    <x v="3231"/>
    <x v="390"/>
    <x v="20"/>
    <x v="103"/>
    <x v="8"/>
    <x v="38"/>
    <x v="43"/>
    <x v="40"/>
    <x v="2239"/>
    <x v="47"/>
    <x v="227"/>
    <x v="84"/>
    <x v="7"/>
  </r>
  <r>
    <x v="3232"/>
    <x v="390"/>
    <x v="25"/>
    <x v="121"/>
    <x v="8"/>
    <x v="38"/>
    <x v="943"/>
    <x v="522"/>
    <x v="3193"/>
    <x v="2516"/>
    <x v="227"/>
    <x v="84"/>
    <x v="8"/>
  </r>
  <r>
    <x v="3233"/>
    <x v="390"/>
    <x v="28"/>
    <x v="108"/>
    <x v="9"/>
    <x v="24"/>
    <x v="982"/>
    <x v="744"/>
    <x v="3083"/>
    <x v="2598"/>
    <x v="227"/>
    <x v="84"/>
    <x v="9"/>
  </r>
  <r>
    <x v="3234"/>
    <x v="391"/>
    <x v="1"/>
    <x v="872"/>
    <x v="251"/>
    <x v="7"/>
    <x v="1124"/>
    <x v="666"/>
    <x v="827"/>
    <x v="1529"/>
    <x v="235"/>
    <x v="229"/>
    <x v="1"/>
  </r>
  <r>
    <x v="3235"/>
    <x v="391"/>
    <x v="4"/>
    <x v="946"/>
    <x v="251"/>
    <x v="24"/>
    <x v="1767"/>
    <x v="570"/>
    <x v="2825"/>
    <x v="2430"/>
    <x v="235"/>
    <x v="229"/>
    <x v="2"/>
  </r>
  <r>
    <x v="3236"/>
    <x v="391"/>
    <x v="6"/>
    <x v="946"/>
    <x v="251"/>
    <x v="40"/>
    <x v="2069"/>
    <x v="725"/>
    <x v="3108"/>
    <x v="2827"/>
    <x v="235"/>
    <x v="229"/>
    <x v="3"/>
  </r>
  <r>
    <x v="3237"/>
    <x v="391"/>
    <x v="9"/>
    <x v="946"/>
    <x v="251"/>
    <x v="33"/>
    <x v="9"/>
    <x v="27"/>
    <x v="32"/>
    <x v="5"/>
    <x v="235"/>
    <x v="229"/>
    <x v="4"/>
  </r>
  <r>
    <x v="3238"/>
    <x v="391"/>
    <x v="12"/>
    <x v="946"/>
    <x v="251"/>
    <x v="25"/>
    <x v="1371"/>
    <x v="422"/>
    <x v="2415"/>
    <x v="1819"/>
    <x v="235"/>
    <x v="229"/>
    <x v="5"/>
  </r>
  <r>
    <x v="3239"/>
    <x v="391"/>
    <x v="15"/>
    <x v="946"/>
    <x v="251"/>
    <x v="33"/>
    <x v="1473"/>
    <x v="540"/>
    <x v="2612"/>
    <x v="1974"/>
    <x v="235"/>
    <x v="229"/>
    <x v="6"/>
  </r>
  <r>
    <x v="3240"/>
    <x v="391"/>
    <x v="20"/>
    <x v="945"/>
    <x v="251"/>
    <x v="22"/>
    <x v="1407"/>
    <x v="610"/>
    <x v="2428"/>
    <x v="1883"/>
    <x v="235"/>
    <x v="229"/>
    <x v="7"/>
  </r>
  <r>
    <x v="3241"/>
    <x v="391"/>
    <x v="25"/>
    <x v="949"/>
    <x v="251"/>
    <x v="30"/>
    <x v="1822"/>
    <x v="608"/>
    <x v="2797"/>
    <x v="2506"/>
    <x v="235"/>
    <x v="229"/>
    <x v="8"/>
  </r>
  <r>
    <x v="3242"/>
    <x v="391"/>
    <x v="28"/>
    <x v="950"/>
    <x v="257"/>
    <x v="30"/>
    <x v="1761"/>
    <x v="930"/>
    <x v="2815"/>
    <x v="2418"/>
    <x v="235"/>
    <x v="229"/>
    <x v="9"/>
  </r>
  <r>
    <x v="3243"/>
    <x v="392"/>
    <x v="1"/>
    <x v="662"/>
    <x v="81"/>
    <x v="27"/>
    <x v="2020"/>
    <x v="317"/>
    <x v="2973"/>
    <x v="3067"/>
    <x v="253"/>
    <x v="248"/>
    <x v="1"/>
  </r>
  <r>
    <x v="3244"/>
    <x v="392"/>
    <x v="4"/>
    <x v="690"/>
    <x v="81"/>
    <x v="27"/>
    <x v="2391"/>
    <x v="977"/>
    <x v="3266"/>
    <x v="3332"/>
    <x v="253"/>
    <x v="248"/>
    <x v="2"/>
  </r>
  <r>
    <x v="3245"/>
    <x v="392"/>
    <x v="6"/>
    <x v="699"/>
    <x v="81"/>
    <x v="24"/>
    <x v="2200"/>
    <x v="840"/>
    <x v="3093"/>
    <x v="3194"/>
    <x v="253"/>
    <x v="248"/>
    <x v="3"/>
  </r>
  <r>
    <x v="3246"/>
    <x v="392"/>
    <x v="9"/>
    <x v="698"/>
    <x v="101"/>
    <x v="24"/>
    <x v="2371"/>
    <x v="941"/>
    <x v="3245"/>
    <x v="3313"/>
    <x v="253"/>
    <x v="248"/>
    <x v="4"/>
  </r>
  <r>
    <x v="3247"/>
    <x v="392"/>
    <x v="12"/>
    <x v="719"/>
    <x v="151"/>
    <x v="27"/>
    <x v="1342"/>
    <x v="427"/>
    <x v="2228"/>
    <x v="2143"/>
    <x v="253"/>
    <x v="248"/>
    <x v="5"/>
  </r>
  <r>
    <x v="3248"/>
    <x v="392"/>
    <x v="15"/>
    <x v="741"/>
    <x v="151"/>
    <x v="24"/>
    <x v="2592"/>
    <x v="1118"/>
    <x v="3345"/>
    <x v="3383"/>
    <x v="253"/>
    <x v="248"/>
    <x v="6"/>
  </r>
  <r>
    <x v="3249"/>
    <x v="392"/>
    <x v="20"/>
    <x v="798"/>
    <x v="152"/>
    <x v="16"/>
    <x v="2171"/>
    <x v="771"/>
    <x v="3030"/>
    <x v="3101"/>
    <x v="253"/>
    <x v="248"/>
    <x v="7"/>
  </r>
  <r>
    <x v="3250"/>
    <x v="392"/>
    <x v="25"/>
    <x v="772"/>
    <x v="152"/>
    <x v="19"/>
    <x v="2451"/>
    <x v="1062"/>
    <x v="3253"/>
    <x v="3311"/>
    <x v="253"/>
    <x v="248"/>
    <x v="8"/>
  </r>
  <r>
    <x v="3251"/>
    <x v="392"/>
    <x v="28"/>
    <x v="808"/>
    <x v="435"/>
    <x v="20"/>
    <x v="1876"/>
    <x v="737"/>
    <x v="2533"/>
    <x v="2738"/>
    <x v="253"/>
    <x v="248"/>
    <x v="9"/>
  </r>
  <r>
    <x v="3252"/>
    <x v="393"/>
    <x v="1"/>
    <x v="740"/>
    <x v="199"/>
    <x v="28"/>
    <x v="1313"/>
    <x v="385"/>
    <x v="1262"/>
    <x v="2031"/>
    <x v="277"/>
    <x v="90"/>
    <x v="1"/>
  </r>
  <r>
    <x v="3253"/>
    <x v="393"/>
    <x v="4"/>
    <x v="846"/>
    <x v="199"/>
    <x v="22"/>
    <x v="265"/>
    <x v="82"/>
    <x v="68"/>
    <x v="313"/>
    <x v="277"/>
    <x v="90"/>
    <x v="2"/>
  </r>
  <r>
    <x v="3254"/>
    <x v="393"/>
    <x v="6"/>
    <x v="833"/>
    <x v="199"/>
    <x v="29"/>
    <x v="1300"/>
    <x v="339"/>
    <x v="855"/>
    <x v="1872"/>
    <x v="277"/>
    <x v="90"/>
    <x v="3"/>
  </r>
  <r>
    <x v="3255"/>
    <x v="393"/>
    <x v="9"/>
    <x v="728"/>
    <x v="199"/>
    <x v="28"/>
    <x v="275"/>
    <x v="87"/>
    <x v="71"/>
    <x v="370"/>
    <x v="277"/>
    <x v="90"/>
    <x v="4"/>
  </r>
  <r>
    <x v="3256"/>
    <x v="393"/>
    <x v="12"/>
    <x v="732"/>
    <x v="215"/>
    <x v="38"/>
    <x v="2064"/>
    <x v="762"/>
    <x v="2771"/>
    <x v="3042"/>
    <x v="277"/>
    <x v="90"/>
    <x v="5"/>
  </r>
  <r>
    <x v="3257"/>
    <x v="393"/>
    <x v="15"/>
    <x v="748"/>
    <x v="218"/>
    <x v="31"/>
    <x v="2340"/>
    <x v="836"/>
    <x v="2995"/>
    <x v="3239"/>
    <x v="277"/>
    <x v="90"/>
    <x v="6"/>
  </r>
  <r>
    <x v="3258"/>
    <x v="393"/>
    <x v="20"/>
    <x v="769"/>
    <x v="218"/>
    <x v="18"/>
    <x v="2297"/>
    <x v="910"/>
    <x v="2949"/>
    <x v="3201"/>
    <x v="277"/>
    <x v="90"/>
    <x v="7"/>
  </r>
  <r>
    <x v="3259"/>
    <x v="393"/>
    <x v="25"/>
    <x v="794"/>
    <x v="237"/>
    <x v="18"/>
    <x v="1018"/>
    <x v="383"/>
    <x v="1069"/>
    <x v="1485"/>
    <x v="277"/>
    <x v="90"/>
    <x v="8"/>
  </r>
  <r>
    <x v="3260"/>
    <x v="393"/>
    <x v="28"/>
    <x v="842"/>
    <x v="230"/>
    <x v="18"/>
    <x v="2432"/>
    <x v="957"/>
    <x v="3194"/>
    <x v="3243"/>
    <x v="277"/>
    <x v="90"/>
    <x v="9"/>
  </r>
  <r>
    <x v="3261"/>
    <x v="394"/>
    <x v="1"/>
    <x v="1786"/>
    <x v="1115"/>
    <x v="19"/>
    <x v="3240"/>
    <x v="1366"/>
    <x v="2994"/>
    <x v="3351"/>
    <x v="357"/>
    <x v="340"/>
    <x v="1"/>
  </r>
  <r>
    <x v="3262"/>
    <x v="394"/>
    <x v="4"/>
    <x v="1849"/>
    <x v="1114"/>
    <x v="23"/>
    <x v="3078"/>
    <x v="1111"/>
    <x v="2686"/>
    <x v="3081"/>
    <x v="357"/>
    <x v="340"/>
    <x v="2"/>
  </r>
  <r>
    <x v="3263"/>
    <x v="394"/>
    <x v="6"/>
    <x v="1849"/>
    <x v="1114"/>
    <x v="19"/>
    <x v="2475"/>
    <x v="698"/>
    <x v="2134"/>
    <x v="2142"/>
    <x v="357"/>
    <x v="340"/>
    <x v="3"/>
  </r>
  <r>
    <x v="3264"/>
    <x v="394"/>
    <x v="9"/>
    <x v="1849"/>
    <x v="1114"/>
    <x v="16"/>
    <x v="2826"/>
    <x v="913"/>
    <x v="1750"/>
    <x v="2694"/>
    <x v="357"/>
    <x v="340"/>
    <x v="4"/>
  </r>
  <r>
    <x v="3265"/>
    <x v="394"/>
    <x v="12"/>
    <x v="1849"/>
    <x v="1114"/>
    <x v="16"/>
    <x v="2798"/>
    <x v="956"/>
    <x v="2465"/>
    <x v="2642"/>
    <x v="357"/>
    <x v="340"/>
    <x v="5"/>
  </r>
  <r>
    <x v="3266"/>
    <x v="394"/>
    <x v="15"/>
    <x v="1858"/>
    <x v="1114"/>
    <x v="16"/>
    <x v="2523"/>
    <x v="774"/>
    <x v="1220"/>
    <x v="2221"/>
    <x v="357"/>
    <x v="340"/>
    <x v="6"/>
  </r>
  <r>
    <x v="3267"/>
    <x v="394"/>
    <x v="20"/>
    <x v="1855"/>
    <x v="1114"/>
    <x v="13"/>
    <x v="3103"/>
    <x v="1215"/>
    <x v="2629"/>
    <x v="3115"/>
    <x v="357"/>
    <x v="340"/>
    <x v="7"/>
  </r>
  <r>
    <x v="3268"/>
    <x v="394"/>
    <x v="25"/>
    <x v="1867"/>
    <x v="1119"/>
    <x v="13"/>
    <x v="3255"/>
    <x v="1731"/>
    <x v="2992"/>
    <x v="3336"/>
    <x v="357"/>
    <x v="340"/>
    <x v="8"/>
  </r>
  <r>
    <x v="3269"/>
    <x v="394"/>
    <x v="28"/>
    <x v="1873"/>
    <x v="1120"/>
    <x v="14"/>
    <x v="3382"/>
    <x v="1639"/>
    <x v="3225"/>
    <x v="3457"/>
    <x v="357"/>
    <x v="340"/>
    <x v="9"/>
  </r>
  <r>
    <x v="3270"/>
    <x v="395"/>
    <x v="1"/>
    <x v="1306"/>
    <x v="599"/>
    <x v="25"/>
    <x v="923"/>
    <x v="235"/>
    <x v="985"/>
    <x v="697"/>
    <x v="66"/>
    <x v="44"/>
    <x v="1"/>
  </r>
  <r>
    <x v="3271"/>
    <x v="395"/>
    <x v="4"/>
    <x v="1395"/>
    <x v="599"/>
    <x v="32"/>
    <x v="1181"/>
    <x v="227"/>
    <x v="1191"/>
    <x v="893"/>
    <x v="66"/>
    <x v="44"/>
    <x v="2"/>
  </r>
  <r>
    <x v="3272"/>
    <x v="395"/>
    <x v="6"/>
    <x v="1390"/>
    <x v="599"/>
    <x v="30"/>
    <x v="1527"/>
    <x v="303"/>
    <x v="1584"/>
    <x v="1325"/>
    <x v="66"/>
    <x v="44"/>
    <x v="3"/>
  </r>
  <r>
    <x v="3273"/>
    <x v="395"/>
    <x v="9"/>
    <x v="1390"/>
    <x v="599"/>
    <x v="30"/>
    <x v="102"/>
    <x v="49"/>
    <x v="330"/>
    <x v="86"/>
    <x v="66"/>
    <x v="44"/>
    <x v="4"/>
  </r>
  <r>
    <x v="3274"/>
    <x v="395"/>
    <x v="12"/>
    <x v="1317"/>
    <x v="600"/>
    <x v="32"/>
    <x v="1089"/>
    <x v="262"/>
    <x v="1055"/>
    <x v="874"/>
    <x v="66"/>
    <x v="44"/>
    <x v="5"/>
  </r>
  <r>
    <x v="3275"/>
    <x v="395"/>
    <x v="15"/>
    <x v="1318"/>
    <x v="599"/>
    <x v="32"/>
    <x v="1077"/>
    <x v="254"/>
    <x v="1047"/>
    <x v="867"/>
    <x v="66"/>
    <x v="44"/>
    <x v="6"/>
  </r>
  <r>
    <x v="3276"/>
    <x v="395"/>
    <x v="20"/>
    <x v="1327"/>
    <x v="599"/>
    <x v="38"/>
    <x v="1994"/>
    <x v="631"/>
    <x v="1932"/>
    <x v="2160"/>
    <x v="66"/>
    <x v="44"/>
    <x v="7"/>
  </r>
  <r>
    <x v="3277"/>
    <x v="395"/>
    <x v="25"/>
    <x v="1335"/>
    <x v="658"/>
    <x v="35"/>
    <x v="2266"/>
    <x v="960"/>
    <x v="2448"/>
    <x v="2615"/>
    <x v="66"/>
    <x v="44"/>
    <x v="8"/>
  </r>
  <r>
    <x v="3278"/>
    <x v="396"/>
    <x v="1"/>
    <x v="1801"/>
    <x v="1093"/>
    <x v="28"/>
    <x v="2653"/>
    <x v="1210"/>
    <x v="1557"/>
    <x v="2504"/>
    <x v="387"/>
    <x v="367"/>
    <x v="1"/>
  </r>
  <r>
    <x v="3279"/>
    <x v="396"/>
    <x v="4"/>
    <x v="1797"/>
    <x v="1093"/>
    <x v="33"/>
    <x v="2617"/>
    <x v="980"/>
    <x v="1355"/>
    <x v="2461"/>
    <x v="387"/>
    <x v="367"/>
    <x v="2"/>
  </r>
  <r>
    <x v="3280"/>
    <x v="396"/>
    <x v="6"/>
    <x v="1826"/>
    <x v="1093"/>
    <x v="40"/>
    <x v="2591"/>
    <x v="1001"/>
    <x v="1272"/>
    <x v="2386"/>
    <x v="387"/>
    <x v="367"/>
    <x v="3"/>
  </r>
  <r>
    <x v="3281"/>
    <x v="396"/>
    <x v="9"/>
    <x v="1806"/>
    <x v="1093"/>
    <x v="29"/>
    <x v="2532"/>
    <x v="1006"/>
    <x v="1293"/>
    <x v="2312"/>
    <x v="387"/>
    <x v="367"/>
    <x v="4"/>
  </r>
  <r>
    <x v="3282"/>
    <x v="396"/>
    <x v="12"/>
    <x v="1808"/>
    <x v="1094"/>
    <x v="32"/>
    <x v="2934"/>
    <x v="1317"/>
    <x v="1973"/>
    <x v="2886"/>
    <x v="387"/>
    <x v="367"/>
    <x v="5"/>
  </r>
  <r>
    <x v="3283"/>
    <x v="396"/>
    <x v="15"/>
    <x v="1809"/>
    <x v="1091"/>
    <x v="32"/>
    <x v="3143"/>
    <x v="1701"/>
    <x v="2595"/>
    <x v="3200"/>
    <x v="387"/>
    <x v="367"/>
    <x v="6"/>
  </r>
  <r>
    <x v="3284"/>
    <x v="396"/>
    <x v="20"/>
    <x v="1816"/>
    <x v="1056"/>
    <x v="40"/>
    <x v="3290"/>
    <x v="1984"/>
    <x v="3100"/>
    <x v="3390"/>
    <x v="387"/>
    <x v="367"/>
    <x v="7"/>
  </r>
  <r>
    <x v="3285"/>
    <x v="396"/>
    <x v="25"/>
    <x v="1847"/>
    <x v="1090"/>
    <x v="35"/>
    <x v="3237"/>
    <x v="2127"/>
    <x v="3086"/>
    <x v="3325"/>
    <x v="387"/>
    <x v="367"/>
    <x v="8"/>
  </r>
  <r>
    <x v="3286"/>
    <x v="396"/>
    <x v="28"/>
    <x v="1852"/>
    <x v="1104"/>
    <x v="44"/>
    <x v="2777"/>
    <x v="1540"/>
    <x v="2990"/>
    <x v="2618"/>
    <x v="387"/>
    <x v="367"/>
    <x v="9"/>
  </r>
  <r>
    <x v="3287"/>
    <x v="397"/>
    <x v="1"/>
    <x v="416"/>
    <x v="269"/>
    <x v="28"/>
    <x v="962"/>
    <x v="3482"/>
    <x v="2244"/>
    <x v="2022"/>
    <x v="267"/>
    <x v="263"/>
    <x v="1"/>
  </r>
  <r>
    <x v="3288"/>
    <x v="397"/>
    <x v="4"/>
    <x v="418"/>
    <x v="269"/>
    <x v="15"/>
    <x v="1119"/>
    <x v="3482"/>
    <x v="2191"/>
    <x v="2343"/>
    <x v="267"/>
    <x v="263"/>
    <x v="2"/>
  </r>
  <r>
    <x v="3289"/>
    <x v="397"/>
    <x v="6"/>
    <x v="418"/>
    <x v="269"/>
    <x v="15"/>
    <x v="1187"/>
    <x v="3482"/>
    <x v="2282"/>
    <x v="2464"/>
    <x v="267"/>
    <x v="263"/>
    <x v="3"/>
  </r>
  <r>
    <x v="3290"/>
    <x v="397"/>
    <x v="9"/>
    <x v="418"/>
    <x v="269"/>
    <x v="20"/>
    <x v="1647"/>
    <x v="3482"/>
    <x v="2666"/>
    <x v="2996"/>
    <x v="267"/>
    <x v="263"/>
    <x v="4"/>
  </r>
  <r>
    <x v="3291"/>
    <x v="397"/>
    <x v="12"/>
    <x v="418"/>
    <x v="269"/>
    <x v="20"/>
    <x v="1888"/>
    <x v="3482"/>
    <x v="2810"/>
    <x v="3185"/>
    <x v="267"/>
    <x v="263"/>
    <x v="5"/>
  </r>
  <r>
    <x v="3292"/>
    <x v="397"/>
    <x v="15"/>
    <x v="418"/>
    <x v="269"/>
    <x v="20"/>
    <x v="1518"/>
    <x v="3482"/>
    <x v="2623"/>
    <x v="2876"/>
    <x v="267"/>
    <x v="263"/>
    <x v="6"/>
  </r>
  <r>
    <x v="3293"/>
    <x v="397"/>
    <x v="20"/>
    <x v="418"/>
    <x v="269"/>
    <x v="14"/>
    <x v="1524"/>
    <x v="659"/>
    <x v="2600"/>
    <x v="2881"/>
    <x v="267"/>
    <x v="263"/>
    <x v="7"/>
  </r>
  <r>
    <x v="3294"/>
    <x v="397"/>
    <x v="25"/>
    <x v="423"/>
    <x v="269"/>
    <x v="16"/>
    <x v="1311"/>
    <x v="672"/>
    <x v="2558"/>
    <x v="2606"/>
    <x v="267"/>
    <x v="263"/>
    <x v="8"/>
  </r>
  <r>
    <x v="3295"/>
    <x v="397"/>
    <x v="28"/>
    <x v="423"/>
    <x v="269"/>
    <x v="17"/>
    <x v="983"/>
    <x v="559"/>
    <x v="2212"/>
    <x v="2051"/>
    <x v="267"/>
    <x v="263"/>
    <x v="9"/>
  </r>
  <r>
    <x v="3296"/>
    <x v="398"/>
    <x v="1"/>
    <x v="600"/>
    <x v="230"/>
    <x v="14"/>
    <x v="28"/>
    <x v="33"/>
    <x v="1135"/>
    <x v="24"/>
    <x v="94"/>
    <x v="52"/>
    <x v="1"/>
  </r>
  <r>
    <x v="3297"/>
    <x v="398"/>
    <x v="4"/>
    <x v="600"/>
    <x v="230"/>
    <x v="19"/>
    <x v="534"/>
    <x v="330"/>
    <x v="2867"/>
    <x v="816"/>
    <x v="94"/>
    <x v="52"/>
    <x v="2"/>
  </r>
  <r>
    <x v="3298"/>
    <x v="398"/>
    <x v="6"/>
    <x v="605"/>
    <x v="260"/>
    <x v="20"/>
    <x v="1863"/>
    <x v="282"/>
    <x v="3013"/>
    <x v="2972"/>
    <x v="94"/>
    <x v="52"/>
    <x v="3"/>
  </r>
  <r>
    <x v="3299"/>
    <x v="398"/>
    <x v="9"/>
    <x v="574"/>
    <x v="330"/>
    <x v="20"/>
    <x v="935"/>
    <x v="1424"/>
    <x v="1283"/>
    <x v="1658"/>
    <x v="94"/>
    <x v="52"/>
    <x v="4"/>
  </r>
  <r>
    <x v="3300"/>
    <x v="398"/>
    <x v="12"/>
    <x v="634"/>
    <x v="330"/>
    <x v="20"/>
    <x v="1762"/>
    <x v="2055"/>
    <x v="2284"/>
    <x v="2821"/>
    <x v="94"/>
    <x v="52"/>
    <x v="5"/>
  </r>
  <r>
    <x v="3301"/>
    <x v="398"/>
    <x v="15"/>
    <x v="651"/>
    <x v="330"/>
    <x v="30"/>
    <x v="1013"/>
    <x v="1447"/>
    <x v="1271"/>
    <x v="1690"/>
    <x v="94"/>
    <x v="52"/>
    <x v="6"/>
  </r>
  <r>
    <x v="3302"/>
    <x v="398"/>
    <x v="20"/>
    <x v="671"/>
    <x v="331"/>
    <x v="22"/>
    <x v="2197"/>
    <x v="1371"/>
    <x v="2750"/>
    <x v="3202"/>
    <x v="94"/>
    <x v="52"/>
    <x v="7"/>
  </r>
  <r>
    <x v="3303"/>
    <x v="398"/>
    <x v="25"/>
    <x v="311"/>
    <x v="331"/>
    <x v="22"/>
    <x v="2234"/>
    <x v="1511"/>
    <x v="2812"/>
    <x v="3414"/>
    <x v="94"/>
    <x v="52"/>
    <x v="8"/>
  </r>
  <r>
    <x v="3304"/>
    <x v="398"/>
    <x v="28"/>
    <x v="706"/>
    <x v="331"/>
    <x v="23"/>
    <x v="2119"/>
    <x v="1721"/>
    <x v="2573"/>
    <x v="3124"/>
    <x v="94"/>
    <x v="52"/>
    <x v="9"/>
  </r>
  <r>
    <x v="3305"/>
    <x v="399"/>
    <x v="1"/>
    <x v="79"/>
    <x v="49"/>
    <x v="12"/>
    <x v="1375"/>
    <x v="1642"/>
    <x v="2933"/>
    <x v="3120"/>
    <x v="114"/>
    <x v="132"/>
    <x v="1"/>
  </r>
  <r>
    <x v="3306"/>
    <x v="399"/>
    <x v="4"/>
    <x v="64"/>
    <x v="49"/>
    <x v="38"/>
    <x v="854"/>
    <x v="928"/>
    <x v="2012"/>
    <x v="2500"/>
    <x v="114"/>
    <x v="132"/>
    <x v="2"/>
  </r>
  <r>
    <x v="3307"/>
    <x v="399"/>
    <x v="6"/>
    <x v="64"/>
    <x v="49"/>
    <x v="38"/>
    <x v="561"/>
    <x v="887"/>
    <x v="1270"/>
    <x v="1781"/>
    <x v="114"/>
    <x v="132"/>
    <x v="3"/>
  </r>
  <r>
    <x v="3308"/>
    <x v="399"/>
    <x v="9"/>
    <x v="69"/>
    <x v="49"/>
    <x v="38"/>
    <x v="2870"/>
    <x v="2780"/>
    <x v="3485"/>
    <x v="3503"/>
    <x v="114"/>
    <x v="132"/>
    <x v="4"/>
  </r>
  <r>
    <x v="3309"/>
    <x v="400"/>
    <x v="1"/>
    <x v="1637"/>
    <x v="914"/>
    <x v="23"/>
    <x v="2815"/>
    <x v="1784"/>
    <x v="2531"/>
    <x v="2938"/>
    <x v="123"/>
    <x v="145"/>
    <x v="1"/>
  </r>
  <r>
    <x v="3310"/>
    <x v="400"/>
    <x v="4"/>
    <x v="1670"/>
    <x v="1035"/>
    <x v="37"/>
    <x v="2853"/>
    <x v="1751"/>
    <x v="2695"/>
    <x v="2953"/>
    <x v="123"/>
    <x v="145"/>
    <x v="2"/>
  </r>
  <r>
    <x v="3311"/>
    <x v="400"/>
    <x v="6"/>
    <x v="1691"/>
    <x v="1036"/>
    <x v="39"/>
    <x v="2823"/>
    <x v="1748"/>
    <x v="2646"/>
    <x v="2888"/>
    <x v="123"/>
    <x v="145"/>
    <x v="3"/>
  </r>
  <r>
    <x v="3312"/>
    <x v="400"/>
    <x v="9"/>
    <x v="1706"/>
    <x v="1038"/>
    <x v="39"/>
    <x v="2677"/>
    <x v="1650"/>
    <x v="2731"/>
    <x v="2682"/>
    <x v="123"/>
    <x v="145"/>
    <x v="4"/>
  </r>
  <r>
    <x v="3313"/>
    <x v="400"/>
    <x v="11"/>
    <x v="813"/>
    <x v="401"/>
    <x v="42"/>
    <x v="2493"/>
    <x v="997"/>
    <x v="3223"/>
    <x v="3317"/>
    <x v="123"/>
    <x v="145"/>
    <x v="4"/>
  </r>
  <r>
    <x v="3314"/>
    <x v="400"/>
    <x v="12"/>
    <x v="1715"/>
    <x v="1088"/>
    <x v="39"/>
    <x v="2498"/>
    <x v="1464"/>
    <x v="2461"/>
    <x v="2435"/>
    <x v="123"/>
    <x v="145"/>
    <x v="5"/>
  </r>
  <r>
    <x v="3315"/>
    <x v="400"/>
    <x v="13"/>
    <x v="823"/>
    <x v="410"/>
    <x v="42"/>
    <x v="1294"/>
    <x v="388"/>
    <x v="1712"/>
    <x v="1877"/>
    <x v="123"/>
    <x v="145"/>
    <x v="5"/>
  </r>
  <r>
    <x v="3316"/>
    <x v="400"/>
    <x v="15"/>
    <x v="1733"/>
    <x v="1088"/>
    <x v="39"/>
    <x v="2572"/>
    <x v="1498"/>
    <x v="2507"/>
    <x v="2521"/>
    <x v="123"/>
    <x v="145"/>
    <x v="6"/>
  </r>
  <r>
    <x v="3317"/>
    <x v="400"/>
    <x v="17"/>
    <x v="851"/>
    <x v="410"/>
    <x v="42"/>
    <x v="1534"/>
    <x v="544"/>
    <x v="2160"/>
    <x v="2236"/>
    <x v="123"/>
    <x v="145"/>
    <x v="6"/>
  </r>
  <r>
    <x v="3318"/>
    <x v="400"/>
    <x v="20"/>
    <x v="1745"/>
    <x v="1088"/>
    <x v="31"/>
    <x v="2456"/>
    <x v="1457"/>
    <x v="1689"/>
    <x v="2320"/>
    <x v="123"/>
    <x v="145"/>
    <x v="7"/>
  </r>
  <r>
    <x v="3319"/>
    <x v="400"/>
    <x v="25"/>
    <x v="1753"/>
    <x v="1088"/>
    <x v="31"/>
    <x v="2733"/>
    <x v="1717"/>
    <x v="2269"/>
    <x v="2705"/>
    <x v="123"/>
    <x v="145"/>
    <x v="8"/>
  </r>
  <r>
    <x v="3320"/>
    <x v="400"/>
    <x v="27"/>
    <x v="919"/>
    <x v="427"/>
    <x v="37"/>
    <x v="2043"/>
    <x v="830"/>
    <x v="2785"/>
    <x v="2838"/>
    <x v="123"/>
    <x v="145"/>
    <x v="8"/>
  </r>
  <r>
    <x v="3321"/>
    <x v="400"/>
    <x v="28"/>
    <x v="1757"/>
    <x v="1088"/>
    <x v="27"/>
    <x v="1955"/>
    <x v="1101"/>
    <x v="849"/>
    <x v="1411"/>
    <x v="123"/>
    <x v="145"/>
    <x v="9"/>
  </r>
  <r>
    <x v="3322"/>
    <x v="400"/>
    <x v="29"/>
    <x v="947"/>
    <x v="427"/>
    <x v="37"/>
    <x v="2015"/>
    <x v="851"/>
    <x v="2678"/>
    <x v="2745"/>
    <x v="123"/>
    <x v="145"/>
    <x v="9"/>
  </r>
  <r>
    <x v="3323"/>
    <x v="401"/>
    <x v="3"/>
    <x v="1764"/>
    <x v="894"/>
    <x v="22"/>
    <x v="2253"/>
    <x v="847"/>
    <x v="753"/>
    <x v="1907"/>
    <x v="355"/>
    <x v="339"/>
    <x v="1"/>
  </r>
  <r>
    <x v="3324"/>
    <x v="401"/>
    <x v="15"/>
    <x v="1865"/>
    <x v="1040"/>
    <x v="24"/>
    <x v="1566"/>
    <x v="613"/>
    <x v="284"/>
    <x v="788"/>
    <x v="355"/>
    <x v="339"/>
    <x v="6"/>
  </r>
  <r>
    <x v="3325"/>
    <x v="401"/>
    <x v="20"/>
    <x v="1874"/>
    <x v="1040"/>
    <x v="26"/>
    <x v="2667"/>
    <x v="1287"/>
    <x v="1350"/>
    <x v="2420"/>
    <x v="355"/>
    <x v="339"/>
    <x v="7"/>
  </r>
  <r>
    <x v="3326"/>
    <x v="401"/>
    <x v="25"/>
    <x v="1889"/>
    <x v="1040"/>
    <x v="27"/>
    <x v="2176"/>
    <x v="1377"/>
    <x v="727"/>
    <x v="1539"/>
    <x v="355"/>
    <x v="339"/>
    <x v="8"/>
  </r>
  <r>
    <x v="3327"/>
    <x v="401"/>
    <x v="28"/>
    <x v="1922"/>
    <x v="1066"/>
    <x v="22"/>
    <x v="1967"/>
    <x v="1063"/>
    <x v="350"/>
    <x v="1149"/>
    <x v="355"/>
    <x v="339"/>
    <x v="9"/>
  </r>
  <r>
    <x v="3328"/>
    <x v="401"/>
    <x v="30"/>
    <x v="1947"/>
    <x v="1071"/>
    <x v="22"/>
    <x v="292"/>
    <x v="153"/>
    <x v="60"/>
    <x v="148"/>
    <x v="355"/>
    <x v="339"/>
    <x v="10"/>
  </r>
  <r>
    <x v="3329"/>
    <x v="402"/>
    <x v="1"/>
    <x v="2590"/>
    <x v="1519"/>
    <x v="26"/>
    <x v="2611"/>
    <x v="813"/>
    <x v="955"/>
    <x v="1028"/>
    <x v="57"/>
    <x v="356"/>
    <x v="1"/>
  </r>
  <r>
    <x v="3330"/>
    <x v="402"/>
    <x v="4"/>
    <x v="2615"/>
    <x v="1540"/>
    <x v="28"/>
    <x v="2303"/>
    <x v="720"/>
    <x v="642"/>
    <x v="685"/>
    <x v="57"/>
    <x v="356"/>
    <x v="2"/>
  </r>
  <r>
    <x v="3331"/>
    <x v="402"/>
    <x v="6"/>
    <x v="2634"/>
    <x v="1544"/>
    <x v="29"/>
    <x v="1248"/>
    <x v="275"/>
    <x v="334"/>
    <x v="263"/>
    <x v="57"/>
    <x v="356"/>
    <x v="3"/>
  </r>
  <r>
    <x v="3332"/>
    <x v="402"/>
    <x v="9"/>
    <x v="2623"/>
    <x v="1546"/>
    <x v="36"/>
    <x v="841"/>
    <x v="215"/>
    <x v="280"/>
    <x v="203"/>
    <x v="57"/>
    <x v="356"/>
    <x v="4"/>
  </r>
  <r>
    <x v="3333"/>
    <x v="402"/>
    <x v="12"/>
    <x v="2655"/>
    <x v="1552"/>
    <x v="29"/>
    <x v="1686"/>
    <x v="433"/>
    <x v="392"/>
    <x v="382"/>
    <x v="57"/>
    <x v="356"/>
    <x v="5"/>
  </r>
  <r>
    <x v="3334"/>
    <x v="402"/>
    <x v="15"/>
    <x v="2673"/>
    <x v="1552"/>
    <x v="29"/>
    <x v="858"/>
    <x v="253"/>
    <x v="277"/>
    <x v="195"/>
    <x v="57"/>
    <x v="356"/>
    <x v="6"/>
  </r>
  <r>
    <x v="3335"/>
    <x v="402"/>
    <x v="20"/>
    <x v="2682"/>
    <x v="1562"/>
    <x v="33"/>
    <x v="548"/>
    <x v="182"/>
    <x v="243"/>
    <x v="132"/>
    <x v="57"/>
    <x v="356"/>
    <x v="7"/>
  </r>
  <r>
    <x v="3336"/>
    <x v="402"/>
    <x v="25"/>
    <x v="2690"/>
    <x v="1566"/>
    <x v="36"/>
    <x v="179"/>
    <x v="65"/>
    <x v="200"/>
    <x v="66"/>
    <x v="57"/>
    <x v="356"/>
    <x v="8"/>
  </r>
  <r>
    <x v="3337"/>
    <x v="402"/>
    <x v="28"/>
    <x v="2697"/>
    <x v="1569"/>
    <x v="39"/>
    <x v="709"/>
    <x v="210"/>
    <x v="262"/>
    <x v="160"/>
    <x v="57"/>
    <x v="356"/>
    <x v="9"/>
  </r>
  <r>
    <x v="3338"/>
    <x v="403"/>
    <x v="1"/>
    <x v="430"/>
    <x v="404"/>
    <x v="16"/>
    <x v="2199"/>
    <x v="1028"/>
    <x v="3455"/>
    <x v="3361"/>
    <x v="356"/>
    <x v="310"/>
    <x v="1"/>
  </r>
  <r>
    <x v="3339"/>
    <x v="403"/>
    <x v="4"/>
    <x v="438"/>
    <x v="404"/>
    <x v="18"/>
    <x v="1712"/>
    <x v="743"/>
    <x v="3354"/>
    <x v="3033"/>
    <x v="356"/>
    <x v="310"/>
    <x v="2"/>
  </r>
  <r>
    <x v="3340"/>
    <x v="403"/>
    <x v="6"/>
    <x v="444"/>
    <x v="404"/>
    <x v="18"/>
    <x v="1963"/>
    <x v="1186"/>
    <x v="3395"/>
    <x v="3217"/>
    <x v="356"/>
    <x v="310"/>
    <x v="3"/>
  </r>
  <r>
    <x v="3341"/>
    <x v="403"/>
    <x v="9"/>
    <x v="449"/>
    <x v="404"/>
    <x v="28"/>
    <x v="1557"/>
    <x v="474"/>
    <x v="3063"/>
    <x v="2870"/>
    <x v="356"/>
    <x v="310"/>
    <x v="4"/>
  </r>
  <r>
    <x v="3342"/>
    <x v="403"/>
    <x v="12"/>
    <x v="452"/>
    <x v="450"/>
    <x v="26"/>
    <x v="1633"/>
    <x v="1331"/>
    <x v="3186"/>
    <x v="2931"/>
    <x v="356"/>
    <x v="310"/>
    <x v="5"/>
  </r>
  <r>
    <x v="3343"/>
    <x v="403"/>
    <x v="15"/>
    <x v="493"/>
    <x v="401"/>
    <x v="26"/>
    <x v="1560"/>
    <x v="1368"/>
    <x v="3174"/>
    <x v="2819"/>
    <x v="356"/>
    <x v="310"/>
    <x v="6"/>
  </r>
  <r>
    <x v="3344"/>
    <x v="403"/>
    <x v="20"/>
    <x v="479"/>
    <x v="380"/>
    <x v="34"/>
    <x v="1466"/>
    <x v="1312"/>
    <x v="2901"/>
    <x v="2737"/>
    <x v="356"/>
    <x v="310"/>
    <x v="7"/>
  </r>
  <r>
    <x v="3345"/>
    <x v="403"/>
    <x v="25"/>
    <x v="469"/>
    <x v="381"/>
    <x v="38"/>
    <x v="1136"/>
    <x v="1253"/>
    <x v="2393"/>
    <x v="2291"/>
    <x v="356"/>
    <x v="310"/>
    <x v="8"/>
  </r>
  <r>
    <x v="3346"/>
    <x v="403"/>
    <x v="28"/>
    <x v="473"/>
    <x v="385"/>
    <x v="37"/>
    <x v="1991"/>
    <x v="1791"/>
    <x v="3297"/>
    <x v="3213"/>
    <x v="356"/>
    <x v="310"/>
    <x v="9"/>
  </r>
  <r>
    <x v="3347"/>
    <x v="404"/>
    <x v="1"/>
    <x v="56"/>
    <x v="235"/>
    <x v="17"/>
    <x v="497"/>
    <x v="1087"/>
    <x v="3406"/>
    <x v="1580"/>
    <x v="149"/>
    <x v="154"/>
    <x v="1"/>
  </r>
  <r>
    <x v="3348"/>
    <x v="404"/>
    <x v="4"/>
    <x v="54"/>
    <x v="236"/>
    <x v="31"/>
    <x v="303"/>
    <x v="733"/>
    <x v="3235"/>
    <x v="846"/>
    <x v="149"/>
    <x v="154"/>
    <x v="2"/>
  </r>
  <r>
    <x v="3349"/>
    <x v="404"/>
    <x v="6"/>
    <x v="57"/>
    <x v="236"/>
    <x v="30"/>
    <x v="182"/>
    <x v="453"/>
    <x v="2772"/>
    <x v="448"/>
    <x v="149"/>
    <x v="154"/>
    <x v="3"/>
  </r>
  <r>
    <x v="3350"/>
    <x v="404"/>
    <x v="9"/>
    <x v="52"/>
    <x v="236"/>
    <x v="30"/>
    <x v="312"/>
    <x v="772"/>
    <x v="3264"/>
    <x v="891"/>
    <x v="149"/>
    <x v="154"/>
    <x v="4"/>
  </r>
  <r>
    <x v="3351"/>
    <x v="404"/>
    <x v="12"/>
    <x v="55"/>
    <x v="236"/>
    <x v="32"/>
    <x v="435"/>
    <x v="942"/>
    <x v="3375"/>
    <x v="1387"/>
    <x v="149"/>
    <x v="154"/>
    <x v="5"/>
  </r>
  <r>
    <x v="3352"/>
    <x v="404"/>
    <x v="15"/>
    <x v="53"/>
    <x v="236"/>
    <x v="32"/>
    <x v="433"/>
    <x v="953"/>
    <x v="3388"/>
    <x v="1389"/>
    <x v="149"/>
    <x v="154"/>
    <x v="6"/>
  </r>
  <r>
    <x v="3353"/>
    <x v="404"/>
    <x v="20"/>
    <x v="216"/>
    <x v="236"/>
    <x v="33"/>
    <x v="400"/>
    <x v="1010"/>
    <x v="3321"/>
    <x v="977"/>
    <x v="149"/>
    <x v="154"/>
    <x v="7"/>
  </r>
  <r>
    <x v="3354"/>
    <x v="404"/>
    <x v="25"/>
    <x v="216"/>
    <x v="236"/>
    <x v="34"/>
    <x v="281"/>
    <x v="657"/>
    <x v="3221"/>
    <x v="625"/>
    <x v="149"/>
    <x v="154"/>
    <x v="8"/>
  </r>
  <r>
    <x v="3355"/>
    <x v="404"/>
    <x v="28"/>
    <x v="59"/>
    <x v="236"/>
    <x v="21"/>
    <x v="590"/>
    <x v="1242"/>
    <x v="3442"/>
    <x v="1863"/>
    <x v="149"/>
    <x v="154"/>
    <x v="9"/>
  </r>
  <r>
    <x v="3356"/>
    <x v="405"/>
    <x v="1"/>
    <x v="228"/>
    <x v="428"/>
    <x v="16"/>
    <x v="937"/>
    <x v="375"/>
    <x v="3291"/>
    <x v="2330"/>
    <x v="356"/>
    <x v="310"/>
    <x v="1"/>
  </r>
  <r>
    <x v="3357"/>
    <x v="405"/>
    <x v="4"/>
    <x v="230"/>
    <x v="428"/>
    <x v="18"/>
    <x v="682"/>
    <x v="287"/>
    <x v="3261"/>
    <x v="1825"/>
    <x v="356"/>
    <x v="310"/>
    <x v="2"/>
  </r>
  <r>
    <x v="3358"/>
    <x v="405"/>
    <x v="6"/>
    <x v="231"/>
    <x v="428"/>
    <x v="18"/>
    <x v="666"/>
    <x v="437"/>
    <x v="3218"/>
    <x v="1768"/>
    <x v="356"/>
    <x v="310"/>
    <x v="3"/>
  </r>
  <r>
    <x v="3359"/>
    <x v="405"/>
    <x v="9"/>
    <x v="233"/>
    <x v="428"/>
    <x v="34"/>
    <x v="1444"/>
    <x v="435"/>
    <x v="3429"/>
    <x v="3032"/>
    <x v="356"/>
    <x v="310"/>
    <x v="4"/>
  </r>
  <r>
    <x v="3360"/>
    <x v="405"/>
    <x v="12"/>
    <x v="233"/>
    <x v="428"/>
    <x v="26"/>
    <x v="1237"/>
    <x v="1092"/>
    <x v="3327"/>
    <x v="2795"/>
    <x v="356"/>
    <x v="310"/>
    <x v="5"/>
  </r>
  <r>
    <x v="3361"/>
    <x v="405"/>
    <x v="15"/>
    <x v="273"/>
    <x v="432"/>
    <x v="26"/>
    <x v="490"/>
    <x v="586"/>
    <x v="2945"/>
    <x v="1161"/>
    <x v="356"/>
    <x v="310"/>
    <x v="6"/>
  </r>
  <r>
    <x v="3362"/>
    <x v="405"/>
    <x v="20"/>
    <x v="252"/>
    <x v="353"/>
    <x v="34"/>
    <x v="1001"/>
    <x v="998"/>
    <x v="3196"/>
    <x v="2440"/>
    <x v="356"/>
    <x v="310"/>
    <x v="7"/>
  </r>
  <r>
    <x v="3363"/>
    <x v="405"/>
    <x v="25"/>
    <x v="241"/>
    <x v="442"/>
    <x v="34"/>
    <x v="684"/>
    <x v="894"/>
    <x v="2792"/>
    <x v="1807"/>
    <x v="356"/>
    <x v="310"/>
    <x v="8"/>
  </r>
  <r>
    <x v="3364"/>
    <x v="405"/>
    <x v="28"/>
    <x v="422"/>
    <x v="540"/>
    <x v="34"/>
    <x v="1277"/>
    <x v="1283"/>
    <x v="3296"/>
    <x v="2568"/>
    <x v="356"/>
    <x v="310"/>
    <x v="9"/>
  </r>
  <r>
    <x v="3365"/>
    <x v="406"/>
    <x v="1"/>
    <x v="2583"/>
    <x v="1560"/>
    <x v="20"/>
    <x v="3080"/>
    <x v="3157"/>
    <x v="2033"/>
    <x v="1938"/>
    <x v="245"/>
    <x v="239"/>
    <x v="1"/>
  </r>
  <r>
    <x v="3366"/>
    <x v="406"/>
    <x v="4"/>
    <x v="2583"/>
    <x v="1510"/>
    <x v="20"/>
    <x v="3320"/>
    <x v="3385"/>
    <x v="2658"/>
    <x v="2863"/>
    <x v="245"/>
    <x v="239"/>
    <x v="2"/>
  </r>
  <r>
    <x v="3367"/>
    <x v="406"/>
    <x v="6"/>
    <x v="2579"/>
    <x v="1510"/>
    <x v="20"/>
    <x v="2790"/>
    <x v="3238"/>
    <x v="1227"/>
    <x v="1334"/>
    <x v="245"/>
    <x v="239"/>
    <x v="3"/>
  </r>
  <r>
    <x v="3368"/>
    <x v="406"/>
    <x v="9"/>
    <x v="2585"/>
    <x v="1465"/>
    <x v="20"/>
    <x v="2735"/>
    <x v="3217"/>
    <x v="1203"/>
    <x v="1212"/>
    <x v="245"/>
    <x v="239"/>
    <x v="4"/>
  </r>
  <r>
    <x v="3369"/>
    <x v="406"/>
    <x v="12"/>
    <x v="2592"/>
    <x v="1464"/>
    <x v="27"/>
    <x v="2969"/>
    <x v="3340"/>
    <x v="1534"/>
    <x v="1605"/>
    <x v="245"/>
    <x v="239"/>
    <x v="5"/>
  </r>
  <r>
    <x v="3370"/>
    <x v="406"/>
    <x v="15"/>
    <x v="2597"/>
    <x v="1468"/>
    <x v="29"/>
    <x v="1255"/>
    <x v="2308"/>
    <x v="75"/>
    <x v="271"/>
    <x v="245"/>
    <x v="239"/>
    <x v="6"/>
  </r>
  <r>
    <x v="3371"/>
    <x v="406"/>
    <x v="20"/>
    <x v="2587"/>
    <x v="1473"/>
    <x v="22"/>
    <x v="3281"/>
    <x v="3431"/>
    <x v="1997"/>
    <x v="2660"/>
    <x v="245"/>
    <x v="239"/>
    <x v="7"/>
  </r>
  <r>
    <x v="3372"/>
    <x v="406"/>
    <x v="25"/>
    <x v="2586"/>
    <x v="1521"/>
    <x v="22"/>
    <x v="3"/>
    <x v="1"/>
    <x v="7"/>
    <x v="6"/>
    <x v="245"/>
    <x v="239"/>
    <x v="8"/>
  </r>
  <r>
    <x v="3373"/>
    <x v="406"/>
    <x v="28"/>
    <x v="2578"/>
    <x v="1542"/>
    <x v="18"/>
    <x v="2904"/>
    <x v="3369"/>
    <x v="1544"/>
    <x v="1531"/>
    <x v="245"/>
    <x v="239"/>
    <x v="9"/>
  </r>
  <r>
    <x v="3374"/>
    <x v="407"/>
    <x v="1"/>
    <x v="580"/>
    <x v="72"/>
    <x v="22"/>
    <x v="480"/>
    <x v="1014"/>
    <x v="1252"/>
    <x v="768"/>
    <x v="262"/>
    <x v="255"/>
    <x v="1"/>
  </r>
  <r>
    <x v="3375"/>
    <x v="407"/>
    <x v="4"/>
    <x v="582"/>
    <x v="72"/>
    <x v="28"/>
    <x v="529"/>
    <x v="1047"/>
    <x v="1505"/>
    <x v="840"/>
    <x v="262"/>
    <x v="255"/>
    <x v="2"/>
  </r>
  <r>
    <x v="3376"/>
    <x v="407"/>
    <x v="6"/>
    <x v="584"/>
    <x v="72"/>
    <x v="29"/>
    <x v="66"/>
    <x v="94"/>
    <x v="158"/>
    <x v="84"/>
    <x v="262"/>
    <x v="255"/>
    <x v="3"/>
  </r>
  <r>
    <x v="3377"/>
    <x v="407"/>
    <x v="9"/>
    <x v="583"/>
    <x v="72"/>
    <x v="30"/>
    <x v="404"/>
    <x v="867"/>
    <x v="987"/>
    <x v="630"/>
    <x v="262"/>
    <x v="255"/>
    <x v="4"/>
  </r>
  <r>
    <x v="3378"/>
    <x v="407"/>
    <x v="12"/>
    <x v="583"/>
    <x v="72"/>
    <x v="34"/>
    <x v="41"/>
    <x v="46"/>
    <x v="50"/>
    <x v="42"/>
    <x v="262"/>
    <x v="255"/>
    <x v="5"/>
  </r>
  <r>
    <x v="3379"/>
    <x v="407"/>
    <x v="15"/>
    <x v="584"/>
    <x v="72"/>
    <x v="34"/>
    <x v="325"/>
    <x v="723"/>
    <x v="671"/>
    <x v="502"/>
    <x v="262"/>
    <x v="255"/>
    <x v="6"/>
  </r>
  <r>
    <x v="3380"/>
    <x v="407"/>
    <x v="20"/>
    <x v="584"/>
    <x v="72"/>
    <x v="25"/>
    <x v="1216"/>
    <x v="1734"/>
    <x v="2845"/>
    <x v="2183"/>
    <x v="262"/>
    <x v="255"/>
    <x v="7"/>
  </r>
  <r>
    <x v="3381"/>
    <x v="407"/>
    <x v="25"/>
    <x v="585"/>
    <x v="72"/>
    <x v="25"/>
    <x v="228"/>
    <x v="643"/>
    <x v="535"/>
    <x v="347"/>
    <x v="262"/>
    <x v="255"/>
    <x v="8"/>
  </r>
  <r>
    <x v="3382"/>
    <x v="407"/>
    <x v="28"/>
    <x v="585"/>
    <x v="72"/>
    <x v="23"/>
    <x v="562"/>
    <x v="1305"/>
    <x v="1688"/>
    <x v="906"/>
    <x v="262"/>
    <x v="255"/>
    <x v="9"/>
  </r>
  <r>
    <x v="3383"/>
    <x v="408"/>
    <x v="1"/>
    <x v="810"/>
    <x v="368"/>
    <x v="28"/>
    <x v="15"/>
    <x v="29"/>
    <x v="1553"/>
    <x v="10"/>
    <x v="320"/>
    <x v="97"/>
    <x v="1"/>
  </r>
  <r>
    <x v="3384"/>
    <x v="408"/>
    <x v="4"/>
    <x v="804"/>
    <x v="368"/>
    <x v="37"/>
    <x v="731"/>
    <x v="409"/>
    <x v="1445"/>
    <x v="956"/>
    <x v="320"/>
    <x v="97"/>
    <x v="2"/>
  </r>
  <r>
    <x v="3385"/>
    <x v="408"/>
    <x v="6"/>
    <x v="915"/>
    <x v="368"/>
    <x v="34"/>
    <x v="394"/>
    <x v="370"/>
    <x v="695"/>
    <x v="459"/>
    <x v="320"/>
    <x v="97"/>
    <x v="3"/>
  </r>
  <r>
    <x v="3386"/>
    <x v="408"/>
    <x v="9"/>
    <x v="915"/>
    <x v="368"/>
    <x v="34"/>
    <x v="1272"/>
    <x v="1039"/>
    <x v="2086"/>
    <x v="1706"/>
    <x v="320"/>
    <x v="97"/>
    <x v="4"/>
  </r>
  <r>
    <x v="3387"/>
    <x v="408"/>
    <x v="12"/>
    <x v="915"/>
    <x v="368"/>
    <x v="34"/>
    <x v="2121"/>
    <x v="1569"/>
    <x v="2923"/>
    <x v="2935"/>
    <x v="320"/>
    <x v="97"/>
    <x v="5"/>
  </r>
  <r>
    <x v="3388"/>
    <x v="409"/>
    <x v="1"/>
    <x v="788"/>
    <x v="467"/>
    <x v="26"/>
    <x v="1360"/>
    <x v="2166"/>
    <x v="1334"/>
    <x v="2058"/>
    <x v="58"/>
    <x v="363"/>
    <x v="1"/>
  </r>
  <r>
    <x v="3389"/>
    <x v="409"/>
    <x v="4"/>
    <x v="774"/>
    <x v="481"/>
    <x v="28"/>
    <x v="1081"/>
    <x v="2194"/>
    <x v="831"/>
    <x v="1600"/>
    <x v="58"/>
    <x v="363"/>
    <x v="2"/>
  </r>
  <r>
    <x v="3390"/>
    <x v="409"/>
    <x v="6"/>
    <x v="775"/>
    <x v="484"/>
    <x v="29"/>
    <x v="1851"/>
    <x v="2773"/>
    <x v="1766"/>
    <x v="2749"/>
    <x v="58"/>
    <x v="363"/>
    <x v="3"/>
  </r>
  <r>
    <x v="3391"/>
    <x v="409"/>
    <x v="9"/>
    <x v="751"/>
    <x v="486"/>
    <x v="31"/>
    <x v="2054"/>
    <x v="2923"/>
    <x v="2051"/>
    <x v="3024"/>
    <x v="58"/>
    <x v="363"/>
    <x v="4"/>
  </r>
  <r>
    <x v="3392"/>
    <x v="409"/>
    <x v="12"/>
    <x v="779"/>
    <x v="487"/>
    <x v="31"/>
    <x v="1752"/>
    <x v="2748"/>
    <x v="1507"/>
    <x v="2629"/>
    <x v="58"/>
    <x v="363"/>
    <x v="5"/>
  </r>
  <r>
    <x v="3393"/>
    <x v="409"/>
    <x v="15"/>
    <x v="781"/>
    <x v="487"/>
    <x v="38"/>
    <x v="506"/>
    <x v="1626"/>
    <x v="370"/>
    <x v="638"/>
    <x v="58"/>
    <x v="363"/>
    <x v="6"/>
  </r>
  <r>
    <x v="3394"/>
    <x v="409"/>
    <x v="20"/>
    <x v="783"/>
    <x v="489"/>
    <x v="40"/>
    <x v="1106"/>
    <x v="2352"/>
    <x v="911"/>
    <x v="1639"/>
    <x v="58"/>
    <x v="363"/>
    <x v="7"/>
  </r>
  <r>
    <x v="3395"/>
    <x v="409"/>
    <x v="25"/>
    <x v="785"/>
    <x v="498"/>
    <x v="40"/>
    <x v="1215"/>
    <x v="2462"/>
    <x v="1215"/>
    <x v="1823"/>
    <x v="58"/>
    <x v="363"/>
    <x v="8"/>
  </r>
  <r>
    <x v="3396"/>
    <x v="409"/>
    <x v="28"/>
    <x v="793"/>
    <x v="497"/>
    <x v="39"/>
    <x v="1341"/>
    <x v="2609"/>
    <x v="1229"/>
    <x v="2024"/>
    <x v="58"/>
    <x v="363"/>
    <x v="9"/>
  </r>
  <r>
    <x v="3397"/>
    <x v="410"/>
    <x v="1"/>
    <x v="2365"/>
    <x v="1297"/>
    <x v="27"/>
    <x v="2556"/>
    <x v="2450"/>
    <x v="1570"/>
    <x v="1541"/>
    <x v="293"/>
    <x v="354"/>
    <x v="1"/>
  </r>
  <r>
    <x v="3398"/>
    <x v="410"/>
    <x v="4"/>
    <x v="2367"/>
    <x v="1299"/>
    <x v="26"/>
    <x v="2812"/>
    <x v="2408"/>
    <x v="2048"/>
    <x v="1967"/>
    <x v="293"/>
    <x v="354"/>
    <x v="2"/>
  </r>
  <r>
    <x v="3399"/>
    <x v="410"/>
    <x v="6"/>
    <x v="2405"/>
    <x v="1301"/>
    <x v="25"/>
    <x v="1981"/>
    <x v="1812"/>
    <x v="733"/>
    <x v="723"/>
    <x v="293"/>
    <x v="354"/>
    <x v="3"/>
  </r>
  <r>
    <x v="3400"/>
    <x v="410"/>
    <x v="9"/>
    <x v="2374"/>
    <x v="1301"/>
    <x v="29"/>
    <x v="2831"/>
    <x v="2554"/>
    <x v="2022"/>
    <x v="2003"/>
    <x v="293"/>
    <x v="354"/>
    <x v="4"/>
  </r>
  <r>
    <x v="3401"/>
    <x v="410"/>
    <x v="12"/>
    <x v="2375"/>
    <x v="1310"/>
    <x v="29"/>
    <x v="2529"/>
    <x v="2236"/>
    <x v="1330"/>
    <x v="1473"/>
    <x v="293"/>
    <x v="354"/>
    <x v="5"/>
  </r>
  <r>
    <x v="3402"/>
    <x v="410"/>
    <x v="15"/>
    <x v="2376"/>
    <x v="1315"/>
    <x v="29"/>
    <x v="2684"/>
    <x v="2481"/>
    <x v="1522"/>
    <x v="1725"/>
    <x v="293"/>
    <x v="354"/>
    <x v="6"/>
  </r>
  <r>
    <x v="3403"/>
    <x v="410"/>
    <x v="20"/>
    <x v="2377"/>
    <x v="1316"/>
    <x v="21"/>
    <x v="2742"/>
    <x v="2642"/>
    <x v="1715"/>
    <x v="1834"/>
    <x v="293"/>
    <x v="354"/>
    <x v="7"/>
  </r>
  <r>
    <x v="3404"/>
    <x v="410"/>
    <x v="25"/>
    <x v="2379"/>
    <x v="1317"/>
    <x v="37"/>
    <x v="2354"/>
    <x v="2221"/>
    <x v="1154"/>
    <x v="1206"/>
    <x v="293"/>
    <x v="354"/>
    <x v="8"/>
  </r>
  <r>
    <x v="3405"/>
    <x v="410"/>
    <x v="28"/>
    <x v="2381"/>
    <x v="1318"/>
    <x v="41"/>
    <x v="2050"/>
    <x v="2191"/>
    <x v="701"/>
    <x v="810"/>
    <x v="293"/>
    <x v="354"/>
    <x v="9"/>
  </r>
  <r>
    <x v="3406"/>
    <x v="411"/>
    <x v="1"/>
    <x v="1235"/>
    <x v="660"/>
    <x v="36"/>
    <x v="1689"/>
    <x v="2415"/>
    <x v="716"/>
    <x v="1811"/>
    <x v="370"/>
    <x v="215"/>
    <x v="1"/>
  </r>
  <r>
    <x v="3407"/>
    <x v="411"/>
    <x v="4"/>
    <x v="1243"/>
    <x v="660"/>
    <x v="36"/>
    <x v="2329"/>
    <x v="2909"/>
    <x v="1609"/>
    <x v="2816"/>
    <x v="370"/>
    <x v="215"/>
    <x v="2"/>
  </r>
  <r>
    <x v="3408"/>
    <x v="411"/>
    <x v="6"/>
    <x v="1246"/>
    <x v="713"/>
    <x v="30"/>
    <x v="34"/>
    <x v="26"/>
    <x v="47"/>
    <x v="33"/>
    <x v="370"/>
    <x v="215"/>
    <x v="3"/>
  </r>
  <r>
    <x v="3409"/>
    <x v="411"/>
    <x v="8"/>
    <x v="1240"/>
    <x v="699"/>
    <x v="31"/>
    <x v="19"/>
    <x v="14"/>
    <x v="18"/>
    <x v="19"/>
    <x v="370"/>
    <x v="215"/>
    <x v="3"/>
  </r>
  <r>
    <x v="3410"/>
    <x v="411"/>
    <x v="11"/>
    <x v="1240"/>
    <x v="699"/>
    <x v="38"/>
    <x v="65"/>
    <x v="145"/>
    <x v="70"/>
    <x v="62"/>
    <x v="370"/>
    <x v="215"/>
    <x v="4"/>
  </r>
  <r>
    <x v="3411"/>
    <x v="411"/>
    <x v="13"/>
    <x v="1255"/>
    <x v="699"/>
    <x v="36"/>
    <x v="20"/>
    <x v="12"/>
    <x v="25"/>
    <x v="23"/>
    <x v="370"/>
    <x v="215"/>
    <x v="5"/>
  </r>
  <r>
    <x v="3412"/>
    <x v="411"/>
    <x v="17"/>
    <x v="1253"/>
    <x v="713"/>
    <x v="37"/>
    <x v="347"/>
    <x v="1207"/>
    <x v="149"/>
    <x v="285"/>
    <x v="370"/>
    <x v="215"/>
    <x v="6"/>
  </r>
  <r>
    <x v="3413"/>
    <x v="411"/>
    <x v="22"/>
    <x v="1256"/>
    <x v="732"/>
    <x v="19"/>
    <x v="988"/>
    <x v="2268"/>
    <x v="534"/>
    <x v="822"/>
    <x v="370"/>
    <x v="215"/>
    <x v="7"/>
  </r>
  <r>
    <x v="3414"/>
    <x v="411"/>
    <x v="27"/>
    <x v="1252"/>
    <x v="734"/>
    <x v="34"/>
    <x v="1095"/>
    <x v="2303"/>
    <x v="582"/>
    <x v="957"/>
    <x v="370"/>
    <x v="215"/>
    <x v="8"/>
  </r>
  <r>
    <x v="3415"/>
    <x v="411"/>
    <x v="29"/>
    <x v="1259"/>
    <x v="735"/>
    <x v="34"/>
    <x v="551"/>
    <x v="1787"/>
    <x v="235"/>
    <x v="456"/>
    <x v="370"/>
    <x v="215"/>
    <x v="9"/>
  </r>
  <r>
    <x v="3416"/>
    <x v="412"/>
    <x v="3"/>
    <x v="1431"/>
    <x v="822"/>
    <x v="31"/>
    <x v="97"/>
    <x v="185"/>
    <x v="73"/>
    <x v="80"/>
    <x v="59"/>
    <x v="39"/>
    <x v="1"/>
  </r>
  <r>
    <x v="3417"/>
    <x v="412"/>
    <x v="5"/>
    <x v="1440"/>
    <x v="822"/>
    <x v="28"/>
    <x v="126"/>
    <x v="279"/>
    <x v="48"/>
    <x v="101"/>
    <x v="59"/>
    <x v="39"/>
    <x v="2"/>
  </r>
  <r>
    <x v="3418"/>
    <x v="412"/>
    <x v="8"/>
    <x v="1520"/>
    <x v="822"/>
    <x v="31"/>
    <x v="803"/>
    <x v="1469"/>
    <x v="171"/>
    <x v="511"/>
    <x v="59"/>
    <x v="39"/>
    <x v="3"/>
  </r>
  <r>
    <x v="3419"/>
    <x v="412"/>
    <x v="11"/>
    <x v="1496"/>
    <x v="803"/>
    <x v="31"/>
    <x v="1139"/>
    <x v="2234"/>
    <x v="324"/>
    <x v="765"/>
    <x v="59"/>
    <x v="39"/>
    <x v="4"/>
  </r>
  <r>
    <x v="3420"/>
    <x v="412"/>
    <x v="13"/>
    <x v="1486"/>
    <x v="803"/>
    <x v="32"/>
    <x v="694"/>
    <x v="1494"/>
    <x v="148"/>
    <x v="465"/>
    <x v="59"/>
    <x v="39"/>
    <x v="5"/>
  </r>
  <r>
    <x v="3421"/>
    <x v="412"/>
    <x v="17"/>
    <x v="1546"/>
    <x v="824"/>
    <x v="33"/>
    <x v="932"/>
    <x v="1792"/>
    <x v="1052"/>
    <x v="570"/>
    <x v="59"/>
    <x v="39"/>
    <x v="6"/>
  </r>
  <r>
    <x v="3422"/>
    <x v="412"/>
    <x v="22"/>
    <x v="1499"/>
    <x v="824"/>
    <x v="22"/>
    <x v="1590"/>
    <x v="2267"/>
    <x v="1797"/>
    <x v="1263"/>
    <x v="59"/>
    <x v="39"/>
    <x v="7"/>
  </r>
  <r>
    <x v="3423"/>
    <x v="412"/>
    <x v="27"/>
    <x v="1512"/>
    <x v="826"/>
    <x v="19"/>
    <x v="1684"/>
    <x v="2292"/>
    <x v="1562"/>
    <x v="1352"/>
    <x v="59"/>
    <x v="39"/>
    <x v="8"/>
  </r>
  <r>
    <x v="3424"/>
    <x v="412"/>
    <x v="29"/>
    <x v="1505"/>
    <x v="826"/>
    <x v="16"/>
    <x v="1201"/>
    <x v="2018"/>
    <x v="838"/>
    <x v="808"/>
    <x v="59"/>
    <x v="39"/>
    <x v="9"/>
  </r>
  <r>
    <x v="3425"/>
    <x v="413"/>
    <x v="3"/>
    <x v="1690"/>
    <x v="891"/>
    <x v="34"/>
    <x v="1688"/>
    <x v="2535"/>
    <x v="542"/>
    <x v="1113"/>
    <x v="349"/>
    <x v="332"/>
    <x v="1"/>
  </r>
  <r>
    <x v="3426"/>
    <x v="413"/>
    <x v="5"/>
    <x v="1726"/>
    <x v="906"/>
    <x v="37"/>
    <x v="1094"/>
    <x v="2154"/>
    <x v="335"/>
    <x v="577"/>
    <x v="349"/>
    <x v="332"/>
    <x v="2"/>
  </r>
  <r>
    <x v="3427"/>
    <x v="413"/>
    <x v="8"/>
    <x v="1743"/>
    <x v="904"/>
    <x v="37"/>
    <x v="1768"/>
    <x v="2694"/>
    <x v="836"/>
    <x v="1157"/>
    <x v="349"/>
    <x v="332"/>
    <x v="3"/>
  </r>
  <r>
    <x v="3428"/>
    <x v="413"/>
    <x v="11"/>
    <x v="1731"/>
    <x v="904"/>
    <x v="37"/>
    <x v="2213"/>
    <x v="2994"/>
    <x v="1322"/>
    <x v="1901"/>
    <x v="349"/>
    <x v="332"/>
    <x v="4"/>
  </r>
  <r>
    <x v="3429"/>
    <x v="413"/>
    <x v="13"/>
    <x v="1724"/>
    <x v="903"/>
    <x v="41"/>
    <x v="1283"/>
    <x v="2384"/>
    <x v="307"/>
    <x v="694"/>
    <x v="349"/>
    <x v="332"/>
    <x v="5"/>
  </r>
  <r>
    <x v="3430"/>
    <x v="413"/>
    <x v="17"/>
    <x v="1726"/>
    <x v="906"/>
    <x v="40"/>
    <x v="176"/>
    <x v="978"/>
    <x v="103"/>
    <x v="112"/>
    <x v="349"/>
    <x v="332"/>
    <x v="6"/>
  </r>
  <r>
    <x v="3431"/>
    <x v="413"/>
    <x v="22"/>
    <x v="1726"/>
    <x v="906"/>
    <x v="28"/>
    <x v="789"/>
    <x v="2025"/>
    <x v="348"/>
    <x v="458"/>
    <x v="349"/>
    <x v="332"/>
    <x v="7"/>
  </r>
  <r>
    <x v="3432"/>
    <x v="413"/>
    <x v="27"/>
    <x v="1735"/>
    <x v="906"/>
    <x v="22"/>
    <x v="214"/>
    <x v="1004"/>
    <x v="119"/>
    <x v="136"/>
    <x v="349"/>
    <x v="332"/>
    <x v="8"/>
  </r>
  <r>
    <x v="3433"/>
    <x v="414"/>
    <x v="27"/>
    <x v="1571"/>
    <x v="817"/>
    <x v="28"/>
    <x v="308"/>
    <x v="1291"/>
    <x v="111"/>
    <x v="217"/>
    <x v="349"/>
    <x v="332"/>
    <x v="8"/>
  </r>
  <r>
    <x v="3434"/>
    <x v="414"/>
    <x v="29"/>
    <x v="1572"/>
    <x v="819"/>
    <x v="28"/>
    <x v="1741"/>
    <x v="2829"/>
    <x v="954"/>
    <x v="1356"/>
    <x v="349"/>
    <x v="332"/>
    <x v="9"/>
  </r>
  <r>
    <x v="3435"/>
    <x v="415"/>
    <x v="1"/>
    <x v="2167"/>
    <x v="1202"/>
    <x v="20"/>
    <x v="1559"/>
    <x v="2479"/>
    <x v="249"/>
    <x v="599"/>
    <x v="371"/>
    <x v="307"/>
    <x v="1"/>
  </r>
  <r>
    <x v="3436"/>
    <x v="415"/>
    <x v="4"/>
    <x v="2181"/>
    <x v="1200"/>
    <x v="34"/>
    <x v="2624"/>
    <x v="3149"/>
    <x v="1308"/>
    <x v="1912"/>
    <x v="371"/>
    <x v="307"/>
    <x v="2"/>
  </r>
  <r>
    <x v="3437"/>
    <x v="415"/>
    <x v="6"/>
    <x v="2201"/>
    <x v="1200"/>
    <x v="38"/>
    <x v="824"/>
    <x v="1825"/>
    <x v="89"/>
    <x v="284"/>
    <x v="371"/>
    <x v="307"/>
    <x v="3"/>
  </r>
  <r>
    <x v="3438"/>
    <x v="415"/>
    <x v="9"/>
    <x v="2118"/>
    <x v="1200"/>
    <x v="34"/>
    <x v="2747"/>
    <x v="3186"/>
    <x v="1236"/>
    <x v="2190"/>
    <x v="371"/>
    <x v="307"/>
    <x v="4"/>
  </r>
  <r>
    <x v="3439"/>
    <x v="415"/>
    <x v="12"/>
    <x v="2160"/>
    <x v="1200"/>
    <x v="37"/>
    <x v="3005"/>
    <x v="3332"/>
    <x v="1669"/>
    <x v="2623"/>
    <x v="371"/>
    <x v="307"/>
    <x v="5"/>
  </r>
  <r>
    <x v="3440"/>
    <x v="415"/>
    <x v="20"/>
    <x v="2160"/>
    <x v="1200"/>
    <x v="44"/>
    <x v="1127"/>
    <x v="2208"/>
    <x v="127"/>
    <x v="423"/>
    <x v="371"/>
    <x v="307"/>
    <x v="7"/>
  </r>
  <r>
    <x v="3441"/>
    <x v="415"/>
    <x v="25"/>
    <x v="2160"/>
    <x v="1200"/>
    <x v="34"/>
    <x v="2941"/>
    <x v="3335"/>
    <x v="2074"/>
    <x v="2493"/>
    <x v="371"/>
    <x v="307"/>
    <x v="8"/>
  </r>
  <r>
    <x v="3442"/>
    <x v="415"/>
    <x v="28"/>
    <x v="2160"/>
    <x v="1236"/>
    <x v="38"/>
    <x v="2649"/>
    <x v="3293"/>
    <x v="1232"/>
    <x v="1953"/>
    <x v="371"/>
    <x v="307"/>
    <x v="9"/>
  </r>
  <r>
    <x v="3443"/>
    <x v="416"/>
    <x v="1"/>
    <x v="43"/>
    <x v="362"/>
    <x v="28"/>
    <x v="2979"/>
    <x v="1632"/>
    <x v="2178"/>
    <x v="3508"/>
    <x v="65"/>
    <x v="228"/>
    <x v="1"/>
  </r>
  <r>
    <x v="3444"/>
    <x v="416"/>
    <x v="4"/>
    <x v="622"/>
    <x v="637"/>
    <x v="33"/>
    <x v="2946"/>
    <x v="1468"/>
    <x v="2383"/>
    <x v="3474"/>
    <x v="65"/>
    <x v="228"/>
    <x v="2"/>
  </r>
  <r>
    <x v="3445"/>
    <x v="417"/>
    <x v="1"/>
    <x v="1900"/>
    <x v="988"/>
    <x v="38"/>
    <x v="2431"/>
    <x v="3039"/>
    <x v="1360"/>
    <x v="1940"/>
    <x v="38"/>
    <x v="222"/>
    <x v="1"/>
  </r>
  <r>
    <x v="3446"/>
    <x v="417"/>
    <x v="4"/>
    <x v="1901"/>
    <x v="976"/>
    <x v="38"/>
    <x v="2939"/>
    <x v="3295"/>
    <x v="2142"/>
    <x v="2771"/>
    <x v="38"/>
    <x v="222"/>
    <x v="2"/>
  </r>
  <r>
    <x v="3447"/>
    <x v="417"/>
    <x v="6"/>
    <x v="1902"/>
    <x v="989"/>
    <x v="38"/>
    <x v="2487"/>
    <x v="3107"/>
    <x v="1258"/>
    <x v="2063"/>
    <x v="38"/>
    <x v="222"/>
    <x v="3"/>
  </r>
  <r>
    <x v="3448"/>
    <x v="417"/>
    <x v="9"/>
    <x v="1934"/>
    <x v="978"/>
    <x v="39"/>
    <x v="2922"/>
    <x v="3330"/>
    <x v="2153"/>
    <x v="2720"/>
    <x v="38"/>
    <x v="222"/>
    <x v="4"/>
  </r>
  <r>
    <x v="3449"/>
    <x v="417"/>
    <x v="12"/>
    <x v="1904"/>
    <x v="966"/>
    <x v="41"/>
    <x v="3312"/>
    <x v="3440"/>
    <x v="3140"/>
    <x v="3380"/>
    <x v="38"/>
    <x v="222"/>
    <x v="5"/>
  </r>
  <r>
    <x v="3450"/>
    <x v="417"/>
    <x v="15"/>
    <x v="1907"/>
    <x v="965"/>
    <x v="44"/>
    <x v="2998"/>
    <x v="3365"/>
    <x v="2144"/>
    <x v="2879"/>
    <x v="38"/>
    <x v="222"/>
    <x v="6"/>
  </r>
  <r>
    <x v="3451"/>
    <x v="417"/>
    <x v="20"/>
    <x v="2125"/>
    <x v="968"/>
    <x v="34"/>
    <x v="2686"/>
    <x v="3252"/>
    <x v="1949"/>
    <x v="2074"/>
    <x v="38"/>
    <x v="222"/>
    <x v="7"/>
  </r>
  <r>
    <x v="3452"/>
    <x v="417"/>
    <x v="25"/>
    <x v="1885"/>
    <x v="967"/>
    <x v="36"/>
    <x v="2758"/>
    <x v="3317"/>
    <x v="2234"/>
    <x v="2531"/>
    <x v="38"/>
    <x v="222"/>
    <x v="8"/>
  </r>
  <r>
    <x v="3453"/>
    <x v="417"/>
    <x v="28"/>
    <x v="1897"/>
    <x v="969"/>
    <x v="35"/>
    <x v="2951"/>
    <x v="3397"/>
    <x v="2580"/>
    <x v="2797"/>
    <x v="38"/>
    <x v="222"/>
    <x v="9"/>
  </r>
  <r>
    <x v="3454"/>
    <x v="418"/>
    <x v="3"/>
    <x v="382"/>
    <x v="67"/>
    <x v="39"/>
    <x v="127"/>
    <x v="463"/>
    <x v="87"/>
    <x v="215"/>
    <x v="353"/>
    <x v="227"/>
    <x v="1"/>
  </r>
  <r>
    <x v="3455"/>
    <x v="418"/>
    <x v="5"/>
    <x v="382"/>
    <x v="67"/>
    <x v="37"/>
    <x v="31"/>
    <x v="21"/>
    <x v="10"/>
    <x v="21"/>
    <x v="353"/>
    <x v="227"/>
    <x v="2"/>
  </r>
  <r>
    <x v="3456"/>
    <x v="418"/>
    <x v="8"/>
    <x v="382"/>
    <x v="67"/>
    <x v="37"/>
    <x v="48"/>
    <x v="76"/>
    <x v="132"/>
    <x v="53"/>
    <x v="353"/>
    <x v="227"/>
    <x v="3"/>
  </r>
  <r>
    <x v="3457"/>
    <x v="418"/>
    <x v="11"/>
    <x v="382"/>
    <x v="67"/>
    <x v="43"/>
    <x v="63"/>
    <x v="175"/>
    <x v="34"/>
    <x v="96"/>
    <x v="353"/>
    <x v="227"/>
    <x v="4"/>
  </r>
  <r>
    <x v="3458"/>
    <x v="418"/>
    <x v="13"/>
    <x v="382"/>
    <x v="67"/>
    <x v="36"/>
    <x v="81"/>
    <x v="308"/>
    <x v="29"/>
    <x v="130"/>
    <x v="353"/>
    <x v="227"/>
    <x v="5"/>
  </r>
  <r>
    <x v="3459"/>
    <x v="418"/>
    <x v="17"/>
    <x v="358"/>
    <x v="67"/>
    <x v="49"/>
    <x v="39"/>
    <x v="39"/>
    <x v="41"/>
    <x v="39"/>
    <x v="353"/>
    <x v="227"/>
    <x v="6"/>
  </r>
  <r>
    <x v="3460"/>
    <x v="418"/>
    <x v="22"/>
    <x v="354"/>
    <x v="67"/>
    <x v="43"/>
    <x v="193"/>
    <x v="798"/>
    <x v="275"/>
    <x v="343"/>
    <x v="353"/>
    <x v="227"/>
    <x v="7"/>
  </r>
  <r>
    <x v="3461"/>
    <x v="418"/>
    <x v="27"/>
    <x v="354"/>
    <x v="67"/>
    <x v="46"/>
    <x v="49"/>
    <x v="79"/>
    <x v="101"/>
    <x v="57"/>
    <x v="353"/>
    <x v="227"/>
    <x v="8"/>
  </r>
  <r>
    <x v="3462"/>
    <x v="418"/>
    <x v="29"/>
    <x v="354"/>
    <x v="67"/>
    <x v="42"/>
    <x v="372"/>
    <x v="1574"/>
    <x v="441"/>
    <x v="735"/>
    <x v="353"/>
    <x v="227"/>
    <x v="9"/>
  </r>
  <r>
    <x v="3463"/>
    <x v="419"/>
    <x v="1"/>
    <x v="1434"/>
    <x v="553"/>
    <x v="36"/>
    <x v="392"/>
    <x v="1192"/>
    <x v="487"/>
    <x v="272"/>
    <x v="140"/>
    <x v="297"/>
    <x v="1"/>
  </r>
  <r>
    <x v="3464"/>
    <x v="419"/>
    <x v="4"/>
    <x v="1444"/>
    <x v="585"/>
    <x v="39"/>
    <x v="1798"/>
    <x v="2504"/>
    <x v="1430"/>
    <x v="1602"/>
    <x v="140"/>
    <x v="297"/>
    <x v="2"/>
  </r>
  <r>
    <x v="3465"/>
    <x v="419"/>
    <x v="6"/>
    <x v="1453"/>
    <x v="578"/>
    <x v="44"/>
    <x v="959"/>
    <x v="1921"/>
    <x v="269"/>
    <x v="632"/>
    <x v="140"/>
    <x v="297"/>
    <x v="3"/>
  </r>
  <r>
    <x v="3466"/>
    <x v="419"/>
    <x v="9"/>
    <x v="1461"/>
    <x v="586"/>
    <x v="37"/>
    <x v="173"/>
    <x v="624"/>
    <x v="181"/>
    <x v="127"/>
    <x v="140"/>
    <x v="297"/>
    <x v="4"/>
  </r>
  <r>
    <x v="3467"/>
    <x v="419"/>
    <x v="12"/>
    <x v="1467"/>
    <x v="560"/>
    <x v="36"/>
    <x v="1540"/>
    <x v="2414"/>
    <x v="1210"/>
    <x v="1218"/>
    <x v="140"/>
    <x v="297"/>
    <x v="5"/>
  </r>
  <r>
    <x v="3468"/>
    <x v="419"/>
    <x v="15"/>
    <x v="1483"/>
    <x v="560"/>
    <x v="38"/>
    <x v="678"/>
    <x v="1680"/>
    <x v="412"/>
    <x v="454"/>
    <x v="140"/>
    <x v="297"/>
    <x v="6"/>
  </r>
  <r>
    <x v="3469"/>
    <x v="419"/>
    <x v="20"/>
    <x v="1490"/>
    <x v="562"/>
    <x v="38"/>
    <x v="254"/>
    <x v="917"/>
    <x v="252"/>
    <x v="188"/>
    <x v="140"/>
    <x v="297"/>
    <x v="7"/>
  </r>
  <r>
    <x v="3470"/>
    <x v="419"/>
    <x v="25"/>
    <x v="1491"/>
    <x v="563"/>
    <x v="26"/>
    <x v="1271"/>
    <x v="2323"/>
    <x v="1200"/>
    <x v="878"/>
    <x v="140"/>
    <x v="297"/>
    <x v="8"/>
  </r>
  <r>
    <x v="3471"/>
    <x v="419"/>
    <x v="28"/>
    <x v="1489"/>
    <x v="619"/>
    <x v="26"/>
    <x v="1520"/>
    <x v="2523"/>
    <x v="1484"/>
    <x v="1170"/>
    <x v="140"/>
    <x v="297"/>
    <x v="9"/>
  </r>
  <r>
    <x v="3472"/>
    <x v="420"/>
    <x v="1"/>
    <x v="2373"/>
    <x v="1380"/>
    <x v="25"/>
    <x v="2539"/>
    <x v="2913"/>
    <x v="1313"/>
    <x v="1507"/>
    <x v="61"/>
    <x v="39"/>
    <x v="1"/>
  </r>
  <r>
    <x v="3473"/>
    <x v="420"/>
    <x v="3"/>
    <x v="829"/>
    <x v="845"/>
    <x v="30"/>
    <x v="1129"/>
    <x v="1609"/>
    <x v="649"/>
    <x v="1597"/>
    <x v="61"/>
    <x v="39"/>
    <x v="1"/>
  </r>
  <r>
    <x v="3474"/>
    <x v="420"/>
    <x v="5"/>
    <x v="963"/>
    <x v="845"/>
    <x v="27"/>
    <x v="2110"/>
    <x v="2467"/>
    <x v="2013"/>
    <x v="2862"/>
    <x v="61"/>
    <x v="39"/>
    <x v="2"/>
  </r>
  <r>
    <x v="3475"/>
    <x v="420"/>
    <x v="8"/>
    <x v="992"/>
    <x v="845"/>
    <x v="35"/>
    <x v="1842"/>
    <x v="2420"/>
    <x v="1831"/>
    <x v="2469"/>
    <x v="61"/>
    <x v="39"/>
    <x v="3"/>
  </r>
  <r>
    <x v="3476"/>
    <x v="420"/>
    <x v="11"/>
    <x v="1001"/>
    <x v="844"/>
    <x v="33"/>
    <x v="2125"/>
    <x v="2684"/>
    <x v="2036"/>
    <x v="2834"/>
    <x v="61"/>
    <x v="39"/>
    <x v="4"/>
  </r>
  <r>
    <x v="3477"/>
    <x v="420"/>
    <x v="17"/>
    <x v="1018"/>
    <x v="676"/>
    <x v="28"/>
    <x v="1766"/>
    <x v="2692"/>
    <x v="1466"/>
    <x v="2286"/>
    <x v="61"/>
    <x v="39"/>
    <x v="6"/>
  </r>
  <r>
    <x v="3478"/>
    <x v="420"/>
    <x v="22"/>
    <x v="1188"/>
    <x v="773"/>
    <x v="33"/>
    <x v="1623"/>
    <x v="2286"/>
    <x v="1751"/>
    <x v="1772"/>
    <x v="61"/>
    <x v="39"/>
    <x v="7"/>
  </r>
  <r>
    <x v="3479"/>
    <x v="420"/>
    <x v="27"/>
    <x v="1199"/>
    <x v="773"/>
    <x v="31"/>
    <x v="1531"/>
    <x v="2325"/>
    <x v="1514"/>
    <x v="1620"/>
    <x v="61"/>
    <x v="39"/>
    <x v="8"/>
  </r>
  <r>
    <x v="3480"/>
    <x v="420"/>
    <x v="29"/>
    <x v="1181"/>
    <x v="773"/>
    <x v="34"/>
    <x v="2090"/>
    <x v="2723"/>
    <x v="2010"/>
    <x v="2545"/>
    <x v="61"/>
    <x v="39"/>
    <x v="9"/>
  </r>
  <r>
    <x v="3481"/>
    <x v="421"/>
    <x v="3"/>
    <x v="1704"/>
    <x v="776"/>
    <x v="28"/>
    <x v="2410"/>
    <x v="1518"/>
    <x v="2146"/>
    <x v="2285"/>
    <x v="89"/>
    <x v="114"/>
    <x v="1"/>
  </r>
  <r>
    <x v="3482"/>
    <x v="421"/>
    <x v="5"/>
    <x v="1718"/>
    <x v="800"/>
    <x v="29"/>
    <x v="2530"/>
    <x v="1830"/>
    <x v="2104"/>
    <x v="2471"/>
    <x v="89"/>
    <x v="114"/>
    <x v="2"/>
  </r>
  <r>
    <x v="3483"/>
    <x v="421"/>
    <x v="8"/>
    <x v="1749"/>
    <x v="800"/>
    <x v="33"/>
    <x v="2739"/>
    <x v="2019"/>
    <x v="2464"/>
    <x v="2724"/>
    <x v="89"/>
    <x v="114"/>
    <x v="3"/>
  </r>
  <r>
    <x v="3484"/>
    <x v="421"/>
    <x v="11"/>
    <x v="1736"/>
    <x v="804"/>
    <x v="33"/>
    <x v="2666"/>
    <x v="2265"/>
    <x v="2147"/>
    <x v="2631"/>
    <x v="89"/>
    <x v="114"/>
    <x v="4"/>
  </r>
  <r>
    <x v="3485"/>
    <x v="421"/>
    <x v="13"/>
    <x v="1729"/>
    <x v="804"/>
    <x v="31"/>
    <x v="2415"/>
    <x v="1577"/>
    <x v="1732"/>
    <x v="2255"/>
    <x v="89"/>
    <x v="114"/>
    <x v="5"/>
  </r>
  <r>
    <x v="3486"/>
    <x v="421"/>
    <x v="17"/>
    <x v="1737"/>
    <x v="805"/>
    <x v="32"/>
    <x v="2599"/>
    <x v="1890"/>
    <x v="2215"/>
    <x v="2553"/>
    <x v="89"/>
    <x v="114"/>
    <x v="6"/>
  </r>
  <r>
    <x v="3487"/>
    <x v="421"/>
    <x v="22"/>
    <x v="1741"/>
    <x v="814"/>
    <x v="22"/>
    <x v="2219"/>
    <x v="2090"/>
    <x v="1740"/>
    <x v="1902"/>
    <x v="89"/>
    <x v="114"/>
    <x v="7"/>
  </r>
  <r>
    <x v="3488"/>
    <x v="421"/>
    <x v="27"/>
    <x v="1741"/>
    <x v="814"/>
    <x v="36"/>
    <x v="2140"/>
    <x v="2458"/>
    <x v="1561"/>
    <x v="1759"/>
    <x v="89"/>
    <x v="114"/>
    <x v="8"/>
  </r>
  <r>
    <x v="3489"/>
    <x v="421"/>
    <x v="29"/>
    <x v="1742"/>
    <x v="815"/>
    <x v="31"/>
    <x v="2046"/>
    <x v="1537"/>
    <x v="1254"/>
    <x v="1583"/>
    <x v="89"/>
    <x v="114"/>
    <x v="9"/>
  </r>
  <r>
    <x v="3490"/>
    <x v="422"/>
    <x v="1"/>
    <x v="1416"/>
    <x v="810"/>
    <x v="15"/>
    <x v="3429"/>
    <x v="2460"/>
    <x v="3498"/>
    <x v="3511"/>
    <x v="377"/>
    <x v="360"/>
    <x v="1"/>
  </r>
  <r>
    <x v="3491"/>
    <x v="422"/>
    <x v="4"/>
    <x v="1574"/>
    <x v="810"/>
    <x v="29"/>
    <x v="3437"/>
    <x v="2488"/>
    <x v="3497"/>
    <x v="3506"/>
    <x v="377"/>
    <x v="360"/>
    <x v="2"/>
  </r>
  <r>
    <x v="3492"/>
    <x v="422"/>
    <x v="6"/>
    <x v="1593"/>
    <x v="810"/>
    <x v="17"/>
    <x v="3239"/>
    <x v="1823"/>
    <x v="3445"/>
    <x v="3422"/>
    <x v="377"/>
    <x v="360"/>
    <x v="3"/>
  </r>
  <r>
    <x v="3493"/>
    <x v="422"/>
    <x v="9"/>
    <x v="1629"/>
    <x v="810"/>
    <x v="25"/>
    <x v="3210"/>
    <x v="1867"/>
    <x v="3376"/>
    <x v="3394"/>
    <x v="377"/>
    <x v="360"/>
    <x v="4"/>
  </r>
  <r>
    <x v="3494"/>
    <x v="422"/>
    <x v="12"/>
    <x v="1659"/>
    <x v="810"/>
    <x v="23"/>
    <x v="3054"/>
    <x v="1416"/>
    <x v="3309"/>
    <x v="3203"/>
    <x v="377"/>
    <x v="360"/>
    <x v="5"/>
  </r>
  <r>
    <x v="3495"/>
    <x v="422"/>
    <x v="15"/>
    <x v="1641"/>
    <x v="810"/>
    <x v="31"/>
    <x v="3120"/>
    <x v="1866"/>
    <x v="3060"/>
    <x v="3288"/>
    <x v="377"/>
    <x v="360"/>
    <x v="6"/>
  </r>
  <r>
    <x v="3496"/>
    <x v="422"/>
    <x v="20"/>
    <x v="1629"/>
    <x v="810"/>
    <x v="32"/>
    <x v="3097"/>
    <x v="1837"/>
    <x v="3110"/>
    <x v="3270"/>
    <x v="377"/>
    <x v="360"/>
    <x v="7"/>
  </r>
  <r>
    <x v="3497"/>
    <x v="422"/>
    <x v="25"/>
    <x v="1607"/>
    <x v="810"/>
    <x v="32"/>
    <x v="2959"/>
    <x v="1686"/>
    <x v="3011"/>
    <x v="3133"/>
    <x v="377"/>
    <x v="360"/>
    <x v="8"/>
  </r>
  <r>
    <x v="3498"/>
    <x v="422"/>
    <x v="28"/>
    <x v="1615"/>
    <x v="810"/>
    <x v="31"/>
    <x v="3113"/>
    <x v="2403"/>
    <x v="3206"/>
    <x v="3310"/>
    <x v="377"/>
    <x v="360"/>
    <x v="9"/>
  </r>
  <r>
    <x v="3499"/>
    <x v="423"/>
    <x v="1"/>
    <x v="1652"/>
    <x v="1015"/>
    <x v="32"/>
    <x v="2182"/>
    <x v="2659"/>
    <x v="2714"/>
    <x v="1980"/>
    <x v="384"/>
    <x v="364"/>
    <x v="1"/>
  </r>
  <r>
    <x v="3500"/>
    <x v="423"/>
    <x v="4"/>
    <x v="1663"/>
    <x v="1045"/>
    <x v="39"/>
    <x v="2690"/>
    <x v="2854"/>
    <x v="2539"/>
    <x v="2756"/>
    <x v="384"/>
    <x v="364"/>
    <x v="2"/>
  </r>
  <r>
    <x v="3501"/>
    <x v="423"/>
    <x v="6"/>
    <x v="1666"/>
    <x v="1060"/>
    <x v="41"/>
    <x v="613"/>
    <x v="963"/>
    <x v="220"/>
    <x v="358"/>
    <x v="384"/>
    <x v="364"/>
    <x v="3"/>
  </r>
  <r>
    <x v="3502"/>
    <x v="423"/>
    <x v="9"/>
    <x v="1699"/>
    <x v="1059"/>
    <x v="37"/>
    <x v="3119"/>
    <x v="3304"/>
    <x v="3136"/>
    <x v="3246"/>
    <x v="384"/>
    <x v="364"/>
    <x v="4"/>
  </r>
  <r>
    <x v="3503"/>
    <x v="423"/>
    <x v="12"/>
    <x v="1701"/>
    <x v="1062"/>
    <x v="41"/>
    <x v="2799"/>
    <x v="2949"/>
    <x v="2420"/>
    <x v="2848"/>
    <x v="384"/>
    <x v="364"/>
    <x v="5"/>
  </r>
  <r>
    <x v="3504"/>
    <x v="423"/>
    <x v="15"/>
    <x v="1712"/>
    <x v="1057"/>
    <x v="38"/>
    <x v="2989"/>
    <x v="3184"/>
    <x v="2879"/>
    <x v="3079"/>
    <x v="384"/>
    <x v="364"/>
    <x v="6"/>
  </r>
  <r>
    <x v="3505"/>
    <x v="423"/>
    <x v="20"/>
    <x v="1761"/>
    <x v="1052"/>
    <x v="16"/>
    <x v="2961"/>
    <x v="3214"/>
    <x v="2927"/>
    <x v="2997"/>
    <x v="384"/>
    <x v="364"/>
    <x v="7"/>
  </r>
  <r>
    <x v="3506"/>
    <x v="423"/>
    <x v="25"/>
    <x v="1766"/>
    <x v="1052"/>
    <x v="32"/>
    <x v="2829"/>
    <x v="1689"/>
    <x v="3021"/>
    <x v="2810"/>
    <x v="384"/>
    <x v="364"/>
    <x v="8"/>
  </r>
  <r>
    <x v="3507"/>
    <x v="423"/>
    <x v="28"/>
    <x v="1776"/>
    <x v="1055"/>
    <x v="36"/>
    <x v="2745"/>
    <x v="493"/>
    <x v="3076"/>
    <x v="2666"/>
    <x v="384"/>
    <x v="364"/>
    <x v="9"/>
  </r>
  <r>
    <x v="3508"/>
    <x v="424"/>
    <x v="15"/>
    <x v="20"/>
    <x v="11"/>
    <x v="19"/>
    <x v="916"/>
    <x v="535"/>
    <x v="2733"/>
    <x v="2677"/>
    <x v="238"/>
    <x v="233"/>
    <x v="6"/>
  </r>
  <r>
    <x v="3509"/>
    <x v="424"/>
    <x v="20"/>
    <x v="49"/>
    <x v="18"/>
    <x v="16"/>
    <x v="381"/>
    <x v="212"/>
    <x v="1540"/>
    <x v="1175"/>
    <x v="238"/>
    <x v="233"/>
    <x v="7"/>
  </r>
  <r>
    <x v="3510"/>
    <x v="424"/>
    <x v="25"/>
    <x v="130"/>
    <x v="84"/>
    <x v="16"/>
    <x v="737"/>
    <x v="581"/>
    <x v="2431"/>
    <x v="2095"/>
    <x v="238"/>
    <x v="233"/>
    <x v="8"/>
  </r>
  <r>
    <x v="3511"/>
    <x v="424"/>
    <x v="28"/>
    <x v="164"/>
    <x v="84"/>
    <x v="28"/>
    <x v="994"/>
    <x v="831"/>
    <x v="2510"/>
    <x v="2525"/>
    <x v="238"/>
    <x v="233"/>
    <x v="9"/>
  </r>
  <r>
    <x v="3512"/>
    <x v="424"/>
    <x v="30"/>
    <x v="297"/>
    <x v="84"/>
    <x v="31"/>
    <x v="970"/>
    <x v="817"/>
    <x v="2679"/>
    <x v="2254"/>
    <x v="238"/>
    <x v="233"/>
    <x v="10"/>
  </r>
  <r>
    <x v="3513"/>
    <x v="425"/>
    <x v="1"/>
    <x v="245"/>
    <x v="114"/>
    <x v="25"/>
    <x v="1614"/>
    <x v="399"/>
    <x v="3219"/>
    <x v="3144"/>
    <x v="49"/>
    <x v="219"/>
    <x v="1"/>
  </r>
  <r>
    <x v="3514"/>
    <x v="425"/>
    <x v="4"/>
    <x v="180"/>
    <x v="113"/>
    <x v="28"/>
    <x v="1236"/>
    <x v="316"/>
    <x v="2840"/>
    <x v="2840"/>
    <x v="49"/>
    <x v="219"/>
    <x v="2"/>
  </r>
  <r>
    <x v="3515"/>
    <x v="425"/>
    <x v="6"/>
    <x v="190"/>
    <x v="112"/>
    <x v="29"/>
    <x v="298"/>
    <x v="91"/>
    <x v="839"/>
    <x v="681"/>
    <x v="49"/>
    <x v="219"/>
    <x v="3"/>
  </r>
  <r>
    <x v="3516"/>
    <x v="425"/>
    <x v="9"/>
    <x v="172"/>
    <x v="109"/>
    <x v="29"/>
    <x v="178"/>
    <x v="61"/>
    <x v="482"/>
    <x v="383"/>
    <x v="49"/>
    <x v="219"/>
    <x v="4"/>
  </r>
  <r>
    <x v="3517"/>
    <x v="425"/>
    <x v="12"/>
    <x v="195"/>
    <x v="110"/>
    <x v="36"/>
    <x v="328"/>
    <x v="108"/>
    <x v="851"/>
    <x v="771"/>
    <x v="49"/>
    <x v="219"/>
    <x v="5"/>
  </r>
  <r>
    <x v="3518"/>
    <x v="425"/>
    <x v="15"/>
    <x v="197"/>
    <x v="110"/>
    <x v="31"/>
    <x v="686"/>
    <x v="189"/>
    <x v="1935"/>
    <x v="1876"/>
    <x v="49"/>
    <x v="219"/>
    <x v="6"/>
  </r>
  <r>
    <x v="3519"/>
    <x v="425"/>
    <x v="20"/>
    <x v="199"/>
    <x v="106"/>
    <x v="31"/>
    <x v="168"/>
    <x v="67"/>
    <x v="460"/>
    <x v="336"/>
    <x v="49"/>
    <x v="219"/>
    <x v="7"/>
  </r>
  <r>
    <x v="3520"/>
    <x v="425"/>
    <x v="25"/>
    <x v="196"/>
    <x v="105"/>
    <x v="38"/>
    <x v="598"/>
    <x v="225"/>
    <x v="1983"/>
    <x v="1586"/>
    <x v="49"/>
    <x v="219"/>
    <x v="8"/>
  </r>
  <r>
    <x v="3521"/>
    <x v="425"/>
    <x v="28"/>
    <x v="210"/>
    <x v="107"/>
    <x v="38"/>
    <x v="364"/>
    <x v="149"/>
    <x v="1194"/>
    <x v="860"/>
    <x v="49"/>
    <x v="219"/>
    <x v="9"/>
  </r>
  <r>
    <x v="3522"/>
    <x v="426"/>
    <x v="1"/>
    <x v="342"/>
    <x v="34"/>
    <x v="21"/>
    <x v="2002"/>
    <x v="1502"/>
    <x v="3220"/>
    <x v="3307"/>
    <x v="186"/>
    <x v="204"/>
    <x v="1"/>
  </r>
  <r>
    <x v="3523"/>
    <x v="426"/>
    <x v="4"/>
    <x v="351"/>
    <x v="239"/>
    <x v="21"/>
    <x v="1989"/>
    <x v="1490"/>
    <x v="3106"/>
    <x v="3285"/>
    <x v="186"/>
    <x v="204"/>
    <x v="2"/>
  </r>
  <r>
    <x v="3524"/>
    <x v="426"/>
    <x v="6"/>
    <x v="381"/>
    <x v="239"/>
    <x v="21"/>
    <x v="2315"/>
    <x v="1775"/>
    <x v="3299"/>
    <x v="3423"/>
    <x v="186"/>
    <x v="204"/>
    <x v="3"/>
  </r>
  <r>
    <x v="3525"/>
    <x v="426"/>
    <x v="9"/>
    <x v="445"/>
    <x v="239"/>
    <x v="21"/>
    <x v="2454"/>
    <x v="1869"/>
    <x v="3326"/>
    <x v="3443"/>
    <x v="186"/>
    <x v="204"/>
    <x v="4"/>
  </r>
  <r>
    <x v="3526"/>
    <x v="426"/>
    <x v="12"/>
    <x v="448"/>
    <x v="262"/>
    <x v="24"/>
    <x v="2494"/>
    <x v="2087"/>
    <x v="3348"/>
    <x v="3452"/>
    <x v="186"/>
    <x v="204"/>
    <x v="5"/>
  </r>
  <r>
    <x v="3527"/>
    <x v="426"/>
    <x v="15"/>
    <x v="489"/>
    <x v="262"/>
    <x v="24"/>
    <x v="2293"/>
    <x v="2088"/>
    <x v="3277"/>
    <x v="3372"/>
    <x v="186"/>
    <x v="204"/>
    <x v="6"/>
  </r>
  <r>
    <x v="3528"/>
    <x v="426"/>
    <x v="20"/>
    <x v="545"/>
    <x v="277"/>
    <x v="38"/>
    <x v="2194"/>
    <x v="1148"/>
    <x v="3111"/>
    <x v="3309"/>
    <x v="186"/>
    <x v="204"/>
    <x v="7"/>
  </r>
  <r>
    <x v="3529"/>
    <x v="426"/>
    <x v="25"/>
    <x v="545"/>
    <x v="277"/>
    <x v="39"/>
    <x v="767"/>
    <x v="454"/>
    <x v="1588"/>
    <x v="1433"/>
    <x v="186"/>
    <x v="204"/>
    <x v="8"/>
  </r>
  <r>
    <x v="3530"/>
    <x v="426"/>
    <x v="28"/>
    <x v="572"/>
    <x v="277"/>
    <x v="38"/>
    <x v="2070"/>
    <x v="1229"/>
    <x v="3048"/>
    <x v="3188"/>
    <x v="186"/>
    <x v="204"/>
    <x v="9"/>
  </r>
  <r>
    <x v="3531"/>
    <x v="427"/>
    <x v="1"/>
    <x v="320"/>
    <x v="117"/>
    <x v="18"/>
    <x v="1608"/>
    <x v="952"/>
    <x v="3101"/>
    <x v="3055"/>
    <x v="238"/>
    <x v="233"/>
    <x v="1"/>
  </r>
  <r>
    <x v="3532"/>
    <x v="427"/>
    <x v="4"/>
    <x v="324"/>
    <x v="116"/>
    <x v="18"/>
    <x v="1719"/>
    <x v="2041"/>
    <x v="3167"/>
    <x v="3136"/>
    <x v="238"/>
    <x v="233"/>
    <x v="2"/>
  </r>
  <r>
    <x v="3533"/>
    <x v="427"/>
    <x v="6"/>
    <x v="347"/>
    <x v="116"/>
    <x v="24"/>
    <x v="1222"/>
    <x v="805"/>
    <x v="2657"/>
    <x v="2603"/>
    <x v="238"/>
    <x v="233"/>
    <x v="3"/>
  </r>
  <r>
    <x v="3534"/>
    <x v="427"/>
    <x v="9"/>
    <x v="385"/>
    <x v="116"/>
    <x v="20"/>
    <x v="1464"/>
    <x v="845"/>
    <x v="2921"/>
    <x v="2851"/>
    <x v="238"/>
    <x v="233"/>
    <x v="4"/>
  </r>
  <r>
    <x v="3535"/>
    <x v="427"/>
    <x v="12"/>
    <x v="291"/>
    <x v="116"/>
    <x v="20"/>
    <x v="1207"/>
    <x v="663"/>
    <x v="2444"/>
    <x v="2654"/>
    <x v="238"/>
    <x v="233"/>
    <x v="5"/>
  </r>
  <r>
    <x v="3536"/>
    <x v="427"/>
    <x v="15"/>
    <x v="316"/>
    <x v="165"/>
    <x v="17"/>
    <x v="1263"/>
    <x v="728"/>
    <x v="2619"/>
    <x v="2699"/>
    <x v="238"/>
    <x v="233"/>
    <x v="6"/>
  </r>
  <r>
    <x v="3537"/>
    <x v="427"/>
    <x v="20"/>
    <x v="309"/>
    <x v="165"/>
    <x v="15"/>
    <x v="1324"/>
    <x v="797"/>
    <x v="2778"/>
    <x v="2789"/>
    <x v="238"/>
    <x v="233"/>
    <x v="7"/>
  </r>
  <r>
    <x v="3538"/>
    <x v="427"/>
    <x v="25"/>
    <x v="383"/>
    <x v="165"/>
    <x v="15"/>
    <x v="1363"/>
    <x v="959"/>
    <x v="2875"/>
    <x v="2741"/>
    <x v="238"/>
    <x v="233"/>
    <x v="8"/>
  </r>
  <r>
    <x v="3539"/>
    <x v="427"/>
    <x v="28"/>
    <x v="359"/>
    <x v="165"/>
    <x v="20"/>
    <x v="1403"/>
    <x v="1027"/>
    <x v="2752"/>
    <x v="2814"/>
    <x v="238"/>
    <x v="233"/>
    <x v="9"/>
  </r>
  <r>
    <x v="3540"/>
    <x v="427"/>
    <x v="30"/>
    <x v="377"/>
    <x v="165"/>
    <x v="25"/>
    <x v="792"/>
    <x v="700"/>
    <x v="2669"/>
    <x v="1779"/>
    <x v="238"/>
    <x v="233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yillar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E14" firstHeaderRow="1" firstDataRow="2" firstDataCol="1"/>
  <pivotFields count="13">
    <pivotField dataField="1"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axis="axisRow" compact="0" showAll="0" defaultSubtotal="0">
      <items count="11">
        <item h="1" x="0"/>
        <item h="1" x="1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2"/>
  </rowFields>
  <colFields count="1">
    <field x="-2"/>
  </colFields>
  <dataFields count="4">
    <dataField name="auditlar" fld="0" subtotal="count" numFmtId="164"/>
    <dataField name="o'rtacha NRW %" fld="8" subtotal="average" numFmtId="170"/>
    <dataField name="o'rtacha gal/ulanish/kun" fld="9" subtotal="average" numFmtId="170"/>
    <dataField name="o'rtacha ishonchlilik balli" fld="5" subtotal="average" numFmtId="168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izimlar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E394" firstHeaderRow="1" firstDataRow="2" firstDataCol="1"/>
  <pivotFields count="13">
    <pivotField dataField="1"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dataField="1" compact="0" showAll="0"/>
    <pivotField axis="axisRow" compact="0" showAll="0" defaultSubtotal="0">
      <items count="3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</items>
    </pivotField>
    <pivotField compact="0" showAll="0"/>
    <pivotField compact="0" showAll="0"/>
  </pivotFields>
  <rowFields count="1">
    <field x="10"/>
  </rowFields>
  <colFields count="1">
    <field x="-2"/>
  </colFields>
  <dataFields count="4">
    <dataField name="auditlar" fld="0" subtotal="count" numFmtId="164"/>
    <dataField name="o'rtacha NRW %" fld="8" subtotal="average" numFmtId="170"/>
    <dataField name="o'rtacha gal/ulanish/kun" fld="9" subtotal="average" numFmtId="170"/>
    <dataField name="o'rtacha ishonchlilik balli" fld="5" subtotal="average" numFmtId="168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Auditlar" displayName="Auditlar" ref="A1:M3542" headerRowCount="1" totalsRowCount="0" totalsRowShown="0">
  <autoFilter ref="A1:M3542"/>
  <tableColumns count="13">
    <tableColumn id="1" name="audit_id"/>
    <tableColumn id="2" name="pws_id"/>
    <tableColumn id="3" name="period_start"/>
    <tableColumn id="4" name="service_connections"/>
    <tableColumn id="5" name="mains_miles"/>
    <tableColumn id="6" name="validity_score"/>
    <tableColumn id="7" name="real_losses_af"/>
    <tableColumn id="8" name="real_losses_cost_usd"/>
    <tableColumn id="9" name="nrw_percent"/>
    <tableColumn id="10" name="real_losses_gcd"/>
    <tableColumn id="11" name="supplier_name"/>
    <tableColumn id="12" name="city"/>
    <tableColumn id="13" name="yi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2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34"/>
    <col collapsed="false" customWidth="true" hidden="false" outlineLevel="0" max="12" min="12" style="1" width="18"/>
    <col collapsed="false" customWidth="true" hidden="false" outlineLevel="0" max="13" min="13" style="1" width="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n">
        <v>1</v>
      </c>
      <c r="B2" s="3" t="s">
        <v>13</v>
      </c>
      <c r="C2" s="4" t="s">
        <v>14</v>
      </c>
      <c r="D2" s="5" t="n">
        <v>84189</v>
      </c>
      <c r="E2" s="6" t="n">
        <v>906.0587</v>
      </c>
      <c r="F2" s="7" t="n">
        <v>51</v>
      </c>
      <c r="G2" s="6" t="n">
        <v>1076.65456163467</v>
      </c>
      <c r="H2" s="8" t="n">
        <v>599917.426241329</v>
      </c>
      <c r="I2" s="9" t="n">
        <v>5.40086430759913</v>
      </c>
      <c r="J2" s="9" t="n">
        <v>11.4168745099527</v>
      </c>
      <c r="K2" s="3" t="s">
        <v>15</v>
      </c>
      <c r="L2" s="3" t="s">
        <v>16</v>
      </c>
      <c r="M2" s="7" t="n">
        <v>2016</v>
      </c>
    </row>
    <row r="3" customFormat="false" ht="15" hidden="false" customHeight="false" outlineLevel="0" collapsed="false">
      <c r="A3" s="3" t="n">
        <v>2</v>
      </c>
      <c r="B3" s="3" t="s">
        <v>13</v>
      </c>
      <c r="C3" s="4" t="s">
        <v>17</v>
      </c>
      <c r="D3" s="5" t="n">
        <v>84955</v>
      </c>
      <c r="E3" s="6" t="n">
        <v>909.6</v>
      </c>
      <c r="F3" s="7" t="n">
        <v>53</v>
      </c>
      <c r="G3" s="6" t="n">
        <v>2432.33000948204</v>
      </c>
      <c r="H3" s="8" t="n">
        <v>1623863.51675484</v>
      </c>
      <c r="I3" s="9" t="n">
        <v>8.89914147165983</v>
      </c>
      <c r="J3" s="9" t="n">
        <v>25.6301547464279</v>
      </c>
      <c r="K3" s="3" t="s">
        <v>15</v>
      </c>
      <c r="L3" s="3" t="s">
        <v>16</v>
      </c>
      <c r="M3" s="7" t="n">
        <v>2017</v>
      </c>
    </row>
    <row r="4" customFormat="false" ht="15" hidden="false" customHeight="false" outlineLevel="0" collapsed="false">
      <c r="A4" s="3" t="n">
        <v>3</v>
      </c>
      <c r="B4" s="3" t="s">
        <v>13</v>
      </c>
      <c r="C4" s="4" t="s">
        <v>18</v>
      </c>
      <c r="D4" s="5" t="n">
        <v>86250</v>
      </c>
      <c r="E4" s="6" t="n">
        <v>946.84</v>
      </c>
      <c r="F4" s="7" t="n">
        <v>56</v>
      </c>
      <c r="G4" s="6" t="n">
        <v>2630.97110505902</v>
      </c>
      <c r="H4" s="8" t="n">
        <v>1561830.15460583</v>
      </c>
      <c r="I4" s="9" t="n">
        <v>8.83234340406677</v>
      </c>
      <c r="J4" s="9" t="n">
        <v>27.3070414255323</v>
      </c>
      <c r="K4" s="3" t="s">
        <v>15</v>
      </c>
      <c r="L4" s="3" t="s">
        <v>16</v>
      </c>
      <c r="M4" s="7" t="n">
        <v>2018</v>
      </c>
    </row>
    <row r="5" customFormat="false" ht="15" hidden="false" customHeight="false" outlineLevel="0" collapsed="false">
      <c r="A5" s="3" t="n">
        <v>4</v>
      </c>
      <c r="B5" s="3" t="s">
        <v>13</v>
      </c>
      <c r="C5" s="4" t="s">
        <v>19</v>
      </c>
      <c r="D5" s="5" t="n">
        <v>85825</v>
      </c>
      <c r="E5" s="6" t="n">
        <v>948.5</v>
      </c>
      <c r="F5" s="7" t="n">
        <v>60</v>
      </c>
      <c r="G5" s="6" t="n">
        <v>2467.24710311517</v>
      </c>
      <c r="H5" s="8" t="n">
        <v>1894012.98350343</v>
      </c>
      <c r="I5" s="9" t="n">
        <v>8.51459140011259</v>
      </c>
      <c r="J5" s="9" t="n">
        <v>25.7345459485722</v>
      </c>
      <c r="K5" s="3" t="s">
        <v>15</v>
      </c>
      <c r="L5" s="3" t="s">
        <v>16</v>
      </c>
      <c r="M5" s="7" t="n">
        <v>2019</v>
      </c>
    </row>
    <row r="6" customFormat="false" ht="15" hidden="false" customHeight="false" outlineLevel="0" collapsed="false">
      <c r="A6" s="3" t="n">
        <v>5</v>
      </c>
      <c r="B6" s="3" t="s">
        <v>13</v>
      </c>
      <c r="C6" s="4" t="s">
        <v>20</v>
      </c>
      <c r="D6" s="5" t="n">
        <v>86437</v>
      </c>
      <c r="E6" s="6" t="n">
        <v>960.72</v>
      </c>
      <c r="F6" s="7" t="n">
        <v>65</v>
      </c>
      <c r="G6" s="6" t="n">
        <v>2470.78482878618</v>
      </c>
      <c r="H6" s="8" t="n">
        <v>1936468.87218162</v>
      </c>
      <c r="I6" s="9" t="n">
        <v>8.23718435076294</v>
      </c>
      <c r="J6" s="9" t="n">
        <v>25.5188697015945</v>
      </c>
      <c r="K6" s="3" t="s">
        <v>15</v>
      </c>
      <c r="L6" s="3" t="s">
        <v>16</v>
      </c>
      <c r="M6" s="7" t="n">
        <v>2020</v>
      </c>
    </row>
    <row r="7" customFormat="false" ht="15" hidden="false" customHeight="false" outlineLevel="0" collapsed="false">
      <c r="A7" s="3" t="n">
        <v>6</v>
      </c>
      <c r="B7" s="3" t="s">
        <v>13</v>
      </c>
      <c r="C7" s="4" t="s">
        <v>21</v>
      </c>
      <c r="D7" s="5" t="n">
        <v>86852</v>
      </c>
      <c r="E7" s="6" t="n">
        <v>963.63</v>
      </c>
      <c r="F7" s="7" t="n">
        <v>62</v>
      </c>
      <c r="G7" s="6" t="n">
        <v>2092.53716766912</v>
      </c>
      <c r="H7" s="8" t="n">
        <v>1818378.29105149</v>
      </c>
      <c r="I7" s="9" t="n">
        <v>7.57681420576852</v>
      </c>
      <c r="J7" s="9" t="n">
        <v>21.5680574400835</v>
      </c>
      <c r="K7" s="3" t="s">
        <v>15</v>
      </c>
      <c r="L7" s="3" t="s">
        <v>16</v>
      </c>
      <c r="M7" s="7" t="n">
        <v>2021</v>
      </c>
    </row>
    <row r="8" customFormat="false" ht="15" hidden="false" customHeight="false" outlineLevel="0" collapsed="false">
      <c r="A8" s="3" t="n">
        <v>7</v>
      </c>
      <c r="B8" s="3" t="s">
        <v>13</v>
      </c>
      <c r="C8" s="4" t="s">
        <v>22</v>
      </c>
      <c r="D8" s="5" t="n">
        <v>87366</v>
      </c>
      <c r="E8" s="6" t="n">
        <v>965.71</v>
      </c>
      <c r="F8" s="7" t="n">
        <v>64</v>
      </c>
      <c r="G8" s="6" t="n">
        <v>1717.22275618955</v>
      </c>
      <c r="H8" s="8" t="n">
        <v>1474996.61328962</v>
      </c>
      <c r="I8" s="9" t="n">
        <v>7.03474134381539</v>
      </c>
      <c r="J8" s="9" t="n">
        <v>17.5955099189616</v>
      </c>
      <c r="K8" s="3" t="s">
        <v>15</v>
      </c>
      <c r="L8" s="3" t="s">
        <v>16</v>
      </c>
      <c r="M8" s="7" t="n">
        <v>2022</v>
      </c>
    </row>
    <row r="9" customFormat="false" ht="15" hidden="false" customHeight="false" outlineLevel="0" collapsed="false">
      <c r="A9" s="3" t="n">
        <v>8</v>
      </c>
      <c r="B9" s="3" t="s">
        <v>13</v>
      </c>
      <c r="C9" s="4" t="s">
        <v>23</v>
      </c>
      <c r="D9" s="5" t="n">
        <v>88391</v>
      </c>
      <c r="E9" s="6" t="n">
        <v>966.59</v>
      </c>
      <c r="F9" s="7" t="n">
        <v>57</v>
      </c>
      <c r="G9" s="6" t="n">
        <v>1385.70431721399</v>
      </c>
      <c r="H9" s="8" t="n">
        <v>1609981.2835177</v>
      </c>
      <c r="I9" s="9" t="n">
        <v>6.34332113685489</v>
      </c>
      <c r="J9" s="9" t="n">
        <v>14.0339588010768</v>
      </c>
      <c r="K9" s="3" t="s">
        <v>15</v>
      </c>
      <c r="L9" s="3" t="s">
        <v>16</v>
      </c>
      <c r="M9" s="7" t="n">
        <v>2023</v>
      </c>
    </row>
    <row r="10" customFormat="false" ht="15" hidden="false" customHeight="false" outlineLevel="0" collapsed="false">
      <c r="A10" s="3" t="n">
        <v>9</v>
      </c>
      <c r="B10" s="3" t="s">
        <v>13</v>
      </c>
      <c r="C10" s="4" t="s">
        <v>24</v>
      </c>
      <c r="D10" s="5" t="n">
        <v>88634</v>
      </c>
      <c r="E10" s="6" t="n">
        <v>967.69</v>
      </c>
      <c r="F10" s="7" t="n">
        <v>77</v>
      </c>
      <c r="G10" s="6" t="n">
        <v>1565.94008616701</v>
      </c>
      <c r="H10" s="8" t="n">
        <v>1773153.90675767</v>
      </c>
      <c r="I10" s="9" t="n">
        <v>5.25524651439773</v>
      </c>
      <c r="J10" s="9" t="n">
        <v>15.7725163452723</v>
      </c>
      <c r="K10" s="3" t="s">
        <v>15</v>
      </c>
      <c r="L10" s="3" t="s">
        <v>16</v>
      </c>
      <c r="M10" s="7" t="n">
        <v>2024</v>
      </c>
    </row>
    <row r="11" customFormat="false" ht="15" hidden="false" customHeight="false" outlineLevel="0" collapsed="false">
      <c r="A11" s="3" t="n">
        <v>10</v>
      </c>
      <c r="B11" s="3" t="s">
        <v>25</v>
      </c>
      <c r="C11" s="4" t="s">
        <v>14</v>
      </c>
      <c r="D11" s="5" t="n">
        <v>19117</v>
      </c>
      <c r="E11" s="6" t="n">
        <v>233.02</v>
      </c>
      <c r="F11" s="7" t="n">
        <v>58</v>
      </c>
      <c r="G11" s="6" t="n">
        <v>365.16326734694</v>
      </c>
      <c r="H11" s="8" t="n">
        <v>209636.580151205</v>
      </c>
      <c r="I11" s="9" t="n">
        <v>7.41007892438316</v>
      </c>
      <c r="J11" s="9" t="n">
        <v>17.0527151589624</v>
      </c>
      <c r="K11" s="3" t="s">
        <v>26</v>
      </c>
      <c r="L11" s="3" t="s">
        <v>27</v>
      </c>
      <c r="M11" s="7" t="n">
        <v>2016</v>
      </c>
    </row>
    <row r="12" customFormat="false" ht="15" hidden="false" customHeight="false" outlineLevel="0" collapsed="false">
      <c r="A12" s="3" t="n">
        <v>11</v>
      </c>
      <c r="B12" s="3" t="s">
        <v>25</v>
      </c>
      <c r="C12" s="4" t="s">
        <v>17</v>
      </c>
      <c r="D12" s="5" t="n">
        <v>18785</v>
      </c>
      <c r="E12" s="6" t="n">
        <v>228.8</v>
      </c>
      <c r="F12" s="7" t="n">
        <v>62</v>
      </c>
      <c r="G12" s="6" t="n">
        <v>16.2106054081631</v>
      </c>
      <c r="H12" s="8" t="n">
        <v>20188.6879753264</v>
      </c>
      <c r="I12" s="9" t="n">
        <v>2.92278379317289</v>
      </c>
      <c r="J12" s="9" t="n">
        <v>0.772512845304933</v>
      </c>
      <c r="K12" s="3" t="s">
        <v>26</v>
      </c>
      <c r="L12" s="3" t="s">
        <v>27</v>
      </c>
      <c r="M12" s="7" t="n">
        <v>2017</v>
      </c>
    </row>
    <row r="13" customFormat="false" ht="15" hidden="false" customHeight="false" outlineLevel="0" collapsed="false">
      <c r="A13" s="3" t="n">
        <v>12</v>
      </c>
      <c r="B13" s="3" t="s">
        <v>25</v>
      </c>
      <c r="C13" s="4" t="s">
        <v>18</v>
      </c>
      <c r="D13" s="5" t="n">
        <v>18905</v>
      </c>
      <c r="E13" s="6" t="n">
        <v>229.29</v>
      </c>
      <c r="F13" s="7" t="n">
        <v>63</v>
      </c>
      <c r="G13" s="6" t="n">
        <v>448.847590511145</v>
      </c>
      <c r="H13" s="8" t="n">
        <v>481279.566064596</v>
      </c>
      <c r="I13" s="9" t="n">
        <v>7.58722306920746</v>
      </c>
      <c r="J13" s="9" t="n">
        <v>21.2539615683459</v>
      </c>
      <c r="K13" s="3" t="s">
        <v>26</v>
      </c>
      <c r="L13" s="3" t="s">
        <v>27</v>
      </c>
      <c r="M13" s="7" t="n">
        <v>2018</v>
      </c>
    </row>
    <row r="14" customFormat="false" ht="15" hidden="false" customHeight="false" outlineLevel="0" collapsed="false">
      <c r="A14" s="3" t="n">
        <v>13</v>
      </c>
      <c r="B14" s="3" t="s">
        <v>25</v>
      </c>
      <c r="C14" s="4" t="s">
        <v>19</v>
      </c>
      <c r="D14" s="5" t="n">
        <v>18517.4166666667</v>
      </c>
      <c r="E14" s="6" t="n">
        <v>229.26794219356</v>
      </c>
      <c r="F14" s="7" t="n">
        <v>63</v>
      </c>
      <c r="G14" s="6" t="n">
        <v>606.899546559738</v>
      </c>
      <c r="H14" s="8" t="n">
        <v>767717.534048041</v>
      </c>
      <c r="I14" s="9" t="n">
        <v>9.15519706794614</v>
      </c>
      <c r="J14" s="9" t="n">
        <v>29.3395932439463</v>
      </c>
      <c r="K14" s="3" t="s">
        <v>26</v>
      </c>
      <c r="L14" s="3" t="s">
        <v>27</v>
      </c>
      <c r="M14" s="7" t="n">
        <v>2019</v>
      </c>
    </row>
    <row r="15" customFormat="false" ht="15" hidden="false" customHeight="false" outlineLevel="0" collapsed="false">
      <c r="A15" s="3" t="n">
        <v>14</v>
      </c>
      <c r="B15" s="3" t="s">
        <v>25</v>
      </c>
      <c r="C15" s="4" t="s">
        <v>20</v>
      </c>
      <c r="D15" s="5" t="n">
        <v>19018.3333333333</v>
      </c>
      <c r="E15" s="6" t="n">
        <v>234.66564181</v>
      </c>
      <c r="F15" s="7" t="n">
        <v>63</v>
      </c>
      <c r="G15" s="6" t="n">
        <v>276.650305009936</v>
      </c>
      <c r="H15" s="8" t="n">
        <v>366744.243339472</v>
      </c>
      <c r="I15" s="9" t="n">
        <v>5.55933602585597</v>
      </c>
      <c r="J15" s="9" t="n">
        <v>12.9862838723692</v>
      </c>
      <c r="K15" s="3" t="s">
        <v>26</v>
      </c>
      <c r="L15" s="3" t="s">
        <v>27</v>
      </c>
      <c r="M15" s="7" t="n">
        <v>2020</v>
      </c>
    </row>
    <row r="16" customFormat="false" ht="15" hidden="false" customHeight="false" outlineLevel="0" collapsed="false">
      <c r="A16" s="3" t="n">
        <v>15</v>
      </c>
      <c r="B16" s="3" t="s">
        <v>25</v>
      </c>
      <c r="C16" s="4" t="s">
        <v>21</v>
      </c>
      <c r="D16" s="5" t="n">
        <v>19078.1666666666</v>
      </c>
      <c r="E16" s="6" t="n">
        <v>234.665641809999</v>
      </c>
      <c r="F16" s="7" t="n">
        <v>63</v>
      </c>
      <c r="G16" s="6" t="n">
        <v>242.011834000001</v>
      </c>
      <c r="H16" s="8" t="n">
        <v>327583.555022948</v>
      </c>
      <c r="I16" s="9" t="n">
        <v>5.35255979469621</v>
      </c>
      <c r="J16" s="9" t="n">
        <v>11.3557974841216</v>
      </c>
      <c r="K16" s="3" t="s">
        <v>26</v>
      </c>
      <c r="L16" s="3" t="s">
        <v>27</v>
      </c>
      <c r="M16" s="7" t="n">
        <v>2021</v>
      </c>
    </row>
    <row r="17" customFormat="false" ht="15" hidden="false" customHeight="false" outlineLevel="0" collapsed="false">
      <c r="A17" s="3" t="n">
        <v>16</v>
      </c>
      <c r="B17" s="3" t="s">
        <v>25</v>
      </c>
      <c r="C17" s="4" t="s">
        <v>22</v>
      </c>
      <c r="D17" s="5" t="n">
        <v>19127.5</v>
      </c>
      <c r="E17" s="6" t="n">
        <v>234.2006404</v>
      </c>
      <c r="F17" s="7" t="n">
        <v>72</v>
      </c>
      <c r="G17" s="6" t="n">
        <v>390.635469829093</v>
      </c>
      <c r="H17" s="8" t="n">
        <v>563878.394343597</v>
      </c>
      <c r="I17" s="9" t="n">
        <v>7.21948309582876</v>
      </c>
      <c r="J17" s="9" t="n">
        <v>18.2823129461321</v>
      </c>
      <c r="K17" s="3" t="s">
        <v>26</v>
      </c>
      <c r="L17" s="3" t="s">
        <v>27</v>
      </c>
      <c r="M17" s="7" t="n">
        <v>2022</v>
      </c>
    </row>
    <row r="18" customFormat="false" ht="15" hidden="false" customHeight="false" outlineLevel="0" collapsed="false">
      <c r="A18" s="3" t="n">
        <v>17</v>
      </c>
      <c r="B18" s="3" t="s">
        <v>25</v>
      </c>
      <c r="C18" s="4" t="s">
        <v>23</v>
      </c>
      <c r="D18" s="5" t="n">
        <v>19123.6666666667</v>
      </c>
      <c r="E18" s="6" t="n">
        <v>234.39287424</v>
      </c>
      <c r="F18" s="7" t="n">
        <v>74</v>
      </c>
      <c r="G18" s="6" t="n">
        <v>344.018194983012</v>
      </c>
      <c r="H18" s="8" t="n">
        <v>473169.505743534</v>
      </c>
      <c r="I18" s="9" t="n">
        <v>6.9015817706232</v>
      </c>
      <c r="J18" s="9" t="n">
        <v>16.1037834599318</v>
      </c>
      <c r="K18" s="3" t="s">
        <v>26</v>
      </c>
      <c r="L18" s="3" t="s">
        <v>27</v>
      </c>
      <c r="M18" s="7" t="n">
        <v>2023</v>
      </c>
    </row>
    <row r="19" customFormat="false" ht="15" hidden="false" customHeight="false" outlineLevel="0" collapsed="false">
      <c r="A19" s="3" t="n">
        <v>18</v>
      </c>
      <c r="B19" s="3" t="s">
        <v>25</v>
      </c>
      <c r="C19" s="4" t="s">
        <v>24</v>
      </c>
      <c r="D19" s="5" t="n">
        <v>19183.6666666667</v>
      </c>
      <c r="E19" s="6" t="n">
        <v>234.057399587931</v>
      </c>
      <c r="F19" s="7" t="n">
        <v>64</v>
      </c>
      <c r="G19" s="6" t="n">
        <v>286.874103985893</v>
      </c>
      <c r="H19" s="8" t="n">
        <v>431015.973997523</v>
      </c>
      <c r="I19" s="9" t="n">
        <v>6.01905660290407</v>
      </c>
      <c r="J19" s="9" t="n">
        <v>13.3501430880351</v>
      </c>
      <c r="K19" s="3" t="s">
        <v>26</v>
      </c>
      <c r="L19" s="3" t="s">
        <v>27</v>
      </c>
      <c r="M19" s="7" t="n">
        <v>2024</v>
      </c>
    </row>
    <row r="20" customFormat="false" ht="15" hidden="false" customHeight="false" outlineLevel="0" collapsed="false">
      <c r="A20" s="3" t="n">
        <v>19</v>
      </c>
      <c r="B20" s="3" t="s">
        <v>28</v>
      </c>
      <c r="C20" s="4" t="s">
        <v>14</v>
      </c>
      <c r="D20" s="5" t="n">
        <v>396847</v>
      </c>
      <c r="E20" s="6" t="n">
        <v>4150.9</v>
      </c>
      <c r="F20" s="7" t="n">
        <v>60</v>
      </c>
      <c r="G20" s="6" t="n">
        <v>17312.517028205</v>
      </c>
      <c r="H20" s="8" t="n">
        <v>1258009.9</v>
      </c>
      <c r="I20" s="9" t="n">
        <v>13.7517658637207</v>
      </c>
      <c r="J20" s="9" t="n">
        <v>38.9460400107797</v>
      </c>
      <c r="K20" s="3" t="s">
        <v>29</v>
      </c>
      <c r="L20" s="3" t="s">
        <v>30</v>
      </c>
      <c r="M20" s="7" t="n">
        <v>2016</v>
      </c>
    </row>
    <row r="21" customFormat="false" ht="15" hidden="false" customHeight="false" outlineLevel="0" collapsed="false">
      <c r="A21" s="3" t="n">
        <v>20</v>
      </c>
      <c r="B21" s="3" t="s">
        <v>28</v>
      </c>
      <c r="C21" s="4" t="s">
        <v>17</v>
      </c>
      <c r="D21" s="5" t="n">
        <v>376064</v>
      </c>
      <c r="E21" s="6" t="n">
        <v>4234.4</v>
      </c>
      <c r="F21" s="7" t="n">
        <v>67</v>
      </c>
      <c r="G21" s="6" t="n">
        <v>22679.9251556588</v>
      </c>
      <c r="H21" s="8" t="n">
        <v>1884520.125</v>
      </c>
      <c r="I21" s="9" t="n">
        <v>15.4445577833147</v>
      </c>
      <c r="J21" s="9" t="n">
        <v>53.9880362009384</v>
      </c>
      <c r="K21" s="3" t="s">
        <v>29</v>
      </c>
      <c r="L21" s="3" t="s">
        <v>30</v>
      </c>
      <c r="M21" s="7" t="n">
        <v>2017</v>
      </c>
    </row>
    <row r="22" customFormat="false" ht="15" hidden="false" customHeight="false" outlineLevel="0" collapsed="false">
      <c r="A22" s="3" t="n">
        <v>21</v>
      </c>
      <c r="B22" s="3" t="s">
        <v>28</v>
      </c>
      <c r="C22" s="4" t="s">
        <v>18</v>
      </c>
      <c r="D22" s="5" t="n">
        <v>376776</v>
      </c>
      <c r="E22" s="6" t="n">
        <v>4232.5</v>
      </c>
      <c r="F22" s="7" t="n">
        <v>65</v>
      </c>
      <c r="G22" s="6" t="n">
        <v>18760.9875945312</v>
      </c>
      <c r="H22" s="8" t="n">
        <v>1479415.091</v>
      </c>
      <c r="I22" s="9" t="n">
        <v>14.8335468414661</v>
      </c>
      <c r="J22" s="9" t="n">
        <v>44.5748755772922</v>
      </c>
      <c r="K22" s="3" t="s">
        <v>29</v>
      </c>
      <c r="L22" s="3" t="s">
        <v>30</v>
      </c>
      <c r="M22" s="7" t="n">
        <v>2018</v>
      </c>
    </row>
    <row r="23" customFormat="false" ht="15" hidden="false" customHeight="false" outlineLevel="0" collapsed="false">
      <c r="A23" s="3" t="n">
        <v>22</v>
      </c>
      <c r="B23" s="3" t="s">
        <v>28</v>
      </c>
      <c r="C23" s="4" t="s">
        <v>19</v>
      </c>
      <c r="D23" s="5" t="n">
        <v>377701</v>
      </c>
      <c r="E23" s="6" t="n">
        <v>4262.2</v>
      </c>
      <c r="F23" s="7" t="n">
        <v>68</v>
      </c>
      <c r="G23" s="6" t="n">
        <v>15921.1339136645</v>
      </c>
      <c r="H23" s="8" t="n">
        <v>1250287.8765</v>
      </c>
      <c r="I23" s="9" t="n">
        <v>14.2310456041844</v>
      </c>
      <c r="J23" s="9" t="n">
        <v>37.7349288157312</v>
      </c>
      <c r="K23" s="3" t="s">
        <v>29</v>
      </c>
      <c r="L23" s="3" t="s">
        <v>30</v>
      </c>
      <c r="M23" s="7" t="n">
        <v>2019</v>
      </c>
    </row>
    <row r="24" customFormat="false" ht="15" hidden="false" customHeight="false" outlineLevel="0" collapsed="false">
      <c r="A24" s="3" t="n">
        <v>23</v>
      </c>
      <c r="B24" s="3" t="s">
        <v>28</v>
      </c>
      <c r="C24" s="4" t="s">
        <v>20</v>
      </c>
      <c r="D24" s="5" t="n">
        <v>378433</v>
      </c>
      <c r="E24" s="6" t="n">
        <v>4270</v>
      </c>
      <c r="F24" s="7" t="n">
        <v>68</v>
      </c>
      <c r="G24" s="6" t="n">
        <v>16941.7094470652</v>
      </c>
      <c r="H24" s="8" t="n">
        <v>1319392.808</v>
      </c>
      <c r="I24" s="9" t="n">
        <v>12.9410622704697</v>
      </c>
      <c r="J24" s="9" t="n">
        <v>39.9663440182306</v>
      </c>
      <c r="K24" s="3" t="s">
        <v>29</v>
      </c>
      <c r="L24" s="3" t="s">
        <v>30</v>
      </c>
      <c r="M24" s="7" t="n">
        <v>2020</v>
      </c>
    </row>
    <row r="25" customFormat="false" ht="15" hidden="false" customHeight="false" outlineLevel="0" collapsed="false">
      <c r="A25" s="3" t="n">
        <v>24</v>
      </c>
      <c r="B25" s="3" t="s">
        <v>28</v>
      </c>
      <c r="C25" s="4" t="s">
        <v>21</v>
      </c>
      <c r="D25" s="5" t="n">
        <v>378983</v>
      </c>
      <c r="E25" s="6" t="n">
        <v>4272</v>
      </c>
      <c r="F25" s="7" t="n">
        <v>68</v>
      </c>
      <c r="G25" s="6" t="n">
        <v>14202.240622216</v>
      </c>
      <c r="H25" s="8" t="n">
        <v>1392971.8635</v>
      </c>
      <c r="I25" s="9" t="n">
        <v>11.9045156842468</v>
      </c>
      <c r="J25" s="9" t="n">
        <v>33.5470867404278</v>
      </c>
      <c r="K25" s="3" t="s">
        <v>29</v>
      </c>
      <c r="L25" s="3" t="s">
        <v>30</v>
      </c>
      <c r="M25" s="7" t="n">
        <v>2021</v>
      </c>
    </row>
    <row r="26" customFormat="false" ht="15" hidden="false" customHeight="false" outlineLevel="0" collapsed="false">
      <c r="A26" s="3" t="n">
        <v>25</v>
      </c>
      <c r="B26" s="3" t="s">
        <v>28</v>
      </c>
      <c r="C26" s="4" t="s">
        <v>22</v>
      </c>
      <c r="D26" s="5" t="n">
        <v>379585</v>
      </c>
      <c r="E26" s="6" t="n">
        <v>4277</v>
      </c>
      <c r="F26" s="7" t="n">
        <v>73</v>
      </c>
      <c r="G26" s="6" t="n">
        <v>12141.1724732681</v>
      </c>
      <c r="H26" s="8" t="n">
        <v>1495448.325</v>
      </c>
      <c r="I26" s="9" t="n">
        <v>11.0938198729988</v>
      </c>
      <c r="J26" s="9" t="n">
        <v>28.6331587373174</v>
      </c>
      <c r="K26" s="3" t="s">
        <v>29</v>
      </c>
      <c r="L26" s="3" t="s">
        <v>30</v>
      </c>
      <c r="M26" s="7" t="n">
        <v>2022</v>
      </c>
    </row>
    <row r="27" customFormat="false" ht="15" hidden="false" customHeight="false" outlineLevel="0" collapsed="false">
      <c r="A27" s="3" t="n">
        <v>26</v>
      </c>
      <c r="B27" s="3" t="s">
        <v>28</v>
      </c>
      <c r="C27" s="4" t="s">
        <v>23</v>
      </c>
      <c r="D27" s="5" t="n">
        <v>380556</v>
      </c>
      <c r="E27" s="6" t="n">
        <v>4281</v>
      </c>
      <c r="F27" s="7" t="n">
        <v>74</v>
      </c>
      <c r="G27" s="6" t="n">
        <v>14045.5846385809</v>
      </c>
      <c r="H27" s="8" t="n">
        <v>1858167.402</v>
      </c>
      <c r="I27" s="9" t="n">
        <v>11.109385308097</v>
      </c>
      <c r="J27" s="9" t="n">
        <v>33.0399150513193</v>
      </c>
      <c r="K27" s="3" t="s">
        <v>29</v>
      </c>
      <c r="L27" s="3" t="s">
        <v>30</v>
      </c>
      <c r="M27" s="7" t="n">
        <v>2023</v>
      </c>
    </row>
    <row r="28" customFormat="false" ht="15" hidden="false" customHeight="false" outlineLevel="0" collapsed="false">
      <c r="A28" s="3" t="n">
        <v>27</v>
      </c>
      <c r="B28" s="3" t="s">
        <v>28</v>
      </c>
      <c r="C28" s="4" t="s">
        <v>24</v>
      </c>
      <c r="D28" s="5" t="n">
        <v>380501</v>
      </c>
      <c r="E28" s="6" t="n">
        <v>4282</v>
      </c>
      <c r="F28" s="7" t="n">
        <v>74</v>
      </c>
      <c r="G28" s="6" t="n">
        <v>11230.7362559161</v>
      </c>
      <c r="H28" s="8" t="n">
        <v>1591902.51</v>
      </c>
      <c r="I28" s="9" t="n">
        <v>9.06175438830306</v>
      </c>
      <c r="J28" s="9" t="n">
        <v>26.3498786529679</v>
      </c>
      <c r="K28" s="3" t="s">
        <v>29</v>
      </c>
      <c r="L28" s="3" t="s">
        <v>30</v>
      </c>
      <c r="M28" s="7" t="n">
        <v>2024</v>
      </c>
    </row>
    <row r="29" customFormat="false" ht="15" hidden="false" customHeight="false" outlineLevel="0" collapsed="false">
      <c r="A29" s="3" t="n">
        <v>28</v>
      </c>
      <c r="B29" s="3" t="s">
        <v>31</v>
      </c>
      <c r="C29" s="4" t="s">
        <v>14</v>
      </c>
      <c r="D29" s="5" t="n">
        <v>35526</v>
      </c>
      <c r="E29" s="6" t="n">
        <v>385</v>
      </c>
      <c r="F29" s="7" t="n">
        <v>63</v>
      </c>
      <c r="G29" s="6" t="n">
        <v>528.929620016267</v>
      </c>
      <c r="H29" s="8" t="n">
        <v>963940.088363927</v>
      </c>
      <c r="I29" s="9" t="n">
        <v>7.76798074623689</v>
      </c>
      <c r="J29" s="9" t="n">
        <v>13.2916155261877</v>
      </c>
      <c r="K29" s="3" t="s">
        <v>32</v>
      </c>
      <c r="L29" s="3" t="s">
        <v>33</v>
      </c>
      <c r="M29" s="7" t="n">
        <v>2016</v>
      </c>
    </row>
    <row r="30" customFormat="false" ht="15" hidden="false" customHeight="false" outlineLevel="0" collapsed="false">
      <c r="A30" s="3" t="n">
        <v>29</v>
      </c>
      <c r="B30" s="3" t="s">
        <v>31</v>
      </c>
      <c r="C30" s="4" t="s">
        <v>17</v>
      </c>
      <c r="D30" s="5" t="n">
        <v>36327</v>
      </c>
      <c r="E30" s="6" t="n">
        <v>385</v>
      </c>
      <c r="F30" s="7" t="n">
        <v>65</v>
      </c>
      <c r="G30" s="6" t="n">
        <v>1195.12116295962</v>
      </c>
      <c r="H30" s="8" t="n">
        <v>2174304.3124659</v>
      </c>
      <c r="I30" s="9" t="n">
        <v>9.76082372011772</v>
      </c>
      <c r="J30" s="9" t="n">
        <v>29.4510021510622</v>
      </c>
      <c r="K30" s="3" t="s">
        <v>32</v>
      </c>
      <c r="L30" s="3" t="s">
        <v>33</v>
      </c>
      <c r="M30" s="7" t="n">
        <v>2017</v>
      </c>
    </row>
    <row r="31" customFormat="false" ht="15" hidden="false" customHeight="false" outlineLevel="0" collapsed="false">
      <c r="A31" s="3" t="n">
        <v>30</v>
      </c>
      <c r="B31" s="3" t="s">
        <v>31</v>
      </c>
      <c r="C31" s="4" t="s">
        <v>18</v>
      </c>
      <c r="D31" s="5" t="n">
        <v>37526</v>
      </c>
      <c r="E31" s="6" t="n">
        <v>391</v>
      </c>
      <c r="F31" s="7" t="n">
        <v>72</v>
      </c>
      <c r="G31" s="6" t="n">
        <v>792.338814775149</v>
      </c>
      <c r="H31" s="8" t="n">
        <v>1448256.7110465</v>
      </c>
      <c r="I31" s="9" t="n">
        <v>5.98697863155305</v>
      </c>
      <c r="J31" s="9" t="n">
        <v>18.9015026602286</v>
      </c>
      <c r="K31" s="3" t="s">
        <v>32</v>
      </c>
      <c r="L31" s="3" t="s">
        <v>33</v>
      </c>
      <c r="M31" s="7" t="n">
        <v>2018</v>
      </c>
    </row>
    <row r="32" customFormat="false" ht="15" hidden="false" customHeight="false" outlineLevel="0" collapsed="false">
      <c r="A32" s="3" t="n">
        <v>31</v>
      </c>
      <c r="B32" s="3" t="s">
        <v>31</v>
      </c>
      <c r="C32" s="4" t="s">
        <v>19</v>
      </c>
      <c r="D32" s="5" t="n">
        <v>38236</v>
      </c>
      <c r="E32" s="6" t="n">
        <v>391</v>
      </c>
      <c r="F32" s="7" t="n">
        <v>73</v>
      </c>
      <c r="G32" s="6" t="n">
        <v>121.86412431806</v>
      </c>
      <c r="H32" s="8" t="n">
        <v>222891.235455947</v>
      </c>
      <c r="I32" s="9" t="n">
        <v>2.02134301024485</v>
      </c>
      <c r="J32" s="9" t="n">
        <v>2.85312693442663</v>
      </c>
      <c r="K32" s="3" t="s">
        <v>32</v>
      </c>
      <c r="L32" s="3" t="s">
        <v>33</v>
      </c>
      <c r="M32" s="7" t="n">
        <v>2019</v>
      </c>
    </row>
    <row r="33" customFormat="false" ht="15" hidden="false" customHeight="false" outlineLevel="0" collapsed="false">
      <c r="A33" s="3" t="n">
        <v>32</v>
      </c>
      <c r="B33" s="3" t="s">
        <v>31</v>
      </c>
      <c r="C33" s="4" t="s">
        <v>20</v>
      </c>
      <c r="D33" s="5" t="n">
        <v>38532</v>
      </c>
      <c r="E33" s="6" t="n">
        <v>391</v>
      </c>
      <c r="F33" s="7" t="n">
        <v>63</v>
      </c>
      <c r="G33" s="6" t="n">
        <v>848.092174129408</v>
      </c>
      <c r="H33" s="8" t="n">
        <v>1552844.70715631</v>
      </c>
      <c r="I33" s="9" t="n">
        <v>6.39073516622935</v>
      </c>
      <c r="J33" s="9" t="n">
        <v>19.649327798154</v>
      </c>
      <c r="K33" s="3" t="s">
        <v>32</v>
      </c>
      <c r="L33" s="3" t="s">
        <v>33</v>
      </c>
      <c r="M33" s="7" t="n">
        <v>2020</v>
      </c>
    </row>
    <row r="34" customFormat="false" ht="15" hidden="false" customHeight="false" outlineLevel="0" collapsed="false">
      <c r="A34" s="3" t="n">
        <v>33</v>
      </c>
      <c r="B34" s="3" t="s">
        <v>31</v>
      </c>
      <c r="C34" s="4" t="s">
        <v>21</v>
      </c>
      <c r="D34" s="5" t="n">
        <v>37764</v>
      </c>
      <c r="E34" s="6" t="n">
        <v>391</v>
      </c>
      <c r="F34" s="7" t="n">
        <v>68</v>
      </c>
      <c r="G34" s="6" t="n">
        <v>1006.96406594855</v>
      </c>
      <c r="H34" s="8" t="n">
        <v>1844245.46750155</v>
      </c>
      <c r="I34" s="9" t="n">
        <v>7.57637392658086</v>
      </c>
      <c r="J34" s="9" t="n">
        <v>23.8700681163147</v>
      </c>
      <c r="K34" s="3" t="s">
        <v>32</v>
      </c>
      <c r="L34" s="3" t="s">
        <v>33</v>
      </c>
      <c r="M34" s="7" t="n">
        <v>2021</v>
      </c>
    </row>
    <row r="35" customFormat="false" ht="15" hidden="false" customHeight="false" outlineLevel="0" collapsed="false">
      <c r="A35" s="3" t="n">
        <v>34</v>
      </c>
      <c r="B35" s="3" t="s">
        <v>31</v>
      </c>
      <c r="C35" s="4" t="s">
        <v>22</v>
      </c>
      <c r="D35" s="5" t="n">
        <v>38073</v>
      </c>
      <c r="E35" s="6" t="n">
        <v>391</v>
      </c>
      <c r="F35" s="7" t="n">
        <v>58</v>
      </c>
      <c r="G35" s="6" t="n">
        <v>961.76875608841</v>
      </c>
      <c r="H35" s="8" t="n">
        <v>1896803.28108517</v>
      </c>
      <c r="I35" s="9" t="n">
        <v>7.48670875980059</v>
      </c>
      <c r="J35" s="9" t="n">
        <v>22.6136798899746</v>
      </c>
      <c r="K35" s="3" t="s">
        <v>32</v>
      </c>
      <c r="L35" s="3" t="s">
        <v>33</v>
      </c>
      <c r="M35" s="7" t="n">
        <v>2022</v>
      </c>
    </row>
    <row r="36" customFormat="false" ht="15" hidden="false" customHeight="false" outlineLevel="0" collapsed="false">
      <c r="A36" s="3" t="n">
        <v>35</v>
      </c>
      <c r="B36" s="3" t="s">
        <v>31</v>
      </c>
      <c r="C36" s="4" t="s">
        <v>23</v>
      </c>
      <c r="D36" s="5" t="n">
        <v>38371</v>
      </c>
      <c r="E36" s="6" t="n">
        <v>395</v>
      </c>
      <c r="F36" s="7" t="n">
        <v>58</v>
      </c>
      <c r="G36" s="6" t="n">
        <v>622.552342023174</v>
      </c>
      <c r="H36" s="8" t="n">
        <v>1384688.96128684</v>
      </c>
      <c r="I36" s="9" t="n">
        <v>5.45148574000918</v>
      </c>
      <c r="J36" s="9" t="n">
        <v>14.5241400543016</v>
      </c>
      <c r="K36" s="3" t="s">
        <v>32</v>
      </c>
      <c r="L36" s="3" t="s">
        <v>33</v>
      </c>
      <c r="M36" s="7" t="n">
        <v>2023</v>
      </c>
    </row>
    <row r="37" customFormat="false" ht="15" hidden="false" customHeight="false" outlineLevel="0" collapsed="false">
      <c r="A37" s="3" t="n">
        <v>36</v>
      </c>
      <c r="B37" s="3" t="s">
        <v>31</v>
      </c>
      <c r="C37" s="4" t="s">
        <v>24</v>
      </c>
      <c r="D37" s="5" t="n">
        <v>38085</v>
      </c>
      <c r="E37" s="6" t="n">
        <v>405.2</v>
      </c>
      <c r="F37" s="7" t="n">
        <v>69</v>
      </c>
      <c r="G37" s="6" t="n">
        <v>890.670019621225</v>
      </c>
      <c r="H37" s="8" t="n">
        <v>2175778.4741551</v>
      </c>
      <c r="I37" s="9" t="n">
        <v>7.63466990684488</v>
      </c>
      <c r="J37" s="9" t="n">
        <v>20.8780083888487</v>
      </c>
      <c r="K37" s="3" t="s">
        <v>32</v>
      </c>
      <c r="L37" s="3" t="s">
        <v>33</v>
      </c>
      <c r="M37" s="7" t="n">
        <v>2024</v>
      </c>
    </row>
    <row r="38" customFormat="false" ht="15" hidden="false" customHeight="false" outlineLevel="0" collapsed="false">
      <c r="A38" s="3" t="n">
        <v>37</v>
      </c>
      <c r="B38" s="3" t="s">
        <v>34</v>
      </c>
      <c r="C38" s="4" t="s">
        <v>14</v>
      </c>
      <c r="D38" s="5" t="n">
        <v>22016</v>
      </c>
      <c r="E38" s="6" t="n">
        <v>330</v>
      </c>
      <c r="F38" s="7" t="n">
        <v>65</v>
      </c>
      <c r="G38" s="6" t="n">
        <v>2080.03149841222</v>
      </c>
      <c r="H38" s="8" t="n">
        <v>2144347.52121901</v>
      </c>
      <c r="I38" s="9" t="n">
        <v>19.6210188070551</v>
      </c>
      <c r="J38" s="9" t="n">
        <v>84.3446788125598</v>
      </c>
      <c r="K38" s="3" t="s">
        <v>35</v>
      </c>
      <c r="L38" s="3" t="s">
        <v>36</v>
      </c>
      <c r="M38" s="7" t="n">
        <v>2016</v>
      </c>
    </row>
    <row r="39" customFormat="false" ht="15" hidden="false" customHeight="false" outlineLevel="0" collapsed="false">
      <c r="A39" s="3" t="n">
        <v>38</v>
      </c>
      <c r="B39" s="3" t="s">
        <v>34</v>
      </c>
      <c r="C39" s="4" t="s">
        <v>17</v>
      </c>
      <c r="D39" s="5" t="n">
        <v>22229</v>
      </c>
      <c r="E39" s="6" t="n">
        <v>330</v>
      </c>
      <c r="F39" s="7" t="n">
        <v>66</v>
      </c>
      <c r="G39" s="6" t="n">
        <v>1195.57601179959</v>
      </c>
      <c r="H39" s="8" t="n">
        <v>988324.413462806</v>
      </c>
      <c r="I39" s="9" t="n">
        <v>11.3755202219614</v>
      </c>
      <c r="J39" s="9" t="n">
        <v>48.1476329827668</v>
      </c>
      <c r="K39" s="3" t="s">
        <v>35</v>
      </c>
      <c r="L39" s="3" t="s">
        <v>36</v>
      </c>
      <c r="M39" s="7" t="n">
        <v>2017</v>
      </c>
    </row>
    <row r="40" customFormat="false" ht="15" hidden="false" customHeight="false" outlineLevel="0" collapsed="false">
      <c r="A40" s="3" t="n">
        <v>39</v>
      </c>
      <c r="B40" s="3" t="s">
        <v>34</v>
      </c>
      <c r="C40" s="4" t="s">
        <v>18</v>
      </c>
      <c r="D40" s="5" t="n">
        <v>22134</v>
      </c>
      <c r="E40" s="6" t="n">
        <v>327.075</v>
      </c>
      <c r="F40" s="7" t="n">
        <v>63</v>
      </c>
      <c r="G40" s="6" t="n">
        <v>385.704601123688</v>
      </c>
      <c r="H40" s="8" t="n">
        <v>277427.135495484</v>
      </c>
      <c r="I40" s="9" t="n">
        <v>5.4397993362702</v>
      </c>
      <c r="J40" s="9" t="n">
        <v>15.599568609175</v>
      </c>
      <c r="K40" s="3" t="s">
        <v>35</v>
      </c>
      <c r="L40" s="3" t="s">
        <v>36</v>
      </c>
      <c r="M40" s="7" t="n">
        <v>2018</v>
      </c>
    </row>
    <row r="41" customFormat="false" ht="15" hidden="false" customHeight="false" outlineLevel="0" collapsed="false">
      <c r="A41" s="3" t="n">
        <v>40</v>
      </c>
      <c r="B41" s="3" t="s">
        <v>34</v>
      </c>
      <c r="C41" s="4" t="s">
        <v>19</v>
      </c>
      <c r="D41" s="5" t="n">
        <v>22211</v>
      </c>
      <c r="E41" s="6" t="n">
        <v>328.910530299999</v>
      </c>
      <c r="F41" s="7" t="n">
        <v>64</v>
      </c>
      <c r="G41" s="6" t="n">
        <v>592.22338794364</v>
      </c>
      <c r="H41" s="8" t="n">
        <v>419784.711771917</v>
      </c>
      <c r="I41" s="9" t="n">
        <v>6.89851812476654</v>
      </c>
      <c r="J41" s="9" t="n">
        <v>23.869049043715</v>
      </c>
      <c r="K41" s="3" t="s">
        <v>35</v>
      </c>
      <c r="L41" s="3" t="s">
        <v>36</v>
      </c>
      <c r="M41" s="7" t="n">
        <v>2019</v>
      </c>
    </row>
    <row r="42" customFormat="false" ht="15" hidden="false" customHeight="false" outlineLevel="0" collapsed="false">
      <c r="A42" s="3" t="n">
        <v>41</v>
      </c>
      <c r="B42" s="3" t="s">
        <v>34</v>
      </c>
      <c r="C42" s="4" t="s">
        <v>20</v>
      </c>
      <c r="D42" s="5" t="n">
        <v>22250</v>
      </c>
      <c r="E42" s="6" t="n">
        <v>329.31</v>
      </c>
      <c r="F42" s="7" t="n">
        <v>64</v>
      </c>
      <c r="G42" s="6" t="n">
        <v>905.744892890147</v>
      </c>
      <c r="H42" s="8" t="n">
        <v>719357.135235401</v>
      </c>
      <c r="I42" s="9" t="n">
        <v>8.72404269953847</v>
      </c>
      <c r="J42" s="9" t="n">
        <v>36.3414350122392</v>
      </c>
      <c r="K42" s="3" t="s">
        <v>35</v>
      </c>
      <c r="L42" s="3" t="s">
        <v>36</v>
      </c>
      <c r="M42" s="7" t="n">
        <v>2020</v>
      </c>
    </row>
    <row r="43" customFormat="false" ht="15" hidden="false" customHeight="false" outlineLevel="0" collapsed="false">
      <c r="A43" s="3" t="n">
        <v>42</v>
      </c>
      <c r="B43" s="3" t="s">
        <v>34</v>
      </c>
      <c r="C43" s="4" t="s">
        <v>21</v>
      </c>
      <c r="D43" s="5" t="n">
        <v>22291</v>
      </c>
      <c r="E43" s="6" t="n">
        <v>330.25</v>
      </c>
      <c r="F43" s="7" t="n">
        <v>63</v>
      </c>
      <c r="G43" s="6" t="n">
        <v>30.7501027351112</v>
      </c>
      <c r="H43" s="8" t="n">
        <v>23537.1630891817</v>
      </c>
      <c r="I43" s="9" t="n">
        <v>1.95580843593161</v>
      </c>
      <c r="J43" s="9" t="n">
        <v>1.23490825479</v>
      </c>
      <c r="K43" s="3" t="s">
        <v>35</v>
      </c>
      <c r="L43" s="3" t="s">
        <v>36</v>
      </c>
      <c r="M43" s="7" t="n">
        <v>2021</v>
      </c>
    </row>
    <row r="44" customFormat="false" ht="15" hidden="false" customHeight="false" outlineLevel="0" collapsed="false">
      <c r="A44" s="3" t="n">
        <v>43</v>
      </c>
      <c r="B44" s="3" t="s">
        <v>34</v>
      </c>
      <c r="C44" s="4" t="s">
        <v>22</v>
      </c>
      <c r="D44" s="5" t="n">
        <v>22415</v>
      </c>
      <c r="E44" s="6" t="n">
        <v>330.507</v>
      </c>
      <c r="F44" s="7" t="n">
        <v>60</v>
      </c>
      <c r="G44" s="6" t="n">
        <v>776.511944476217</v>
      </c>
      <c r="H44" s="8" t="n">
        <v>622851.630932898</v>
      </c>
      <c r="I44" s="9" t="n">
        <v>8.56281659639179</v>
      </c>
      <c r="J44" s="9" t="n">
        <v>31.0118069507419</v>
      </c>
      <c r="K44" s="3" t="s">
        <v>35</v>
      </c>
      <c r="L44" s="3" t="s">
        <v>36</v>
      </c>
      <c r="M44" s="7" t="n">
        <v>2022</v>
      </c>
    </row>
    <row r="45" customFormat="false" ht="15" hidden="false" customHeight="false" outlineLevel="0" collapsed="false">
      <c r="A45" s="3" t="n">
        <v>44</v>
      </c>
      <c r="B45" s="3" t="s">
        <v>34</v>
      </c>
      <c r="C45" s="4" t="s">
        <v>23</v>
      </c>
      <c r="D45" s="5" t="n">
        <v>22346</v>
      </c>
      <c r="E45" s="6" t="n">
        <v>330.507</v>
      </c>
      <c r="F45" s="7" t="n">
        <v>68</v>
      </c>
      <c r="G45" s="6" t="n">
        <v>740.724199251688</v>
      </c>
      <c r="H45" s="8" t="n">
        <v>777728.490413486</v>
      </c>
      <c r="I45" s="9" t="n">
        <v>8.53236273519122</v>
      </c>
      <c r="J45" s="9" t="n">
        <v>29.673885270216</v>
      </c>
      <c r="K45" s="3" t="s">
        <v>35</v>
      </c>
      <c r="L45" s="3" t="s">
        <v>36</v>
      </c>
      <c r="M45" s="7" t="n">
        <v>2023</v>
      </c>
    </row>
    <row r="46" customFormat="false" ht="15" hidden="false" customHeight="false" outlineLevel="0" collapsed="false">
      <c r="A46" s="3" t="n">
        <v>45</v>
      </c>
      <c r="B46" s="3" t="s">
        <v>34</v>
      </c>
      <c r="C46" s="4" t="s">
        <v>24</v>
      </c>
      <c r="D46" s="5" t="n">
        <v>22358</v>
      </c>
      <c r="E46" s="6" t="n">
        <v>330.507</v>
      </c>
      <c r="F46" s="7" t="n">
        <v>68</v>
      </c>
      <c r="G46" s="6" t="n">
        <v>862.466930384246</v>
      </c>
      <c r="H46" s="8" t="n">
        <v>936961.657697547</v>
      </c>
      <c r="I46" s="9" t="n">
        <v>8.97496174290963</v>
      </c>
      <c r="J46" s="9" t="n">
        <v>34.4378233322309</v>
      </c>
      <c r="K46" s="3" t="s">
        <v>35</v>
      </c>
      <c r="L46" s="3" t="s">
        <v>36</v>
      </c>
      <c r="M46" s="7" t="n">
        <v>2024</v>
      </c>
    </row>
    <row r="47" customFormat="false" ht="15" hidden="false" customHeight="false" outlineLevel="0" collapsed="false">
      <c r="A47" s="3" t="n">
        <v>46</v>
      </c>
      <c r="B47" s="3" t="s">
        <v>34</v>
      </c>
      <c r="C47" s="4" t="s">
        <v>37</v>
      </c>
      <c r="D47" s="5" t="n">
        <v>22372</v>
      </c>
      <c r="E47" s="6" t="n">
        <v>331</v>
      </c>
      <c r="F47" s="7" t="n">
        <v>69</v>
      </c>
      <c r="G47" s="6" t="n">
        <v>996.227180747458</v>
      </c>
      <c r="H47" s="8" t="n">
        <v>1114377.14396403</v>
      </c>
      <c r="I47" s="9" t="n">
        <v>10.3704156194732</v>
      </c>
      <c r="J47" s="9" t="n">
        <v>39.8631166550589</v>
      </c>
      <c r="K47" s="3" t="s">
        <v>35</v>
      </c>
      <c r="L47" s="3" t="s">
        <v>36</v>
      </c>
      <c r="M47" s="7" t="n">
        <v>2025</v>
      </c>
    </row>
    <row r="48" customFormat="false" ht="15" hidden="false" customHeight="false" outlineLevel="0" collapsed="false">
      <c r="A48" s="3" t="n">
        <v>47</v>
      </c>
      <c r="B48" s="3" t="s">
        <v>38</v>
      </c>
      <c r="C48" s="4" t="s">
        <v>14</v>
      </c>
      <c r="D48" s="5" t="n">
        <v>21786</v>
      </c>
      <c r="E48" s="6" t="n">
        <v>305</v>
      </c>
      <c r="F48" s="7" t="n">
        <v>73</v>
      </c>
      <c r="G48" s="6" t="n">
        <v>48.2113827843933</v>
      </c>
      <c r="H48" s="8" t="n">
        <v>55367.6673824922</v>
      </c>
      <c r="I48" s="9" t="n">
        <v>2.30268280918534</v>
      </c>
      <c r="J48" s="9" t="n">
        <v>1.97559665584878</v>
      </c>
      <c r="K48" s="3" t="s">
        <v>39</v>
      </c>
      <c r="L48" s="3" t="s">
        <v>40</v>
      </c>
      <c r="M48" s="7" t="n">
        <v>2016</v>
      </c>
    </row>
    <row r="49" customFormat="false" ht="15" hidden="false" customHeight="false" outlineLevel="0" collapsed="false">
      <c r="A49" s="3" t="n">
        <v>48</v>
      </c>
      <c r="B49" s="3" t="s">
        <v>38</v>
      </c>
      <c r="C49" s="4" t="s">
        <v>41</v>
      </c>
      <c r="D49" s="5" t="n">
        <v>22796</v>
      </c>
      <c r="E49" s="6" t="n">
        <v>320.8</v>
      </c>
      <c r="F49" s="7" t="n">
        <v>70</v>
      </c>
      <c r="G49" s="6" t="n">
        <v>221.372722348706</v>
      </c>
      <c r="H49" s="8" t="n">
        <v>343118.618609661</v>
      </c>
      <c r="I49" s="9" t="n">
        <v>4.6184082159115</v>
      </c>
      <c r="J49" s="9" t="n">
        <v>8.69326927295518</v>
      </c>
      <c r="K49" s="3" t="s">
        <v>39</v>
      </c>
      <c r="L49" s="3" t="s">
        <v>40</v>
      </c>
      <c r="M49" s="7" t="n">
        <v>2016</v>
      </c>
    </row>
    <row r="50" customFormat="false" ht="15" hidden="false" customHeight="false" outlineLevel="0" collapsed="false">
      <c r="A50" s="3" t="n">
        <v>49</v>
      </c>
      <c r="B50" s="3" t="s">
        <v>38</v>
      </c>
      <c r="C50" s="4" t="s">
        <v>42</v>
      </c>
      <c r="D50" s="5" t="n">
        <v>23865</v>
      </c>
      <c r="E50" s="6" t="n">
        <v>320.8</v>
      </c>
      <c r="F50" s="7" t="n">
        <v>71</v>
      </c>
      <c r="G50" s="6" t="n">
        <v>232.301469650021</v>
      </c>
      <c r="H50" s="8" t="n">
        <v>382428.063943896</v>
      </c>
      <c r="I50" s="9" t="n">
        <v>5.08368956925306</v>
      </c>
      <c r="J50" s="9" t="n">
        <v>8.71381214695862</v>
      </c>
      <c r="K50" s="3" t="s">
        <v>39</v>
      </c>
      <c r="L50" s="3" t="s">
        <v>40</v>
      </c>
      <c r="M50" s="7" t="n">
        <v>2017</v>
      </c>
    </row>
    <row r="51" customFormat="false" ht="15" hidden="false" customHeight="false" outlineLevel="0" collapsed="false">
      <c r="A51" s="3" t="n">
        <v>50</v>
      </c>
      <c r="B51" s="3" t="s">
        <v>38</v>
      </c>
      <c r="C51" s="4" t="s">
        <v>43</v>
      </c>
      <c r="D51" s="5" t="n">
        <v>25521</v>
      </c>
      <c r="E51" s="6" t="n">
        <v>331.3</v>
      </c>
      <c r="F51" s="7" t="n">
        <v>70</v>
      </c>
      <c r="G51" s="6" t="n">
        <v>305.339283297774</v>
      </c>
      <c r="H51" s="8" t="n">
        <v>447736.874899316</v>
      </c>
      <c r="I51" s="9" t="n">
        <v>5.74122430760217</v>
      </c>
      <c r="J51" s="9" t="n">
        <v>10.7103254766128</v>
      </c>
      <c r="K51" s="3" t="s">
        <v>39</v>
      </c>
      <c r="L51" s="3" t="s">
        <v>40</v>
      </c>
      <c r="M51" s="7" t="n">
        <v>2018</v>
      </c>
    </row>
    <row r="52" customFormat="false" ht="15" hidden="false" customHeight="false" outlineLevel="0" collapsed="false">
      <c r="A52" s="3" t="n">
        <v>51</v>
      </c>
      <c r="B52" s="3" t="s">
        <v>38</v>
      </c>
      <c r="C52" s="4" t="s">
        <v>44</v>
      </c>
      <c r="D52" s="5" t="n">
        <v>25563</v>
      </c>
      <c r="E52" s="6" t="n">
        <v>334.5</v>
      </c>
      <c r="F52" s="7" t="n">
        <v>70</v>
      </c>
      <c r="G52" s="6" t="n">
        <v>361.456536026106</v>
      </c>
      <c r="H52" s="8" t="n">
        <v>552571.697234618</v>
      </c>
      <c r="I52" s="9" t="n">
        <v>6.05962857132175</v>
      </c>
      <c r="J52" s="9" t="n">
        <v>12.6232288555583</v>
      </c>
      <c r="K52" s="3" t="s">
        <v>39</v>
      </c>
      <c r="L52" s="3" t="s">
        <v>40</v>
      </c>
      <c r="M52" s="7" t="n">
        <v>2019</v>
      </c>
    </row>
    <row r="53" customFormat="false" ht="15" hidden="false" customHeight="false" outlineLevel="0" collapsed="false">
      <c r="A53" s="3" t="n">
        <v>52</v>
      </c>
      <c r="B53" s="3" t="s">
        <v>38</v>
      </c>
      <c r="C53" s="4" t="s">
        <v>45</v>
      </c>
      <c r="D53" s="5" t="n">
        <v>25878</v>
      </c>
      <c r="E53" s="6" t="n">
        <v>338</v>
      </c>
      <c r="F53" s="7" t="n">
        <v>70</v>
      </c>
      <c r="G53" s="6" t="n">
        <v>414.247885499357</v>
      </c>
      <c r="H53" s="8" t="n">
        <v>636435.698612279</v>
      </c>
      <c r="I53" s="9" t="n">
        <v>6.37889464603603</v>
      </c>
      <c r="J53" s="9" t="n">
        <v>14.3300354981247</v>
      </c>
      <c r="K53" s="3" t="s">
        <v>39</v>
      </c>
      <c r="L53" s="3" t="s">
        <v>40</v>
      </c>
      <c r="M53" s="7" t="n">
        <v>2020</v>
      </c>
    </row>
    <row r="54" customFormat="false" ht="15" hidden="false" customHeight="false" outlineLevel="0" collapsed="false">
      <c r="A54" s="3" t="n">
        <v>53</v>
      </c>
      <c r="B54" s="3" t="s">
        <v>38</v>
      </c>
      <c r="C54" s="4" t="s">
        <v>46</v>
      </c>
      <c r="D54" s="5" t="n">
        <v>26212</v>
      </c>
      <c r="E54" s="6" t="n">
        <v>342</v>
      </c>
      <c r="F54" s="7" t="n">
        <v>70</v>
      </c>
      <c r="G54" s="6" t="n">
        <v>466.587309809816</v>
      </c>
      <c r="H54" s="8" t="n">
        <v>759265.184032528</v>
      </c>
      <c r="I54" s="9" t="n">
        <v>6.45545879000923</v>
      </c>
      <c r="J54" s="9" t="n">
        <v>15.9349401969275</v>
      </c>
      <c r="K54" s="3" t="s">
        <v>39</v>
      </c>
      <c r="L54" s="3" t="s">
        <v>40</v>
      </c>
      <c r="M54" s="7" t="n">
        <v>2021</v>
      </c>
    </row>
    <row r="55" customFormat="false" ht="15" hidden="false" customHeight="false" outlineLevel="0" collapsed="false">
      <c r="A55" s="3" t="n">
        <v>54</v>
      </c>
      <c r="B55" s="3" t="s">
        <v>38</v>
      </c>
      <c r="C55" s="4" t="s">
        <v>47</v>
      </c>
      <c r="D55" s="5" t="n">
        <v>26515</v>
      </c>
      <c r="E55" s="6" t="n">
        <v>343</v>
      </c>
      <c r="F55" s="7" t="n">
        <v>64</v>
      </c>
      <c r="G55" s="6" t="n">
        <v>350.333994615871</v>
      </c>
      <c r="H55" s="8" t="n">
        <v>588371.429614093</v>
      </c>
      <c r="I55" s="9" t="n">
        <v>4.63319375814337</v>
      </c>
      <c r="J55" s="9" t="n">
        <v>11.8279185200556</v>
      </c>
      <c r="K55" s="3" t="s">
        <v>39</v>
      </c>
      <c r="L55" s="3" t="s">
        <v>40</v>
      </c>
      <c r="M55" s="7" t="n">
        <v>2022</v>
      </c>
    </row>
    <row r="56" customFormat="false" ht="15" hidden="false" customHeight="false" outlineLevel="0" collapsed="false">
      <c r="A56" s="3" t="n">
        <v>55</v>
      </c>
      <c r="B56" s="3" t="s">
        <v>38</v>
      </c>
      <c r="C56" s="4" t="s">
        <v>48</v>
      </c>
      <c r="D56" s="5" t="n">
        <v>26764</v>
      </c>
      <c r="E56" s="6" t="n">
        <v>343</v>
      </c>
      <c r="F56" s="7" t="n">
        <v>62</v>
      </c>
      <c r="G56" s="6" t="n">
        <v>490.094145379862</v>
      </c>
      <c r="H56" s="8" t="n">
        <v>921104.044816095</v>
      </c>
      <c r="I56" s="9" t="n">
        <v>5.98735698074282</v>
      </c>
      <c r="J56" s="9" t="n">
        <v>16.3476257583969</v>
      </c>
      <c r="K56" s="3" t="s">
        <v>39</v>
      </c>
      <c r="L56" s="3" t="s">
        <v>40</v>
      </c>
      <c r="M56" s="7" t="n">
        <v>2023</v>
      </c>
    </row>
    <row r="57" customFormat="false" ht="15" hidden="false" customHeight="false" outlineLevel="0" collapsed="false">
      <c r="A57" s="3" t="n">
        <v>56</v>
      </c>
      <c r="B57" s="3" t="s">
        <v>38</v>
      </c>
      <c r="C57" s="4" t="s">
        <v>49</v>
      </c>
      <c r="D57" s="5" t="n">
        <v>27142</v>
      </c>
      <c r="E57" s="6" t="n">
        <v>347</v>
      </c>
      <c r="F57" s="7" t="n">
        <v>61</v>
      </c>
      <c r="G57" s="6" t="n">
        <v>498.432508798048</v>
      </c>
      <c r="H57" s="8" t="n">
        <v>1069167.86932833</v>
      </c>
      <c r="I57" s="9" t="n">
        <v>6.1284328332299</v>
      </c>
      <c r="J57" s="9" t="n">
        <v>16.439257132852</v>
      </c>
      <c r="K57" s="3" t="s">
        <v>39</v>
      </c>
      <c r="L57" s="3" t="s">
        <v>40</v>
      </c>
      <c r="M57" s="7" t="n">
        <v>2024</v>
      </c>
    </row>
    <row r="58" customFormat="false" ht="15" hidden="false" customHeight="false" outlineLevel="0" collapsed="false">
      <c r="A58" s="3" t="n">
        <v>57</v>
      </c>
      <c r="B58" s="3" t="s">
        <v>50</v>
      </c>
      <c r="C58" s="4" t="s">
        <v>14</v>
      </c>
      <c r="D58" s="5" t="n">
        <v>10203</v>
      </c>
      <c r="E58" s="6" t="n">
        <v>160.4</v>
      </c>
      <c r="F58" s="7" t="n">
        <v>70</v>
      </c>
      <c r="G58" s="6" t="n">
        <v>364.945519192404</v>
      </c>
      <c r="H58" s="8" t="n">
        <v>528384.077985134</v>
      </c>
      <c r="I58" s="9" t="n">
        <v>9.90621567972929</v>
      </c>
      <c r="J58" s="9" t="n">
        <v>31.9320163353416</v>
      </c>
      <c r="K58" s="3" t="s">
        <v>51</v>
      </c>
      <c r="L58" s="3" t="s">
        <v>52</v>
      </c>
      <c r="M58" s="7" t="n">
        <v>2016</v>
      </c>
    </row>
    <row r="59" customFormat="false" ht="15" hidden="false" customHeight="false" outlineLevel="0" collapsed="false">
      <c r="A59" s="3" t="n">
        <v>58</v>
      </c>
      <c r="B59" s="3" t="s">
        <v>50</v>
      </c>
      <c r="C59" s="4" t="s">
        <v>17</v>
      </c>
      <c r="D59" s="5" t="n">
        <v>10249</v>
      </c>
      <c r="E59" s="6" t="n">
        <v>160.6</v>
      </c>
      <c r="F59" s="7" t="n">
        <v>77</v>
      </c>
      <c r="G59" s="6" t="n">
        <v>189.111358262265</v>
      </c>
      <c r="H59" s="8" t="n">
        <v>215839.466662217</v>
      </c>
      <c r="I59" s="9" t="n">
        <v>6.73244652313196</v>
      </c>
      <c r="J59" s="9" t="n">
        <v>16.5178605474019</v>
      </c>
      <c r="K59" s="3" t="s">
        <v>51</v>
      </c>
      <c r="L59" s="3" t="s">
        <v>52</v>
      </c>
      <c r="M59" s="7" t="n">
        <v>2017</v>
      </c>
    </row>
    <row r="60" customFormat="false" ht="15" hidden="false" customHeight="false" outlineLevel="0" collapsed="false">
      <c r="A60" s="3" t="n">
        <v>59</v>
      </c>
      <c r="B60" s="3" t="s">
        <v>50</v>
      </c>
      <c r="C60" s="4" t="s">
        <v>18</v>
      </c>
      <c r="D60" s="5" t="n">
        <v>10404</v>
      </c>
      <c r="E60" s="6" t="n">
        <v>160</v>
      </c>
      <c r="F60" s="7" t="n">
        <v>76</v>
      </c>
      <c r="G60" s="6" t="n">
        <v>406.134754070138</v>
      </c>
      <c r="H60" s="8" t="n">
        <v>369099.859576744</v>
      </c>
      <c r="I60" s="9" t="n">
        <v>9.96854062351672</v>
      </c>
      <c r="J60" s="9" t="n">
        <v>34.9451964133904</v>
      </c>
      <c r="K60" s="3" t="s">
        <v>51</v>
      </c>
      <c r="L60" s="3" t="s">
        <v>52</v>
      </c>
      <c r="M60" s="7" t="n">
        <v>2018</v>
      </c>
    </row>
    <row r="61" customFormat="false" ht="15" hidden="false" customHeight="false" outlineLevel="0" collapsed="false">
      <c r="A61" s="3" t="n">
        <v>60</v>
      </c>
      <c r="B61" s="3" t="s">
        <v>50</v>
      </c>
      <c r="C61" s="4" t="s">
        <v>19</v>
      </c>
      <c r="D61" s="5" t="n">
        <v>10456</v>
      </c>
      <c r="E61" s="6" t="n">
        <v>160</v>
      </c>
      <c r="F61" s="7" t="n">
        <v>77</v>
      </c>
      <c r="G61" s="6" t="n">
        <v>529.839716783721</v>
      </c>
      <c r="H61" s="8" t="n">
        <v>765918.291466169</v>
      </c>
      <c r="I61" s="9" t="n">
        <v>10.5362223885216</v>
      </c>
      <c r="J61" s="9" t="n">
        <v>45.3624612067976</v>
      </c>
      <c r="K61" s="3" t="s">
        <v>51</v>
      </c>
      <c r="L61" s="3" t="s">
        <v>52</v>
      </c>
      <c r="M61" s="7" t="n">
        <v>2019</v>
      </c>
    </row>
    <row r="62" customFormat="false" ht="15" hidden="false" customHeight="false" outlineLevel="0" collapsed="false">
      <c r="A62" s="3" t="n">
        <v>61</v>
      </c>
      <c r="B62" s="3" t="s">
        <v>50</v>
      </c>
      <c r="C62" s="4" t="s">
        <v>20</v>
      </c>
      <c r="D62" s="5" t="n">
        <v>10489</v>
      </c>
      <c r="E62" s="6" t="n">
        <v>160</v>
      </c>
      <c r="F62" s="7" t="n">
        <v>72</v>
      </c>
      <c r="G62" s="6" t="n">
        <v>535.063537740317</v>
      </c>
      <c r="H62" s="8" t="n">
        <v>824163.954195977</v>
      </c>
      <c r="I62" s="9" t="n">
        <v>10.1295751782549</v>
      </c>
      <c r="J62" s="9" t="n">
        <v>45.5404654416094</v>
      </c>
      <c r="K62" s="3" t="s">
        <v>51</v>
      </c>
      <c r="L62" s="3" t="s">
        <v>52</v>
      </c>
      <c r="M62" s="7" t="n">
        <v>2020</v>
      </c>
    </row>
    <row r="63" customFormat="false" ht="15" hidden="false" customHeight="false" outlineLevel="0" collapsed="false">
      <c r="A63" s="3" t="n">
        <v>62</v>
      </c>
      <c r="B63" s="3" t="s">
        <v>50</v>
      </c>
      <c r="C63" s="4" t="s">
        <v>21</v>
      </c>
      <c r="D63" s="5" t="n">
        <v>10803</v>
      </c>
      <c r="E63" s="6" t="n">
        <v>165</v>
      </c>
      <c r="F63" s="7" t="n">
        <v>72</v>
      </c>
      <c r="G63" s="6" t="n">
        <v>436.095697785512</v>
      </c>
      <c r="H63" s="8" t="n">
        <v>663469.461463913</v>
      </c>
      <c r="I63" s="9" t="n">
        <v>9.97851468469962</v>
      </c>
      <c r="J63" s="9" t="n">
        <v>36.1372500361384</v>
      </c>
      <c r="K63" s="3" t="s">
        <v>51</v>
      </c>
      <c r="L63" s="3" t="s">
        <v>52</v>
      </c>
      <c r="M63" s="7" t="n">
        <v>2021</v>
      </c>
    </row>
    <row r="64" customFormat="false" ht="15" hidden="false" customHeight="false" outlineLevel="0" collapsed="false">
      <c r="A64" s="3" t="n">
        <v>63</v>
      </c>
      <c r="B64" s="3" t="s">
        <v>50</v>
      </c>
      <c r="C64" s="4" t="s">
        <v>22</v>
      </c>
      <c r="D64" s="5" t="n">
        <v>10504</v>
      </c>
      <c r="E64" s="6" t="n">
        <v>165</v>
      </c>
      <c r="F64" s="7" t="n">
        <v>72</v>
      </c>
      <c r="G64" s="6" t="n">
        <v>569.002566915233</v>
      </c>
      <c r="H64" s="8" t="n">
        <v>538493.746258792</v>
      </c>
      <c r="I64" s="9" t="n">
        <v>13.0732891726472</v>
      </c>
      <c r="J64" s="9" t="n">
        <v>48.4927917130197</v>
      </c>
      <c r="K64" s="3" t="s">
        <v>51</v>
      </c>
      <c r="L64" s="3" t="s">
        <v>52</v>
      </c>
      <c r="M64" s="7" t="n">
        <v>2022</v>
      </c>
    </row>
    <row r="65" customFormat="false" ht="15" hidden="false" customHeight="false" outlineLevel="0" collapsed="false">
      <c r="A65" s="3" t="n">
        <v>64</v>
      </c>
      <c r="B65" s="3" t="s">
        <v>50</v>
      </c>
      <c r="C65" s="4" t="s">
        <v>23</v>
      </c>
      <c r="D65" s="5" t="n">
        <v>10526</v>
      </c>
      <c r="E65" s="6" t="n">
        <v>165</v>
      </c>
      <c r="F65" s="7" t="n">
        <v>71</v>
      </c>
      <c r="G65" s="6" t="n">
        <v>609.09897538618</v>
      </c>
      <c r="H65" s="8" t="n">
        <v>633920.745078609</v>
      </c>
      <c r="I65" s="9" t="n">
        <v>12.5874801912747</v>
      </c>
      <c r="J65" s="9" t="n">
        <v>51.9441849693877</v>
      </c>
      <c r="K65" s="3" t="s">
        <v>51</v>
      </c>
      <c r="L65" s="3" t="s">
        <v>52</v>
      </c>
      <c r="M65" s="7" t="n">
        <v>2023</v>
      </c>
    </row>
    <row r="66" customFormat="false" ht="15" hidden="false" customHeight="false" outlineLevel="0" collapsed="false">
      <c r="A66" s="3" t="n">
        <v>65</v>
      </c>
      <c r="B66" s="3" t="s">
        <v>50</v>
      </c>
      <c r="C66" s="4" t="s">
        <v>24</v>
      </c>
      <c r="D66" s="5" t="n">
        <v>10526</v>
      </c>
      <c r="E66" s="6" t="n">
        <v>165</v>
      </c>
      <c r="F66" s="7" t="n">
        <v>73</v>
      </c>
      <c r="G66" s="6" t="n">
        <v>348.109394699404</v>
      </c>
      <c r="H66" s="8" t="n">
        <v>391617.530021489</v>
      </c>
      <c r="I66" s="9" t="n">
        <v>8.3965319916215</v>
      </c>
      <c r="J66" s="9" t="n">
        <v>29.5242294675924</v>
      </c>
      <c r="K66" s="3" t="s">
        <v>51</v>
      </c>
      <c r="L66" s="3" t="s">
        <v>52</v>
      </c>
      <c r="M66" s="7" t="n">
        <v>2024</v>
      </c>
    </row>
    <row r="67" customFormat="false" ht="15" hidden="false" customHeight="false" outlineLevel="0" collapsed="false">
      <c r="A67" s="3" t="n">
        <v>103</v>
      </c>
      <c r="B67" s="3" t="s">
        <v>53</v>
      </c>
      <c r="C67" s="4" t="s">
        <v>17</v>
      </c>
      <c r="D67" s="5" t="n">
        <v>3089</v>
      </c>
      <c r="E67" s="6" t="n">
        <v>97.8</v>
      </c>
      <c r="F67" s="7" t="n">
        <v>58</v>
      </c>
      <c r="G67" s="6" t="n">
        <v>79.6803453608247</v>
      </c>
      <c r="H67" s="8" t="n">
        <v>11184.730078299</v>
      </c>
      <c r="I67" s="9" t="n">
        <v>17.175940816983</v>
      </c>
      <c r="J67" s="9" t="n">
        <v>23.0914377284961</v>
      </c>
      <c r="K67" s="3" t="s">
        <v>54</v>
      </c>
      <c r="L67" s="3" t="s">
        <v>55</v>
      </c>
      <c r="M67" s="7" t="n">
        <v>2017</v>
      </c>
    </row>
    <row r="68" customFormat="false" ht="15" hidden="false" customHeight="false" outlineLevel="0" collapsed="false">
      <c r="A68" s="3" t="n">
        <v>104</v>
      </c>
      <c r="B68" s="3" t="s">
        <v>53</v>
      </c>
      <c r="C68" s="4" t="s">
        <v>18</v>
      </c>
      <c r="D68" s="5" t="n">
        <v>3089</v>
      </c>
      <c r="E68" s="6" t="n">
        <v>97.8</v>
      </c>
      <c r="F68" s="7" t="n">
        <v>59</v>
      </c>
      <c r="G68" s="6" t="n">
        <v>143.965532474227</v>
      </c>
      <c r="H68" s="8" t="n">
        <v>20625.9418375825</v>
      </c>
      <c r="I68" s="9" t="n">
        <v>26.3401903592263</v>
      </c>
      <c r="J68" s="9" t="n">
        <v>41.7213443682291</v>
      </c>
      <c r="K68" s="3" t="s">
        <v>54</v>
      </c>
      <c r="L68" s="3" t="s">
        <v>55</v>
      </c>
      <c r="M68" s="7" t="n">
        <v>2018</v>
      </c>
    </row>
    <row r="69" customFormat="false" ht="15" hidden="false" customHeight="false" outlineLevel="0" collapsed="false">
      <c r="A69" s="3" t="n">
        <v>105</v>
      </c>
      <c r="B69" s="3" t="s">
        <v>53</v>
      </c>
      <c r="C69" s="4" t="s">
        <v>19</v>
      </c>
      <c r="D69" s="5" t="n">
        <v>3089</v>
      </c>
      <c r="E69" s="6" t="n">
        <v>97.8</v>
      </c>
      <c r="F69" s="7" t="n">
        <v>59</v>
      </c>
      <c r="G69" s="6" t="n">
        <v>127.232495876289</v>
      </c>
      <c r="H69" s="8" t="n">
        <v>22124.4587079278</v>
      </c>
      <c r="I69" s="9" t="n">
        <v>24.7535969185454</v>
      </c>
      <c r="J69" s="9" t="n">
        <v>36.8720948969799</v>
      </c>
      <c r="K69" s="3" t="s">
        <v>54</v>
      </c>
      <c r="L69" s="3" t="s">
        <v>55</v>
      </c>
      <c r="M69" s="7" t="n">
        <v>2019</v>
      </c>
    </row>
    <row r="70" customFormat="false" ht="15" hidden="false" customHeight="false" outlineLevel="0" collapsed="false">
      <c r="A70" s="3" t="n">
        <v>106</v>
      </c>
      <c r="B70" s="3" t="s">
        <v>53</v>
      </c>
      <c r="C70" s="4" t="s">
        <v>20</v>
      </c>
      <c r="D70" s="5" t="n">
        <v>3089</v>
      </c>
      <c r="E70" s="6" t="n">
        <v>97.8</v>
      </c>
      <c r="F70" s="7" t="n">
        <v>58</v>
      </c>
      <c r="G70" s="6" t="n">
        <v>130.888245103093</v>
      </c>
      <c r="H70" s="8" t="n">
        <v>18700.0035778789</v>
      </c>
      <c r="I70" s="9" t="n">
        <v>23.6063674972528</v>
      </c>
      <c r="J70" s="9" t="n">
        <v>37.8276123895998</v>
      </c>
      <c r="K70" s="3" t="s">
        <v>54</v>
      </c>
      <c r="L70" s="3" t="s">
        <v>55</v>
      </c>
      <c r="M70" s="7" t="n">
        <v>2020</v>
      </c>
    </row>
    <row r="71" customFormat="false" ht="15" hidden="false" customHeight="false" outlineLevel="0" collapsed="false">
      <c r="A71" s="3" t="n">
        <v>109</v>
      </c>
      <c r="B71" s="3" t="s">
        <v>53</v>
      </c>
      <c r="C71" s="4" t="s">
        <v>23</v>
      </c>
      <c r="D71" s="5" t="n">
        <v>3091</v>
      </c>
      <c r="E71" s="6" t="n">
        <v>100.7</v>
      </c>
      <c r="F71" s="7" t="n">
        <v>57</v>
      </c>
      <c r="G71" s="6" t="n">
        <v>157.727795089489</v>
      </c>
      <c r="H71" s="8" t="n">
        <v>42291.5074812319</v>
      </c>
      <c r="I71" s="9" t="n">
        <v>29.8021103004629</v>
      </c>
      <c r="J71" s="9" t="n">
        <v>45.6800848241661</v>
      </c>
      <c r="K71" s="3" t="s">
        <v>54</v>
      </c>
      <c r="L71" s="3" t="s">
        <v>55</v>
      </c>
      <c r="M71" s="7" t="n">
        <v>2023</v>
      </c>
    </row>
    <row r="72" customFormat="false" ht="15" hidden="false" customHeight="false" outlineLevel="0" collapsed="false">
      <c r="A72" s="3" t="n">
        <v>110</v>
      </c>
      <c r="B72" s="3" t="s">
        <v>53</v>
      </c>
      <c r="C72" s="4" t="s">
        <v>24</v>
      </c>
      <c r="D72" s="5" t="n">
        <v>3091</v>
      </c>
      <c r="E72" s="6" t="n">
        <v>100.4</v>
      </c>
      <c r="F72" s="7" t="n">
        <v>56</v>
      </c>
      <c r="G72" s="6" t="n">
        <v>144.172609206294</v>
      </c>
      <c r="H72" s="8" t="n">
        <v>47160.5885512964</v>
      </c>
      <c r="I72" s="9" t="n">
        <v>26.3948817140307</v>
      </c>
      <c r="J72" s="9" t="n">
        <v>41.6399257964839</v>
      </c>
      <c r="K72" s="3" t="s">
        <v>54</v>
      </c>
      <c r="L72" s="3" t="s">
        <v>55</v>
      </c>
      <c r="M72" s="7" t="n">
        <v>2024</v>
      </c>
    </row>
    <row r="73" customFormat="false" ht="15" hidden="false" customHeight="false" outlineLevel="0" collapsed="false">
      <c r="A73" s="3" t="n">
        <v>129</v>
      </c>
      <c r="B73" s="3" t="s">
        <v>56</v>
      </c>
      <c r="C73" s="4" t="s">
        <v>14</v>
      </c>
      <c r="D73" s="5" t="n">
        <v>28456</v>
      </c>
      <c r="E73" s="6" t="n">
        <v>388</v>
      </c>
      <c r="F73" s="7" t="n">
        <v>60</v>
      </c>
      <c r="G73" s="6" t="n">
        <v>1107.7675</v>
      </c>
      <c r="H73" s="8" t="n">
        <v>106279.21395</v>
      </c>
      <c r="I73" s="9" t="n">
        <v>8.78242397137746</v>
      </c>
      <c r="J73" s="9" t="n">
        <v>34.7536930500248</v>
      </c>
      <c r="K73" s="3" t="s">
        <v>57</v>
      </c>
      <c r="L73" s="3" t="s">
        <v>58</v>
      </c>
      <c r="M73" s="7" t="n">
        <v>2016</v>
      </c>
    </row>
    <row r="74" customFormat="false" ht="15" hidden="false" customHeight="false" outlineLevel="0" collapsed="false">
      <c r="A74" s="3" t="n">
        <v>130</v>
      </c>
      <c r="B74" s="3" t="s">
        <v>56</v>
      </c>
      <c r="C74" s="4" t="s">
        <v>17</v>
      </c>
      <c r="D74" s="5" t="n">
        <v>29401</v>
      </c>
      <c r="E74" s="6" t="n">
        <v>414</v>
      </c>
      <c r="F74" s="7" t="n">
        <v>62</v>
      </c>
      <c r="G74" s="6" t="n">
        <v>866.167047493869</v>
      </c>
      <c r="H74" s="8" t="n">
        <v>87023.8032617091</v>
      </c>
      <c r="I74" s="9" t="n">
        <v>7.00064486103734</v>
      </c>
      <c r="J74" s="9" t="n">
        <v>26.3728600276477</v>
      </c>
      <c r="K74" s="3" t="s">
        <v>57</v>
      </c>
      <c r="L74" s="3" t="s">
        <v>58</v>
      </c>
      <c r="M74" s="7" t="n">
        <v>2017</v>
      </c>
    </row>
    <row r="75" customFormat="false" ht="15" hidden="false" customHeight="false" outlineLevel="0" collapsed="false">
      <c r="A75" s="3" t="n">
        <v>131</v>
      </c>
      <c r="B75" s="3" t="s">
        <v>56</v>
      </c>
      <c r="C75" s="4" t="s">
        <v>18</v>
      </c>
      <c r="D75" s="5" t="n">
        <v>29756</v>
      </c>
      <c r="E75" s="6" t="n">
        <v>416.134145026323</v>
      </c>
      <c r="F75" s="7" t="n">
        <v>63</v>
      </c>
      <c r="G75" s="6" t="n">
        <v>830.631998366968</v>
      </c>
      <c r="H75" s="8" t="n">
        <v>83187.7946364518</v>
      </c>
      <c r="I75" s="9" t="n">
        <v>6.75865734582474</v>
      </c>
      <c r="J75" s="9" t="n">
        <v>24.9891671399798</v>
      </c>
      <c r="K75" s="3" t="s">
        <v>57</v>
      </c>
      <c r="L75" s="3" t="s">
        <v>58</v>
      </c>
      <c r="M75" s="7" t="n">
        <v>2018</v>
      </c>
    </row>
    <row r="76" customFormat="false" ht="15" hidden="false" customHeight="false" outlineLevel="0" collapsed="false">
      <c r="A76" s="3" t="n">
        <v>132</v>
      </c>
      <c r="B76" s="3" t="s">
        <v>56</v>
      </c>
      <c r="C76" s="4" t="s">
        <v>19</v>
      </c>
      <c r="D76" s="5" t="n">
        <v>29460</v>
      </c>
      <c r="E76" s="6" t="n">
        <v>420.595265639176</v>
      </c>
      <c r="F76" s="7" t="n">
        <v>70</v>
      </c>
      <c r="G76" s="6" t="n">
        <v>780.666651157208</v>
      </c>
      <c r="H76" s="8" t="n">
        <v>81946.5783719721</v>
      </c>
      <c r="I76" s="9" t="n">
        <v>6.52059548821524</v>
      </c>
      <c r="J76" s="9" t="n">
        <v>23.7219594594857</v>
      </c>
      <c r="K76" s="3" t="s">
        <v>57</v>
      </c>
      <c r="L76" s="3" t="s">
        <v>58</v>
      </c>
      <c r="M76" s="7" t="n">
        <v>2019</v>
      </c>
    </row>
    <row r="77" customFormat="false" ht="15" hidden="false" customHeight="false" outlineLevel="0" collapsed="false">
      <c r="A77" s="3" t="n">
        <v>133</v>
      </c>
      <c r="B77" s="3" t="s">
        <v>56</v>
      </c>
      <c r="C77" s="4" t="s">
        <v>20</v>
      </c>
      <c r="D77" s="5" t="n">
        <v>30361.5</v>
      </c>
      <c r="E77" s="6" t="n">
        <v>425.82312726</v>
      </c>
      <c r="F77" s="7" t="n">
        <v>63</v>
      </c>
      <c r="G77" s="6" t="n">
        <v>1004.69689105343</v>
      </c>
      <c r="H77" s="8" t="n">
        <v>108045.103663886</v>
      </c>
      <c r="I77" s="9" t="n">
        <v>7.27909444624439</v>
      </c>
      <c r="J77" s="9" t="n">
        <v>29.5418730910475</v>
      </c>
      <c r="K77" s="3" t="s">
        <v>57</v>
      </c>
      <c r="L77" s="3" t="s">
        <v>58</v>
      </c>
      <c r="M77" s="7" t="n">
        <v>2020</v>
      </c>
    </row>
    <row r="78" customFormat="false" ht="15" hidden="false" customHeight="false" outlineLevel="0" collapsed="false">
      <c r="A78" s="3" t="n">
        <v>134</v>
      </c>
      <c r="B78" s="3" t="s">
        <v>56</v>
      </c>
      <c r="C78" s="4" t="s">
        <v>21</v>
      </c>
      <c r="D78" s="5" t="n">
        <v>30613.8333333333</v>
      </c>
      <c r="E78" s="6" t="n">
        <v>425.82312726</v>
      </c>
      <c r="F78" s="7" t="n">
        <v>63</v>
      </c>
      <c r="G78" s="6" t="n">
        <v>869.105818955721</v>
      </c>
      <c r="H78" s="8" t="n">
        <v>96583.4196460191</v>
      </c>
      <c r="I78" s="9" t="n">
        <v>6.64254072911757</v>
      </c>
      <c r="J78" s="9" t="n">
        <v>25.4139761878824</v>
      </c>
      <c r="K78" s="3" t="s">
        <v>57</v>
      </c>
      <c r="L78" s="3" t="s">
        <v>58</v>
      </c>
      <c r="M78" s="7" t="n">
        <v>2021</v>
      </c>
    </row>
    <row r="79" customFormat="false" ht="15" hidden="false" customHeight="false" outlineLevel="0" collapsed="false">
      <c r="A79" s="3" t="n">
        <v>135</v>
      </c>
      <c r="B79" s="3" t="s">
        <v>56</v>
      </c>
      <c r="C79" s="4" t="s">
        <v>22</v>
      </c>
      <c r="D79" s="5" t="n">
        <v>30893.6666666667</v>
      </c>
      <c r="E79" s="6" t="n">
        <v>431.07038319</v>
      </c>
      <c r="F79" s="7" t="n">
        <v>66</v>
      </c>
      <c r="G79" s="6" t="n">
        <v>1661.40249258895</v>
      </c>
      <c r="H79" s="8" t="n">
        <v>235954.813074944</v>
      </c>
      <c r="I79" s="9" t="n">
        <v>10.1310116756456</v>
      </c>
      <c r="J79" s="9" t="n">
        <v>48.1418833085211</v>
      </c>
      <c r="K79" s="3" t="s">
        <v>57</v>
      </c>
      <c r="L79" s="3" t="s">
        <v>58</v>
      </c>
      <c r="M79" s="7" t="n">
        <v>2022</v>
      </c>
    </row>
    <row r="80" customFormat="false" ht="15" hidden="false" customHeight="false" outlineLevel="0" collapsed="false">
      <c r="A80" s="3" t="n">
        <v>136</v>
      </c>
      <c r="B80" s="3" t="s">
        <v>56</v>
      </c>
      <c r="C80" s="4" t="s">
        <v>23</v>
      </c>
      <c r="D80" s="5" t="n">
        <v>31054.75</v>
      </c>
      <c r="E80" s="6" t="n">
        <v>431.91210693</v>
      </c>
      <c r="F80" s="7" t="n">
        <v>73</v>
      </c>
      <c r="G80" s="6" t="n">
        <v>2206.54546594275</v>
      </c>
      <c r="H80" s="8" t="n">
        <v>358629.834579676</v>
      </c>
      <c r="I80" s="9" t="n">
        <v>13.3275423132206</v>
      </c>
      <c r="J80" s="9" t="n">
        <v>63.6066492122262</v>
      </c>
      <c r="K80" s="3" t="s">
        <v>57</v>
      </c>
      <c r="L80" s="3" t="s">
        <v>58</v>
      </c>
      <c r="M80" s="7" t="n">
        <v>2023</v>
      </c>
    </row>
    <row r="81" customFormat="false" ht="15" hidden="false" customHeight="false" outlineLevel="0" collapsed="false">
      <c r="A81" s="3" t="n">
        <v>137</v>
      </c>
      <c r="B81" s="3" t="s">
        <v>56</v>
      </c>
      <c r="C81" s="4" t="s">
        <v>24</v>
      </c>
      <c r="D81" s="5" t="n">
        <v>31361.25</v>
      </c>
      <c r="E81" s="6" t="n">
        <v>434.871605867408</v>
      </c>
      <c r="F81" s="7" t="n">
        <v>72</v>
      </c>
      <c r="G81" s="6" t="n">
        <v>1884.07567420355</v>
      </c>
      <c r="H81" s="8" t="n">
        <v>340657.337328123</v>
      </c>
      <c r="I81" s="9" t="n">
        <v>11.4211285776349</v>
      </c>
      <c r="J81" s="9" t="n">
        <v>53.6328865416565</v>
      </c>
      <c r="K81" s="3" t="s">
        <v>57</v>
      </c>
      <c r="L81" s="3" t="s">
        <v>58</v>
      </c>
      <c r="M81" s="7" t="n">
        <v>2024</v>
      </c>
    </row>
    <row r="82" customFormat="false" ht="15" hidden="false" customHeight="false" outlineLevel="0" collapsed="false">
      <c r="A82" s="3" t="n">
        <v>138</v>
      </c>
      <c r="B82" s="3" t="s">
        <v>59</v>
      </c>
      <c r="C82" s="4" t="s">
        <v>14</v>
      </c>
      <c r="D82" s="5" t="n">
        <v>3948</v>
      </c>
      <c r="E82" s="6" t="n">
        <v>62.39</v>
      </c>
      <c r="F82" s="7" t="n">
        <v>60</v>
      </c>
      <c r="G82" s="6" t="n">
        <v>103.665465306122</v>
      </c>
      <c r="H82" s="8" t="n">
        <v>18589.2912386939</v>
      </c>
      <c r="I82" s="9" t="n">
        <v>7.20847369212134</v>
      </c>
      <c r="J82" s="9" t="n">
        <v>23.4413787008266</v>
      </c>
      <c r="K82" s="3" t="s">
        <v>60</v>
      </c>
      <c r="L82" s="3" t="s">
        <v>61</v>
      </c>
      <c r="M82" s="7" t="n">
        <v>2016</v>
      </c>
    </row>
    <row r="83" customFormat="false" ht="15" hidden="false" customHeight="false" outlineLevel="0" collapsed="false">
      <c r="A83" s="3" t="n">
        <v>139</v>
      </c>
      <c r="B83" s="3" t="s">
        <v>59</v>
      </c>
      <c r="C83" s="4" t="s">
        <v>17</v>
      </c>
      <c r="D83" s="5" t="n">
        <v>3764</v>
      </c>
      <c r="E83" s="6" t="n">
        <v>62.4</v>
      </c>
      <c r="F83" s="7" t="n">
        <v>62</v>
      </c>
      <c r="G83" s="6" t="n">
        <v>126.532778571429</v>
      </c>
      <c r="H83" s="8" t="n">
        <v>25495.0895543571</v>
      </c>
      <c r="I83" s="9" t="n">
        <v>7.95821125218266</v>
      </c>
      <c r="J83" s="9" t="n">
        <v>30.0933893904359</v>
      </c>
      <c r="K83" s="3" t="s">
        <v>60</v>
      </c>
      <c r="L83" s="3" t="s">
        <v>61</v>
      </c>
      <c r="M83" s="7" t="n">
        <v>2017</v>
      </c>
    </row>
    <row r="84" customFormat="false" ht="15" hidden="false" customHeight="false" outlineLevel="0" collapsed="false">
      <c r="A84" s="3" t="n">
        <v>140</v>
      </c>
      <c r="B84" s="3" t="s">
        <v>59</v>
      </c>
      <c r="C84" s="4" t="s">
        <v>18</v>
      </c>
      <c r="D84" s="5" t="n">
        <v>3792</v>
      </c>
      <c r="E84" s="6" t="n">
        <v>62.42</v>
      </c>
      <c r="F84" s="7" t="n">
        <v>63</v>
      </c>
      <c r="G84" s="6" t="n">
        <v>122.554785816326</v>
      </c>
      <c r="H84" s="8" t="n">
        <v>24493.5925103349</v>
      </c>
      <c r="I84" s="9" t="n">
        <v>7.56805252648804</v>
      </c>
      <c r="J84" s="9" t="n">
        <v>28.9320775903548</v>
      </c>
      <c r="K84" s="3" t="s">
        <v>60</v>
      </c>
      <c r="L84" s="3" t="s">
        <v>61</v>
      </c>
      <c r="M84" s="7" t="n">
        <v>2018</v>
      </c>
    </row>
    <row r="85" customFormat="false" ht="15" hidden="false" customHeight="false" outlineLevel="0" collapsed="false">
      <c r="A85" s="3" t="n">
        <v>141</v>
      </c>
      <c r="B85" s="3" t="s">
        <v>59</v>
      </c>
      <c r="C85" s="4" t="s">
        <v>19</v>
      </c>
      <c r="D85" s="5" t="n">
        <v>3700</v>
      </c>
      <c r="E85" s="6" t="n">
        <v>62.4258080381807</v>
      </c>
      <c r="F85" s="7" t="n">
        <v>61</v>
      </c>
      <c r="G85" s="6" t="n">
        <v>233.117611361051</v>
      </c>
      <c r="H85" s="8" t="n">
        <v>51689.5338837628</v>
      </c>
      <c r="I85" s="9" t="n">
        <v>13.5210694800375</v>
      </c>
      <c r="J85" s="9" t="n">
        <v>56.4015494354097</v>
      </c>
      <c r="K85" s="3" t="s">
        <v>60</v>
      </c>
      <c r="L85" s="3" t="s">
        <v>61</v>
      </c>
      <c r="M85" s="7" t="n">
        <v>2019</v>
      </c>
    </row>
    <row r="86" customFormat="false" ht="15" hidden="false" customHeight="false" outlineLevel="0" collapsed="false">
      <c r="A86" s="3" t="n">
        <v>142</v>
      </c>
      <c r="B86" s="3" t="s">
        <v>59</v>
      </c>
      <c r="C86" s="4" t="s">
        <v>20</v>
      </c>
      <c r="D86" s="5" t="n">
        <v>3820.75</v>
      </c>
      <c r="E86" s="6" t="n">
        <v>62.34400072</v>
      </c>
      <c r="F86" s="7" t="n">
        <v>63</v>
      </c>
      <c r="G86" s="6" t="n">
        <v>144.663113532893</v>
      </c>
      <c r="H86" s="8" t="n">
        <v>27756.5115935561</v>
      </c>
      <c r="I86" s="9" t="n">
        <v>7.86622741030584</v>
      </c>
      <c r="J86" s="9" t="n">
        <v>33.8014538189943</v>
      </c>
      <c r="K86" s="3" t="s">
        <v>60</v>
      </c>
      <c r="L86" s="3" t="s">
        <v>61</v>
      </c>
      <c r="M86" s="7" t="n">
        <v>2020</v>
      </c>
    </row>
    <row r="87" customFormat="false" ht="15" hidden="false" customHeight="false" outlineLevel="0" collapsed="false">
      <c r="A87" s="3" t="n">
        <v>143</v>
      </c>
      <c r="B87" s="3" t="s">
        <v>59</v>
      </c>
      <c r="C87" s="4" t="s">
        <v>21</v>
      </c>
      <c r="D87" s="5" t="n">
        <v>3829.08333333333</v>
      </c>
      <c r="E87" s="6" t="n">
        <v>62.34400072</v>
      </c>
      <c r="F87" s="7" t="n">
        <v>63</v>
      </c>
      <c r="G87" s="6" t="n">
        <v>391.893632260557</v>
      </c>
      <c r="H87" s="8" t="n">
        <v>63218.16366813</v>
      </c>
      <c r="I87" s="9" t="n">
        <v>15.8970729899084</v>
      </c>
      <c r="J87" s="9" t="n">
        <v>91.6201636590412</v>
      </c>
      <c r="K87" s="3" t="s">
        <v>60</v>
      </c>
      <c r="L87" s="3" t="s">
        <v>61</v>
      </c>
      <c r="M87" s="7" t="n">
        <v>2021</v>
      </c>
    </row>
    <row r="88" customFormat="false" ht="15" hidden="false" customHeight="false" outlineLevel="0" collapsed="false">
      <c r="A88" s="3" t="n">
        <v>144</v>
      </c>
      <c r="B88" s="3" t="s">
        <v>59</v>
      </c>
      <c r="C88" s="4" t="s">
        <v>22</v>
      </c>
      <c r="D88" s="5" t="n">
        <v>3847.41666666667</v>
      </c>
      <c r="E88" s="6" t="n">
        <v>62.01517841</v>
      </c>
      <c r="F88" s="7" t="n">
        <v>64</v>
      </c>
      <c r="G88" s="6" t="n">
        <v>38.6269445538537</v>
      </c>
      <c r="H88" s="8" t="n">
        <v>8458.52831840289</v>
      </c>
      <c r="I88" s="9" t="n">
        <v>4.25481564731474</v>
      </c>
      <c r="J88" s="9" t="n">
        <v>8.98749804039419</v>
      </c>
      <c r="K88" s="3" t="s">
        <v>60</v>
      </c>
      <c r="L88" s="3" t="s">
        <v>61</v>
      </c>
      <c r="M88" s="7" t="n">
        <v>2022</v>
      </c>
    </row>
    <row r="89" customFormat="false" ht="15" hidden="false" customHeight="false" outlineLevel="0" collapsed="false">
      <c r="A89" s="3" t="n">
        <v>145</v>
      </c>
      <c r="B89" s="3" t="s">
        <v>59</v>
      </c>
      <c r="C89" s="4" t="s">
        <v>23</v>
      </c>
      <c r="D89" s="5" t="n">
        <v>3834</v>
      </c>
      <c r="E89" s="6" t="n">
        <v>62.14075242</v>
      </c>
      <c r="F89" s="7" t="n">
        <v>71</v>
      </c>
      <c r="G89" s="6" t="n">
        <v>256.535925877534</v>
      </c>
      <c r="H89" s="8" t="n">
        <v>78351.2024815165</v>
      </c>
      <c r="I89" s="9" t="n">
        <v>12.1547948000955</v>
      </c>
      <c r="J89" s="9" t="n">
        <v>59.8981982945539</v>
      </c>
      <c r="K89" s="3" t="s">
        <v>60</v>
      </c>
      <c r="L89" s="3" t="s">
        <v>61</v>
      </c>
      <c r="M89" s="7" t="n">
        <v>2023</v>
      </c>
    </row>
    <row r="90" customFormat="false" ht="15" hidden="false" customHeight="false" outlineLevel="0" collapsed="false">
      <c r="A90" s="3" t="n">
        <v>146</v>
      </c>
      <c r="B90" s="3" t="s">
        <v>59</v>
      </c>
      <c r="C90" s="4" t="s">
        <v>24</v>
      </c>
      <c r="D90" s="5" t="n">
        <v>3883.41666666667</v>
      </c>
      <c r="E90" s="6" t="n">
        <v>62.5713889877121</v>
      </c>
      <c r="F90" s="7" t="n">
        <v>71</v>
      </c>
      <c r="G90" s="6" t="n">
        <v>287.320194864932</v>
      </c>
      <c r="H90" s="8" t="n">
        <v>71747.651280062</v>
      </c>
      <c r="I90" s="9" t="n">
        <v>13.2658422216503</v>
      </c>
      <c r="J90" s="9" t="n">
        <v>66.0508416277265</v>
      </c>
      <c r="K90" s="3" t="s">
        <v>60</v>
      </c>
      <c r="L90" s="3" t="s">
        <v>61</v>
      </c>
      <c r="M90" s="7" t="n">
        <v>2024</v>
      </c>
    </row>
    <row r="91" customFormat="false" ht="15" hidden="false" customHeight="false" outlineLevel="0" collapsed="false">
      <c r="A91" s="3" t="n">
        <v>147</v>
      </c>
      <c r="B91" s="3" t="s">
        <v>62</v>
      </c>
      <c r="C91" s="4" t="s">
        <v>17</v>
      </c>
      <c r="D91" s="5" t="n">
        <v>7000</v>
      </c>
      <c r="E91" s="6" t="n">
        <v>200</v>
      </c>
      <c r="F91" s="7" t="n">
        <v>94</v>
      </c>
      <c r="G91" s="6" t="n">
        <v>446.576887712375</v>
      </c>
      <c r="H91" s="8"/>
      <c r="I91" s="9" t="n">
        <v>11.7488183659689</v>
      </c>
      <c r="J91" s="9" t="n">
        <v>57.1104887904102</v>
      </c>
      <c r="K91" s="3" t="s">
        <v>63</v>
      </c>
      <c r="L91" s="3" t="s">
        <v>64</v>
      </c>
      <c r="M91" s="7" t="n">
        <v>2017</v>
      </c>
    </row>
    <row r="92" customFormat="false" ht="15" hidden="false" customHeight="false" outlineLevel="0" collapsed="false">
      <c r="A92" s="3" t="n">
        <v>148</v>
      </c>
      <c r="B92" s="3" t="s">
        <v>62</v>
      </c>
      <c r="C92" s="4" t="s">
        <v>18</v>
      </c>
      <c r="D92" s="5" t="n">
        <v>6804</v>
      </c>
      <c r="E92" s="6" t="n">
        <v>149</v>
      </c>
      <c r="F92" s="7" t="n">
        <v>66</v>
      </c>
      <c r="G92" s="6" t="n">
        <v>478.536415806207</v>
      </c>
      <c r="H92" s="8" t="n">
        <v>87549.0642494577</v>
      </c>
      <c r="I92" s="9" t="n">
        <v>14.005621905932</v>
      </c>
      <c r="J92" s="9" t="n">
        <v>62.9605280777259</v>
      </c>
      <c r="K92" s="3" t="s">
        <v>63</v>
      </c>
      <c r="L92" s="3" t="s">
        <v>64</v>
      </c>
      <c r="M92" s="7" t="n">
        <v>2018</v>
      </c>
    </row>
    <row r="93" customFormat="false" ht="15" hidden="false" customHeight="false" outlineLevel="0" collapsed="false">
      <c r="A93" s="3" t="n">
        <v>149</v>
      </c>
      <c r="B93" s="3" t="s">
        <v>62</v>
      </c>
      <c r="C93" s="4" t="s">
        <v>19</v>
      </c>
      <c r="D93" s="5" t="n">
        <v>6790</v>
      </c>
      <c r="E93" s="6" t="n">
        <v>149</v>
      </c>
      <c r="F93" s="7" t="n">
        <v>66</v>
      </c>
      <c r="G93" s="6" t="n">
        <v>485.089956356105</v>
      </c>
      <c r="H93" s="8" t="n">
        <v>38084.6677353947</v>
      </c>
      <c r="I93" s="9" t="n">
        <v>14.3310463121784</v>
      </c>
      <c r="J93" s="9" t="n">
        <v>63.9543637899113</v>
      </c>
      <c r="K93" s="3" t="s">
        <v>63</v>
      </c>
      <c r="L93" s="3" t="s">
        <v>64</v>
      </c>
      <c r="M93" s="7" t="n">
        <v>2019</v>
      </c>
    </row>
    <row r="94" customFormat="false" ht="15" hidden="false" customHeight="false" outlineLevel="0" collapsed="false">
      <c r="A94" s="3" t="n">
        <v>150</v>
      </c>
      <c r="B94" s="3" t="s">
        <v>62</v>
      </c>
      <c r="C94" s="4" t="s">
        <v>20</v>
      </c>
      <c r="D94" s="5" t="n">
        <v>6909</v>
      </c>
      <c r="E94" s="6" t="n">
        <v>149</v>
      </c>
      <c r="F94" s="7" t="n">
        <v>66</v>
      </c>
      <c r="G94" s="6" t="n">
        <v>580.255615377189</v>
      </c>
      <c r="H94" s="8" t="n">
        <v>106158.767595942</v>
      </c>
      <c r="I94" s="9" t="n">
        <v>14.7808532861964</v>
      </c>
      <c r="J94" s="9" t="n">
        <v>74.9773959819225</v>
      </c>
      <c r="K94" s="3" t="s">
        <v>63</v>
      </c>
      <c r="L94" s="3" t="s">
        <v>64</v>
      </c>
      <c r="M94" s="7" t="n">
        <v>2020</v>
      </c>
    </row>
    <row r="95" customFormat="false" ht="15" hidden="false" customHeight="false" outlineLevel="0" collapsed="false">
      <c r="A95" s="3" t="n">
        <v>151</v>
      </c>
      <c r="B95" s="3" t="s">
        <v>62</v>
      </c>
      <c r="C95" s="4" t="s">
        <v>21</v>
      </c>
      <c r="D95" s="5" t="n">
        <v>6872</v>
      </c>
      <c r="E95" s="6" t="n">
        <v>150</v>
      </c>
      <c r="F95" s="7" t="n">
        <v>66</v>
      </c>
      <c r="G95" s="6" t="n">
        <v>531.734248489334</v>
      </c>
      <c r="H95" s="8" t="n">
        <v>97281.699672115</v>
      </c>
      <c r="I95" s="9" t="n">
        <v>14.1965973631323</v>
      </c>
      <c r="J95" s="9" t="n">
        <v>69.267443217779</v>
      </c>
      <c r="K95" s="3" t="s">
        <v>63</v>
      </c>
      <c r="L95" s="3" t="s">
        <v>64</v>
      </c>
      <c r="M95" s="7" t="n">
        <v>2021</v>
      </c>
    </row>
    <row r="96" customFormat="false" ht="15" hidden="false" customHeight="false" outlineLevel="0" collapsed="false">
      <c r="A96" s="3" t="n">
        <v>152</v>
      </c>
      <c r="B96" s="3" t="s">
        <v>62</v>
      </c>
      <c r="C96" s="4" t="s">
        <v>22</v>
      </c>
      <c r="D96" s="5" t="n">
        <v>6960</v>
      </c>
      <c r="E96" s="6" t="n">
        <v>150</v>
      </c>
      <c r="F96" s="7" t="n">
        <v>67</v>
      </c>
      <c r="G96" s="6" t="n">
        <v>601.216537177126</v>
      </c>
      <c r="H96" s="8" t="n">
        <v>35901.9123501304</v>
      </c>
      <c r="I96" s="9" t="n">
        <v>12.9565562427446</v>
      </c>
      <c r="J96" s="9" t="n">
        <v>77.3284584816312</v>
      </c>
      <c r="K96" s="3" t="s">
        <v>63</v>
      </c>
      <c r="L96" s="3" t="s">
        <v>64</v>
      </c>
      <c r="M96" s="7" t="n">
        <v>2022</v>
      </c>
    </row>
    <row r="97" customFormat="false" ht="15" hidden="false" customHeight="false" outlineLevel="0" collapsed="false">
      <c r="A97" s="3" t="n">
        <v>153</v>
      </c>
      <c r="B97" s="3" t="s">
        <v>62</v>
      </c>
      <c r="C97" s="4" t="s">
        <v>23</v>
      </c>
      <c r="D97" s="5" t="n">
        <v>6843</v>
      </c>
      <c r="E97" s="6" t="n">
        <v>150</v>
      </c>
      <c r="F97" s="7" t="n">
        <v>64</v>
      </c>
      <c r="G97" s="6" t="n">
        <v>603.663874174508</v>
      </c>
      <c r="H97" s="8" t="n">
        <v>366159.418911193</v>
      </c>
      <c r="I97" s="9" t="n">
        <v>13.3257863762469</v>
      </c>
      <c r="J97" s="9" t="n">
        <v>78.9707606327625</v>
      </c>
      <c r="K97" s="3" t="s">
        <v>63</v>
      </c>
      <c r="L97" s="3" t="s">
        <v>64</v>
      </c>
      <c r="M97" s="7" t="n">
        <v>2023</v>
      </c>
    </row>
    <row r="98" customFormat="false" ht="15" hidden="false" customHeight="false" outlineLevel="0" collapsed="false">
      <c r="A98" s="3" t="n">
        <v>154</v>
      </c>
      <c r="B98" s="3" t="s">
        <v>62</v>
      </c>
      <c r="C98" s="4" t="s">
        <v>24</v>
      </c>
      <c r="D98" s="5" t="n">
        <v>6878</v>
      </c>
      <c r="E98" s="6" t="n">
        <v>150</v>
      </c>
      <c r="F98" s="7" t="n">
        <v>69</v>
      </c>
      <c r="G98" s="6" t="n">
        <v>523.243776216292</v>
      </c>
      <c r="H98" s="8" t="n">
        <v>318622.604355502</v>
      </c>
      <c r="I98" s="9" t="n">
        <v>12.0356617008463</v>
      </c>
      <c r="J98" s="9" t="n">
        <v>67.9153735053018</v>
      </c>
      <c r="K98" s="3" t="s">
        <v>63</v>
      </c>
      <c r="L98" s="3" t="s">
        <v>64</v>
      </c>
      <c r="M98" s="7" t="n">
        <v>2024</v>
      </c>
    </row>
    <row r="99" customFormat="false" ht="15" hidden="false" customHeight="false" outlineLevel="0" collapsed="false">
      <c r="A99" s="3" t="n">
        <v>155</v>
      </c>
      <c r="B99" s="3" t="s">
        <v>65</v>
      </c>
      <c r="C99" s="4" t="s">
        <v>14</v>
      </c>
      <c r="D99" s="5" t="n">
        <v>8632</v>
      </c>
      <c r="E99" s="6" t="n">
        <v>177.91</v>
      </c>
      <c r="F99" s="7" t="n">
        <v>52</v>
      </c>
      <c r="G99" s="6" t="n">
        <v>261.455266814722</v>
      </c>
      <c r="H99" s="8" t="n">
        <v>13804.8380878173</v>
      </c>
      <c r="I99" s="9" t="n">
        <v>8.17848343450196</v>
      </c>
      <c r="J99" s="9" t="n">
        <v>27.0403405445313</v>
      </c>
      <c r="K99" s="3" t="s">
        <v>66</v>
      </c>
      <c r="L99" s="3" t="s">
        <v>67</v>
      </c>
      <c r="M99" s="7" t="n">
        <v>2016</v>
      </c>
    </row>
    <row r="100" customFormat="false" ht="15" hidden="false" customHeight="false" outlineLevel="0" collapsed="false">
      <c r="A100" s="3" t="n">
        <v>156</v>
      </c>
      <c r="B100" s="3" t="s">
        <v>65</v>
      </c>
      <c r="C100" s="4" t="s">
        <v>17</v>
      </c>
      <c r="D100" s="5" t="n">
        <v>8649</v>
      </c>
      <c r="E100" s="6" t="n">
        <v>177.91</v>
      </c>
      <c r="F100" s="7" t="n">
        <v>58</v>
      </c>
      <c r="G100" s="6" t="n">
        <v>142.43639279597</v>
      </c>
      <c r="H100" s="8" t="n">
        <v>7613.22519494462</v>
      </c>
      <c r="I100" s="9" t="n">
        <v>4.55229034402687</v>
      </c>
      <c r="J100" s="9" t="n">
        <v>14.7425545699114</v>
      </c>
      <c r="K100" s="3" t="s">
        <v>66</v>
      </c>
      <c r="L100" s="3" t="s">
        <v>67</v>
      </c>
      <c r="M100" s="7" t="n">
        <v>2017</v>
      </c>
    </row>
    <row r="101" customFormat="false" ht="15" hidden="false" customHeight="false" outlineLevel="0" collapsed="false">
      <c r="A101" s="3" t="n">
        <v>157</v>
      </c>
      <c r="B101" s="3" t="s">
        <v>65</v>
      </c>
      <c r="C101" s="4" t="s">
        <v>18</v>
      </c>
      <c r="D101" s="5" t="n">
        <v>10546</v>
      </c>
      <c r="E101" s="6" t="n">
        <v>177.9</v>
      </c>
      <c r="F101" s="7" t="n">
        <v>51</v>
      </c>
      <c r="G101" s="6" t="n">
        <v>428.425168433477</v>
      </c>
      <c r="H101" s="8" t="n">
        <v>33815.5985444543</v>
      </c>
      <c r="I101" s="9" t="n">
        <v>23.6925031255765</v>
      </c>
      <c r="J101" s="9" t="n">
        <v>36.3667828746113</v>
      </c>
      <c r="K101" s="3" t="s">
        <v>66</v>
      </c>
      <c r="L101" s="3" t="s">
        <v>67</v>
      </c>
      <c r="M101" s="7" t="n">
        <v>2018</v>
      </c>
    </row>
    <row r="102" customFormat="false" ht="15" hidden="false" customHeight="false" outlineLevel="0" collapsed="false">
      <c r="A102" s="3" t="n">
        <v>158</v>
      </c>
      <c r="B102" s="3" t="s">
        <v>65</v>
      </c>
      <c r="C102" s="4" t="s">
        <v>19</v>
      </c>
      <c r="D102" s="5" t="n">
        <v>10562</v>
      </c>
      <c r="E102" s="6" t="n">
        <v>175.82</v>
      </c>
      <c r="F102" s="7" t="n">
        <v>35</v>
      </c>
      <c r="G102" s="6" t="n">
        <v>1870</v>
      </c>
      <c r="H102" s="8" t="n">
        <v>217499.7</v>
      </c>
      <c r="I102" s="9" t="n">
        <v>70.9483076653723</v>
      </c>
      <c r="J102" s="9" t="n">
        <v>158.494106489988</v>
      </c>
      <c r="K102" s="3" t="s">
        <v>66</v>
      </c>
      <c r="L102" s="3" t="s">
        <v>67</v>
      </c>
      <c r="M102" s="7" t="n">
        <v>2019</v>
      </c>
    </row>
    <row r="103" customFormat="false" ht="15" hidden="false" customHeight="false" outlineLevel="0" collapsed="false">
      <c r="A103" s="3" t="n">
        <v>159</v>
      </c>
      <c r="B103" s="3" t="s">
        <v>65</v>
      </c>
      <c r="C103" s="4" t="s">
        <v>20</v>
      </c>
      <c r="D103" s="5" t="n">
        <v>10954</v>
      </c>
      <c r="E103" s="6" t="n">
        <v>176.45</v>
      </c>
      <c r="F103" s="7" t="n">
        <v>34</v>
      </c>
      <c r="G103" s="6" t="n">
        <v>1402.499875</v>
      </c>
      <c r="H103" s="8" t="n">
        <v>140923.18744</v>
      </c>
      <c r="I103" s="9" t="n">
        <v>71.5342168408636</v>
      </c>
      <c r="J103" s="9" t="n">
        <v>114.302647126746</v>
      </c>
      <c r="K103" s="3" t="s">
        <v>66</v>
      </c>
      <c r="L103" s="3" t="s">
        <v>67</v>
      </c>
      <c r="M103" s="7" t="n">
        <v>2020</v>
      </c>
    </row>
    <row r="104" customFormat="false" ht="15" hidden="false" customHeight="false" outlineLevel="0" collapsed="false">
      <c r="A104" s="3" t="n">
        <v>160</v>
      </c>
      <c r="B104" s="3" t="s">
        <v>65</v>
      </c>
      <c r="C104" s="4" t="s">
        <v>21</v>
      </c>
      <c r="D104" s="5" t="n">
        <v>11432</v>
      </c>
      <c r="E104" s="6" t="n">
        <v>176.5</v>
      </c>
      <c r="F104" s="7" t="n">
        <v>36</v>
      </c>
      <c r="G104" s="6" t="n">
        <v>934.99790045</v>
      </c>
      <c r="H104" s="8" t="n">
        <v>339048.938661179</v>
      </c>
      <c r="I104" s="9" t="n">
        <v>50.1330151672395</v>
      </c>
      <c r="J104" s="9" t="n">
        <v>73.216016170998</v>
      </c>
      <c r="K104" s="3" t="s">
        <v>66</v>
      </c>
      <c r="L104" s="3" t="s">
        <v>67</v>
      </c>
      <c r="M104" s="7" t="n">
        <v>2021</v>
      </c>
    </row>
    <row r="105" customFormat="false" ht="15" hidden="false" customHeight="false" outlineLevel="0" collapsed="false">
      <c r="A105" s="3" t="n">
        <v>161</v>
      </c>
      <c r="B105" s="3" t="s">
        <v>65</v>
      </c>
      <c r="C105" s="4" t="s">
        <v>22</v>
      </c>
      <c r="D105" s="5" t="n">
        <v>12072</v>
      </c>
      <c r="E105" s="6" t="n">
        <v>176.45</v>
      </c>
      <c r="F105" s="7" t="n">
        <v>47</v>
      </c>
      <c r="G105" s="6" t="n">
        <v>1974.7301</v>
      </c>
      <c r="H105" s="8" t="n">
        <v>659540.106099</v>
      </c>
      <c r="I105" s="9" t="n">
        <v>48.0861896975245</v>
      </c>
      <c r="J105" s="9" t="n">
        <v>146.435439063217</v>
      </c>
      <c r="K105" s="3" t="s">
        <v>66</v>
      </c>
      <c r="L105" s="3" t="s">
        <v>67</v>
      </c>
      <c r="M105" s="7" t="n">
        <v>2022</v>
      </c>
    </row>
    <row r="106" customFormat="false" ht="15" hidden="false" customHeight="false" outlineLevel="0" collapsed="false">
      <c r="A106" s="3" t="n">
        <v>162</v>
      </c>
      <c r="B106" s="3" t="s">
        <v>65</v>
      </c>
      <c r="C106" s="4" t="s">
        <v>23</v>
      </c>
      <c r="D106" s="5" t="n">
        <v>12293</v>
      </c>
      <c r="E106" s="6" t="n">
        <v>176.45</v>
      </c>
      <c r="F106" s="7" t="n">
        <v>44</v>
      </c>
      <c r="G106" s="6" t="n">
        <v>1141.947825</v>
      </c>
      <c r="H106" s="8" t="n">
        <v>538040.137227</v>
      </c>
      <c r="I106" s="9" t="n">
        <v>32.616746480101</v>
      </c>
      <c r="J106" s="9" t="n">
        <v>83.1583865570049</v>
      </c>
      <c r="K106" s="3" t="s">
        <v>66</v>
      </c>
      <c r="L106" s="3" t="s">
        <v>67</v>
      </c>
      <c r="M106" s="7" t="n">
        <v>2023</v>
      </c>
    </row>
    <row r="107" customFormat="false" ht="15" hidden="false" customHeight="false" outlineLevel="0" collapsed="false">
      <c r="A107" s="3" t="n">
        <v>163</v>
      </c>
      <c r="B107" s="3" t="s">
        <v>65</v>
      </c>
      <c r="C107" s="4" t="s">
        <v>24</v>
      </c>
      <c r="D107" s="5" t="n">
        <v>12777</v>
      </c>
      <c r="E107" s="6" t="n">
        <v>177.9</v>
      </c>
      <c r="F107" s="7" t="n">
        <v>47</v>
      </c>
      <c r="G107" s="6" t="n">
        <v>1156.672725</v>
      </c>
      <c r="H107" s="8" t="n">
        <v>528553.168416</v>
      </c>
      <c r="I107" s="9" t="n">
        <v>30.8184783035796</v>
      </c>
      <c r="J107" s="9" t="n">
        <v>80.8179432250319</v>
      </c>
      <c r="K107" s="3" t="s">
        <v>66</v>
      </c>
      <c r="L107" s="3" t="s">
        <v>67</v>
      </c>
      <c r="M107" s="7" t="n">
        <v>2024</v>
      </c>
    </row>
    <row r="108" customFormat="false" ht="15" hidden="false" customHeight="false" outlineLevel="0" collapsed="false">
      <c r="A108" s="3" t="n">
        <v>164</v>
      </c>
      <c r="B108" s="3" t="s">
        <v>68</v>
      </c>
      <c r="C108" s="4" t="s">
        <v>20</v>
      </c>
      <c r="D108" s="5" t="n">
        <v>3116</v>
      </c>
      <c r="E108" s="6" t="n">
        <v>59.1</v>
      </c>
      <c r="F108" s="7" t="n">
        <v>70</v>
      </c>
      <c r="G108" s="6" t="n">
        <v>44.0152432323235</v>
      </c>
      <c r="H108" s="8" t="n">
        <v>1290.0867791394</v>
      </c>
      <c r="I108" s="9" t="n">
        <v>3.5290740605922</v>
      </c>
      <c r="J108" s="9" t="n">
        <v>12.6104867695639</v>
      </c>
      <c r="K108" s="3" t="s">
        <v>69</v>
      </c>
      <c r="L108" s="3" t="s">
        <v>70</v>
      </c>
      <c r="M108" s="7" t="n">
        <v>2020</v>
      </c>
    </row>
    <row r="109" customFormat="false" ht="15" hidden="false" customHeight="false" outlineLevel="0" collapsed="false">
      <c r="A109" s="3" t="n">
        <v>165</v>
      </c>
      <c r="B109" s="3" t="s">
        <v>68</v>
      </c>
      <c r="C109" s="4" t="s">
        <v>21</v>
      </c>
      <c r="D109" s="5" t="n">
        <v>3133</v>
      </c>
      <c r="E109" s="6" t="n">
        <v>59.1</v>
      </c>
      <c r="F109" s="7" t="n">
        <v>70</v>
      </c>
      <c r="G109" s="6" t="n">
        <v>82.7660078535349</v>
      </c>
      <c r="H109" s="8" t="n">
        <v>3684.74266963938</v>
      </c>
      <c r="I109" s="9" t="n">
        <v>5.23514537305572</v>
      </c>
      <c r="J109" s="9" t="n">
        <v>23.6488097504079</v>
      </c>
      <c r="K109" s="3" t="s">
        <v>69</v>
      </c>
      <c r="L109" s="3" t="s">
        <v>70</v>
      </c>
      <c r="M109" s="7" t="n">
        <v>2021</v>
      </c>
    </row>
    <row r="110" customFormat="false" ht="15" hidden="false" customHeight="false" outlineLevel="0" collapsed="false">
      <c r="A110" s="3" t="n">
        <v>166</v>
      </c>
      <c r="B110" s="3" t="s">
        <v>68</v>
      </c>
      <c r="C110" s="4" t="s">
        <v>22</v>
      </c>
      <c r="D110" s="5" t="n">
        <v>3136</v>
      </c>
      <c r="E110" s="6" t="n">
        <v>59.1</v>
      </c>
      <c r="F110" s="7" t="n">
        <v>56</v>
      </c>
      <c r="G110" s="6" t="n">
        <v>34.8374185101011</v>
      </c>
      <c r="H110" s="8" t="n">
        <v>2440.70954081768</v>
      </c>
      <c r="I110" s="9" t="n">
        <v>3.35214514351036</v>
      </c>
      <c r="J110" s="9" t="n">
        <v>9.94460611520849</v>
      </c>
      <c r="K110" s="3" t="s">
        <v>69</v>
      </c>
      <c r="L110" s="3" t="s">
        <v>70</v>
      </c>
      <c r="M110" s="7" t="n">
        <v>2022</v>
      </c>
    </row>
    <row r="111" customFormat="false" ht="15" hidden="false" customHeight="false" outlineLevel="0" collapsed="false">
      <c r="A111" s="3" t="n">
        <v>167</v>
      </c>
      <c r="B111" s="3" t="s">
        <v>68</v>
      </c>
      <c r="C111" s="4" t="s">
        <v>23</v>
      </c>
      <c r="D111" s="5" t="n">
        <v>3141</v>
      </c>
      <c r="E111" s="6" t="n">
        <v>59.1</v>
      </c>
      <c r="F111" s="7" t="n">
        <v>58</v>
      </c>
      <c r="G111" s="6" t="n">
        <v>46.432683181818</v>
      </c>
      <c r="H111" s="8" t="n">
        <v>4378.60202404544</v>
      </c>
      <c r="I111" s="9" t="n">
        <v>3.89453140441779</v>
      </c>
      <c r="J111" s="9" t="n">
        <v>13.2334633467666</v>
      </c>
      <c r="K111" s="3" t="s">
        <v>69</v>
      </c>
      <c r="L111" s="3" t="s">
        <v>70</v>
      </c>
      <c r="M111" s="7" t="n">
        <v>2023</v>
      </c>
    </row>
    <row r="112" customFormat="false" ht="15" hidden="false" customHeight="false" outlineLevel="0" collapsed="false">
      <c r="A112" s="3" t="n">
        <v>168</v>
      </c>
      <c r="B112" s="3" t="s">
        <v>68</v>
      </c>
      <c r="C112" s="4" t="s">
        <v>24</v>
      </c>
      <c r="D112" s="5" t="n">
        <v>3208</v>
      </c>
      <c r="E112" s="6" t="n">
        <v>59.1</v>
      </c>
      <c r="F112" s="7" t="n">
        <v>65</v>
      </c>
      <c r="G112" s="6" t="n">
        <v>66.163194772727</v>
      </c>
      <c r="H112" s="8" t="n">
        <v>7885.99118496133</v>
      </c>
      <c r="I112" s="9" t="n">
        <v>4.74244504871558</v>
      </c>
      <c r="J112" s="9" t="n">
        <v>18.4123109861373</v>
      </c>
      <c r="K112" s="3" t="s">
        <v>69</v>
      </c>
      <c r="L112" s="3" t="s">
        <v>70</v>
      </c>
      <c r="M112" s="7" t="n">
        <v>2024</v>
      </c>
    </row>
    <row r="113" customFormat="false" ht="15" hidden="false" customHeight="false" outlineLevel="0" collapsed="false">
      <c r="A113" s="3" t="n">
        <v>169</v>
      </c>
      <c r="B113" s="3" t="s">
        <v>71</v>
      </c>
      <c r="C113" s="4" t="s">
        <v>14</v>
      </c>
      <c r="D113" s="5" t="n">
        <v>4815</v>
      </c>
      <c r="E113" s="6" t="n">
        <v>64.837348</v>
      </c>
      <c r="F113" s="7" t="n">
        <v>52</v>
      </c>
      <c r="G113" s="6" t="n">
        <v>120.099977215575</v>
      </c>
      <c r="H113" s="8" t="n">
        <v>58101.4808028222</v>
      </c>
      <c r="I113" s="9" t="n">
        <v>19.4874438140248</v>
      </c>
      <c r="J113" s="9" t="n">
        <v>22.2675700511656</v>
      </c>
      <c r="K113" s="3" t="s">
        <v>72</v>
      </c>
      <c r="L113" s="3" t="s">
        <v>73</v>
      </c>
      <c r="M113" s="7" t="n">
        <v>2016</v>
      </c>
    </row>
    <row r="114" customFormat="false" ht="15" hidden="false" customHeight="false" outlineLevel="0" collapsed="false">
      <c r="A114" s="3" t="n">
        <v>170</v>
      </c>
      <c r="B114" s="3" t="s">
        <v>71</v>
      </c>
      <c r="C114" s="4" t="s">
        <v>17</v>
      </c>
      <c r="D114" s="5" t="n">
        <v>4819</v>
      </c>
      <c r="E114" s="6" t="n">
        <v>64.8</v>
      </c>
      <c r="F114" s="7" t="n">
        <v>54</v>
      </c>
      <c r="G114" s="6" t="n">
        <v>128.293174305364</v>
      </c>
      <c r="H114" s="8" t="n">
        <v>61904.3350111453</v>
      </c>
      <c r="I114" s="9" t="n">
        <v>19.6652608286774</v>
      </c>
      <c r="J114" s="9" t="n">
        <v>23.8322090104515</v>
      </c>
      <c r="K114" s="3" t="s">
        <v>72</v>
      </c>
      <c r="L114" s="3" t="s">
        <v>73</v>
      </c>
      <c r="M114" s="7" t="n">
        <v>2017</v>
      </c>
    </row>
    <row r="115" customFormat="false" ht="15" hidden="false" customHeight="false" outlineLevel="0" collapsed="false">
      <c r="A115" s="3" t="n">
        <v>171</v>
      </c>
      <c r="B115" s="3" t="s">
        <v>71</v>
      </c>
      <c r="C115" s="4" t="s">
        <v>18</v>
      </c>
      <c r="D115" s="5" t="n">
        <v>4828</v>
      </c>
      <c r="E115" s="6" t="n">
        <v>64.8</v>
      </c>
      <c r="F115" s="7" t="n">
        <v>54</v>
      </c>
      <c r="G115" s="6" t="n">
        <v>107.80517579085</v>
      </c>
      <c r="H115" s="8" t="n">
        <v>47981.5520409857</v>
      </c>
      <c r="I115" s="9" t="n">
        <v>20.6725574942874</v>
      </c>
      <c r="J115" s="9" t="n">
        <v>19.9889520019576</v>
      </c>
      <c r="K115" s="3" t="s">
        <v>72</v>
      </c>
      <c r="L115" s="3" t="s">
        <v>73</v>
      </c>
      <c r="M115" s="7" t="n">
        <v>2018</v>
      </c>
    </row>
    <row r="116" customFormat="false" ht="15" hidden="false" customHeight="false" outlineLevel="0" collapsed="false">
      <c r="A116" s="3" t="n">
        <v>172</v>
      </c>
      <c r="B116" s="3" t="s">
        <v>71</v>
      </c>
      <c r="C116" s="4" t="s">
        <v>19</v>
      </c>
      <c r="D116" s="5" t="n">
        <v>4836</v>
      </c>
      <c r="E116" s="6" t="n">
        <v>64.8</v>
      </c>
      <c r="F116" s="7" t="n">
        <v>54</v>
      </c>
      <c r="G116" s="6" t="n">
        <v>96.2620513256195</v>
      </c>
      <c r="H116" s="8" t="n">
        <v>52844.5154746581</v>
      </c>
      <c r="I116" s="9" t="n">
        <v>27.845288633831</v>
      </c>
      <c r="J116" s="9" t="n">
        <v>17.8191299267084</v>
      </c>
      <c r="K116" s="3" t="s">
        <v>72</v>
      </c>
      <c r="L116" s="3" t="s">
        <v>73</v>
      </c>
      <c r="M116" s="7" t="n">
        <v>2019</v>
      </c>
    </row>
    <row r="117" customFormat="false" ht="15" hidden="false" customHeight="false" outlineLevel="0" collapsed="false">
      <c r="A117" s="3" t="n">
        <v>173</v>
      </c>
      <c r="B117" s="3" t="s">
        <v>71</v>
      </c>
      <c r="C117" s="4" t="s">
        <v>20</v>
      </c>
      <c r="D117" s="5" t="n">
        <v>4841</v>
      </c>
      <c r="E117" s="6" t="n">
        <v>64.8</v>
      </c>
      <c r="F117" s="7" t="n">
        <v>54</v>
      </c>
      <c r="G117" s="6" t="n">
        <v>80.9674845994077</v>
      </c>
      <c r="H117" s="8" t="n">
        <v>53717.1955202289</v>
      </c>
      <c r="I117" s="9" t="n">
        <v>18.4909837701992</v>
      </c>
      <c r="J117" s="9" t="n">
        <v>14.9314422324164</v>
      </c>
      <c r="K117" s="3" t="s">
        <v>72</v>
      </c>
      <c r="L117" s="3" t="s">
        <v>73</v>
      </c>
      <c r="M117" s="7" t="n">
        <v>2020</v>
      </c>
    </row>
    <row r="118" customFormat="false" ht="15" hidden="false" customHeight="false" outlineLevel="0" collapsed="false">
      <c r="A118" s="3" t="n">
        <v>174</v>
      </c>
      <c r="B118" s="3" t="s">
        <v>71</v>
      </c>
      <c r="C118" s="4" t="s">
        <v>21</v>
      </c>
      <c r="D118" s="5" t="n">
        <v>4847</v>
      </c>
      <c r="E118" s="6" t="n">
        <v>64.8</v>
      </c>
      <c r="F118" s="7" t="n">
        <v>54</v>
      </c>
      <c r="G118" s="6" t="n">
        <v>114.748603442703</v>
      </c>
      <c r="H118" s="8" t="n">
        <v>78044.5806630477</v>
      </c>
      <c r="I118" s="9" t="n">
        <v>18.4305838844405</v>
      </c>
      <c r="J118" s="9" t="n">
        <v>21.1929817131749</v>
      </c>
      <c r="K118" s="3" t="s">
        <v>72</v>
      </c>
      <c r="L118" s="3" t="s">
        <v>73</v>
      </c>
      <c r="M118" s="7" t="n">
        <v>2021</v>
      </c>
    </row>
    <row r="119" customFormat="false" ht="15" hidden="false" customHeight="false" outlineLevel="0" collapsed="false">
      <c r="A119" s="3" t="n">
        <v>175</v>
      </c>
      <c r="B119" s="3" t="s">
        <v>71</v>
      </c>
      <c r="C119" s="4" t="s">
        <v>22</v>
      </c>
      <c r="D119" s="5" t="n">
        <v>4852</v>
      </c>
      <c r="E119" s="6" t="n">
        <v>64.8</v>
      </c>
      <c r="F119" s="7" t="n">
        <v>55</v>
      </c>
      <c r="G119" s="6" t="n">
        <v>106.078742106008</v>
      </c>
      <c r="H119" s="8" t="n">
        <v>97714.8468503166</v>
      </c>
      <c r="I119" s="9" t="n">
        <v>19.7011752175079</v>
      </c>
      <c r="J119" s="9" t="n">
        <v>19.5715509827061</v>
      </c>
      <c r="K119" s="3" t="s">
        <v>72</v>
      </c>
      <c r="L119" s="3" t="s">
        <v>73</v>
      </c>
      <c r="M119" s="7" t="n">
        <v>2022</v>
      </c>
    </row>
    <row r="120" customFormat="false" ht="15" hidden="false" customHeight="false" outlineLevel="0" collapsed="false">
      <c r="A120" s="3" t="n">
        <v>176</v>
      </c>
      <c r="B120" s="3" t="s">
        <v>71</v>
      </c>
      <c r="C120" s="4" t="s">
        <v>23</v>
      </c>
      <c r="D120" s="5" t="n">
        <v>4846</v>
      </c>
      <c r="E120" s="6" t="n">
        <v>64.8</v>
      </c>
      <c r="F120" s="7" t="n">
        <v>55</v>
      </c>
      <c r="G120" s="6" t="n">
        <v>129.571550958496</v>
      </c>
      <c r="H120" s="8" t="n">
        <v>108828.817372584</v>
      </c>
      <c r="I120" s="9" t="n">
        <v>24.7066776662542</v>
      </c>
      <c r="J120" s="9" t="n">
        <v>23.9355781427171</v>
      </c>
      <c r="K120" s="3" t="s">
        <v>72</v>
      </c>
      <c r="L120" s="3" t="s">
        <v>73</v>
      </c>
      <c r="M120" s="7" t="n">
        <v>2023</v>
      </c>
    </row>
    <row r="121" customFormat="false" ht="15" hidden="false" customHeight="false" outlineLevel="0" collapsed="false">
      <c r="A121" s="3" t="n">
        <v>177</v>
      </c>
      <c r="B121" s="3" t="s">
        <v>71</v>
      </c>
      <c r="C121" s="4" t="s">
        <v>24</v>
      </c>
      <c r="D121" s="5" t="n">
        <v>4846</v>
      </c>
      <c r="E121" s="6" t="n">
        <v>65.41174</v>
      </c>
      <c r="F121" s="7" t="n">
        <v>57</v>
      </c>
      <c r="G121" s="6" t="n">
        <v>113.506217528526</v>
      </c>
      <c r="H121" s="8" t="n">
        <v>97717.152577234</v>
      </c>
      <c r="I121" s="9" t="n">
        <v>25.6685045042418</v>
      </c>
      <c r="J121" s="9" t="n">
        <v>20.9104045635082</v>
      </c>
      <c r="K121" s="3" t="s">
        <v>72</v>
      </c>
      <c r="L121" s="3" t="s">
        <v>73</v>
      </c>
      <c r="M121" s="7" t="n">
        <v>2024</v>
      </c>
    </row>
    <row r="122" customFormat="false" ht="15" hidden="false" customHeight="false" outlineLevel="0" collapsed="false">
      <c r="A122" s="3" t="n">
        <v>197</v>
      </c>
      <c r="B122" s="3" t="s">
        <v>74</v>
      </c>
      <c r="C122" s="4" t="s">
        <v>41</v>
      </c>
      <c r="D122" s="5" t="n">
        <v>3744</v>
      </c>
      <c r="E122" s="6" t="n">
        <v>102.5</v>
      </c>
      <c r="F122" s="7" t="n">
        <v>53</v>
      </c>
      <c r="G122" s="6" t="n">
        <v>495.36240001364</v>
      </c>
      <c r="H122" s="8" t="n">
        <v>189228.403726127</v>
      </c>
      <c r="I122" s="9" t="n">
        <v>30.9940658653441</v>
      </c>
      <c r="J122" s="9" t="n">
        <v>118.441765731283</v>
      </c>
      <c r="K122" s="3" t="s">
        <v>75</v>
      </c>
      <c r="L122" s="3" t="s">
        <v>76</v>
      </c>
      <c r="M122" s="7" t="n">
        <v>2016</v>
      </c>
    </row>
    <row r="123" customFormat="false" ht="15" hidden="false" customHeight="false" outlineLevel="0" collapsed="false">
      <c r="A123" s="3" t="n">
        <v>198</v>
      </c>
      <c r="B123" s="3" t="s">
        <v>74</v>
      </c>
      <c r="C123" s="4" t="s">
        <v>42</v>
      </c>
      <c r="D123" s="5" t="n">
        <v>3758</v>
      </c>
      <c r="E123" s="6" t="n">
        <v>104.15625</v>
      </c>
      <c r="F123" s="7" t="n">
        <v>61</v>
      </c>
      <c r="G123" s="6" t="n">
        <v>679.276538328468</v>
      </c>
      <c r="H123" s="8" t="n">
        <v>86332.5849491813</v>
      </c>
      <c r="I123" s="9" t="n">
        <v>37.6634633712433</v>
      </c>
      <c r="J123" s="9" t="n">
        <v>161.810803100543</v>
      </c>
      <c r="K123" s="3" t="s">
        <v>75</v>
      </c>
      <c r="L123" s="3" t="s">
        <v>76</v>
      </c>
      <c r="M123" s="7" t="n">
        <v>2017</v>
      </c>
    </row>
    <row r="124" customFormat="false" ht="15" hidden="false" customHeight="false" outlineLevel="0" collapsed="false">
      <c r="A124" s="3" t="n">
        <v>199</v>
      </c>
      <c r="B124" s="3" t="s">
        <v>74</v>
      </c>
      <c r="C124" s="4" t="s">
        <v>43</v>
      </c>
      <c r="D124" s="5" t="n">
        <v>3775</v>
      </c>
      <c r="E124" s="6" t="n">
        <v>104.15625</v>
      </c>
      <c r="F124" s="7" t="n">
        <v>61</v>
      </c>
      <c r="G124" s="6" t="n">
        <v>795.176252087809</v>
      </c>
      <c r="H124" s="8" t="n">
        <v>94758.7273842648</v>
      </c>
      <c r="I124" s="9" t="n">
        <v>42.848573898197</v>
      </c>
      <c r="J124" s="9" t="n">
        <v>188.566317530795</v>
      </c>
      <c r="K124" s="3" t="s">
        <v>75</v>
      </c>
      <c r="L124" s="3" t="s">
        <v>76</v>
      </c>
      <c r="M124" s="7" t="n">
        <v>2018</v>
      </c>
    </row>
    <row r="125" customFormat="false" ht="15" hidden="false" customHeight="false" outlineLevel="0" collapsed="false">
      <c r="A125" s="3" t="n">
        <v>200</v>
      </c>
      <c r="B125" s="3" t="s">
        <v>74</v>
      </c>
      <c r="C125" s="4" t="s">
        <v>44</v>
      </c>
      <c r="D125" s="5" t="n">
        <v>3858</v>
      </c>
      <c r="E125" s="6" t="n">
        <v>104.185416666667</v>
      </c>
      <c r="F125" s="7" t="n">
        <v>65</v>
      </c>
      <c r="G125" s="6" t="n">
        <v>535.358563774639</v>
      </c>
      <c r="H125" s="8" t="n">
        <v>275508.015777807</v>
      </c>
      <c r="I125" s="9" t="n">
        <v>30.796858908342</v>
      </c>
      <c r="J125" s="9" t="n">
        <v>123.882147300773</v>
      </c>
      <c r="K125" s="3" t="s">
        <v>75</v>
      </c>
      <c r="L125" s="3" t="s">
        <v>76</v>
      </c>
      <c r="M125" s="7" t="n">
        <v>2019</v>
      </c>
    </row>
    <row r="126" customFormat="false" ht="15" hidden="false" customHeight="false" outlineLevel="0" collapsed="false">
      <c r="A126" s="3" t="n">
        <v>201</v>
      </c>
      <c r="B126" s="3" t="s">
        <v>74</v>
      </c>
      <c r="C126" s="4" t="s">
        <v>45</v>
      </c>
      <c r="D126" s="5" t="n">
        <v>4252</v>
      </c>
      <c r="E126" s="6" t="n">
        <v>104.2</v>
      </c>
      <c r="F126" s="7" t="n">
        <v>64</v>
      </c>
      <c r="G126" s="6" t="n">
        <v>904.263010861711</v>
      </c>
      <c r="H126" s="8" t="n">
        <v>141799.750468917</v>
      </c>
      <c r="I126" s="9" t="n">
        <v>43.8767212189617</v>
      </c>
      <c r="J126" s="9" t="n">
        <v>190.379062956992</v>
      </c>
      <c r="K126" s="3" t="s">
        <v>75</v>
      </c>
      <c r="L126" s="3" t="s">
        <v>76</v>
      </c>
      <c r="M126" s="7" t="n">
        <v>2020</v>
      </c>
    </row>
    <row r="127" customFormat="false" ht="15" hidden="false" customHeight="false" outlineLevel="0" collapsed="false">
      <c r="A127" s="3" t="n">
        <v>202</v>
      </c>
      <c r="B127" s="3" t="s">
        <v>74</v>
      </c>
      <c r="C127" s="4" t="s">
        <v>46</v>
      </c>
      <c r="D127" s="5" t="n">
        <v>3883</v>
      </c>
      <c r="E127" s="6" t="n">
        <v>104.2</v>
      </c>
      <c r="F127" s="7" t="n">
        <v>69</v>
      </c>
      <c r="G127" s="6" t="n">
        <v>555.331177139635</v>
      </c>
      <c r="H127" s="8" t="n">
        <v>107957.865023157</v>
      </c>
      <c r="I127" s="9" t="n">
        <v>31.1061248467904</v>
      </c>
      <c r="J127" s="9" t="n">
        <v>128.027227306778</v>
      </c>
      <c r="K127" s="3" t="s">
        <v>75</v>
      </c>
      <c r="L127" s="3" t="s">
        <v>76</v>
      </c>
      <c r="M127" s="7" t="n">
        <v>2021</v>
      </c>
    </row>
    <row r="128" customFormat="false" ht="15" hidden="false" customHeight="false" outlineLevel="0" collapsed="false">
      <c r="A128" s="3" t="n">
        <v>203</v>
      </c>
      <c r="B128" s="3" t="s">
        <v>74</v>
      </c>
      <c r="C128" s="4" t="s">
        <v>47</v>
      </c>
      <c r="D128" s="5" t="n">
        <v>3852</v>
      </c>
      <c r="E128" s="6" t="n">
        <v>105.91875</v>
      </c>
      <c r="F128" s="7" t="n">
        <v>64</v>
      </c>
      <c r="G128" s="6" t="n">
        <v>157.790553081471</v>
      </c>
      <c r="H128" s="8" t="n">
        <v>30674.9052326579</v>
      </c>
      <c r="I128" s="9" t="n">
        <v>10.0541253328414</v>
      </c>
      <c r="J128" s="9" t="n">
        <v>36.6701253467233</v>
      </c>
      <c r="K128" s="3" t="s">
        <v>75</v>
      </c>
      <c r="L128" s="3" t="s">
        <v>76</v>
      </c>
      <c r="M128" s="7" t="n">
        <v>2022</v>
      </c>
    </row>
    <row r="129" customFormat="false" ht="15" hidden="false" customHeight="false" outlineLevel="0" collapsed="false">
      <c r="A129" s="3" t="n">
        <v>204</v>
      </c>
      <c r="B129" s="3" t="s">
        <v>74</v>
      </c>
      <c r="C129" s="4" t="s">
        <v>48</v>
      </c>
      <c r="D129" s="5" t="n">
        <v>3870</v>
      </c>
      <c r="E129" s="6" t="n">
        <v>105.9</v>
      </c>
      <c r="F129" s="7" t="n">
        <v>64</v>
      </c>
      <c r="G129" s="6" t="n">
        <v>352.805086056279</v>
      </c>
      <c r="H129" s="8" t="n">
        <v>105474.98656386</v>
      </c>
      <c r="I129" s="9" t="n">
        <v>19.432111578799</v>
      </c>
      <c r="J129" s="9" t="n">
        <v>81.3860678181477</v>
      </c>
      <c r="K129" s="3" t="s">
        <v>75</v>
      </c>
      <c r="L129" s="3" t="s">
        <v>76</v>
      </c>
      <c r="M129" s="7" t="n">
        <v>2023</v>
      </c>
    </row>
    <row r="130" customFormat="false" ht="15" hidden="false" customHeight="false" outlineLevel="0" collapsed="false">
      <c r="A130" s="3" t="n">
        <v>205</v>
      </c>
      <c r="B130" s="3" t="s">
        <v>74</v>
      </c>
      <c r="C130" s="4" t="s">
        <v>49</v>
      </c>
      <c r="D130" s="5" t="n">
        <v>3864</v>
      </c>
      <c r="E130" s="6" t="n">
        <v>104.2</v>
      </c>
      <c r="F130" s="7" t="n">
        <v>63</v>
      </c>
      <c r="G130" s="6" t="n">
        <v>436.835053364755</v>
      </c>
      <c r="H130" s="8" t="n">
        <v>113447.461930455</v>
      </c>
      <c r="I130" s="9" t="n">
        <v>24.5755243799569</v>
      </c>
      <c r="J130" s="9" t="n">
        <v>101.204083747098</v>
      </c>
      <c r="K130" s="3" t="s">
        <v>75</v>
      </c>
      <c r="L130" s="3" t="s">
        <v>76</v>
      </c>
      <c r="M130" s="7" t="n">
        <v>2024</v>
      </c>
    </row>
    <row r="131" customFormat="false" ht="15" hidden="false" customHeight="false" outlineLevel="0" collapsed="false">
      <c r="A131" s="3" t="n">
        <v>206</v>
      </c>
      <c r="B131" s="3" t="s">
        <v>77</v>
      </c>
      <c r="C131" s="4" t="s">
        <v>41</v>
      </c>
      <c r="D131" s="5" t="n">
        <v>6025</v>
      </c>
      <c r="E131" s="6" t="n">
        <v>153.753</v>
      </c>
      <c r="F131" s="7" t="n">
        <v>56</v>
      </c>
      <c r="G131" s="6" t="n">
        <v>646.65357644632</v>
      </c>
      <c r="H131" s="8" t="n">
        <v>247021.623020558</v>
      </c>
      <c r="I131" s="9" t="n">
        <v>44.8863306471796</v>
      </c>
      <c r="J131" s="9" t="n">
        <v>96.079847949756</v>
      </c>
      <c r="K131" s="3" t="s">
        <v>75</v>
      </c>
      <c r="L131" s="3" t="s">
        <v>76</v>
      </c>
      <c r="M131" s="7" t="n">
        <v>2016</v>
      </c>
    </row>
    <row r="132" customFormat="false" ht="15" hidden="false" customHeight="false" outlineLevel="0" collapsed="false">
      <c r="A132" s="3" t="n">
        <v>207</v>
      </c>
      <c r="B132" s="3" t="s">
        <v>77</v>
      </c>
      <c r="C132" s="4" t="s">
        <v>42</v>
      </c>
      <c r="D132" s="5" t="n">
        <v>5789</v>
      </c>
      <c r="E132" s="6" t="n">
        <v>156.585386363636</v>
      </c>
      <c r="F132" s="7" t="n">
        <v>60</v>
      </c>
      <c r="G132" s="6" t="n">
        <v>553.17056332436</v>
      </c>
      <c r="H132" s="8" t="n">
        <v>96538.9107670588</v>
      </c>
      <c r="I132" s="9" t="n">
        <v>41.2335303662744</v>
      </c>
      <c r="J132" s="9" t="n">
        <v>85.5407760976226</v>
      </c>
      <c r="K132" s="3" t="s">
        <v>75</v>
      </c>
      <c r="L132" s="3" t="s">
        <v>76</v>
      </c>
      <c r="M132" s="7" t="n">
        <v>2017</v>
      </c>
    </row>
    <row r="133" customFormat="false" ht="15" hidden="false" customHeight="false" outlineLevel="0" collapsed="false">
      <c r="A133" s="3" t="n">
        <v>208</v>
      </c>
      <c r="B133" s="3" t="s">
        <v>77</v>
      </c>
      <c r="C133" s="4" t="s">
        <v>43</v>
      </c>
      <c r="D133" s="5" t="n">
        <v>5793</v>
      </c>
      <c r="E133" s="6" t="n">
        <v>156.585386363636</v>
      </c>
      <c r="F133" s="7" t="n">
        <v>60</v>
      </c>
      <c r="G133" s="6" t="n">
        <v>472.472798260255</v>
      </c>
      <c r="H133" s="8" t="n">
        <v>75566.0796044016</v>
      </c>
      <c r="I133" s="9" t="n">
        <v>37.9449187665781</v>
      </c>
      <c r="J133" s="9" t="n">
        <v>73.0114470220322</v>
      </c>
      <c r="K133" s="3" t="s">
        <v>75</v>
      </c>
      <c r="L133" s="3" t="s">
        <v>76</v>
      </c>
      <c r="M133" s="7" t="n">
        <v>2018</v>
      </c>
    </row>
    <row r="134" customFormat="false" ht="15" hidden="false" customHeight="false" outlineLevel="0" collapsed="false">
      <c r="A134" s="3" t="n">
        <v>209</v>
      </c>
      <c r="B134" s="3" t="s">
        <v>77</v>
      </c>
      <c r="C134" s="4" t="s">
        <v>44</v>
      </c>
      <c r="D134" s="5" t="n">
        <v>5991</v>
      </c>
      <c r="E134" s="6" t="n">
        <v>156.66571969697</v>
      </c>
      <c r="F134" s="7" t="n">
        <v>63</v>
      </c>
      <c r="G134" s="6" t="n">
        <v>210.543160346963</v>
      </c>
      <c r="H134" s="8" t="n">
        <v>111757.463110303</v>
      </c>
      <c r="I134" s="9" t="n">
        <v>21.7779783393502</v>
      </c>
      <c r="J134" s="9" t="n">
        <v>31.3738641488343</v>
      </c>
      <c r="K134" s="3" t="s">
        <v>75</v>
      </c>
      <c r="L134" s="3" t="s">
        <v>76</v>
      </c>
      <c r="M134" s="7" t="n">
        <v>2019</v>
      </c>
    </row>
    <row r="135" customFormat="false" ht="15" hidden="false" customHeight="false" outlineLevel="0" collapsed="false">
      <c r="A135" s="3" t="n">
        <v>210</v>
      </c>
      <c r="B135" s="3" t="s">
        <v>77</v>
      </c>
      <c r="C135" s="4" t="s">
        <v>45</v>
      </c>
      <c r="D135" s="5" t="n">
        <v>5704</v>
      </c>
      <c r="E135" s="6" t="n">
        <v>156.7</v>
      </c>
      <c r="F135" s="7" t="n">
        <v>63</v>
      </c>
      <c r="G135" s="6" t="n">
        <v>608.361125595148</v>
      </c>
      <c r="H135" s="8" t="n">
        <v>95059.6518398811</v>
      </c>
      <c r="I135" s="9" t="n">
        <v>50.0664827986644</v>
      </c>
      <c r="J135" s="9" t="n">
        <v>95.477186404906</v>
      </c>
      <c r="K135" s="3" t="s">
        <v>75</v>
      </c>
      <c r="L135" s="3" t="s">
        <v>76</v>
      </c>
      <c r="M135" s="7" t="n">
        <v>2020</v>
      </c>
    </row>
    <row r="136" customFormat="false" ht="15" hidden="false" customHeight="false" outlineLevel="0" collapsed="false">
      <c r="A136" s="3" t="n">
        <v>211</v>
      </c>
      <c r="B136" s="3" t="s">
        <v>77</v>
      </c>
      <c r="C136" s="4" t="s">
        <v>46</v>
      </c>
      <c r="D136" s="5" t="n">
        <v>6113</v>
      </c>
      <c r="E136" s="6" t="n">
        <v>156.7</v>
      </c>
      <c r="F136" s="7" t="n">
        <v>70</v>
      </c>
      <c r="G136" s="6" t="n">
        <v>160.335966862371</v>
      </c>
      <c r="H136" s="8" t="n">
        <v>33172.8377756111</v>
      </c>
      <c r="I136" s="9" t="n">
        <v>19.4132056563857</v>
      </c>
      <c r="J136" s="9" t="n">
        <v>23.4797913733075</v>
      </c>
      <c r="K136" s="3" t="s">
        <v>75</v>
      </c>
      <c r="L136" s="3" t="s">
        <v>76</v>
      </c>
      <c r="M136" s="7" t="n">
        <v>2021</v>
      </c>
    </row>
    <row r="137" customFormat="false" ht="15" hidden="false" customHeight="false" outlineLevel="0" collapsed="false">
      <c r="A137" s="3" t="n">
        <v>212</v>
      </c>
      <c r="B137" s="3" t="s">
        <v>77</v>
      </c>
      <c r="C137" s="4" t="s">
        <v>47</v>
      </c>
      <c r="D137" s="5" t="n">
        <v>5978</v>
      </c>
      <c r="E137" s="6" t="n">
        <v>159.611931818182</v>
      </c>
      <c r="F137" s="7" t="n">
        <v>61</v>
      </c>
      <c r="G137" s="6" t="n">
        <v>308.456008491175</v>
      </c>
      <c r="H137" s="8" t="n">
        <v>63818.2519544944</v>
      </c>
      <c r="I137" s="9" t="n">
        <v>27.2958390126963</v>
      </c>
      <c r="J137" s="9" t="n">
        <v>46.1907483220793</v>
      </c>
      <c r="K137" s="3" t="s">
        <v>75</v>
      </c>
      <c r="L137" s="3" t="s">
        <v>76</v>
      </c>
      <c r="M137" s="7" t="n">
        <v>2022</v>
      </c>
    </row>
    <row r="138" customFormat="false" ht="15" hidden="false" customHeight="false" outlineLevel="0" collapsed="false">
      <c r="A138" s="3" t="n">
        <v>213</v>
      </c>
      <c r="B138" s="3" t="s">
        <v>77</v>
      </c>
      <c r="C138" s="4" t="s">
        <v>48</v>
      </c>
      <c r="D138" s="5" t="n">
        <v>6001</v>
      </c>
      <c r="E138" s="6" t="n">
        <v>159.825</v>
      </c>
      <c r="F138" s="7" t="n">
        <v>62</v>
      </c>
      <c r="G138" s="6" t="n">
        <v>340.628398878367</v>
      </c>
      <c r="H138" s="8" t="n">
        <v>227321.546778335</v>
      </c>
      <c r="I138" s="9" t="n">
        <v>27.5548679797963</v>
      </c>
      <c r="J138" s="9" t="n">
        <v>50.6737938210822</v>
      </c>
      <c r="K138" s="3" t="s">
        <v>75</v>
      </c>
      <c r="L138" s="3" t="s">
        <v>76</v>
      </c>
      <c r="M138" s="7" t="n">
        <v>2023</v>
      </c>
    </row>
    <row r="139" customFormat="false" ht="15" hidden="false" customHeight="false" outlineLevel="0" collapsed="false">
      <c r="A139" s="3" t="n">
        <v>214</v>
      </c>
      <c r="B139" s="3" t="s">
        <v>77</v>
      </c>
      <c r="C139" s="4" t="s">
        <v>49</v>
      </c>
      <c r="D139" s="5" t="n">
        <v>5989</v>
      </c>
      <c r="E139" s="6" t="n">
        <v>156.7</v>
      </c>
      <c r="F139" s="7" t="n">
        <v>63</v>
      </c>
      <c r="G139" s="6" t="n">
        <v>391.651021861785</v>
      </c>
      <c r="H139" s="8" t="n">
        <v>220144.249556587</v>
      </c>
      <c r="I139" s="9" t="n">
        <v>31.7200442819307</v>
      </c>
      <c r="J139" s="9" t="n">
        <v>58.5413354541405</v>
      </c>
      <c r="K139" s="3" t="s">
        <v>75</v>
      </c>
      <c r="L139" s="3" t="s">
        <v>76</v>
      </c>
      <c r="M139" s="7" t="n">
        <v>2024</v>
      </c>
    </row>
    <row r="140" customFormat="false" ht="15" hidden="false" customHeight="false" outlineLevel="0" collapsed="false">
      <c r="A140" s="3" t="n">
        <v>216</v>
      </c>
      <c r="B140" s="3" t="s">
        <v>78</v>
      </c>
      <c r="C140" s="4" t="s">
        <v>45</v>
      </c>
      <c r="D140" s="5" t="n">
        <v>3106</v>
      </c>
      <c r="E140" s="6" t="n">
        <v>55.4</v>
      </c>
      <c r="F140" s="7" t="n">
        <v>64</v>
      </c>
      <c r="G140" s="6" t="n">
        <v>525.980551745557</v>
      </c>
      <c r="H140" s="8" t="n">
        <v>66235.8658781186</v>
      </c>
      <c r="I140" s="9" t="n">
        <v>37.4091825307951</v>
      </c>
      <c r="J140" s="9" t="n">
        <v>151.595360244654</v>
      </c>
      <c r="K140" s="3" t="s">
        <v>75</v>
      </c>
      <c r="L140" s="3" t="s">
        <v>76</v>
      </c>
      <c r="M140" s="7" t="n">
        <v>2020</v>
      </c>
    </row>
    <row r="141" customFormat="false" ht="15" hidden="false" customHeight="false" outlineLevel="0" collapsed="false">
      <c r="A141" s="3" t="n">
        <v>227</v>
      </c>
      <c r="B141" s="3" t="s">
        <v>79</v>
      </c>
      <c r="C141" s="4" t="s">
        <v>80</v>
      </c>
      <c r="D141" s="5" t="n">
        <v>31965</v>
      </c>
      <c r="E141" s="6" t="n">
        <v>339</v>
      </c>
      <c r="F141" s="7" t="n">
        <v>54</v>
      </c>
      <c r="G141" s="6" t="n">
        <v>13.3838635902587</v>
      </c>
      <c r="H141" s="8" t="n">
        <v>15216.3060466367</v>
      </c>
      <c r="I141" s="9" t="n">
        <v>11.5467839083219</v>
      </c>
      <c r="J141" s="9" t="n">
        <v>0.373794568524168</v>
      </c>
      <c r="K141" s="3" t="s">
        <v>81</v>
      </c>
      <c r="L141" s="3" t="s">
        <v>82</v>
      </c>
      <c r="M141" s="7" t="n">
        <v>2015</v>
      </c>
    </row>
    <row r="142" customFormat="false" ht="15" hidden="false" customHeight="false" outlineLevel="0" collapsed="false">
      <c r="A142" s="3" t="n">
        <v>228</v>
      </c>
      <c r="B142" s="3" t="s">
        <v>79</v>
      </c>
      <c r="C142" s="4" t="s">
        <v>41</v>
      </c>
      <c r="D142" s="5" t="n">
        <v>32291</v>
      </c>
      <c r="E142" s="6" t="n">
        <v>378.8</v>
      </c>
      <c r="F142" s="7" t="n">
        <v>59</v>
      </c>
      <c r="G142" s="6" t="n">
        <v>935.498612816109</v>
      </c>
      <c r="H142" s="8" t="n">
        <v>1352908.59948669</v>
      </c>
      <c r="I142" s="9" t="n">
        <v>16.0981648208503</v>
      </c>
      <c r="J142" s="9" t="n">
        <v>25.9345864823307</v>
      </c>
      <c r="K142" s="3" t="s">
        <v>81</v>
      </c>
      <c r="L142" s="3" t="s">
        <v>82</v>
      </c>
      <c r="M142" s="7" t="n">
        <v>2016</v>
      </c>
    </row>
    <row r="143" customFormat="false" ht="15" hidden="false" customHeight="false" outlineLevel="0" collapsed="false">
      <c r="A143" s="3" t="n">
        <v>229</v>
      </c>
      <c r="B143" s="3" t="s">
        <v>79</v>
      </c>
      <c r="C143" s="4" t="s">
        <v>42</v>
      </c>
      <c r="D143" s="5" t="n">
        <v>32412</v>
      </c>
      <c r="E143" s="6" t="n">
        <v>367.5</v>
      </c>
      <c r="F143" s="7" t="n">
        <v>60</v>
      </c>
      <c r="G143" s="6" t="n">
        <v>307.262788978158</v>
      </c>
      <c r="H143" s="8" t="n">
        <v>288388.029392803</v>
      </c>
      <c r="I143" s="9" t="n">
        <v>12.6037164783527</v>
      </c>
      <c r="J143" s="9" t="n">
        <v>8.48636706349108</v>
      </c>
      <c r="K143" s="3" t="s">
        <v>81</v>
      </c>
      <c r="L143" s="3" t="s">
        <v>82</v>
      </c>
      <c r="M143" s="7" t="n">
        <v>2017</v>
      </c>
    </row>
    <row r="144" customFormat="false" ht="15" hidden="false" customHeight="false" outlineLevel="0" collapsed="false">
      <c r="A144" s="3" t="n">
        <v>230</v>
      </c>
      <c r="B144" s="3" t="s">
        <v>79</v>
      </c>
      <c r="C144" s="4" t="s">
        <v>43</v>
      </c>
      <c r="D144" s="5" t="n">
        <v>32500</v>
      </c>
      <c r="E144" s="6" t="n">
        <v>365.81</v>
      </c>
      <c r="F144" s="7" t="n">
        <v>60</v>
      </c>
      <c r="G144" s="6" t="n">
        <v>51.6362777751578</v>
      </c>
      <c r="H144" s="8" t="n">
        <v>39858.1348275779</v>
      </c>
      <c r="I144" s="9" t="n">
        <v>11.2819216719055</v>
      </c>
      <c r="J144" s="9" t="n">
        <v>1.42229355446432</v>
      </c>
      <c r="K144" s="3" t="s">
        <v>81</v>
      </c>
      <c r="L144" s="3" t="s">
        <v>82</v>
      </c>
      <c r="M144" s="7" t="n">
        <v>2018</v>
      </c>
    </row>
    <row r="145" customFormat="false" ht="15" hidden="false" customHeight="false" outlineLevel="0" collapsed="false">
      <c r="A145" s="3" t="n">
        <v>231</v>
      </c>
      <c r="B145" s="3" t="s">
        <v>79</v>
      </c>
      <c r="C145" s="4" t="s">
        <v>44</v>
      </c>
      <c r="D145" s="5" t="n">
        <v>32647</v>
      </c>
      <c r="E145" s="6" t="n">
        <v>395.8</v>
      </c>
      <c r="F145" s="7" t="n">
        <v>60</v>
      </c>
      <c r="G145" s="6" t="n">
        <v>90.8706886123762</v>
      </c>
      <c r="H145" s="8" t="n">
        <v>58615.0685313018</v>
      </c>
      <c r="I145" s="9" t="n">
        <v>11.5295100183593</v>
      </c>
      <c r="J145" s="9" t="n">
        <v>2.48488751237554</v>
      </c>
      <c r="K145" s="3" t="s">
        <v>81</v>
      </c>
      <c r="L145" s="3" t="s">
        <v>82</v>
      </c>
      <c r="M145" s="7" t="n">
        <v>2019</v>
      </c>
    </row>
    <row r="146" customFormat="false" ht="15" hidden="false" customHeight="false" outlineLevel="0" collapsed="false">
      <c r="A146" s="3" t="n">
        <v>232</v>
      </c>
      <c r="B146" s="3" t="s">
        <v>79</v>
      </c>
      <c r="C146" s="4" t="s">
        <v>45</v>
      </c>
      <c r="D146" s="5" t="n">
        <v>33014</v>
      </c>
      <c r="E146" s="6" t="n">
        <v>393.72</v>
      </c>
      <c r="F146" s="7" t="n">
        <v>60</v>
      </c>
      <c r="G146" s="6" t="n">
        <v>171.991198197214</v>
      </c>
      <c r="H146" s="8" t="n">
        <v>166057.433532583</v>
      </c>
      <c r="I146" s="9" t="n">
        <v>12.0457848374675</v>
      </c>
      <c r="J146" s="9" t="n">
        <v>4.66364785000972</v>
      </c>
      <c r="K146" s="3" t="s">
        <v>81</v>
      </c>
      <c r="L146" s="3" t="s">
        <v>82</v>
      </c>
      <c r="M146" s="7" t="n">
        <v>2020</v>
      </c>
    </row>
    <row r="147" customFormat="false" ht="15" hidden="false" customHeight="false" outlineLevel="0" collapsed="false">
      <c r="A147" s="3" t="n">
        <v>233</v>
      </c>
      <c r="B147" s="3" t="s">
        <v>79</v>
      </c>
      <c r="C147" s="4" t="s">
        <v>46</v>
      </c>
      <c r="D147" s="5" t="n">
        <v>33595</v>
      </c>
      <c r="E147" s="6" t="n">
        <v>406.5</v>
      </c>
      <c r="F147" s="7" t="n">
        <v>61</v>
      </c>
      <c r="G147" s="6" t="n">
        <v>766.143373658167</v>
      </c>
      <c r="H147" s="8" t="n">
        <v>727325.015641175</v>
      </c>
      <c r="I147" s="9" t="n">
        <v>14.800528998831</v>
      </c>
      <c r="J147" s="9" t="n">
        <v>20.4151736710139</v>
      </c>
      <c r="K147" s="3" t="s">
        <v>81</v>
      </c>
      <c r="L147" s="3" t="s">
        <v>82</v>
      </c>
      <c r="M147" s="7" t="n">
        <v>2021</v>
      </c>
    </row>
    <row r="148" customFormat="false" ht="15" hidden="false" customHeight="false" outlineLevel="0" collapsed="false">
      <c r="A148" s="3" t="n">
        <v>234</v>
      </c>
      <c r="B148" s="3" t="s">
        <v>79</v>
      </c>
      <c r="C148" s="4" t="s">
        <v>47</v>
      </c>
      <c r="D148" s="5" t="n">
        <v>33926</v>
      </c>
      <c r="E148" s="6" t="n">
        <v>406.27</v>
      </c>
      <c r="F148" s="7" t="n">
        <v>51</v>
      </c>
      <c r="G148" s="6" t="n">
        <v>172.971972880226</v>
      </c>
      <c r="H148" s="8" t="n">
        <v>149223.510099698</v>
      </c>
      <c r="I148" s="9" t="n">
        <v>12.0152395943544</v>
      </c>
      <c r="J148" s="9" t="n">
        <v>4.56415889779132</v>
      </c>
      <c r="K148" s="3" t="s">
        <v>81</v>
      </c>
      <c r="L148" s="3" t="s">
        <v>82</v>
      </c>
      <c r="M148" s="7" t="n">
        <v>2022</v>
      </c>
    </row>
    <row r="149" customFormat="false" ht="15" hidden="false" customHeight="false" outlineLevel="0" collapsed="false">
      <c r="A149" s="3" t="n">
        <v>235</v>
      </c>
      <c r="B149" s="3" t="s">
        <v>79</v>
      </c>
      <c r="C149" s="4" t="s">
        <v>48</v>
      </c>
      <c r="D149" s="5" t="n">
        <v>34569</v>
      </c>
      <c r="E149" s="6" t="n">
        <v>406.94</v>
      </c>
      <c r="F149" s="7" t="n">
        <v>46</v>
      </c>
      <c r="G149" s="6" t="n">
        <v>764.24718135292</v>
      </c>
      <c r="H149" s="8" t="n">
        <v>854762.892488401</v>
      </c>
      <c r="I149" s="9" t="n">
        <v>20.926274439389</v>
      </c>
      <c r="J149" s="9" t="n">
        <v>19.7366401436579</v>
      </c>
      <c r="K149" s="3" t="s">
        <v>81</v>
      </c>
      <c r="L149" s="3" t="s">
        <v>82</v>
      </c>
      <c r="M149" s="7" t="n">
        <v>2023</v>
      </c>
    </row>
    <row r="150" customFormat="false" ht="15" hidden="false" customHeight="false" outlineLevel="0" collapsed="false">
      <c r="A150" s="3" t="n">
        <v>236</v>
      </c>
      <c r="B150" s="3" t="s">
        <v>79</v>
      </c>
      <c r="C150" s="4" t="s">
        <v>49</v>
      </c>
      <c r="D150" s="5" t="n">
        <v>34668</v>
      </c>
      <c r="E150" s="6" t="n">
        <v>381.33</v>
      </c>
      <c r="F150" s="7" t="n">
        <v>67</v>
      </c>
      <c r="G150" s="6" t="n">
        <v>1187.08573057999</v>
      </c>
      <c r="H150" s="8" t="n">
        <v>117347.461258987</v>
      </c>
      <c r="I150" s="9" t="n">
        <v>17.3381249375927</v>
      </c>
      <c r="J150" s="9" t="n">
        <v>30.6528578461707</v>
      </c>
      <c r="K150" s="3" t="s">
        <v>81</v>
      </c>
      <c r="L150" s="3" t="s">
        <v>82</v>
      </c>
      <c r="M150" s="7" t="n">
        <v>2024</v>
      </c>
    </row>
    <row r="151" customFormat="false" ht="15" hidden="false" customHeight="false" outlineLevel="0" collapsed="false">
      <c r="A151" s="3" t="n">
        <v>237</v>
      </c>
      <c r="B151" s="3" t="s">
        <v>83</v>
      </c>
      <c r="C151" s="4" t="s">
        <v>14</v>
      </c>
      <c r="D151" s="5" t="n">
        <v>5060</v>
      </c>
      <c r="E151" s="6" t="n">
        <v>50.4</v>
      </c>
      <c r="F151" s="7" t="n">
        <v>73</v>
      </c>
      <c r="G151" s="6" t="n">
        <v>145.862025765453</v>
      </c>
      <c r="H151" s="8" t="n">
        <v>166358.557626015</v>
      </c>
      <c r="I151" s="9" t="n">
        <v>11.4823601009559</v>
      </c>
      <c r="J151" s="9" t="n">
        <v>25.7346293560554</v>
      </c>
      <c r="K151" s="3" t="s">
        <v>84</v>
      </c>
      <c r="L151" s="3" t="s">
        <v>85</v>
      </c>
      <c r="M151" s="7" t="n">
        <v>2016</v>
      </c>
    </row>
    <row r="152" customFormat="false" ht="15" hidden="false" customHeight="false" outlineLevel="0" collapsed="false">
      <c r="A152" s="3" t="n">
        <v>238</v>
      </c>
      <c r="B152" s="3" t="s">
        <v>83</v>
      </c>
      <c r="C152" s="4" t="s">
        <v>17</v>
      </c>
      <c r="D152" s="5" t="n">
        <v>5120</v>
      </c>
      <c r="E152" s="6" t="n">
        <v>52.7683991850379</v>
      </c>
      <c r="F152" s="7" t="n">
        <v>74</v>
      </c>
      <c r="G152" s="6" t="n">
        <v>133.976965422204</v>
      </c>
      <c r="H152" s="8" t="n">
        <v>172195.234578542</v>
      </c>
      <c r="I152" s="9" t="n">
        <v>9.03364424974089</v>
      </c>
      <c r="J152" s="9" t="n">
        <v>23.4249056489261</v>
      </c>
      <c r="K152" s="3" t="s">
        <v>84</v>
      </c>
      <c r="L152" s="3" t="s">
        <v>85</v>
      </c>
      <c r="M152" s="7" t="n">
        <v>2017</v>
      </c>
    </row>
    <row r="153" customFormat="false" ht="15" hidden="false" customHeight="false" outlineLevel="0" collapsed="false">
      <c r="A153" s="3" t="n">
        <v>239</v>
      </c>
      <c r="B153" s="3" t="s">
        <v>83</v>
      </c>
      <c r="C153" s="4" t="s">
        <v>18</v>
      </c>
      <c r="D153" s="5" t="n">
        <v>5137</v>
      </c>
      <c r="E153" s="6" t="n">
        <v>53</v>
      </c>
      <c r="F153" s="7" t="n">
        <v>74</v>
      </c>
      <c r="G153" s="6" t="n">
        <v>134.527641438891</v>
      </c>
      <c r="H153" s="8" t="n">
        <v>165112.500720023</v>
      </c>
      <c r="I153" s="9" t="n">
        <v>9.48083378353568</v>
      </c>
      <c r="J153" s="9" t="n">
        <v>23.4433481350042</v>
      </c>
      <c r="K153" s="3" t="s">
        <v>84</v>
      </c>
      <c r="L153" s="3" t="s">
        <v>85</v>
      </c>
      <c r="M153" s="7" t="n">
        <v>2018</v>
      </c>
    </row>
    <row r="154" customFormat="false" ht="15" hidden="false" customHeight="false" outlineLevel="0" collapsed="false">
      <c r="A154" s="3" t="n">
        <v>240</v>
      </c>
      <c r="B154" s="3" t="s">
        <v>83</v>
      </c>
      <c r="C154" s="4" t="s">
        <v>19</v>
      </c>
      <c r="D154" s="5" t="n">
        <v>5137</v>
      </c>
      <c r="E154" s="6" t="n">
        <v>52.5</v>
      </c>
      <c r="F154" s="7" t="n">
        <v>73</v>
      </c>
      <c r="G154" s="6" t="n">
        <v>123.616384788727</v>
      </c>
      <c r="H154" s="8" t="n">
        <v>155251.05382001</v>
      </c>
      <c r="I154" s="9" t="n">
        <v>9.56997990273537</v>
      </c>
      <c r="J154" s="9" t="n">
        <v>21.5419070222024</v>
      </c>
      <c r="K154" s="3" t="s">
        <v>84</v>
      </c>
      <c r="L154" s="3" t="s">
        <v>85</v>
      </c>
      <c r="M154" s="7" t="n">
        <v>2019</v>
      </c>
    </row>
    <row r="155" customFormat="false" ht="15" hidden="false" customHeight="false" outlineLevel="0" collapsed="false">
      <c r="A155" s="3" t="n">
        <v>241</v>
      </c>
      <c r="B155" s="3" t="s">
        <v>83</v>
      </c>
      <c r="C155" s="4" t="s">
        <v>20</v>
      </c>
      <c r="D155" s="5" t="n">
        <v>5149</v>
      </c>
      <c r="E155" s="6" t="n">
        <v>50.7212372113409</v>
      </c>
      <c r="F155" s="7" t="n">
        <v>70</v>
      </c>
      <c r="G155" s="6" t="n">
        <v>111.691284826414</v>
      </c>
      <c r="H155" s="8" t="n">
        <v>141848.540875771</v>
      </c>
      <c r="I155" s="9" t="n">
        <v>8.47940055211667</v>
      </c>
      <c r="J155" s="9" t="n">
        <v>19.3652268438728</v>
      </c>
      <c r="K155" s="3" t="s">
        <v>84</v>
      </c>
      <c r="L155" s="3" t="s">
        <v>85</v>
      </c>
      <c r="M155" s="7" t="n">
        <v>2020</v>
      </c>
    </row>
    <row r="156" customFormat="false" ht="15" hidden="false" customHeight="false" outlineLevel="0" collapsed="false">
      <c r="A156" s="3" t="n">
        <v>242</v>
      </c>
      <c r="B156" s="3" t="s">
        <v>83</v>
      </c>
      <c r="C156" s="4" t="s">
        <v>21</v>
      </c>
      <c r="D156" s="5" t="n">
        <v>5149</v>
      </c>
      <c r="E156" s="6" t="n">
        <v>50.7</v>
      </c>
      <c r="F156" s="7" t="n">
        <v>72</v>
      </c>
      <c r="G156" s="6" t="n">
        <v>132.821594961429</v>
      </c>
      <c r="H156" s="8" t="n">
        <v>167441.543688125</v>
      </c>
      <c r="I156" s="9" t="n">
        <v>9.72201985474779</v>
      </c>
      <c r="J156" s="9" t="n">
        <v>23.0921023498517</v>
      </c>
      <c r="K156" s="3" t="s">
        <v>84</v>
      </c>
      <c r="L156" s="3" t="s">
        <v>85</v>
      </c>
      <c r="M156" s="7" t="n">
        <v>2021</v>
      </c>
    </row>
    <row r="157" customFormat="false" ht="15" hidden="false" customHeight="false" outlineLevel="0" collapsed="false">
      <c r="A157" s="3" t="n">
        <v>243</v>
      </c>
      <c r="B157" s="3" t="s">
        <v>83</v>
      </c>
      <c r="C157" s="4" t="s">
        <v>22</v>
      </c>
      <c r="D157" s="5" t="n">
        <v>5156</v>
      </c>
      <c r="E157" s="6" t="n">
        <v>50.8</v>
      </c>
      <c r="F157" s="7" t="n">
        <v>72</v>
      </c>
      <c r="G157" s="6" t="n">
        <v>101.290488263328</v>
      </c>
      <c r="H157" s="8" t="n">
        <v>149321.863212313</v>
      </c>
      <c r="I157" s="9" t="n">
        <v>7.33471678099222</v>
      </c>
      <c r="J157" s="9" t="n">
        <v>17.586257604015</v>
      </c>
      <c r="K157" s="3" t="s">
        <v>84</v>
      </c>
      <c r="L157" s="3" t="s">
        <v>85</v>
      </c>
      <c r="M157" s="7" t="n">
        <v>2022</v>
      </c>
    </row>
    <row r="158" customFormat="false" ht="15" hidden="false" customHeight="false" outlineLevel="0" collapsed="false">
      <c r="A158" s="3" t="n">
        <v>244</v>
      </c>
      <c r="B158" s="3" t="s">
        <v>83</v>
      </c>
      <c r="C158" s="4" t="s">
        <v>23</v>
      </c>
      <c r="D158" s="5" t="n">
        <v>5160</v>
      </c>
      <c r="E158" s="6" t="n">
        <v>50.8587642336648</v>
      </c>
      <c r="F158" s="7" t="n">
        <v>72</v>
      </c>
      <c r="G158" s="6" t="n">
        <v>79.1398659846133</v>
      </c>
      <c r="H158" s="8" t="n">
        <v>129711.986602349</v>
      </c>
      <c r="I158" s="9" t="n">
        <v>6.21380965543257</v>
      </c>
      <c r="J158" s="9" t="n">
        <v>13.7297706741163</v>
      </c>
      <c r="K158" s="3" t="s">
        <v>84</v>
      </c>
      <c r="L158" s="3" t="s">
        <v>85</v>
      </c>
      <c r="M158" s="7" t="n">
        <v>2023</v>
      </c>
    </row>
    <row r="159" customFormat="false" ht="15" hidden="false" customHeight="false" outlineLevel="0" collapsed="false">
      <c r="A159" s="3" t="n">
        <v>245</v>
      </c>
      <c r="B159" s="3" t="s">
        <v>83</v>
      </c>
      <c r="C159" s="4" t="s">
        <v>24</v>
      </c>
      <c r="D159" s="5" t="n">
        <v>5170</v>
      </c>
      <c r="E159" s="6" t="n">
        <v>56.7671697356061</v>
      </c>
      <c r="F159" s="7" t="n">
        <v>72</v>
      </c>
      <c r="G159" s="6" t="n">
        <v>52.4020092581526</v>
      </c>
      <c r="H159" s="8" t="n">
        <v>91234.8865944166</v>
      </c>
      <c r="I159" s="9" t="n">
        <v>4.8930578510583</v>
      </c>
      <c r="J159" s="9" t="n">
        <v>9.04864583279631</v>
      </c>
      <c r="K159" s="3" t="s">
        <v>84</v>
      </c>
      <c r="L159" s="3" t="s">
        <v>85</v>
      </c>
      <c r="M159" s="7" t="n">
        <v>2024</v>
      </c>
    </row>
    <row r="160" customFormat="false" ht="15" hidden="false" customHeight="false" outlineLevel="0" collapsed="false">
      <c r="A160" s="3" t="n">
        <v>246</v>
      </c>
      <c r="B160" s="3" t="s">
        <v>86</v>
      </c>
      <c r="C160" s="4" t="s">
        <v>14</v>
      </c>
      <c r="D160" s="5" t="n">
        <v>61602</v>
      </c>
      <c r="E160" s="6" t="n">
        <v>816.44</v>
      </c>
      <c r="F160" s="7" t="n">
        <v>63</v>
      </c>
      <c r="G160" s="6" t="n">
        <v>1748.36618965517</v>
      </c>
      <c r="H160" s="8" t="n">
        <v>421356.251706896</v>
      </c>
      <c r="I160" s="9" t="n">
        <v>9.72561476532121</v>
      </c>
      <c r="J160" s="9" t="n">
        <v>25.337501106988</v>
      </c>
      <c r="K160" s="3" t="s">
        <v>87</v>
      </c>
      <c r="L160" s="3" t="s">
        <v>88</v>
      </c>
      <c r="M160" s="7" t="n">
        <v>2016</v>
      </c>
    </row>
    <row r="161" customFormat="false" ht="15" hidden="false" customHeight="false" outlineLevel="0" collapsed="false">
      <c r="A161" s="3" t="n">
        <v>247</v>
      </c>
      <c r="B161" s="3" t="s">
        <v>86</v>
      </c>
      <c r="C161" s="4" t="s">
        <v>17</v>
      </c>
      <c r="D161" s="5" t="n">
        <v>62881</v>
      </c>
      <c r="E161" s="6" t="n">
        <v>818.94</v>
      </c>
      <c r="F161" s="7" t="n">
        <v>66</v>
      </c>
      <c r="G161" s="6" t="n">
        <v>1726.16879649514</v>
      </c>
      <c r="H161" s="8" t="n">
        <v>346959.928095523</v>
      </c>
      <c r="I161" s="9" t="n">
        <v>8.83536966687282</v>
      </c>
      <c r="J161" s="9" t="n">
        <v>24.5743192796378</v>
      </c>
      <c r="K161" s="3" t="s">
        <v>87</v>
      </c>
      <c r="L161" s="3" t="s">
        <v>88</v>
      </c>
      <c r="M161" s="7" t="n">
        <v>2017</v>
      </c>
    </row>
    <row r="162" customFormat="false" ht="15" hidden="false" customHeight="false" outlineLevel="0" collapsed="false">
      <c r="A162" s="3" t="n">
        <v>248</v>
      </c>
      <c r="B162" s="3" t="s">
        <v>86</v>
      </c>
      <c r="C162" s="4" t="s">
        <v>18</v>
      </c>
      <c r="D162" s="5" t="n">
        <v>63021</v>
      </c>
      <c r="E162" s="6" t="n">
        <v>818.94</v>
      </c>
      <c r="F162" s="7" t="n">
        <v>66</v>
      </c>
      <c r="G162" s="6" t="n">
        <v>1822.64837870773</v>
      </c>
      <c r="H162" s="8" t="n">
        <v>373697.597086446</v>
      </c>
      <c r="I162" s="9" t="n">
        <v>8.94149599023765</v>
      </c>
      <c r="J162" s="9" t="n">
        <v>25.8901924044808</v>
      </c>
      <c r="K162" s="3" t="s">
        <v>87</v>
      </c>
      <c r="L162" s="3" t="s">
        <v>88</v>
      </c>
      <c r="M162" s="7" t="n">
        <v>2018</v>
      </c>
    </row>
    <row r="163" customFormat="false" ht="15" hidden="false" customHeight="false" outlineLevel="0" collapsed="false">
      <c r="A163" s="3" t="n">
        <v>249</v>
      </c>
      <c r="B163" s="3" t="s">
        <v>86</v>
      </c>
      <c r="C163" s="4" t="s">
        <v>19</v>
      </c>
      <c r="D163" s="5" t="n">
        <v>62890</v>
      </c>
      <c r="E163" s="6" t="n">
        <v>818.94</v>
      </c>
      <c r="F163" s="7" t="n">
        <v>67</v>
      </c>
      <c r="G163" s="6" t="n">
        <v>2029.72941928496</v>
      </c>
      <c r="H163" s="8" t="n">
        <v>432332.366307697</v>
      </c>
      <c r="I163" s="9" t="n">
        <v>9.79482527073159</v>
      </c>
      <c r="J163" s="9" t="n">
        <v>28.8917751474065</v>
      </c>
      <c r="K163" s="3" t="s">
        <v>87</v>
      </c>
      <c r="L163" s="3" t="s">
        <v>88</v>
      </c>
      <c r="M163" s="7" t="n">
        <v>2019</v>
      </c>
    </row>
    <row r="164" customFormat="false" ht="15" hidden="false" customHeight="false" outlineLevel="0" collapsed="false">
      <c r="A164" s="3" t="n">
        <v>250</v>
      </c>
      <c r="B164" s="3" t="s">
        <v>86</v>
      </c>
      <c r="C164" s="4" t="s">
        <v>20</v>
      </c>
      <c r="D164" s="5" t="n">
        <v>63031</v>
      </c>
      <c r="E164" s="6" t="n">
        <v>810.93</v>
      </c>
      <c r="F164" s="7" t="n">
        <v>67</v>
      </c>
      <c r="G164" s="6" t="n">
        <v>2336.23632027115</v>
      </c>
      <c r="H164" s="8" t="n">
        <v>480914.246527817</v>
      </c>
      <c r="I164" s="9" t="n">
        <v>10.39232554385</v>
      </c>
      <c r="J164" s="9" t="n">
        <v>33.0893905085049</v>
      </c>
      <c r="K164" s="3" t="s">
        <v>87</v>
      </c>
      <c r="L164" s="3" t="s">
        <v>88</v>
      </c>
      <c r="M164" s="7" t="n">
        <v>2020</v>
      </c>
    </row>
    <row r="165" customFormat="false" ht="15" hidden="false" customHeight="false" outlineLevel="0" collapsed="false">
      <c r="A165" s="3" t="n">
        <v>251</v>
      </c>
      <c r="B165" s="3" t="s">
        <v>86</v>
      </c>
      <c r="C165" s="4" t="s">
        <v>21</v>
      </c>
      <c r="D165" s="5" t="n">
        <v>63197</v>
      </c>
      <c r="E165" s="6" t="n">
        <v>811.025014091939</v>
      </c>
      <c r="F165" s="7" t="n">
        <v>67</v>
      </c>
      <c r="G165" s="6" t="n">
        <v>1754.07549616353</v>
      </c>
      <c r="H165" s="8" t="n">
        <v>454247.973796239</v>
      </c>
      <c r="I165" s="9" t="n">
        <v>8.99705332466492</v>
      </c>
      <c r="J165" s="9" t="n">
        <v>24.8467444683432</v>
      </c>
      <c r="K165" s="3" t="s">
        <v>87</v>
      </c>
      <c r="L165" s="3" t="s">
        <v>88</v>
      </c>
      <c r="M165" s="7" t="n">
        <v>2021</v>
      </c>
    </row>
    <row r="166" customFormat="false" ht="15" hidden="false" customHeight="false" outlineLevel="0" collapsed="false">
      <c r="A166" s="3" t="n">
        <v>252</v>
      </c>
      <c r="B166" s="3" t="s">
        <v>86</v>
      </c>
      <c r="C166" s="4" t="s">
        <v>22</v>
      </c>
      <c r="D166" s="5" t="n">
        <v>63136</v>
      </c>
      <c r="E166" s="6" t="n">
        <v>811.39</v>
      </c>
      <c r="F166" s="7" t="n">
        <v>59</v>
      </c>
      <c r="G166" s="6" t="n">
        <v>1958.38987943717</v>
      </c>
      <c r="H166" s="8" t="n">
        <v>549112.938295387</v>
      </c>
      <c r="I166" s="9" t="n">
        <v>9.79428515977028</v>
      </c>
      <c r="J166" s="9" t="n">
        <v>27.7676909485333</v>
      </c>
      <c r="K166" s="3" t="s">
        <v>87</v>
      </c>
      <c r="L166" s="3" t="s">
        <v>88</v>
      </c>
      <c r="M166" s="7" t="n">
        <v>2022</v>
      </c>
    </row>
    <row r="167" customFormat="false" ht="15" hidden="false" customHeight="false" outlineLevel="0" collapsed="false">
      <c r="A167" s="3" t="n">
        <v>253</v>
      </c>
      <c r="B167" s="3" t="s">
        <v>86</v>
      </c>
      <c r="C167" s="4" t="s">
        <v>23</v>
      </c>
      <c r="D167" s="5" t="n">
        <v>62671</v>
      </c>
      <c r="E167" s="6" t="n">
        <v>813.6</v>
      </c>
      <c r="F167" s="7" t="n">
        <v>55</v>
      </c>
      <c r="G167" s="6" t="n">
        <v>2320.9752525</v>
      </c>
      <c r="H167" s="8" t="n">
        <v>773905.988193601</v>
      </c>
      <c r="I167" s="9" t="n">
        <v>11.5752434009616</v>
      </c>
      <c r="J167" s="9" t="n">
        <v>33.1529027570623</v>
      </c>
      <c r="K167" s="3" t="s">
        <v>87</v>
      </c>
      <c r="L167" s="3" t="s">
        <v>88</v>
      </c>
      <c r="M167" s="7" t="n">
        <v>2023</v>
      </c>
    </row>
    <row r="168" customFormat="false" ht="15" hidden="false" customHeight="false" outlineLevel="0" collapsed="false">
      <c r="A168" s="3" t="n">
        <v>254</v>
      </c>
      <c r="B168" s="3" t="s">
        <v>86</v>
      </c>
      <c r="C168" s="4" t="s">
        <v>24</v>
      </c>
      <c r="D168" s="5" t="n">
        <v>62253</v>
      </c>
      <c r="E168" s="6" t="n">
        <v>814.35</v>
      </c>
      <c r="F168" s="7" t="n">
        <v>59</v>
      </c>
      <c r="G168" s="6" t="n">
        <v>3302.41554499999</v>
      </c>
      <c r="H168" s="8" t="n">
        <v>1092537.92542717</v>
      </c>
      <c r="I168" s="9" t="n">
        <v>14.1910863556754</v>
      </c>
      <c r="J168" s="9" t="n">
        <v>47.3584662038091</v>
      </c>
      <c r="K168" s="3" t="s">
        <v>87</v>
      </c>
      <c r="L168" s="3" t="s">
        <v>88</v>
      </c>
      <c r="M168" s="7" t="n">
        <v>2024</v>
      </c>
    </row>
    <row r="169" customFormat="false" ht="15" hidden="false" customHeight="false" outlineLevel="0" collapsed="false">
      <c r="A169" s="3" t="n">
        <v>255</v>
      </c>
      <c r="B169" s="3" t="s">
        <v>89</v>
      </c>
      <c r="C169" s="4" t="s">
        <v>14</v>
      </c>
      <c r="D169" s="5" t="n">
        <v>22380</v>
      </c>
      <c r="E169" s="6" t="n">
        <v>299</v>
      </c>
      <c r="F169" s="7" t="n">
        <v>55</v>
      </c>
      <c r="G169" s="6" t="n">
        <v>754.816147927657</v>
      </c>
      <c r="H169" s="8" t="n">
        <v>853472.711069898</v>
      </c>
      <c r="I169" s="9" t="n">
        <v>11.5132737414167</v>
      </c>
      <c r="J169" s="9" t="n">
        <v>30.1097600130223</v>
      </c>
      <c r="K169" s="3" t="s">
        <v>90</v>
      </c>
      <c r="L169" s="3" t="s">
        <v>91</v>
      </c>
      <c r="M169" s="7" t="n">
        <v>2016</v>
      </c>
    </row>
    <row r="170" customFormat="false" ht="15" hidden="false" customHeight="false" outlineLevel="0" collapsed="false">
      <c r="A170" s="3" t="n">
        <v>256</v>
      </c>
      <c r="B170" s="3" t="s">
        <v>89</v>
      </c>
      <c r="C170" s="4" t="s">
        <v>17</v>
      </c>
      <c r="D170" s="5" t="n">
        <v>22926</v>
      </c>
      <c r="E170" s="6" t="n">
        <v>337</v>
      </c>
      <c r="F170" s="7" t="n">
        <v>59</v>
      </c>
      <c r="G170" s="6" t="n">
        <v>879.451986423549</v>
      </c>
      <c r="H170" s="8" t="n">
        <v>994398.799190304</v>
      </c>
      <c r="I170" s="9" t="n">
        <v>11.4732777991737</v>
      </c>
      <c r="J170" s="9" t="n">
        <v>34.3400972392902</v>
      </c>
      <c r="K170" s="3" t="s">
        <v>90</v>
      </c>
      <c r="L170" s="3" t="s">
        <v>91</v>
      </c>
      <c r="M170" s="7" t="n">
        <v>2017</v>
      </c>
    </row>
    <row r="171" customFormat="false" ht="15" hidden="false" customHeight="false" outlineLevel="0" collapsed="false">
      <c r="A171" s="3" t="n">
        <v>257</v>
      </c>
      <c r="B171" s="3" t="s">
        <v>89</v>
      </c>
      <c r="C171" s="4" t="s">
        <v>18</v>
      </c>
      <c r="D171" s="5" t="n">
        <v>25796</v>
      </c>
      <c r="E171" s="6" t="n">
        <v>344</v>
      </c>
      <c r="F171" s="7" t="n">
        <v>59</v>
      </c>
      <c r="G171" s="6" t="n">
        <v>787.263289510561</v>
      </c>
      <c r="H171" s="8" t="n">
        <v>890160.784012244</v>
      </c>
      <c r="I171" s="9" t="n">
        <v>10.3346389101886</v>
      </c>
      <c r="J171" s="9" t="n">
        <v>27.3202901112433</v>
      </c>
      <c r="K171" s="3" t="s">
        <v>90</v>
      </c>
      <c r="L171" s="3" t="s">
        <v>91</v>
      </c>
      <c r="M171" s="7" t="n">
        <v>2018</v>
      </c>
    </row>
    <row r="172" customFormat="false" ht="15" hidden="false" customHeight="false" outlineLevel="0" collapsed="false">
      <c r="A172" s="3" t="n">
        <v>258</v>
      </c>
      <c r="B172" s="3" t="s">
        <v>89</v>
      </c>
      <c r="C172" s="4" t="s">
        <v>19</v>
      </c>
      <c r="D172" s="5" t="n">
        <v>26090</v>
      </c>
      <c r="E172" s="6" t="n">
        <v>347</v>
      </c>
      <c r="F172" s="7" t="n">
        <v>58</v>
      </c>
      <c r="G172" s="6" t="n">
        <v>801.613960870673</v>
      </c>
      <c r="H172" s="8" t="n">
        <v>906387.127904082</v>
      </c>
      <c r="I172" s="9" t="n">
        <v>10.3328949688142</v>
      </c>
      <c r="J172" s="9" t="n">
        <v>27.5048238308296</v>
      </c>
      <c r="K172" s="3" t="s">
        <v>90</v>
      </c>
      <c r="L172" s="3" t="s">
        <v>91</v>
      </c>
      <c r="M172" s="7" t="n">
        <v>2019</v>
      </c>
    </row>
    <row r="173" customFormat="false" ht="15" hidden="false" customHeight="false" outlineLevel="0" collapsed="false">
      <c r="A173" s="3" t="n">
        <v>259</v>
      </c>
      <c r="B173" s="3" t="s">
        <v>89</v>
      </c>
      <c r="C173" s="4" t="s">
        <v>20</v>
      </c>
      <c r="D173" s="5" t="n">
        <v>27224</v>
      </c>
      <c r="E173" s="6" t="n">
        <v>347</v>
      </c>
      <c r="F173" s="7" t="n">
        <v>59</v>
      </c>
      <c r="G173" s="6" t="n">
        <v>771.076736317632</v>
      </c>
      <c r="H173" s="8" t="n">
        <v>133452.155225466</v>
      </c>
      <c r="I173" s="9" t="n">
        <v>9.14201844712822</v>
      </c>
      <c r="J173" s="9" t="n">
        <v>25.2855181775384</v>
      </c>
      <c r="K173" s="3" t="s">
        <v>90</v>
      </c>
      <c r="L173" s="3" t="s">
        <v>91</v>
      </c>
      <c r="M173" s="7" t="n">
        <v>2020</v>
      </c>
    </row>
    <row r="174" customFormat="false" ht="15" hidden="false" customHeight="false" outlineLevel="0" collapsed="false">
      <c r="A174" s="3" t="n">
        <v>260</v>
      </c>
      <c r="B174" s="3" t="s">
        <v>89</v>
      </c>
      <c r="C174" s="4" t="s">
        <v>21</v>
      </c>
      <c r="D174" s="5" t="n">
        <v>26747</v>
      </c>
      <c r="E174" s="6" t="n">
        <v>352</v>
      </c>
      <c r="F174" s="7" t="n">
        <v>57</v>
      </c>
      <c r="G174" s="6" t="n">
        <v>1286.51646723298</v>
      </c>
      <c r="H174" s="8" t="n">
        <v>1146227.87058416</v>
      </c>
      <c r="I174" s="9" t="n">
        <v>13.6774160799039</v>
      </c>
      <c r="J174" s="9" t="n">
        <v>43.058405786531</v>
      </c>
      <c r="K174" s="3" t="s">
        <v>90</v>
      </c>
      <c r="L174" s="3" t="s">
        <v>91</v>
      </c>
      <c r="M174" s="7" t="n">
        <v>2021</v>
      </c>
    </row>
    <row r="175" customFormat="false" ht="15" hidden="false" customHeight="false" outlineLevel="0" collapsed="false">
      <c r="A175" s="3" t="n">
        <v>261</v>
      </c>
      <c r="B175" s="3" t="s">
        <v>89</v>
      </c>
      <c r="C175" s="4" t="s">
        <v>22</v>
      </c>
      <c r="D175" s="5" t="n">
        <v>29231</v>
      </c>
      <c r="E175" s="6" t="n">
        <v>354</v>
      </c>
      <c r="F175" s="7" t="n">
        <v>69</v>
      </c>
      <c r="G175" s="6" t="n">
        <v>1123.63173600991</v>
      </c>
      <c r="H175" s="8" t="n">
        <v>1201955.32169013</v>
      </c>
      <c r="I175" s="9" t="n">
        <v>12.6040600211447</v>
      </c>
      <c r="J175" s="9" t="n">
        <v>34.4110558535595</v>
      </c>
      <c r="K175" s="3" t="s">
        <v>90</v>
      </c>
      <c r="L175" s="3" t="s">
        <v>91</v>
      </c>
      <c r="M175" s="7" t="n">
        <v>2022</v>
      </c>
    </row>
    <row r="176" customFormat="false" ht="15" hidden="false" customHeight="false" outlineLevel="0" collapsed="false">
      <c r="A176" s="3" t="n">
        <v>262</v>
      </c>
      <c r="B176" s="3" t="s">
        <v>89</v>
      </c>
      <c r="C176" s="4" t="s">
        <v>23</v>
      </c>
      <c r="D176" s="5" t="n">
        <v>28763</v>
      </c>
      <c r="E176" s="6" t="n">
        <v>356</v>
      </c>
      <c r="F176" s="7" t="n">
        <v>72</v>
      </c>
      <c r="G176" s="6" t="n">
        <v>1089.73903429371</v>
      </c>
      <c r="H176" s="8" t="n">
        <v>925623.149794722</v>
      </c>
      <c r="I176" s="9" t="n">
        <v>12.904977573105</v>
      </c>
      <c r="J176" s="9" t="n">
        <v>33.9161073142693</v>
      </c>
      <c r="K176" s="3" t="s">
        <v>90</v>
      </c>
      <c r="L176" s="3" t="s">
        <v>91</v>
      </c>
      <c r="M176" s="7" t="n">
        <v>2023</v>
      </c>
    </row>
    <row r="177" customFormat="false" ht="15" hidden="false" customHeight="false" outlineLevel="0" collapsed="false">
      <c r="A177" s="3" t="n">
        <v>263</v>
      </c>
      <c r="B177" s="3" t="s">
        <v>89</v>
      </c>
      <c r="C177" s="4" t="s">
        <v>24</v>
      </c>
      <c r="D177" s="5" t="n">
        <v>32928</v>
      </c>
      <c r="E177" s="6" t="n">
        <v>358.9</v>
      </c>
      <c r="F177" s="7" t="n">
        <v>71</v>
      </c>
      <c r="G177" s="6" t="n">
        <v>1070.62630733954</v>
      </c>
      <c r="H177" s="8" t="n">
        <v>1857724.88367781</v>
      </c>
      <c r="I177" s="9" t="n">
        <v>12.4477212698306</v>
      </c>
      <c r="J177" s="9" t="n">
        <v>29.0267726407551</v>
      </c>
      <c r="K177" s="3" t="s">
        <v>90</v>
      </c>
      <c r="L177" s="3" t="s">
        <v>91</v>
      </c>
      <c r="M177" s="7" t="n">
        <v>2024</v>
      </c>
    </row>
    <row r="178" customFormat="false" ht="15" hidden="false" customHeight="false" outlineLevel="0" collapsed="false">
      <c r="A178" s="3" t="n">
        <v>264</v>
      </c>
      <c r="B178" s="3" t="s">
        <v>92</v>
      </c>
      <c r="C178" s="4" t="s">
        <v>14</v>
      </c>
      <c r="D178" s="5" t="n">
        <v>10022</v>
      </c>
      <c r="E178" s="6" t="n">
        <v>93</v>
      </c>
      <c r="F178" s="7" t="n">
        <v>53</v>
      </c>
      <c r="G178" s="6" t="n">
        <v>245.365258384532</v>
      </c>
      <c r="H178" s="8" t="n">
        <v>54431.2435516243</v>
      </c>
      <c r="I178" s="9" t="n">
        <v>10.878625013094</v>
      </c>
      <c r="J178" s="9" t="n">
        <v>21.8567138076665</v>
      </c>
      <c r="K178" s="3" t="s">
        <v>93</v>
      </c>
      <c r="L178" s="3" t="s">
        <v>94</v>
      </c>
      <c r="M178" s="7" t="n">
        <v>2016</v>
      </c>
    </row>
    <row r="179" customFormat="false" ht="15" hidden="false" customHeight="false" outlineLevel="0" collapsed="false">
      <c r="A179" s="3" t="n">
        <v>265</v>
      </c>
      <c r="B179" s="3" t="s">
        <v>92</v>
      </c>
      <c r="C179" s="4" t="s">
        <v>17</v>
      </c>
      <c r="D179" s="5" t="n">
        <v>10202</v>
      </c>
      <c r="E179" s="6" t="n">
        <v>163.2</v>
      </c>
      <c r="F179" s="7" t="n">
        <v>58</v>
      </c>
      <c r="G179" s="6" t="n">
        <v>732.970443093803</v>
      </c>
      <c r="H179" s="8" t="n">
        <v>131307.885849226</v>
      </c>
      <c r="I179" s="9" t="n">
        <v>18.1191553492119</v>
      </c>
      <c r="J179" s="9" t="n">
        <v>64.3159690333717</v>
      </c>
      <c r="K179" s="3" t="s">
        <v>93</v>
      </c>
      <c r="L179" s="3" t="s">
        <v>94</v>
      </c>
      <c r="M179" s="7" t="n">
        <v>2017</v>
      </c>
    </row>
    <row r="180" customFormat="false" ht="15" hidden="false" customHeight="false" outlineLevel="0" collapsed="false">
      <c r="A180" s="3" t="n">
        <v>266</v>
      </c>
      <c r="B180" s="3" t="s">
        <v>92</v>
      </c>
      <c r="C180" s="4" t="s">
        <v>18</v>
      </c>
      <c r="D180" s="5" t="n">
        <v>10195</v>
      </c>
      <c r="E180" s="6" t="n">
        <v>161</v>
      </c>
      <c r="F180" s="7" t="n">
        <v>59</v>
      </c>
      <c r="G180" s="6" t="n">
        <v>981.923971937921</v>
      </c>
      <c r="H180" s="8" t="n">
        <v>182912.980286871</v>
      </c>
      <c r="I180" s="9" t="n">
        <v>22.3181743577452</v>
      </c>
      <c r="J180" s="9" t="n">
        <v>86.2200572840445</v>
      </c>
      <c r="K180" s="3" t="s">
        <v>93</v>
      </c>
      <c r="L180" s="3" t="s">
        <v>94</v>
      </c>
      <c r="M180" s="7" t="n">
        <v>2018</v>
      </c>
    </row>
    <row r="181" customFormat="false" ht="15" hidden="false" customHeight="false" outlineLevel="0" collapsed="false">
      <c r="A181" s="3" t="n">
        <v>267</v>
      </c>
      <c r="B181" s="3" t="s">
        <v>92</v>
      </c>
      <c r="C181" s="4" t="s">
        <v>19</v>
      </c>
      <c r="D181" s="5" t="n">
        <v>10204</v>
      </c>
      <c r="E181" s="6" t="n">
        <v>139.92</v>
      </c>
      <c r="F181" s="7" t="n">
        <v>66</v>
      </c>
      <c r="G181" s="6" t="n">
        <v>1085.57012895917</v>
      </c>
      <c r="H181" s="8" t="n">
        <v>199796.066265087</v>
      </c>
      <c r="I181" s="9" t="n">
        <v>28.1873493799455</v>
      </c>
      <c r="J181" s="9" t="n">
        <v>95.2368689965028</v>
      </c>
      <c r="K181" s="3" t="s">
        <v>93</v>
      </c>
      <c r="L181" s="3" t="s">
        <v>94</v>
      </c>
      <c r="M181" s="7" t="n">
        <v>2019</v>
      </c>
    </row>
    <row r="182" customFormat="false" ht="15" hidden="false" customHeight="false" outlineLevel="0" collapsed="false">
      <c r="A182" s="3" t="n">
        <v>268</v>
      </c>
      <c r="B182" s="3" t="s">
        <v>92</v>
      </c>
      <c r="C182" s="4" t="s">
        <v>20</v>
      </c>
      <c r="D182" s="5" t="n">
        <v>10230</v>
      </c>
      <c r="E182" s="6" t="n">
        <v>135.1</v>
      </c>
      <c r="F182" s="7" t="n">
        <v>47</v>
      </c>
      <c r="G182" s="6" t="n">
        <v>740.942311280278</v>
      </c>
      <c r="H182" s="8" t="n">
        <v>148478.773048401</v>
      </c>
      <c r="I182" s="9" t="n">
        <v>18.2073709055352</v>
      </c>
      <c r="J182" s="9" t="n">
        <v>64.6598891450046</v>
      </c>
      <c r="K182" s="3" t="s">
        <v>93</v>
      </c>
      <c r="L182" s="3" t="s">
        <v>94</v>
      </c>
      <c r="M182" s="7" t="n">
        <v>2020</v>
      </c>
    </row>
    <row r="183" customFormat="false" ht="15" hidden="false" customHeight="false" outlineLevel="0" collapsed="false">
      <c r="A183" s="3" t="n">
        <v>269</v>
      </c>
      <c r="B183" s="3" t="s">
        <v>92</v>
      </c>
      <c r="C183" s="4" t="s">
        <v>21</v>
      </c>
      <c r="D183" s="5" t="n">
        <v>10225</v>
      </c>
      <c r="E183" s="6" t="n">
        <v>135.2</v>
      </c>
      <c r="F183" s="7" t="n">
        <v>47</v>
      </c>
      <c r="G183" s="6" t="n">
        <v>645.397104867831</v>
      </c>
      <c r="H183" s="8" t="n">
        <v>139304.310860441</v>
      </c>
      <c r="I183" s="9" t="n">
        <v>16.2868593368633</v>
      </c>
      <c r="J183" s="9" t="n">
        <v>56.5042833010795</v>
      </c>
      <c r="K183" s="3" t="s">
        <v>93</v>
      </c>
      <c r="L183" s="3" t="s">
        <v>94</v>
      </c>
      <c r="M183" s="7" t="n">
        <v>2021</v>
      </c>
    </row>
    <row r="184" customFormat="false" ht="15" hidden="false" customHeight="false" outlineLevel="0" collapsed="false">
      <c r="A184" s="3" t="n">
        <v>270</v>
      </c>
      <c r="B184" s="3" t="s">
        <v>92</v>
      </c>
      <c r="C184" s="4" t="s">
        <v>22</v>
      </c>
      <c r="D184" s="5" t="n">
        <v>10696</v>
      </c>
      <c r="E184" s="6" t="n">
        <v>135.7</v>
      </c>
      <c r="F184" s="7" t="n">
        <v>64</v>
      </c>
      <c r="G184" s="6" t="n">
        <v>838.272187616124</v>
      </c>
      <c r="H184" s="8" t="n">
        <v>207283.961938971</v>
      </c>
      <c r="I184" s="9" t="n">
        <v>20.0210284691118</v>
      </c>
      <c r="J184" s="9" t="n">
        <v>70.1586683855579</v>
      </c>
      <c r="K184" s="3" t="s">
        <v>93</v>
      </c>
      <c r="L184" s="3" t="s">
        <v>94</v>
      </c>
      <c r="M184" s="7" t="n">
        <v>2022</v>
      </c>
    </row>
    <row r="185" customFormat="false" ht="15" hidden="false" customHeight="false" outlineLevel="0" collapsed="false">
      <c r="A185" s="3" t="n">
        <v>271</v>
      </c>
      <c r="B185" s="3" t="s">
        <v>92</v>
      </c>
      <c r="C185" s="4" t="s">
        <v>23</v>
      </c>
      <c r="D185" s="5" t="n">
        <v>10362</v>
      </c>
      <c r="E185" s="6" t="n">
        <v>137.9</v>
      </c>
      <c r="F185" s="7" t="n">
        <v>63</v>
      </c>
      <c r="G185" s="6" t="n">
        <v>670.833495226078</v>
      </c>
      <c r="H185" s="8" t="n">
        <v>789579.549078674</v>
      </c>
      <c r="I185" s="9" t="n">
        <v>22.113873734198</v>
      </c>
      <c r="J185" s="9" t="n">
        <v>57.9547218314893</v>
      </c>
      <c r="K185" s="3" t="s">
        <v>93</v>
      </c>
      <c r="L185" s="3" t="s">
        <v>94</v>
      </c>
      <c r="M185" s="7" t="n">
        <v>2023</v>
      </c>
    </row>
    <row r="186" customFormat="false" ht="15" hidden="false" customHeight="false" outlineLevel="0" collapsed="false">
      <c r="A186" s="3" t="n">
        <v>272</v>
      </c>
      <c r="B186" s="3" t="s">
        <v>92</v>
      </c>
      <c r="C186" s="4" t="s">
        <v>24</v>
      </c>
      <c r="D186" s="5" t="n">
        <v>10394</v>
      </c>
      <c r="E186" s="6" t="n">
        <v>138</v>
      </c>
      <c r="F186" s="7" t="n">
        <v>63</v>
      </c>
      <c r="G186" s="6" t="n">
        <v>881.365641703286</v>
      </c>
      <c r="H186" s="8" t="n">
        <v>1033682.3764676</v>
      </c>
      <c r="I186" s="9" t="n">
        <v>24.9415106467063</v>
      </c>
      <c r="J186" s="9" t="n">
        <v>75.7006480858708</v>
      </c>
      <c r="K186" s="3" t="s">
        <v>93</v>
      </c>
      <c r="L186" s="3" t="s">
        <v>94</v>
      </c>
      <c r="M186" s="7" t="n">
        <v>2024</v>
      </c>
    </row>
    <row r="187" customFormat="false" ht="15" hidden="false" customHeight="false" outlineLevel="0" collapsed="false">
      <c r="A187" s="3" t="n">
        <v>273</v>
      </c>
      <c r="B187" s="3" t="s">
        <v>95</v>
      </c>
      <c r="C187" s="4" t="s">
        <v>14</v>
      </c>
      <c r="D187" s="5" t="n">
        <v>12049</v>
      </c>
      <c r="E187" s="6" t="n">
        <v>180</v>
      </c>
      <c r="F187" s="7" t="n">
        <v>57</v>
      </c>
      <c r="G187" s="6" t="n">
        <v>29.9596748656516</v>
      </c>
      <c r="H187" s="8" t="n">
        <v>19075.7067539901</v>
      </c>
      <c r="I187" s="9" t="n">
        <v>2.14881723228221</v>
      </c>
      <c r="J187" s="9" t="n">
        <v>2.21979201699168</v>
      </c>
      <c r="K187" s="3" t="s">
        <v>96</v>
      </c>
      <c r="L187" s="3" t="s">
        <v>97</v>
      </c>
      <c r="M187" s="7" t="n">
        <v>2016</v>
      </c>
    </row>
    <row r="188" customFormat="false" ht="15" hidden="false" customHeight="false" outlineLevel="0" collapsed="false">
      <c r="A188" s="3" t="n">
        <v>274</v>
      </c>
      <c r="B188" s="3" t="s">
        <v>95</v>
      </c>
      <c r="C188" s="4" t="s">
        <v>17</v>
      </c>
      <c r="D188" s="5" t="n">
        <v>11440</v>
      </c>
      <c r="E188" s="6" t="n">
        <v>195</v>
      </c>
      <c r="F188" s="7" t="n">
        <v>64</v>
      </c>
      <c r="G188" s="6" t="n">
        <v>314.336549655023</v>
      </c>
      <c r="H188" s="8" t="n">
        <v>202987.504862822</v>
      </c>
      <c r="I188" s="9" t="n">
        <v>7.65823044912091</v>
      </c>
      <c r="J188" s="9" t="n">
        <v>24.5972486747961</v>
      </c>
      <c r="K188" s="3" t="s">
        <v>96</v>
      </c>
      <c r="L188" s="3" t="s">
        <v>97</v>
      </c>
      <c r="M188" s="7" t="n">
        <v>2017</v>
      </c>
    </row>
    <row r="189" customFormat="false" ht="15" hidden="false" customHeight="false" outlineLevel="0" collapsed="false">
      <c r="A189" s="3" t="n">
        <v>275</v>
      </c>
      <c r="B189" s="3" t="s">
        <v>95</v>
      </c>
      <c r="C189" s="4" t="s">
        <v>18</v>
      </c>
      <c r="D189" s="5" t="n">
        <v>12221</v>
      </c>
      <c r="E189" s="6" t="n">
        <v>195</v>
      </c>
      <c r="F189" s="7" t="n">
        <v>70</v>
      </c>
      <c r="G189" s="6" t="n">
        <v>277.183710650181</v>
      </c>
      <c r="H189" s="8" t="n">
        <v>191168.913068539</v>
      </c>
      <c r="I189" s="9" t="n">
        <v>6.5263445070463</v>
      </c>
      <c r="J189" s="9" t="n">
        <v>20.3038611476445</v>
      </c>
      <c r="K189" s="3" t="s">
        <v>96</v>
      </c>
      <c r="L189" s="3" t="s">
        <v>97</v>
      </c>
      <c r="M189" s="7" t="n">
        <v>2018</v>
      </c>
    </row>
    <row r="190" customFormat="false" ht="15" hidden="false" customHeight="false" outlineLevel="0" collapsed="false">
      <c r="A190" s="3" t="n">
        <v>276</v>
      </c>
      <c r="B190" s="3" t="s">
        <v>95</v>
      </c>
      <c r="C190" s="4" t="s">
        <v>19</v>
      </c>
      <c r="D190" s="5" t="n">
        <v>12385</v>
      </c>
      <c r="E190" s="6" t="n">
        <v>200</v>
      </c>
      <c r="F190" s="7" t="n">
        <v>82</v>
      </c>
      <c r="G190" s="6" t="n">
        <v>248.059447586031</v>
      </c>
      <c r="H190" s="8" t="n">
        <v>171082.40184883</v>
      </c>
      <c r="I190" s="9" t="n">
        <v>6.48514479477785</v>
      </c>
      <c r="J190" s="9" t="n">
        <v>17.9298821809784</v>
      </c>
      <c r="K190" s="3" t="s">
        <v>96</v>
      </c>
      <c r="L190" s="3" t="s">
        <v>97</v>
      </c>
      <c r="M190" s="7" t="n">
        <v>2019</v>
      </c>
    </row>
    <row r="191" customFormat="false" ht="15" hidden="false" customHeight="false" outlineLevel="0" collapsed="false">
      <c r="A191" s="3" t="n">
        <v>277</v>
      </c>
      <c r="B191" s="3" t="s">
        <v>95</v>
      </c>
      <c r="C191" s="4" t="s">
        <v>20</v>
      </c>
      <c r="D191" s="5" t="n">
        <v>12642</v>
      </c>
      <c r="E191" s="6" t="n">
        <v>181</v>
      </c>
      <c r="F191" s="7" t="n">
        <v>78</v>
      </c>
      <c r="G191" s="6" t="n">
        <v>477.250815776476</v>
      </c>
      <c r="H191" s="8" t="n">
        <v>492309.161938115</v>
      </c>
      <c r="I191" s="9" t="n">
        <v>9.07556466006852</v>
      </c>
      <c r="J191" s="9" t="n">
        <v>33.7021096392283</v>
      </c>
      <c r="K191" s="3" t="s">
        <v>96</v>
      </c>
      <c r="L191" s="3" t="s">
        <v>97</v>
      </c>
      <c r="M191" s="7" t="n">
        <v>2020</v>
      </c>
    </row>
    <row r="192" customFormat="false" ht="15" hidden="false" customHeight="false" outlineLevel="0" collapsed="false">
      <c r="A192" s="3" t="n">
        <v>278</v>
      </c>
      <c r="B192" s="3" t="s">
        <v>95</v>
      </c>
      <c r="C192" s="4" t="s">
        <v>21</v>
      </c>
      <c r="D192" s="5" t="n">
        <v>13274</v>
      </c>
      <c r="E192" s="6" t="n">
        <v>188.6</v>
      </c>
      <c r="F192" s="7" t="n">
        <v>76</v>
      </c>
      <c r="G192" s="6" t="n">
        <v>316.558114857237</v>
      </c>
      <c r="H192" s="8" t="n">
        <v>326546.241679065</v>
      </c>
      <c r="I192" s="9" t="n">
        <v>6.80034393160289</v>
      </c>
      <c r="J192" s="9" t="n">
        <v>21.3485956774844</v>
      </c>
      <c r="K192" s="3" t="s">
        <v>96</v>
      </c>
      <c r="L192" s="3" t="s">
        <v>97</v>
      </c>
      <c r="M192" s="7" t="n">
        <v>2021</v>
      </c>
    </row>
    <row r="193" customFormat="false" ht="15" hidden="false" customHeight="false" outlineLevel="0" collapsed="false">
      <c r="A193" s="3" t="n">
        <v>279</v>
      </c>
      <c r="B193" s="3" t="s">
        <v>95</v>
      </c>
      <c r="C193" s="4" t="s">
        <v>22</v>
      </c>
      <c r="D193" s="5" t="n">
        <v>13707</v>
      </c>
      <c r="E193" s="6" t="n">
        <v>188.6</v>
      </c>
      <c r="F193" s="7" t="n">
        <v>67</v>
      </c>
      <c r="G193" s="6" t="n">
        <v>338.550726155221</v>
      </c>
      <c r="H193" s="8" t="n">
        <v>408682.836399236</v>
      </c>
      <c r="I193" s="9" t="n">
        <v>7.58793191882532</v>
      </c>
      <c r="J193" s="9" t="n">
        <v>22.1105227914359</v>
      </c>
      <c r="K193" s="3" t="s">
        <v>96</v>
      </c>
      <c r="L193" s="3" t="s">
        <v>97</v>
      </c>
      <c r="M193" s="7" t="n">
        <v>2022</v>
      </c>
    </row>
    <row r="194" customFormat="false" ht="15" hidden="false" customHeight="false" outlineLevel="0" collapsed="false">
      <c r="A194" s="3" t="n">
        <v>280</v>
      </c>
      <c r="B194" s="3" t="s">
        <v>95</v>
      </c>
      <c r="C194" s="4" t="s">
        <v>23</v>
      </c>
      <c r="D194" s="5" t="n">
        <v>13947</v>
      </c>
      <c r="E194" s="6" t="n">
        <v>188.6</v>
      </c>
      <c r="F194" s="7" t="n">
        <v>80</v>
      </c>
      <c r="G194" s="6" t="n">
        <v>78.8940942147632</v>
      </c>
      <c r="H194" s="8" t="n">
        <v>111991.547163101</v>
      </c>
      <c r="I194" s="9" t="n">
        <v>8.72446833819044</v>
      </c>
      <c r="J194" s="9" t="n">
        <v>5.06385624187462</v>
      </c>
      <c r="K194" s="3" t="s">
        <v>96</v>
      </c>
      <c r="L194" s="3" t="s">
        <v>97</v>
      </c>
      <c r="M194" s="7" t="n">
        <v>2023</v>
      </c>
    </row>
    <row r="195" customFormat="false" ht="15" hidden="false" customHeight="false" outlineLevel="0" collapsed="false">
      <c r="A195" s="3" t="n">
        <v>281</v>
      </c>
      <c r="B195" s="3" t="s">
        <v>95</v>
      </c>
      <c r="C195" s="4" t="s">
        <v>24</v>
      </c>
      <c r="D195" s="5" t="n">
        <v>14090</v>
      </c>
      <c r="E195" s="6" t="n">
        <v>194.8</v>
      </c>
      <c r="F195" s="7" t="n">
        <v>78</v>
      </c>
      <c r="G195" s="6" t="n">
        <v>108.937640892528</v>
      </c>
      <c r="H195" s="8" t="n">
        <v>152247.070313246</v>
      </c>
      <c r="I195" s="9" t="n">
        <v>8.56032461946366</v>
      </c>
      <c r="J195" s="9" t="n">
        <v>6.90228943532694</v>
      </c>
      <c r="K195" s="3" t="s">
        <v>96</v>
      </c>
      <c r="L195" s="3" t="s">
        <v>97</v>
      </c>
      <c r="M195" s="7" t="n">
        <v>2024</v>
      </c>
    </row>
    <row r="196" customFormat="false" ht="15" hidden="false" customHeight="false" outlineLevel="0" collapsed="false">
      <c r="A196" s="3" t="n">
        <v>282</v>
      </c>
      <c r="B196" s="3" t="s">
        <v>98</v>
      </c>
      <c r="C196" s="4" t="s">
        <v>41</v>
      </c>
      <c r="D196" s="5" t="n">
        <v>18881</v>
      </c>
      <c r="E196" s="6" t="n">
        <v>252</v>
      </c>
      <c r="F196" s="7" t="n">
        <v>60</v>
      </c>
      <c r="G196" s="6" t="n">
        <v>456.64589960356</v>
      </c>
      <c r="H196" s="8" t="n">
        <v>304590.523400354</v>
      </c>
      <c r="I196" s="9" t="n">
        <v>7.46591069875712</v>
      </c>
      <c r="J196" s="9" t="n">
        <v>21.6507150673186</v>
      </c>
      <c r="K196" s="3" t="s">
        <v>99</v>
      </c>
      <c r="L196" s="3" t="s">
        <v>100</v>
      </c>
      <c r="M196" s="7" t="n">
        <v>2016</v>
      </c>
    </row>
    <row r="197" customFormat="false" ht="15" hidden="false" customHeight="false" outlineLevel="0" collapsed="false">
      <c r="A197" s="3" t="n">
        <v>283</v>
      </c>
      <c r="B197" s="3" t="s">
        <v>98</v>
      </c>
      <c r="C197" s="4" t="s">
        <v>42</v>
      </c>
      <c r="D197" s="5" t="n">
        <v>18886</v>
      </c>
      <c r="E197" s="6" t="n">
        <v>253</v>
      </c>
      <c r="F197" s="7" t="n">
        <v>59</v>
      </c>
      <c r="G197" s="6" t="n">
        <v>499.014129763692</v>
      </c>
      <c r="H197" s="8" t="n">
        <v>413827.752046591</v>
      </c>
      <c r="I197" s="9" t="n">
        <v>7.67442694376293</v>
      </c>
      <c r="J197" s="9" t="n">
        <v>23.6532342111706</v>
      </c>
      <c r="K197" s="3" t="s">
        <v>99</v>
      </c>
      <c r="L197" s="3" t="s">
        <v>100</v>
      </c>
      <c r="M197" s="7" t="n">
        <v>2017</v>
      </c>
    </row>
    <row r="198" customFormat="false" ht="15" hidden="false" customHeight="false" outlineLevel="0" collapsed="false">
      <c r="A198" s="3" t="n">
        <v>284</v>
      </c>
      <c r="B198" s="3" t="s">
        <v>98</v>
      </c>
      <c r="C198" s="4" t="s">
        <v>43</v>
      </c>
      <c r="D198" s="5" t="n">
        <v>18906</v>
      </c>
      <c r="E198" s="6" t="n">
        <v>258</v>
      </c>
      <c r="F198" s="7" t="n">
        <v>67</v>
      </c>
      <c r="G198" s="6" t="n">
        <v>627.894051822202</v>
      </c>
      <c r="H198" s="8" t="n">
        <v>579222.228895935</v>
      </c>
      <c r="I198" s="9" t="n">
        <v>9.08325186900025</v>
      </c>
      <c r="J198" s="9" t="n">
        <v>29.7306490119882</v>
      </c>
      <c r="K198" s="3" t="s">
        <v>99</v>
      </c>
      <c r="L198" s="3" t="s">
        <v>100</v>
      </c>
      <c r="M198" s="7" t="n">
        <v>2018</v>
      </c>
    </row>
    <row r="199" customFormat="false" ht="15" hidden="false" customHeight="false" outlineLevel="0" collapsed="false">
      <c r="A199" s="3" t="n">
        <v>285</v>
      </c>
      <c r="B199" s="3" t="s">
        <v>98</v>
      </c>
      <c r="C199" s="4" t="s">
        <v>44</v>
      </c>
      <c r="D199" s="5" t="n">
        <v>19029</v>
      </c>
      <c r="E199" s="6" t="n">
        <v>258.6</v>
      </c>
      <c r="F199" s="7" t="n">
        <v>73</v>
      </c>
      <c r="G199" s="6" t="n">
        <v>822.583453469529</v>
      </c>
      <c r="H199" s="8" t="n">
        <v>756139.69478798</v>
      </c>
      <c r="I199" s="9" t="n">
        <v>10.7563852026285</v>
      </c>
      <c r="J199" s="9" t="n">
        <v>38.5913700424802</v>
      </c>
      <c r="K199" s="3" t="s">
        <v>99</v>
      </c>
      <c r="L199" s="3" t="s">
        <v>100</v>
      </c>
      <c r="M199" s="7" t="n">
        <v>2019</v>
      </c>
    </row>
    <row r="200" customFormat="false" ht="15" hidden="false" customHeight="false" outlineLevel="0" collapsed="false">
      <c r="A200" s="3" t="n">
        <v>286</v>
      </c>
      <c r="B200" s="3" t="s">
        <v>98</v>
      </c>
      <c r="C200" s="4" t="s">
        <v>45</v>
      </c>
      <c r="D200" s="5" t="n">
        <v>19308</v>
      </c>
      <c r="E200" s="6" t="n">
        <v>258.72</v>
      </c>
      <c r="F200" s="7" t="n">
        <v>73</v>
      </c>
      <c r="G200" s="6" t="n">
        <v>396.905085677812</v>
      </c>
      <c r="H200" s="8" t="n">
        <v>382046.422156566</v>
      </c>
      <c r="I200" s="9" t="n">
        <v>6.0534692343894</v>
      </c>
      <c r="J200" s="9" t="n">
        <v>18.402085663006</v>
      </c>
      <c r="K200" s="3" t="s">
        <v>99</v>
      </c>
      <c r="L200" s="3" t="s">
        <v>100</v>
      </c>
      <c r="M200" s="7" t="n">
        <v>2020</v>
      </c>
    </row>
    <row r="201" customFormat="false" ht="15" hidden="false" customHeight="false" outlineLevel="0" collapsed="false">
      <c r="A201" s="3" t="n">
        <v>287</v>
      </c>
      <c r="B201" s="3" t="s">
        <v>98</v>
      </c>
      <c r="C201" s="4" t="s">
        <v>46</v>
      </c>
      <c r="D201" s="5" t="n">
        <v>19376</v>
      </c>
      <c r="E201" s="6" t="n">
        <v>258.62</v>
      </c>
      <c r="F201" s="7" t="n">
        <v>73</v>
      </c>
      <c r="G201" s="6" t="n">
        <v>682.865886941231</v>
      </c>
      <c r="H201" s="8" t="n">
        <v>661752.154860668</v>
      </c>
      <c r="I201" s="9" t="n">
        <v>10.3054712237574</v>
      </c>
      <c r="J201" s="9" t="n">
        <v>31.5492446934589</v>
      </c>
      <c r="K201" s="3" t="s">
        <v>99</v>
      </c>
      <c r="L201" s="3" t="s">
        <v>100</v>
      </c>
      <c r="M201" s="7" t="n">
        <v>2021</v>
      </c>
    </row>
    <row r="202" customFormat="false" ht="15" hidden="false" customHeight="false" outlineLevel="0" collapsed="false">
      <c r="A202" s="3" t="n">
        <v>288</v>
      </c>
      <c r="B202" s="3" t="s">
        <v>98</v>
      </c>
      <c r="C202" s="4" t="s">
        <v>47</v>
      </c>
      <c r="D202" s="5" t="n">
        <v>19557</v>
      </c>
      <c r="E202" s="6" t="n">
        <v>261.8</v>
      </c>
      <c r="F202" s="7" t="n">
        <v>76</v>
      </c>
      <c r="G202" s="6" t="n">
        <v>1261.53591423801</v>
      </c>
      <c r="H202" s="8" t="n">
        <v>1486027.69240016</v>
      </c>
      <c r="I202" s="9" t="n">
        <v>17.0611624731689</v>
      </c>
      <c r="J202" s="9" t="n">
        <v>57.7450893317715</v>
      </c>
      <c r="K202" s="3" t="s">
        <v>99</v>
      </c>
      <c r="L202" s="3" t="s">
        <v>100</v>
      </c>
      <c r="M202" s="7" t="n">
        <v>2022</v>
      </c>
    </row>
    <row r="203" customFormat="false" ht="15" hidden="false" customHeight="false" outlineLevel="0" collapsed="false">
      <c r="A203" s="3" t="n">
        <v>289</v>
      </c>
      <c r="B203" s="3" t="s">
        <v>98</v>
      </c>
      <c r="C203" s="4" t="s">
        <v>48</v>
      </c>
      <c r="D203" s="5" t="n">
        <v>19557</v>
      </c>
      <c r="E203" s="6" t="n">
        <v>261.8</v>
      </c>
      <c r="F203" s="7" t="n">
        <v>76</v>
      </c>
      <c r="G203" s="6" t="n">
        <v>1311.5260493517</v>
      </c>
      <c r="H203" s="8" t="n">
        <v>1645771.062</v>
      </c>
      <c r="I203" s="9" t="n">
        <v>16.4904037773331</v>
      </c>
      <c r="J203" s="9" t="n">
        <v>59.8688448738602</v>
      </c>
      <c r="K203" s="3" t="s">
        <v>99</v>
      </c>
      <c r="L203" s="3" t="s">
        <v>100</v>
      </c>
      <c r="M203" s="7" t="n">
        <v>2023</v>
      </c>
    </row>
    <row r="204" customFormat="false" ht="15" hidden="false" customHeight="false" outlineLevel="0" collapsed="false">
      <c r="A204" s="3" t="n">
        <v>290</v>
      </c>
      <c r="B204" s="3" t="s">
        <v>98</v>
      </c>
      <c r="C204" s="4" t="s">
        <v>49</v>
      </c>
      <c r="D204" s="5" t="n">
        <v>19625</v>
      </c>
      <c r="E204" s="6" t="n">
        <v>264.68</v>
      </c>
      <c r="F204" s="7" t="n">
        <v>74</v>
      </c>
      <c r="G204" s="6" t="n">
        <v>1250.62036571466</v>
      </c>
      <c r="H204" s="8" t="n">
        <v>1445711.4764216</v>
      </c>
      <c r="I204" s="9" t="n">
        <v>17.7718582063981</v>
      </c>
      <c r="J204" s="9" t="n">
        <v>57.0470913121702</v>
      </c>
      <c r="K204" s="3" t="s">
        <v>99</v>
      </c>
      <c r="L204" s="3" t="s">
        <v>100</v>
      </c>
      <c r="M204" s="7" t="n">
        <v>2024</v>
      </c>
    </row>
    <row r="205" customFormat="false" ht="15" hidden="false" customHeight="false" outlineLevel="0" collapsed="false">
      <c r="A205" s="3" t="n">
        <v>291</v>
      </c>
      <c r="B205" s="3" t="s">
        <v>101</v>
      </c>
      <c r="C205" s="4" t="s">
        <v>41</v>
      </c>
      <c r="D205" s="5" t="n">
        <v>5704</v>
      </c>
      <c r="E205" s="6" t="n">
        <v>48</v>
      </c>
      <c r="F205" s="7" t="n">
        <v>60</v>
      </c>
      <c r="G205" s="6" t="n">
        <v>106.980728364616</v>
      </c>
      <c r="H205" s="8" t="n">
        <v>12015.3327820964</v>
      </c>
      <c r="I205" s="9" t="n">
        <v>5.34072447859495</v>
      </c>
      <c r="J205" s="9" t="n">
        <v>16.789729839836</v>
      </c>
      <c r="K205" s="3" t="s">
        <v>102</v>
      </c>
      <c r="L205" s="3" t="s">
        <v>103</v>
      </c>
      <c r="M205" s="7" t="n">
        <v>2016</v>
      </c>
    </row>
    <row r="206" customFormat="false" ht="15" hidden="false" customHeight="false" outlineLevel="0" collapsed="false">
      <c r="A206" s="3" t="n">
        <v>292</v>
      </c>
      <c r="B206" s="3" t="s">
        <v>101</v>
      </c>
      <c r="C206" s="4" t="s">
        <v>42</v>
      </c>
      <c r="D206" s="5" t="n">
        <v>6013</v>
      </c>
      <c r="E206" s="6" t="n">
        <v>48</v>
      </c>
      <c r="F206" s="7" t="n">
        <v>70</v>
      </c>
      <c r="G206" s="6" t="n">
        <v>124.903191935765</v>
      </c>
      <c r="H206" s="8" t="n">
        <v>21123.385803573</v>
      </c>
      <c r="I206" s="9" t="n">
        <v>6.49170305676856</v>
      </c>
      <c r="J206" s="9" t="n">
        <v>18.5951637731166</v>
      </c>
      <c r="K206" s="3" t="s">
        <v>102</v>
      </c>
      <c r="L206" s="3" t="s">
        <v>103</v>
      </c>
      <c r="M206" s="7" t="n">
        <v>2017</v>
      </c>
    </row>
    <row r="207" customFormat="false" ht="15" hidden="false" customHeight="false" outlineLevel="0" collapsed="false">
      <c r="A207" s="3" t="n">
        <v>293</v>
      </c>
      <c r="B207" s="3" t="s">
        <v>101</v>
      </c>
      <c r="C207" s="4" t="s">
        <v>43</v>
      </c>
      <c r="D207" s="5" t="n">
        <v>6116</v>
      </c>
      <c r="E207" s="6" t="n">
        <v>48</v>
      </c>
      <c r="F207" s="7" t="n">
        <v>58</v>
      </c>
      <c r="G207" s="6" t="n">
        <v>48.3134118484121</v>
      </c>
      <c r="H207" s="8" t="n">
        <v>8202.21189314232</v>
      </c>
      <c r="I207" s="9" t="n">
        <v>3.97522522522523</v>
      </c>
      <c r="J207" s="9" t="n">
        <v>7.0716035602064</v>
      </c>
      <c r="K207" s="3" t="s">
        <v>102</v>
      </c>
      <c r="L207" s="3" t="s">
        <v>103</v>
      </c>
      <c r="M207" s="7" t="n">
        <v>2018</v>
      </c>
    </row>
    <row r="208" customFormat="false" ht="15" hidden="false" customHeight="false" outlineLevel="0" collapsed="false">
      <c r="A208" s="3" t="n">
        <v>294</v>
      </c>
      <c r="B208" s="3" t="s">
        <v>101</v>
      </c>
      <c r="C208" s="4" t="s">
        <v>44</v>
      </c>
      <c r="D208" s="5" t="n">
        <v>6134</v>
      </c>
      <c r="E208" s="6" t="n">
        <v>48</v>
      </c>
      <c r="F208" s="7" t="n">
        <v>58</v>
      </c>
      <c r="G208" s="6" t="n">
        <v>254.218871531758</v>
      </c>
      <c r="H208" s="8" t="n">
        <v>37963.7442706689</v>
      </c>
      <c r="I208" s="9" t="n">
        <v>9.99443616729638</v>
      </c>
      <c r="J208" s="9" t="n">
        <v>36.9990189456007</v>
      </c>
      <c r="K208" s="3" t="s">
        <v>102</v>
      </c>
      <c r="L208" s="3" t="s">
        <v>103</v>
      </c>
      <c r="M208" s="7" t="n">
        <v>2019</v>
      </c>
    </row>
    <row r="209" customFormat="false" ht="15" hidden="false" customHeight="false" outlineLevel="0" collapsed="false">
      <c r="A209" s="3" t="n">
        <v>295</v>
      </c>
      <c r="B209" s="3" t="s">
        <v>101</v>
      </c>
      <c r="C209" s="4" t="s">
        <v>45</v>
      </c>
      <c r="D209" s="5" t="n">
        <v>6131</v>
      </c>
      <c r="E209" s="6" t="n">
        <v>48</v>
      </c>
      <c r="F209" s="7" t="n">
        <v>73</v>
      </c>
      <c r="G209" s="6" t="n">
        <v>254.060404344801</v>
      </c>
      <c r="H209" s="8" t="n">
        <v>40313.914643388</v>
      </c>
      <c r="I209" s="9" t="n">
        <v>9.7303043968433</v>
      </c>
      <c r="J209" s="9" t="n">
        <v>37.0956805785038</v>
      </c>
      <c r="K209" s="3" t="s">
        <v>102</v>
      </c>
      <c r="L209" s="3" t="s">
        <v>103</v>
      </c>
      <c r="M209" s="7" t="n">
        <v>2020</v>
      </c>
    </row>
    <row r="210" customFormat="false" ht="15" hidden="false" customHeight="false" outlineLevel="0" collapsed="false">
      <c r="A210" s="3" t="n">
        <v>296</v>
      </c>
      <c r="B210" s="3" t="s">
        <v>101</v>
      </c>
      <c r="C210" s="4" t="s">
        <v>46</v>
      </c>
      <c r="D210" s="5" t="n">
        <v>6133</v>
      </c>
      <c r="E210" s="6" t="n">
        <v>48</v>
      </c>
      <c r="F210" s="7" t="n">
        <v>73</v>
      </c>
      <c r="G210" s="6" t="n">
        <v>207.88475790109</v>
      </c>
      <c r="H210" s="8" t="n">
        <v>36955.6618234225</v>
      </c>
      <c r="I210" s="9" t="n">
        <v>9.07129095355022</v>
      </c>
      <c r="J210" s="9" t="n">
        <v>30.3436176865328</v>
      </c>
      <c r="K210" s="3" t="s">
        <v>102</v>
      </c>
      <c r="L210" s="3" t="s">
        <v>103</v>
      </c>
      <c r="M210" s="7" t="n">
        <v>2021</v>
      </c>
    </row>
    <row r="211" customFormat="false" ht="15" hidden="false" customHeight="false" outlineLevel="0" collapsed="false">
      <c r="A211" s="3" t="n">
        <v>297</v>
      </c>
      <c r="B211" s="3" t="s">
        <v>101</v>
      </c>
      <c r="C211" s="4" t="s">
        <v>47</v>
      </c>
      <c r="D211" s="5" t="n">
        <v>6151</v>
      </c>
      <c r="E211" s="6" t="n">
        <v>48</v>
      </c>
      <c r="F211" s="7" t="n">
        <v>81</v>
      </c>
      <c r="G211" s="6" t="n">
        <v>109.2768567209</v>
      </c>
      <c r="H211" s="8" t="n">
        <v>26594.492331475</v>
      </c>
      <c r="I211" s="9" t="n">
        <v>5.96051021065516</v>
      </c>
      <c r="J211" s="9" t="n">
        <v>15.9037720299933</v>
      </c>
      <c r="K211" s="3" t="s">
        <v>102</v>
      </c>
      <c r="L211" s="3" t="s">
        <v>103</v>
      </c>
      <c r="M211" s="7" t="n">
        <v>2022</v>
      </c>
    </row>
    <row r="212" customFormat="false" ht="15" hidden="false" customHeight="false" outlineLevel="0" collapsed="false">
      <c r="A212" s="3" t="n">
        <v>298</v>
      </c>
      <c r="B212" s="3" t="s">
        <v>101</v>
      </c>
      <c r="C212" s="4" t="s">
        <v>48</v>
      </c>
      <c r="D212" s="5" t="n">
        <v>6166</v>
      </c>
      <c r="E212" s="6" t="n">
        <v>48</v>
      </c>
      <c r="F212" s="7" t="n">
        <v>71</v>
      </c>
      <c r="G212" s="6" t="n">
        <v>436.566953088136</v>
      </c>
      <c r="H212" s="8" t="n">
        <v>102548.410504282</v>
      </c>
      <c r="I212" s="9" t="n">
        <v>16.3367090148963</v>
      </c>
      <c r="J212" s="9" t="n">
        <v>63.2082157259751</v>
      </c>
      <c r="K212" s="3" t="s">
        <v>102</v>
      </c>
      <c r="L212" s="3" t="s">
        <v>103</v>
      </c>
      <c r="M212" s="7" t="n">
        <v>2023</v>
      </c>
    </row>
    <row r="213" customFormat="false" ht="15" hidden="false" customHeight="false" outlineLevel="0" collapsed="false">
      <c r="A213" s="3" t="n">
        <v>299</v>
      </c>
      <c r="B213" s="3" t="s">
        <v>101</v>
      </c>
      <c r="C213" s="4" t="s">
        <v>49</v>
      </c>
      <c r="D213" s="5" t="n">
        <v>6187</v>
      </c>
      <c r="E213" s="6" t="n">
        <v>50.4</v>
      </c>
      <c r="F213" s="7" t="n">
        <v>78</v>
      </c>
      <c r="G213" s="6" t="n">
        <v>346.866617762726</v>
      </c>
      <c r="H213" s="8" t="n">
        <v>80631.8142868677</v>
      </c>
      <c r="I213" s="9" t="n">
        <v>13.0473805417099</v>
      </c>
      <c r="J213" s="9" t="n">
        <v>50.1880201950394</v>
      </c>
      <c r="K213" s="3" t="s">
        <v>102</v>
      </c>
      <c r="L213" s="3" t="s">
        <v>103</v>
      </c>
      <c r="M213" s="7" t="n">
        <v>2024</v>
      </c>
    </row>
    <row r="214" customFormat="false" ht="15" hidden="false" customHeight="false" outlineLevel="0" collapsed="false">
      <c r="A214" s="3" t="n">
        <v>300</v>
      </c>
      <c r="B214" s="3" t="s">
        <v>104</v>
      </c>
      <c r="C214" s="4" t="s">
        <v>14</v>
      </c>
      <c r="D214" s="5" t="n">
        <v>4295</v>
      </c>
      <c r="E214" s="6" t="n">
        <v>104.16</v>
      </c>
      <c r="F214" s="7" t="n">
        <v>45</v>
      </c>
      <c r="G214" s="6" t="n">
        <v>286.187324627577</v>
      </c>
      <c r="H214" s="8" t="n">
        <v>27716.1430817884</v>
      </c>
      <c r="I214" s="9" t="n">
        <v>17.0482258261188</v>
      </c>
      <c r="J214" s="9" t="n">
        <v>59.485815565867</v>
      </c>
      <c r="K214" s="3" t="s">
        <v>105</v>
      </c>
      <c r="L214" s="3" t="s">
        <v>106</v>
      </c>
      <c r="M214" s="7" t="n">
        <v>2016</v>
      </c>
    </row>
    <row r="215" customFormat="false" ht="15" hidden="false" customHeight="false" outlineLevel="0" collapsed="false">
      <c r="A215" s="3" t="n">
        <v>301</v>
      </c>
      <c r="B215" s="3" t="s">
        <v>104</v>
      </c>
      <c r="C215" s="4" t="s">
        <v>17</v>
      </c>
      <c r="D215" s="5" t="n">
        <v>3655</v>
      </c>
      <c r="E215" s="6" t="n">
        <v>91.024</v>
      </c>
      <c r="F215" s="7" t="n">
        <v>50</v>
      </c>
      <c r="G215" s="6" t="n">
        <v>256.681681215486</v>
      </c>
      <c r="H215" s="8" t="n">
        <v>22203.06587465</v>
      </c>
      <c r="I215" s="9" t="n">
        <v>19.9510044560058</v>
      </c>
      <c r="J215" s="9" t="n">
        <v>62.8673520435256</v>
      </c>
      <c r="K215" s="3" t="s">
        <v>105</v>
      </c>
      <c r="L215" s="3" t="s">
        <v>106</v>
      </c>
      <c r="M215" s="7" t="n">
        <v>2017</v>
      </c>
    </row>
    <row r="216" customFormat="false" ht="15" hidden="false" customHeight="false" outlineLevel="0" collapsed="false">
      <c r="A216" s="3" t="n">
        <v>302</v>
      </c>
      <c r="B216" s="3" t="s">
        <v>104</v>
      </c>
      <c r="C216" s="4" t="s">
        <v>18</v>
      </c>
      <c r="D216" s="5" t="n">
        <v>3588</v>
      </c>
      <c r="E216" s="6" t="n">
        <v>91.024</v>
      </c>
      <c r="F216" s="7" t="n">
        <v>50</v>
      </c>
      <c r="G216" s="6" t="n">
        <v>341.092316162773</v>
      </c>
      <c r="H216" s="8" t="n">
        <v>28964.4529017307</v>
      </c>
      <c r="I216" s="9" t="n">
        <v>21.6489584789599</v>
      </c>
      <c r="J216" s="9" t="n">
        <v>85.1014923937206</v>
      </c>
      <c r="K216" s="3" t="s">
        <v>105</v>
      </c>
      <c r="L216" s="3" t="s">
        <v>106</v>
      </c>
      <c r="M216" s="7" t="n">
        <v>2018</v>
      </c>
    </row>
    <row r="217" customFormat="false" ht="15" hidden="false" customHeight="false" outlineLevel="0" collapsed="false">
      <c r="A217" s="3" t="n">
        <v>303</v>
      </c>
      <c r="B217" s="3" t="s">
        <v>104</v>
      </c>
      <c r="C217" s="4" t="s">
        <v>19</v>
      </c>
      <c r="D217" s="5" t="n">
        <v>3297</v>
      </c>
      <c r="E217" s="6" t="n">
        <v>91.024</v>
      </c>
      <c r="F217" s="7" t="n">
        <v>51</v>
      </c>
      <c r="G217" s="6" t="n">
        <v>276.098312541514</v>
      </c>
      <c r="H217" s="8" t="n">
        <v>23482.2593978013</v>
      </c>
      <c r="I217" s="9" t="n">
        <v>18.4829309137829</v>
      </c>
      <c r="J217" s="9" t="n">
        <v>74.9656791221831</v>
      </c>
      <c r="K217" s="3" t="s">
        <v>105</v>
      </c>
      <c r="L217" s="3" t="s">
        <v>106</v>
      </c>
      <c r="M217" s="7" t="n">
        <v>2019</v>
      </c>
    </row>
    <row r="218" customFormat="false" ht="15" hidden="false" customHeight="false" outlineLevel="0" collapsed="false">
      <c r="A218" s="3" t="n">
        <v>304</v>
      </c>
      <c r="B218" s="3" t="s">
        <v>104</v>
      </c>
      <c r="C218" s="4" t="s">
        <v>20</v>
      </c>
      <c r="D218" s="5" t="n">
        <v>3939</v>
      </c>
      <c r="E218" s="6" t="n">
        <v>92.024</v>
      </c>
      <c r="F218" s="7" t="n">
        <v>51</v>
      </c>
      <c r="G218" s="6" t="n">
        <v>310.312514917752</v>
      </c>
      <c r="H218" s="8" t="n">
        <v>28840.1987400228</v>
      </c>
      <c r="I218" s="9" t="n">
        <v>21.2386178109168</v>
      </c>
      <c r="J218" s="9" t="n">
        <v>70.329819680584</v>
      </c>
      <c r="K218" s="3" t="s">
        <v>105</v>
      </c>
      <c r="L218" s="3" t="s">
        <v>106</v>
      </c>
      <c r="M218" s="7" t="n">
        <v>2020</v>
      </c>
    </row>
    <row r="219" customFormat="false" ht="15" hidden="false" customHeight="false" outlineLevel="0" collapsed="false">
      <c r="A219" s="3" t="n">
        <v>305</v>
      </c>
      <c r="B219" s="3" t="s">
        <v>104</v>
      </c>
      <c r="C219" s="4" t="s">
        <v>21</v>
      </c>
      <c r="D219" s="5" t="n">
        <v>3557</v>
      </c>
      <c r="E219" s="6" t="n">
        <v>91.024</v>
      </c>
      <c r="F219" s="7" t="n">
        <v>52</v>
      </c>
      <c r="G219" s="6" t="n">
        <v>405.629436351234</v>
      </c>
      <c r="H219" s="8" t="n">
        <v>32036.5121139282</v>
      </c>
      <c r="I219" s="9" t="n">
        <v>25.1243158672775</v>
      </c>
      <c r="J219" s="9" t="n">
        <v>102.085315030018</v>
      </c>
      <c r="K219" s="3" t="s">
        <v>105</v>
      </c>
      <c r="L219" s="3" t="s">
        <v>106</v>
      </c>
      <c r="M219" s="7" t="n">
        <v>2021</v>
      </c>
    </row>
    <row r="220" customFormat="false" ht="15" hidden="false" customHeight="false" outlineLevel="0" collapsed="false">
      <c r="A220" s="3" t="n">
        <v>306</v>
      </c>
      <c r="B220" s="3" t="s">
        <v>104</v>
      </c>
      <c r="C220" s="4" t="s">
        <v>22</v>
      </c>
      <c r="D220" s="5" t="n">
        <v>3628</v>
      </c>
      <c r="E220" s="6" t="n">
        <v>91.02</v>
      </c>
      <c r="F220" s="7" t="n">
        <v>54</v>
      </c>
      <c r="G220" s="6" t="n">
        <v>364.330259103845</v>
      </c>
      <c r="H220" s="8" t="n">
        <v>27498.5017507967</v>
      </c>
      <c r="I220" s="9" t="n">
        <v>25.8470669363024</v>
      </c>
      <c r="J220" s="9" t="n">
        <v>89.8970910464754</v>
      </c>
      <c r="K220" s="3" t="s">
        <v>105</v>
      </c>
      <c r="L220" s="3" t="s">
        <v>106</v>
      </c>
      <c r="M220" s="7" t="n">
        <v>2022</v>
      </c>
    </row>
    <row r="221" customFormat="false" ht="15" hidden="false" customHeight="false" outlineLevel="0" collapsed="false">
      <c r="A221" s="3" t="n">
        <v>307</v>
      </c>
      <c r="B221" s="3" t="s">
        <v>104</v>
      </c>
      <c r="C221" s="4" t="s">
        <v>23</v>
      </c>
      <c r="D221" s="5" t="n">
        <v>3731</v>
      </c>
      <c r="E221" s="6" t="n">
        <v>91.02</v>
      </c>
      <c r="F221" s="7" t="n">
        <v>54</v>
      </c>
      <c r="G221" s="6" t="n">
        <v>468.323850388395</v>
      </c>
      <c r="H221" s="8" t="n">
        <v>37400.1315340304</v>
      </c>
      <c r="I221" s="9" t="n">
        <v>29.6916754595346</v>
      </c>
      <c r="J221" s="9" t="n">
        <v>112.366978016757</v>
      </c>
      <c r="K221" s="3" t="s">
        <v>105</v>
      </c>
      <c r="L221" s="3" t="s">
        <v>106</v>
      </c>
      <c r="M221" s="7" t="n">
        <v>2023</v>
      </c>
    </row>
    <row r="222" customFormat="false" ht="15" hidden="false" customHeight="false" outlineLevel="0" collapsed="false">
      <c r="A222" s="3" t="n">
        <v>308</v>
      </c>
      <c r="B222" s="3" t="s">
        <v>104</v>
      </c>
      <c r="C222" s="4" t="s">
        <v>24</v>
      </c>
      <c r="D222" s="5" t="n">
        <v>3757</v>
      </c>
      <c r="E222" s="6" t="n">
        <v>103.41</v>
      </c>
      <c r="F222" s="7" t="n">
        <v>54</v>
      </c>
      <c r="G222" s="6" t="n">
        <v>454.277905023288</v>
      </c>
      <c r="H222" s="8" t="n">
        <v>43836.6813546466</v>
      </c>
      <c r="I222" s="9" t="n">
        <v>29.5562041360907</v>
      </c>
      <c r="J222" s="9" t="n">
        <v>107.946014657384</v>
      </c>
      <c r="K222" s="3" t="s">
        <v>105</v>
      </c>
      <c r="L222" s="3" t="s">
        <v>106</v>
      </c>
      <c r="M222" s="7" t="n">
        <v>2024</v>
      </c>
    </row>
    <row r="223" customFormat="false" ht="15" hidden="false" customHeight="false" outlineLevel="0" collapsed="false">
      <c r="A223" s="3" t="n">
        <v>317</v>
      </c>
      <c r="B223" s="3" t="s">
        <v>107</v>
      </c>
      <c r="C223" s="4" t="s">
        <v>14</v>
      </c>
      <c r="D223" s="5" t="n">
        <v>40805</v>
      </c>
      <c r="E223" s="6" t="n">
        <v>1314</v>
      </c>
      <c r="F223" s="7" t="n">
        <v>68</v>
      </c>
      <c r="G223" s="6" t="n">
        <v>3360.17857446809</v>
      </c>
      <c r="H223" s="8" t="n">
        <v>296602.962768298</v>
      </c>
      <c r="I223" s="9" t="n">
        <v>24.4209198911529</v>
      </c>
      <c r="J223" s="9" t="n">
        <v>73.5148659708975</v>
      </c>
      <c r="K223" s="3" t="s">
        <v>108</v>
      </c>
      <c r="L223" s="3" t="s">
        <v>109</v>
      </c>
      <c r="M223" s="7" t="n">
        <v>2016</v>
      </c>
    </row>
    <row r="224" customFormat="false" ht="15" hidden="false" customHeight="false" outlineLevel="0" collapsed="false">
      <c r="A224" s="3" t="n">
        <v>318</v>
      </c>
      <c r="B224" s="3" t="s">
        <v>107</v>
      </c>
      <c r="C224" s="4" t="s">
        <v>17</v>
      </c>
      <c r="D224" s="5" t="n">
        <v>41814</v>
      </c>
      <c r="E224" s="6" t="n">
        <v>1093</v>
      </c>
      <c r="F224" s="7" t="n">
        <v>72</v>
      </c>
      <c r="G224" s="6" t="n">
        <v>4024.96208721422</v>
      </c>
      <c r="H224" s="8" t="n">
        <v>377259.696434589</v>
      </c>
      <c r="I224" s="9" t="n">
        <v>23.5756082537727</v>
      </c>
      <c r="J224" s="9" t="n">
        <v>86.1703294785358</v>
      </c>
      <c r="K224" s="3" t="s">
        <v>108</v>
      </c>
      <c r="L224" s="3" t="s">
        <v>109</v>
      </c>
      <c r="M224" s="7" t="n">
        <v>2017</v>
      </c>
    </row>
    <row r="225" customFormat="false" ht="15" hidden="false" customHeight="false" outlineLevel="0" collapsed="false">
      <c r="A225" s="3" t="n">
        <v>319</v>
      </c>
      <c r="B225" s="3" t="s">
        <v>107</v>
      </c>
      <c r="C225" s="4" t="s">
        <v>18</v>
      </c>
      <c r="D225" s="5" t="n">
        <v>41717</v>
      </c>
      <c r="E225" s="6" t="n">
        <v>1148.5</v>
      </c>
      <c r="F225" s="7" t="n">
        <v>61</v>
      </c>
      <c r="G225" s="6" t="n">
        <v>4204.05117061812</v>
      </c>
      <c r="H225" s="8" t="n">
        <v>396357.944365876</v>
      </c>
      <c r="I225" s="9" t="n">
        <v>25.6688639007367</v>
      </c>
      <c r="J225" s="9" t="n">
        <v>90.2137214726205</v>
      </c>
      <c r="K225" s="3" t="s">
        <v>108</v>
      </c>
      <c r="L225" s="3" t="s">
        <v>109</v>
      </c>
      <c r="M225" s="7" t="n">
        <v>2018</v>
      </c>
    </row>
    <row r="226" customFormat="false" ht="15" hidden="false" customHeight="false" outlineLevel="0" collapsed="false">
      <c r="A226" s="3" t="n">
        <v>320</v>
      </c>
      <c r="B226" s="3" t="s">
        <v>107</v>
      </c>
      <c r="C226" s="4" t="s">
        <v>19</v>
      </c>
      <c r="D226" s="5" t="n">
        <v>42216</v>
      </c>
      <c r="E226" s="6" t="n">
        <v>1143.3</v>
      </c>
      <c r="F226" s="7" t="n">
        <v>60</v>
      </c>
      <c r="G226" s="6" t="n">
        <v>4505.92422360288</v>
      </c>
      <c r="H226" s="8" t="n">
        <v>456855.657031096</v>
      </c>
      <c r="I226" s="9" t="n">
        <v>27.2544428058285</v>
      </c>
      <c r="J226" s="9" t="n">
        <v>95.5486328151988</v>
      </c>
      <c r="K226" s="3" t="s">
        <v>108</v>
      </c>
      <c r="L226" s="3" t="s">
        <v>109</v>
      </c>
      <c r="M226" s="7" t="n">
        <v>2019</v>
      </c>
    </row>
    <row r="227" customFormat="false" ht="15" hidden="false" customHeight="false" outlineLevel="0" collapsed="false">
      <c r="A227" s="3" t="n">
        <v>321</v>
      </c>
      <c r="B227" s="3" t="s">
        <v>107</v>
      </c>
      <c r="C227" s="4" t="s">
        <v>20</v>
      </c>
      <c r="D227" s="5" t="n">
        <v>43167</v>
      </c>
      <c r="E227" s="6" t="n">
        <v>1143.3</v>
      </c>
      <c r="F227" s="7" t="n">
        <v>63</v>
      </c>
      <c r="G227" s="6" t="n">
        <v>4771.09716410921</v>
      </c>
      <c r="H227" s="8" t="n">
        <v>482071.657461594</v>
      </c>
      <c r="I227" s="9" t="n">
        <v>23.5888936517978</v>
      </c>
      <c r="J227" s="9" t="n">
        <v>98.6716947352382</v>
      </c>
      <c r="K227" s="3" t="s">
        <v>108</v>
      </c>
      <c r="L227" s="3" t="s">
        <v>109</v>
      </c>
      <c r="M227" s="7" t="n">
        <v>2020</v>
      </c>
    </row>
    <row r="228" customFormat="false" ht="15" hidden="false" customHeight="false" outlineLevel="0" collapsed="false">
      <c r="A228" s="3" t="n">
        <v>322</v>
      </c>
      <c r="B228" s="3" t="s">
        <v>107</v>
      </c>
      <c r="C228" s="4" t="s">
        <v>21</v>
      </c>
      <c r="D228" s="5" t="n">
        <v>43397</v>
      </c>
      <c r="E228" s="6" t="n">
        <v>1143.3</v>
      </c>
      <c r="F228" s="7" t="n">
        <v>62</v>
      </c>
      <c r="G228" s="6" t="n">
        <v>6439.50915647882</v>
      </c>
      <c r="H228" s="8" t="n">
        <v>671061.249196658</v>
      </c>
      <c r="I228" s="9" t="n">
        <v>26.854782393646</v>
      </c>
      <c r="J228" s="9" t="n">
        <v>132.834452915023</v>
      </c>
      <c r="K228" s="3" t="s">
        <v>108</v>
      </c>
      <c r="L228" s="3" t="s">
        <v>109</v>
      </c>
      <c r="M228" s="7" t="n">
        <v>2021</v>
      </c>
    </row>
    <row r="229" customFormat="false" ht="15" hidden="false" customHeight="false" outlineLevel="0" collapsed="false">
      <c r="A229" s="3" t="n">
        <v>323</v>
      </c>
      <c r="B229" s="3" t="s">
        <v>107</v>
      </c>
      <c r="C229" s="4" t="s">
        <v>22</v>
      </c>
      <c r="D229" s="5" t="n">
        <v>44646</v>
      </c>
      <c r="E229" s="6" t="n">
        <v>1127</v>
      </c>
      <c r="F229" s="7" t="n">
        <v>59</v>
      </c>
      <c r="G229" s="6" t="n">
        <v>3836.44817229678</v>
      </c>
      <c r="H229" s="8" t="n">
        <v>523253.166219558</v>
      </c>
      <c r="I229" s="9" t="n">
        <v>21.7990781518428</v>
      </c>
      <c r="J229" s="9" t="n">
        <v>76.9244598036346</v>
      </c>
      <c r="K229" s="3" t="s">
        <v>108</v>
      </c>
      <c r="L229" s="3" t="s">
        <v>109</v>
      </c>
      <c r="M229" s="7" t="n">
        <v>2022</v>
      </c>
    </row>
    <row r="230" customFormat="false" ht="15" hidden="false" customHeight="false" outlineLevel="0" collapsed="false">
      <c r="A230" s="3" t="n">
        <v>324</v>
      </c>
      <c r="B230" s="3" t="s">
        <v>107</v>
      </c>
      <c r="C230" s="4" t="s">
        <v>23</v>
      </c>
      <c r="D230" s="5" t="n">
        <v>43236</v>
      </c>
      <c r="E230" s="6" t="n">
        <v>1153.6</v>
      </c>
      <c r="F230" s="7" t="n">
        <v>69</v>
      </c>
      <c r="G230" s="6" t="n">
        <v>2442.60049957663</v>
      </c>
      <c r="H230" s="8" t="n">
        <v>400537.629920576</v>
      </c>
      <c r="I230" s="9" t="n">
        <v>17.9224701264623</v>
      </c>
      <c r="J230" s="9" t="n">
        <v>50.5736860122888</v>
      </c>
      <c r="K230" s="3" t="s">
        <v>108</v>
      </c>
      <c r="L230" s="3" t="s">
        <v>109</v>
      </c>
      <c r="M230" s="7" t="n">
        <v>2023</v>
      </c>
    </row>
    <row r="231" customFormat="false" ht="15" hidden="false" customHeight="false" outlineLevel="0" collapsed="false">
      <c r="A231" s="3" t="n">
        <v>325</v>
      </c>
      <c r="B231" s="3" t="s">
        <v>107</v>
      </c>
      <c r="C231" s="4" t="s">
        <v>24</v>
      </c>
      <c r="D231" s="5" t="n">
        <v>44646</v>
      </c>
      <c r="E231" s="6" t="n">
        <v>1154.2</v>
      </c>
      <c r="F231" s="7" t="n">
        <v>73</v>
      </c>
      <c r="G231" s="6" t="n">
        <v>2111.76977476714</v>
      </c>
      <c r="H231" s="8" t="n">
        <v>371819.304243251</v>
      </c>
      <c r="I231" s="9" t="n">
        <v>16.1625836982874</v>
      </c>
      <c r="J231" s="9" t="n">
        <v>42.2269980699093</v>
      </c>
      <c r="K231" s="3" t="s">
        <v>108</v>
      </c>
      <c r="L231" s="3" t="s">
        <v>109</v>
      </c>
      <c r="M231" s="7" t="n">
        <v>2024</v>
      </c>
    </row>
    <row r="232" customFormat="false" ht="15" hidden="false" customHeight="false" outlineLevel="0" collapsed="false">
      <c r="A232" s="3" t="n">
        <v>326</v>
      </c>
      <c r="B232" s="3" t="s">
        <v>110</v>
      </c>
      <c r="C232" s="4" t="s">
        <v>14</v>
      </c>
      <c r="D232" s="5" t="n">
        <v>14119</v>
      </c>
      <c r="E232" s="6" t="n">
        <v>253</v>
      </c>
      <c r="F232" s="7" t="n">
        <v>50</v>
      </c>
      <c r="G232" s="6" t="n">
        <v>1096.00181348387</v>
      </c>
      <c r="H232" s="8" t="n">
        <v>177971.648925293</v>
      </c>
      <c r="I232" s="9" t="n">
        <v>22.0879237229104</v>
      </c>
      <c r="J232" s="9" t="n">
        <v>69.3000468474974</v>
      </c>
      <c r="K232" s="3" t="s">
        <v>111</v>
      </c>
      <c r="L232" s="3" t="s">
        <v>112</v>
      </c>
      <c r="M232" s="7" t="n">
        <v>2016</v>
      </c>
    </row>
    <row r="233" customFormat="false" ht="15" hidden="false" customHeight="false" outlineLevel="0" collapsed="false">
      <c r="A233" s="3" t="n">
        <v>327</v>
      </c>
      <c r="B233" s="3" t="s">
        <v>110</v>
      </c>
      <c r="C233" s="4" t="s">
        <v>17</v>
      </c>
      <c r="D233" s="5" t="n">
        <v>14159</v>
      </c>
      <c r="E233" s="6" t="n">
        <v>253</v>
      </c>
      <c r="F233" s="7" t="n">
        <v>54</v>
      </c>
      <c r="G233" s="6" t="n">
        <v>1050.18089020709</v>
      </c>
      <c r="H233" s="8" t="n">
        <v>177482.218838088</v>
      </c>
      <c r="I233" s="9" t="n">
        <v>20.2135605871142</v>
      </c>
      <c r="J233" s="9" t="n">
        <v>66.3971141825823</v>
      </c>
      <c r="K233" s="3" t="s">
        <v>111</v>
      </c>
      <c r="L233" s="3" t="s">
        <v>112</v>
      </c>
      <c r="M233" s="7" t="n">
        <v>2017</v>
      </c>
    </row>
    <row r="234" customFormat="false" ht="15" hidden="false" customHeight="false" outlineLevel="0" collapsed="false">
      <c r="A234" s="3" t="n">
        <v>328</v>
      </c>
      <c r="B234" s="3" t="s">
        <v>110</v>
      </c>
      <c r="C234" s="4" t="s">
        <v>18</v>
      </c>
      <c r="D234" s="5" t="n">
        <v>14243</v>
      </c>
      <c r="E234" s="6" t="n">
        <v>253</v>
      </c>
      <c r="F234" s="7" t="n">
        <v>61</v>
      </c>
      <c r="G234" s="6" t="n">
        <v>1257.67571121695</v>
      </c>
      <c r="H234" s="8" t="n">
        <v>202688.885954453</v>
      </c>
      <c r="I234" s="9" t="n">
        <v>22.6154105584731</v>
      </c>
      <c r="J234" s="9" t="n">
        <v>79.0469056663567</v>
      </c>
      <c r="K234" s="3" t="s">
        <v>111</v>
      </c>
      <c r="L234" s="3" t="s">
        <v>112</v>
      </c>
      <c r="M234" s="7" t="n">
        <v>2018</v>
      </c>
    </row>
    <row r="235" customFormat="false" ht="15" hidden="false" customHeight="false" outlineLevel="0" collapsed="false">
      <c r="A235" s="3" t="n">
        <v>329</v>
      </c>
      <c r="B235" s="3" t="s">
        <v>110</v>
      </c>
      <c r="C235" s="4" t="s">
        <v>19</v>
      </c>
      <c r="D235" s="5" t="n">
        <v>14168</v>
      </c>
      <c r="E235" s="6" t="n">
        <v>253</v>
      </c>
      <c r="F235" s="7" t="n">
        <v>58</v>
      </c>
      <c r="G235" s="6" t="n">
        <v>713.223249696357</v>
      </c>
      <c r="H235" s="8" t="n">
        <v>128782.288135502</v>
      </c>
      <c r="I235" s="9" t="n">
        <v>14.4828423758014</v>
      </c>
      <c r="J235" s="9" t="n">
        <v>45.0645063664611</v>
      </c>
      <c r="K235" s="3" t="s">
        <v>111</v>
      </c>
      <c r="L235" s="3" t="s">
        <v>112</v>
      </c>
      <c r="M235" s="7" t="n">
        <v>2019</v>
      </c>
    </row>
    <row r="236" customFormat="false" ht="15" hidden="false" customHeight="false" outlineLevel="0" collapsed="false">
      <c r="A236" s="3" t="n">
        <v>330</v>
      </c>
      <c r="B236" s="3" t="s">
        <v>110</v>
      </c>
      <c r="C236" s="4" t="s">
        <v>20</v>
      </c>
      <c r="D236" s="5" t="n">
        <v>14910</v>
      </c>
      <c r="E236" s="6" t="n">
        <v>253</v>
      </c>
      <c r="F236" s="7" t="n">
        <v>57</v>
      </c>
      <c r="G236" s="6" t="n">
        <v>855.716818740906</v>
      </c>
      <c r="H236" s="8" t="n">
        <v>140516.680541549</v>
      </c>
      <c r="I236" s="9" t="n">
        <v>16.2261272058079</v>
      </c>
      <c r="J236" s="9" t="n">
        <v>51.2364012575072</v>
      </c>
      <c r="K236" s="3" t="s">
        <v>111</v>
      </c>
      <c r="L236" s="3" t="s">
        <v>112</v>
      </c>
      <c r="M236" s="7" t="n">
        <v>2020</v>
      </c>
    </row>
    <row r="237" customFormat="false" ht="15" hidden="false" customHeight="false" outlineLevel="0" collapsed="false">
      <c r="A237" s="3" t="n">
        <v>331</v>
      </c>
      <c r="B237" s="3" t="s">
        <v>110</v>
      </c>
      <c r="C237" s="4" t="s">
        <v>21</v>
      </c>
      <c r="D237" s="5" t="n">
        <v>14971</v>
      </c>
      <c r="E237" s="6" t="n">
        <v>253</v>
      </c>
      <c r="F237" s="7" t="n">
        <v>57</v>
      </c>
      <c r="G237" s="6" t="n">
        <v>589.013123928956</v>
      </c>
      <c r="H237" s="8" t="n">
        <v>150038.933008936</v>
      </c>
      <c r="I237" s="9" t="n">
        <v>12.9446860695914</v>
      </c>
      <c r="J237" s="9" t="n">
        <v>35.2202014453904</v>
      </c>
      <c r="K237" s="3" t="s">
        <v>111</v>
      </c>
      <c r="L237" s="3" t="s">
        <v>112</v>
      </c>
      <c r="M237" s="7" t="n">
        <v>2021</v>
      </c>
    </row>
    <row r="238" customFormat="false" ht="15" hidden="false" customHeight="false" outlineLevel="0" collapsed="false">
      <c r="A238" s="3" t="n">
        <v>332</v>
      </c>
      <c r="B238" s="3" t="s">
        <v>110</v>
      </c>
      <c r="C238" s="4" t="s">
        <v>22</v>
      </c>
      <c r="D238" s="5" t="n">
        <v>14998</v>
      </c>
      <c r="E238" s="6" t="n">
        <v>253</v>
      </c>
      <c r="F238" s="7" t="n">
        <v>52</v>
      </c>
      <c r="G238" s="6" t="n">
        <v>539.849251275027</v>
      </c>
      <c r="H238" s="8" t="n">
        <v>128815.658650959</v>
      </c>
      <c r="I238" s="9" t="n">
        <v>12.0426622252773</v>
      </c>
      <c r="J238" s="9" t="n">
        <v>32.2223216533668</v>
      </c>
      <c r="K238" s="3" t="s">
        <v>111</v>
      </c>
      <c r="L238" s="3" t="s">
        <v>112</v>
      </c>
      <c r="M238" s="7" t="n">
        <v>2022</v>
      </c>
    </row>
    <row r="239" customFormat="false" ht="15" hidden="false" customHeight="false" outlineLevel="0" collapsed="false">
      <c r="A239" s="3" t="n">
        <v>333</v>
      </c>
      <c r="B239" s="3" t="s">
        <v>110</v>
      </c>
      <c r="C239" s="4" t="s">
        <v>23</v>
      </c>
      <c r="D239" s="5" t="n">
        <v>18483</v>
      </c>
      <c r="E239" s="6" t="n">
        <v>249.9</v>
      </c>
      <c r="F239" s="7" t="n">
        <v>55</v>
      </c>
      <c r="G239" s="6" t="n">
        <v>698.989162917412</v>
      </c>
      <c r="H239" s="8" t="n">
        <v>177283.858966326</v>
      </c>
      <c r="I239" s="9" t="n">
        <v>15.9670307445029</v>
      </c>
      <c r="J239" s="9" t="n">
        <v>33.8544414923903</v>
      </c>
      <c r="K239" s="3" t="s">
        <v>111</v>
      </c>
      <c r="L239" s="3" t="s">
        <v>112</v>
      </c>
      <c r="M239" s="7" t="n">
        <v>2023</v>
      </c>
    </row>
    <row r="240" customFormat="false" ht="15" hidden="false" customHeight="false" outlineLevel="0" collapsed="false">
      <c r="A240" s="3" t="n">
        <v>334</v>
      </c>
      <c r="B240" s="3" t="s">
        <v>110</v>
      </c>
      <c r="C240" s="4" t="s">
        <v>24</v>
      </c>
      <c r="D240" s="5" t="n">
        <v>18545</v>
      </c>
      <c r="E240" s="6" t="n">
        <v>249.9</v>
      </c>
      <c r="F240" s="7" t="n">
        <v>59</v>
      </c>
      <c r="G240" s="6" t="n">
        <v>565.936330506524</v>
      </c>
      <c r="H240" s="8" t="n">
        <v>203921.558839015</v>
      </c>
      <c r="I240" s="9" t="n">
        <v>12.9573141415401</v>
      </c>
      <c r="J240" s="9" t="n">
        <v>27.2437527719514</v>
      </c>
      <c r="K240" s="3" t="s">
        <v>111</v>
      </c>
      <c r="L240" s="3" t="s">
        <v>112</v>
      </c>
      <c r="M240" s="7" t="n">
        <v>2024</v>
      </c>
    </row>
    <row r="241" customFormat="false" ht="15" hidden="false" customHeight="false" outlineLevel="0" collapsed="false">
      <c r="A241" s="3" t="n">
        <v>376</v>
      </c>
      <c r="B241" s="3" t="s">
        <v>113</v>
      </c>
      <c r="C241" s="4" t="s">
        <v>14</v>
      </c>
      <c r="D241" s="5" t="n">
        <v>33631</v>
      </c>
      <c r="E241" s="6" t="n">
        <v>503.85</v>
      </c>
      <c r="F241" s="7" t="n">
        <v>64</v>
      </c>
      <c r="G241" s="6" t="n">
        <v>66.4675248537808</v>
      </c>
      <c r="H241" s="8" t="n">
        <v>26046.7354857576</v>
      </c>
      <c r="I241" s="9" t="n">
        <v>3.45954604349145</v>
      </c>
      <c r="J241" s="9" t="n">
        <v>1.76439540990429</v>
      </c>
      <c r="K241" s="3" t="s">
        <v>114</v>
      </c>
      <c r="L241" s="3" t="s">
        <v>115</v>
      </c>
      <c r="M241" s="7" t="n">
        <v>2016</v>
      </c>
    </row>
    <row r="242" customFormat="false" ht="15" hidden="false" customHeight="false" outlineLevel="0" collapsed="false">
      <c r="A242" s="3" t="n">
        <v>377</v>
      </c>
      <c r="B242" s="3" t="s">
        <v>113</v>
      </c>
      <c r="C242" s="4" t="s">
        <v>17</v>
      </c>
      <c r="D242" s="5" t="n">
        <v>34674</v>
      </c>
      <c r="E242" s="6" t="n">
        <v>515.2</v>
      </c>
      <c r="F242" s="7" t="n">
        <v>69</v>
      </c>
      <c r="G242" s="6" t="n">
        <v>139.79040888579</v>
      </c>
      <c r="H242" s="8" t="n">
        <v>54691.5118340822</v>
      </c>
      <c r="I242" s="9" t="n">
        <v>4.25348290910908</v>
      </c>
      <c r="J242" s="9" t="n">
        <v>3.60903509151833</v>
      </c>
      <c r="K242" s="3" t="s">
        <v>114</v>
      </c>
      <c r="L242" s="3" t="s">
        <v>115</v>
      </c>
      <c r="M242" s="7" t="n">
        <v>2017</v>
      </c>
    </row>
    <row r="243" customFormat="false" ht="15" hidden="false" customHeight="false" outlineLevel="0" collapsed="false">
      <c r="A243" s="3" t="n">
        <v>378</v>
      </c>
      <c r="B243" s="3" t="s">
        <v>113</v>
      </c>
      <c r="C243" s="4" t="s">
        <v>18</v>
      </c>
      <c r="D243" s="5" t="n">
        <v>36400</v>
      </c>
      <c r="E243" s="6" t="n">
        <v>535</v>
      </c>
      <c r="F243" s="7" t="n">
        <v>67</v>
      </c>
      <c r="G243" s="6" t="n">
        <v>662.13685220259</v>
      </c>
      <c r="H243" s="8" t="n">
        <v>104058.047388329</v>
      </c>
      <c r="I243" s="9" t="n">
        <v>5.40948262839858</v>
      </c>
      <c r="J243" s="9" t="n">
        <v>16.2841108733144</v>
      </c>
      <c r="K243" s="3" t="s">
        <v>114</v>
      </c>
      <c r="L243" s="3" t="s">
        <v>115</v>
      </c>
      <c r="M243" s="7" t="n">
        <v>2018</v>
      </c>
    </row>
    <row r="244" customFormat="false" ht="15" hidden="false" customHeight="false" outlineLevel="0" collapsed="false">
      <c r="A244" s="3" t="n">
        <v>379</v>
      </c>
      <c r="B244" s="3" t="s">
        <v>113</v>
      </c>
      <c r="C244" s="4" t="s">
        <v>19</v>
      </c>
      <c r="D244" s="5" t="n">
        <v>37202</v>
      </c>
      <c r="E244" s="6" t="n">
        <v>546</v>
      </c>
      <c r="F244" s="7" t="n">
        <v>70</v>
      </c>
      <c r="G244" s="6" t="n">
        <v>600.586867573514</v>
      </c>
      <c r="H244" s="8" t="n">
        <v>113186.091414131</v>
      </c>
      <c r="I244" s="9" t="n">
        <v>6.02776150302203</v>
      </c>
      <c r="J244" s="9" t="n">
        <v>14.4519755367117</v>
      </c>
      <c r="K244" s="3" t="s">
        <v>114</v>
      </c>
      <c r="L244" s="3" t="s">
        <v>115</v>
      </c>
      <c r="M244" s="7" t="n">
        <v>2019</v>
      </c>
    </row>
    <row r="245" customFormat="false" ht="15" hidden="false" customHeight="false" outlineLevel="0" collapsed="false">
      <c r="A245" s="3" t="n">
        <v>380</v>
      </c>
      <c r="B245" s="3" t="s">
        <v>113</v>
      </c>
      <c r="C245" s="4" t="s">
        <v>20</v>
      </c>
      <c r="D245" s="5" t="n">
        <v>39314</v>
      </c>
      <c r="E245" s="6" t="n">
        <v>555</v>
      </c>
      <c r="F245" s="7" t="n">
        <v>85</v>
      </c>
      <c r="G245" s="6" t="n">
        <v>505.059581915703</v>
      </c>
      <c r="H245" s="8" t="n">
        <v>93280.5267889032</v>
      </c>
      <c r="I245" s="9" t="n">
        <v>4.74137458698938</v>
      </c>
      <c r="J245" s="9" t="n">
        <v>11.4688949613832</v>
      </c>
      <c r="K245" s="3" t="s">
        <v>114</v>
      </c>
      <c r="L245" s="3" t="s">
        <v>115</v>
      </c>
      <c r="M245" s="7" t="n">
        <v>2020</v>
      </c>
    </row>
    <row r="246" customFormat="false" ht="15" hidden="false" customHeight="false" outlineLevel="0" collapsed="false">
      <c r="A246" s="3" t="n">
        <v>381</v>
      </c>
      <c r="B246" s="3" t="s">
        <v>113</v>
      </c>
      <c r="C246" s="4" t="s">
        <v>21</v>
      </c>
      <c r="D246" s="5" t="n">
        <v>40172</v>
      </c>
      <c r="E246" s="6" t="n">
        <v>573</v>
      </c>
      <c r="F246" s="7" t="n">
        <v>71</v>
      </c>
      <c r="G246" s="6" t="n">
        <v>32.3360826692359</v>
      </c>
      <c r="H246" s="8" t="n">
        <v>7459.27901335582</v>
      </c>
      <c r="I246" s="9" t="n">
        <v>2.82223510091911</v>
      </c>
      <c r="J246" s="9" t="n">
        <v>0.720579042661418</v>
      </c>
      <c r="K246" s="3" t="s">
        <v>114</v>
      </c>
      <c r="L246" s="3" t="s">
        <v>115</v>
      </c>
      <c r="M246" s="7" t="n">
        <v>2021</v>
      </c>
    </row>
    <row r="247" customFormat="false" ht="15" hidden="false" customHeight="false" outlineLevel="0" collapsed="false">
      <c r="A247" s="3" t="n">
        <v>382</v>
      </c>
      <c r="B247" s="3" t="s">
        <v>113</v>
      </c>
      <c r="C247" s="4" t="s">
        <v>22</v>
      </c>
      <c r="D247" s="5" t="n">
        <v>40693</v>
      </c>
      <c r="E247" s="6" t="n">
        <v>585</v>
      </c>
      <c r="F247" s="7" t="n">
        <v>68</v>
      </c>
      <c r="G247" s="6" t="n">
        <v>172.355339300659</v>
      </c>
      <c r="H247" s="8" t="n">
        <v>38692.4478916479</v>
      </c>
      <c r="I247" s="9" t="n">
        <v>4.00491612277817</v>
      </c>
      <c r="J247" s="9" t="n">
        <v>3.79160168666176</v>
      </c>
      <c r="K247" s="3" t="s">
        <v>114</v>
      </c>
      <c r="L247" s="3" t="s">
        <v>115</v>
      </c>
      <c r="M247" s="7" t="n">
        <v>2022</v>
      </c>
    </row>
    <row r="248" customFormat="false" ht="15" hidden="false" customHeight="false" outlineLevel="0" collapsed="false">
      <c r="A248" s="3" t="n">
        <v>383</v>
      </c>
      <c r="B248" s="3" t="s">
        <v>113</v>
      </c>
      <c r="C248" s="4" t="s">
        <v>23</v>
      </c>
      <c r="D248" s="5" t="n">
        <v>40721</v>
      </c>
      <c r="E248" s="6" t="n">
        <v>600</v>
      </c>
      <c r="F248" s="7" t="n">
        <v>68</v>
      </c>
      <c r="G248" s="6" t="n">
        <v>130.180967755385</v>
      </c>
      <c r="H248" s="8" t="n">
        <v>39034.1707777459</v>
      </c>
      <c r="I248" s="9" t="n">
        <v>4.01328220219119</v>
      </c>
      <c r="J248" s="9" t="n">
        <v>2.86184913392555</v>
      </c>
      <c r="K248" s="3" t="s">
        <v>114</v>
      </c>
      <c r="L248" s="3" t="s">
        <v>115</v>
      </c>
      <c r="M248" s="7" t="n">
        <v>2023</v>
      </c>
    </row>
    <row r="249" customFormat="false" ht="15" hidden="false" customHeight="false" outlineLevel="0" collapsed="false">
      <c r="A249" s="3" t="n">
        <v>384</v>
      </c>
      <c r="B249" s="3" t="s">
        <v>113</v>
      </c>
      <c r="C249" s="4" t="s">
        <v>24</v>
      </c>
      <c r="D249" s="5" t="n">
        <v>40788</v>
      </c>
      <c r="E249" s="6" t="n">
        <v>603</v>
      </c>
      <c r="F249" s="7" t="n">
        <v>70</v>
      </c>
      <c r="G249" s="6" t="n">
        <v>218.493573697145</v>
      </c>
      <c r="H249" s="8" t="n">
        <v>71258.3349524255</v>
      </c>
      <c r="I249" s="9" t="n">
        <v>3.53071261563795</v>
      </c>
      <c r="J249" s="9" t="n">
        <v>4.78225193031448</v>
      </c>
      <c r="K249" s="3" t="s">
        <v>114</v>
      </c>
      <c r="L249" s="3" t="s">
        <v>115</v>
      </c>
      <c r="M249" s="7" t="n">
        <v>2024</v>
      </c>
    </row>
    <row r="250" customFormat="false" ht="15" hidden="false" customHeight="false" outlineLevel="0" collapsed="false">
      <c r="A250" s="3" t="n">
        <v>385</v>
      </c>
      <c r="B250" s="3" t="s">
        <v>116</v>
      </c>
      <c r="C250" s="4" t="s">
        <v>41</v>
      </c>
      <c r="D250" s="5" t="n">
        <v>3826</v>
      </c>
      <c r="E250" s="6" t="n">
        <v>98.4752272727273</v>
      </c>
      <c r="F250" s="7" t="n">
        <v>52</v>
      </c>
      <c r="G250" s="6" t="n">
        <v>183.597706185567</v>
      </c>
      <c r="H250" s="8" t="n">
        <v>78264.0301927834</v>
      </c>
      <c r="I250" s="9" t="n">
        <v>9.57359009628611</v>
      </c>
      <c r="J250" s="9" t="n">
        <v>42.9575950539923</v>
      </c>
      <c r="K250" s="3" t="s">
        <v>117</v>
      </c>
      <c r="L250" s="3" t="s">
        <v>118</v>
      </c>
      <c r="M250" s="7" t="n">
        <v>2016</v>
      </c>
    </row>
    <row r="251" customFormat="false" ht="15" hidden="false" customHeight="false" outlineLevel="0" collapsed="false">
      <c r="A251" s="3" t="n">
        <v>386</v>
      </c>
      <c r="B251" s="3" t="s">
        <v>116</v>
      </c>
      <c r="C251" s="4" t="s">
        <v>42</v>
      </c>
      <c r="D251" s="5" t="n">
        <v>3826</v>
      </c>
      <c r="E251" s="6" t="n">
        <v>98.4752272727273</v>
      </c>
      <c r="F251" s="7" t="n">
        <v>52</v>
      </c>
      <c r="G251" s="6" t="n">
        <v>18.2346134020617</v>
      </c>
      <c r="H251" s="8" t="n">
        <v>7773.05100103087</v>
      </c>
      <c r="I251" s="9" t="n">
        <v>5.15766969535008</v>
      </c>
      <c r="J251" s="9" t="n">
        <v>4.26647562633572</v>
      </c>
      <c r="K251" s="3" t="s">
        <v>117</v>
      </c>
      <c r="L251" s="3" t="s">
        <v>118</v>
      </c>
      <c r="M251" s="7" t="n">
        <v>2017</v>
      </c>
    </row>
    <row r="252" customFormat="false" ht="15" hidden="false" customHeight="false" outlineLevel="0" collapsed="false">
      <c r="A252" s="3" t="n">
        <v>387</v>
      </c>
      <c r="B252" s="3" t="s">
        <v>116</v>
      </c>
      <c r="C252" s="4" t="s">
        <v>43</v>
      </c>
      <c r="D252" s="5" t="n">
        <v>3933</v>
      </c>
      <c r="E252" s="6" t="n">
        <v>98.5</v>
      </c>
      <c r="F252" s="7" t="n">
        <v>53</v>
      </c>
      <c r="G252" s="6" t="n">
        <v>330.636829896907</v>
      </c>
      <c r="H252" s="8" t="n">
        <v>130737.108909536</v>
      </c>
      <c r="I252" s="9" t="n">
        <v>13.2020228906042</v>
      </c>
      <c r="J252" s="9" t="n">
        <v>75.2566628798425</v>
      </c>
      <c r="K252" s="3" t="s">
        <v>117</v>
      </c>
      <c r="L252" s="3" t="s">
        <v>118</v>
      </c>
      <c r="M252" s="7" t="n">
        <v>2018</v>
      </c>
    </row>
    <row r="253" customFormat="false" ht="15" hidden="false" customHeight="false" outlineLevel="0" collapsed="false">
      <c r="A253" s="3" t="n">
        <v>388</v>
      </c>
      <c r="B253" s="3" t="s">
        <v>116</v>
      </c>
      <c r="C253" s="4" t="s">
        <v>44</v>
      </c>
      <c r="D253" s="5" t="n">
        <v>3936</v>
      </c>
      <c r="E253" s="6" t="n">
        <v>98.525</v>
      </c>
      <c r="F253" s="7" t="n">
        <v>64</v>
      </c>
      <c r="G253" s="6" t="n">
        <v>216.261706701031</v>
      </c>
      <c r="H253" s="8" t="n">
        <v>91478.7019345362</v>
      </c>
      <c r="I253" s="9" t="n">
        <v>10.0450704225352</v>
      </c>
      <c r="J253" s="9" t="n">
        <v>49.0513234980494</v>
      </c>
      <c r="K253" s="3" t="s">
        <v>117</v>
      </c>
      <c r="L253" s="3" t="s">
        <v>118</v>
      </c>
      <c r="M253" s="7" t="n">
        <v>2019</v>
      </c>
    </row>
    <row r="254" customFormat="false" ht="15" hidden="false" customHeight="false" outlineLevel="0" collapsed="false">
      <c r="A254" s="3" t="n">
        <v>389</v>
      </c>
      <c r="B254" s="3" t="s">
        <v>116</v>
      </c>
      <c r="C254" s="4" t="s">
        <v>45</v>
      </c>
      <c r="D254" s="5" t="n">
        <v>4028</v>
      </c>
      <c r="E254" s="6" t="n">
        <v>98.5</v>
      </c>
      <c r="F254" s="7" t="n">
        <v>65</v>
      </c>
      <c r="G254" s="6" t="n">
        <v>367.577996398653</v>
      </c>
      <c r="H254" s="8" t="n">
        <v>236378.416915009</v>
      </c>
      <c r="I254" s="9" t="n">
        <v>12.8909107983217</v>
      </c>
      <c r="J254" s="9" t="n">
        <v>81.6916595537948</v>
      </c>
      <c r="K254" s="3" t="s">
        <v>117</v>
      </c>
      <c r="L254" s="3" t="s">
        <v>118</v>
      </c>
      <c r="M254" s="7" t="n">
        <v>2020</v>
      </c>
    </row>
    <row r="255" customFormat="false" ht="15" hidden="false" customHeight="false" outlineLevel="0" collapsed="false">
      <c r="A255" s="3" t="n">
        <v>390</v>
      </c>
      <c r="B255" s="3" t="s">
        <v>116</v>
      </c>
      <c r="C255" s="4" t="s">
        <v>46</v>
      </c>
      <c r="D255" s="5" t="n">
        <v>4028</v>
      </c>
      <c r="E255" s="6" t="n">
        <v>98.5</v>
      </c>
      <c r="F255" s="7" t="n">
        <v>56</v>
      </c>
      <c r="G255" s="6" t="n">
        <v>386.664534175803</v>
      </c>
      <c r="H255" s="8" t="n">
        <v>205749.840063099</v>
      </c>
      <c r="I255" s="9" t="n">
        <v>20.4209576138148</v>
      </c>
      <c r="J255" s="9" t="n">
        <v>85.9335101580963</v>
      </c>
      <c r="K255" s="3" t="s">
        <v>117</v>
      </c>
      <c r="L255" s="3" t="s">
        <v>118</v>
      </c>
      <c r="M255" s="7" t="n">
        <v>2021</v>
      </c>
    </row>
    <row r="256" customFormat="false" ht="15" hidden="false" customHeight="false" outlineLevel="0" collapsed="false">
      <c r="A256" s="3" t="n">
        <v>391</v>
      </c>
      <c r="B256" s="3" t="s">
        <v>116</v>
      </c>
      <c r="C256" s="4" t="s">
        <v>47</v>
      </c>
      <c r="D256" s="5" t="n">
        <v>4028</v>
      </c>
      <c r="E256" s="6" t="n">
        <v>98.5</v>
      </c>
      <c r="F256" s="7" t="n">
        <v>64</v>
      </c>
      <c r="G256" s="6" t="n">
        <v>282.043870673715</v>
      </c>
      <c r="H256" s="8" t="n">
        <v>189342.997085867</v>
      </c>
      <c r="I256" s="9" t="n">
        <v>18.2493680592501</v>
      </c>
      <c r="J256" s="9" t="n">
        <v>62.6822935215174</v>
      </c>
      <c r="K256" s="3" t="s">
        <v>117</v>
      </c>
      <c r="L256" s="3" t="s">
        <v>118</v>
      </c>
      <c r="M256" s="7" t="n">
        <v>2022</v>
      </c>
    </row>
    <row r="257" customFormat="false" ht="15" hidden="false" customHeight="false" outlineLevel="0" collapsed="false">
      <c r="A257" s="3" t="n">
        <v>392</v>
      </c>
      <c r="B257" s="3" t="s">
        <v>116</v>
      </c>
      <c r="C257" s="4" t="s">
        <v>48</v>
      </c>
      <c r="D257" s="5" t="n">
        <v>4028</v>
      </c>
      <c r="E257" s="6" t="n">
        <v>98.5</v>
      </c>
      <c r="F257" s="7" t="n">
        <v>64</v>
      </c>
      <c r="G257" s="6" t="n">
        <v>505.558290124573</v>
      </c>
      <c r="H257" s="8" t="n">
        <v>303115.427899789</v>
      </c>
      <c r="I257" s="9" t="n">
        <v>22.8338067591578</v>
      </c>
      <c r="J257" s="9" t="n">
        <v>112.048995657373</v>
      </c>
      <c r="K257" s="3" t="s">
        <v>117</v>
      </c>
      <c r="L257" s="3" t="s">
        <v>118</v>
      </c>
      <c r="M257" s="7" t="n">
        <v>2023</v>
      </c>
    </row>
    <row r="258" customFormat="false" ht="15" hidden="false" customHeight="false" outlineLevel="0" collapsed="false">
      <c r="A258" s="3" t="n">
        <v>393</v>
      </c>
      <c r="B258" s="3" t="s">
        <v>116</v>
      </c>
      <c r="C258" s="4" t="s">
        <v>49</v>
      </c>
      <c r="D258" s="5" t="n">
        <v>4061</v>
      </c>
      <c r="E258" s="6" t="n">
        <v>98.5</v>
      </c>
      <c r="F258" s="7" t="n">
        <v>60</v>
      </c>
      <c r="G258" s="6" t="n">
        <v>617.280653465727</v>
      </c>
      <c r="H258" s="8" t="n">
        <v>336911.984110169</v>
      </c>
      <c r="I258" s="9" t="n">
        <v>20.75539858651</v>
      </c>
      <c r="J258" s="9" t="n">
        <v>136.071555896521</v>
      </c>
      <c r="K258" s="3" t="s">
        <v>117</v>
      </c>
      <c r="L258" s="3" t="s">
        <v>118</v>
      </c>
      <c r="M258" s="7" t="n">
        <v>2024</v>
      </c>
    </row>
    <row r="259" customFormat="false" ht="15" hidden="false" customHeight="false" outlineLevel="0" collapsed="false">
      <c r="A259" s="3" t="n">
        <v>394</v>
      </c>
      <c r="B259" s="3" t="s">
        <v>119</v>
      </c>
      <c r="C259" s="4" t="s">
        <v>14</v>
      </c>
      <c r="D259" s="5" t="n">
        <v>143916</v>
      </c>
      <c r="E259" s="6" t="n">
        <v>1810.39</v>
      </c>
      <c r="F259" s="7" t="n">
        <v>66</v>
      </c>
      <c r="G259" s="6" t="n">
        <v>7455.86362898992</v>
      </c>
      <c r="H259" s="8" t="n">
        <v>1134036.85796937</v>
      </c>
      <c r="I259" s="9" t="n">
        <v>8.32715024695277</v>
      </c>
      <c r="J259" s="9" t="n">
        <v>46.2503549325005</v>
      </c>
      <c r="K259" s="3" t="s">
        <v>120</v>
      </c>
      <c r="L259" s="3" t="s">
        <v>121</v>
      </c>
      <c r="M259" s="7" t="n">
        <v>2016</v>
      </c>
    </row>
    <row r="260" customFormat="false" ht="15" hidden="false" customHeight="false" outlineLevel="0" collapsed="false">
      <c r="A260" s="3" t="n">
        <v>395</v>
      </c>
      <c r="B260" s="3" t="s">
        <v>119</v>
      </c>
      <c r="C260" s="4" t="s">
        <v>17</v>
      </c>
      <c r="D260" s="5" t="n">
        <v>146212</v>
      </c>
      <c r="E260" s="6" t="n">
        <v>1854.4</v>
      </c>
      <c r="F260" s="7" t="n">
        <v>66</v>
      </c>
      <c r="G260" s="6" t="n">
        <v>8538.7655752778</v>
      </c>
      <c r="H260" s="8" t="n">
        <v>1497851.63349593</v>
      </c>
      <c r="I260" s="9" t="n">
        <v>8.72054204389324</v>
      </c>
      <c r="J260" s="9" t="n">
        <v>52.2792979941712</v>
      </c>
      <c r="K260" s="3" t="s">
        <v>120</v>
      </c>
      <c r="L260" s="3" t="s">
        <v>121</v>
      </c>
      <c r="M260" s="7" t="n">
        <v>2017</v>
      </c>
    </row>
    <row r="261" customFormat="false" ht="15" hidden="false" customHeight="false" outlineLevel="0" collapsed="false">
      <c r="A261" s="3" t="n">
        <v>396</v>
      </c>
      <c r="B261" s="3" t="s">
        <v>119</v>
      </c>
      <c r="C261" s="4" t="s">
        <v>18</v>
      </c>
      <c r="D261" s="5" t="n">
        <v>146608</v>
      </c>
      <c r="E261" s="6" t="n">
        <v>1854.7</v>
      </c>
      <c r="F261" s="7" t="n">
        <v>66</v>
      </c>
      <c r="G261" s="6" t="n">
        <v>7332.42318484849</v>
      </c>
      <c r="H261" s="8" t="n">
        <v>1305611.27229412</v>
      </c>
      <c r="I261" s="9" t="n">
        <v>7.79174549151307</v>
      </c>
      <c r="J261" s="9" t="n">
        <v>44.7721064051132</v>
      </c>
      <c r="K261" s="3" t="s">
        <v>120</v>
      </c>
      <c r="L261" s="3" t="s">
        <v>121</v>
      </c>
      <c r="M261" s="7" t="n">
        <v>2018</v>
      </c>
    </row>
    <row r="262" customFormat="false" ht="15" hidden="false" customHeight="false" outlineLevel="0" collapsed="false">
      <c r="A262" s="3" t="n">
        <v>397</v>
      </c>
      <c r="B262" s="3" t="s">
        <v>119</v>
      </c>
      <c r="C262" s="4" t="s">
        <v>20</v>
      </c>
      <c r="D262" s="5" t="n">
        <v>149001</v>
      </c>
      <c r="E262" s="6" t="n">
        <v>1872.9</v>
      </c>
      <c r="F262" s="7" t="n">
        <v>80</v>
      </c>
      <c r="G262" s="6" t="n">
        <v>6243.97638181817</v>
      </c>
      <c r="H262" s="8" t="n">
        <v>1047926.55616054</v>
      </c>
      <c r="I262" s="9" t="n">
        <v>7.84953761178538</v>
      </c>
      <c r="J262" s="9" t="n">
        <v>37.4109091295394</v>
      </c>
      <c r="K262" s="3" t="s">
        <v>120</v>
      </c>
      <c r="L262" s="3" t="s">
        <v>121</v>
      </c>
      <c r="M262" s="7" t="n">
        <v>2020</v>
      </c>
    </row>
    <row r="263" customFormat="false" ht="15" hidden="false" customHeight="false" outlineLevel="0" collapsed="false">
      <c r="A263" s="3" t="n">
        <v>398</v>
      </c>
      <c r="B263" s="3" t="s">
        <v>119</v>
      </c>
      <c r="C263" s="4" t="s">
        <v>21</v>
      </c>
      <c r="D263" s="5" t="n">
        <v>149919</v>
      </c>
      <c r="E263" s="6" t="n">
        <v>1882.33</v>
      </c>
      <c r="F263" s="7" t="n">
        <v>65</v>
      </c>
      <c r="G263" s="6" t="n">
        <v>6858.2586060606</v>
      </c>
      <c r="H263" s="8" t="n">
        <v>880120.326915757</v>
      </c>
      <c r="I263" s="9" t="n">
        <v>7.29719275990146</v>
      </c>
      <c r="J263" s="9" t="n">
        <v>40.951975331211</v>
      </c>
      <c r="K263" s="3" t="s">
        <v>120</v>
      </c>
      <c r="L263" s="3" t="s">
        <v>121</v>
      </c>
      <c r="M263" s="7" t="n">
        <v>2021</v>
      </c>
    </row>
    <row r="264" customFormat="false" ht="15" hidden="false" customHeight="false" outlineLevel="0" collapsed="false">
      <c r="A264" s="3" t="n">
        <v>399</v>
      </c>
      <c r="B264" s="3" t="s">
        <v>119</v>
      </c>
      <c r="C264" s="4" t="s">
        <v>22</v>
      </c>
      <c r="D264" s="5" t="n">
        <v>158063</v>
      </c>
      <c r="E264" s="6" t="n">
        <v>1893</v>
      </c>
      <c r="F264" s="7" t="n">
        <v>71</v>
      </c>
      <c r="G264" s="6" t="n">
        <v>7268.84279006894</v>
      </c>
      <c r="H264" s="8" t="n">
        <v>694901.370730591</v>
      </c>
      <c r="I264" s="9" t="n">
        <v>7.59348084651685</v>
      </c>
      <c r="J264" s="9" t="n">
        <v>41.1673327777072</v>
      </c>
      <c r="K264" s="3" t="s">
        <v>120</v>
      </c>
      <c r="L264" s="3" t="s">
        <v>121</v>
      </c>
      <c r="M264" s="7" t="n">
        <v>2022</v>
      </c>
    </row>
    <row r="265" customFormat="false" ht="15" hidden="false" customHeight="false" outlineLevel="0" collapsed="false">
      <c r="A265" s="3" t="n">
        <v>400</v>
      </c>
      <c r="B265" s="3" t="s">
        <v>119</v>
      </c>
      <c r="C265" s="4" t="s">
        <v>23</v>
      </c>
      <c r="D265" s="5" t="n">
        <v>168009</v>
      </c>
      <c r="E265" s="6" t="n">
        <v>1903.07</v>
      </c>
      <c r="F265" s="7" t="n">
        <v>56</v>
      </c>
      <c r="G265" s="6" t="n">
        <v>5674.47226463908</v>
      </c>
      <c r="H265" s="8" t="n">
        <v>912020.92515474</v>
      </c>
      <c r="I265" s="9" t="n">
        <v>8.53770248350535</v>
      </c>
      <c r="J265" s="9" t="n">
        <v>30.2350440198309</v>
      </c>
      <c r="K265" s="3" t="s">
        <v>120</v>
      </c>
      <c r="L265" s="3" t="s">
        <v>121</v>
      </c>
      <c r="M265" s="7" t="n">
        <v>2023</v>
      </c>
    </row>
    <row r="266" customFormat="false" ht="15" hidden="false" customHeight="false" outlineLevel="0" collapsed="false">
      <c r="A266" s="3" t="n">
        <v>401</v>
      </c>
      <c r="B266" s="3" t="s">
        <v>119</v>
      </c>
      <c r="C266" s="4" t="s">
        <v>24</v>
      </c>
      <c r="D266" s="5" t="n">
        <v>141623</v>
      </c>
      <c r="E266" s="6" t="n">
        <v>1913</v>
      </c>
      <c r="F266" s="7" t="n">
        <v>76</v>
      </c>
      <c r="G266" s="6" t="n">
        <v>7094.92810976532</v>
      </c>
      <c r="H266" s="8" t="n">
        <v>1307248.56228703</v>
      </c>
      <c r="I266" s="9" t="n">
        <v>8.63933703168714</v>
      </c>
      <c r="J266" s="9" t="n">
        <v>44.7239757317327</v>
      </c>
      <c r="K266" s="3" t="s">
        <v>120</v>
      </c>
      <c r="L266" s="3" t="s">
        <v>121</v>
      </c>
      <c r="M266" s="7" t="n">
        <v>2024</v>
      </c>
    </row>
    <row r="267" customFormat="false" ht="15" hidden="false" customHeight="false" outlineLevel="0" collapsed="false">
      <c r="A267" s="3" t="n">
        <v>402</v>
      </c>
      <c r="B267" s="3" t="s">
        <v>122</v>
      </c>
      <c r="C267" s="4" t="s">
        <v>14</v>
      </c>
      <c r="D267" s="5" t="n">
        <v>3644</v>
      </c>
      <c r="E267" s="6" t="n">
        <v>59.6</v>
      </c>
      <c r="F267" s="7" t="n">
        <v>58</v>
      </c>
      <c r="G267" s="6" t="n">
        <v>53.2954457516609</v>
      </c>
      <c r="H267" s="8" t="n">
        <v>5561.58039531141</v>
      </c>
      <c r="I267" s="9" t="n">
        <v>10.8025891457942</v>
      </c>
      <c r="J267" s="9" t="n">
        <v>13.056835250759</v>
      </c>
      <c r="K267" s="3" t="s">
        <v>123</v>
      </c>
      <c r="L267" s="3" t="s">
        <v>124</v>
      </c>
      <c r="M267" s="7" t="n">
        <v>2016</v>
      </c>
    </row>
    <row r="268" customFormat="false" ht="15" hidden="false" customHeight="false" outlineLevel="0" collapsed="false">
      <c r="A268" s="3" t="n">
        <v>403</v>
      </c>
      <c r="B268" s="3" t="s">
        <v>122</v>
      </c>
      <c r="C268" s="4" t="s">
        <v>17</v>
      </c>
      <c r="D268" s="5" t="n">
        <v>3686</v>
      </c>
      <c r="E268" s="6" t="n">
        <v>59.6</v>
      </c>
      <c r="F268" s="7" t="n">
        <v>64</v>
      </c>
      <c r="G268" s="6" t="n">
        <v>139.894428739808</v>
      </c>
      <c r="H268" s="8" t="n">
        <v>14928.9995762755</v>
      </c>
      <c r="I268" s="9" t="n">
        <v>13.8232002582589</v>
      </c>
      <c r="J268" s="9" t="n">
        <v>33.9752579550297</v>
      </c>
      <c r="K268" s="3" t="s">
        <v>123</v>
      </c>
      <c r="L268" s="3" t="s">
        <v>124</v>
      </c>
      <c r="M268" s="7" t="n">
        <v>2017</v>
      </c>
    </row>
    <row r="269" customFormat="false" ht="15" hidden="false" customHeight="false" outlineLevel="0" collapsed="false">
      <c r="A269" s="3" t="n">
        <v>404</v>
      </c>
      <c r="B269" s="3" t="s">
        <v>122</v>
      </c>
      <c r="C269" s="4" t="s">
        <v>18</v>
      </c>
      <c r="D269" s="5" t="n">
        <v>3803</v>
      </c>
      <c r="E269" s="6" t="n">
        <v>59.6</v>
      </c>
      <c r="F269" s="7" t="n">
        <v>72</v>
      </c>
      <c r="G269" s="6" t="n">
        <v>211.341562672703</v>
      </c>
      <c r="H269" s="8" t="n">
        <v>21300.895290225</v>
      </c>
      <c r="I269" s="9" t="n">
        <v>17.1560974583404</v>
      </c>
      <c r="J269" s="9" t="n">
        <v>49.7480730499511</v>
      </c>
      <c r="K269" s="3" t="s">
        <v>123</v>
      </c>
      <c r="L269" s="3" t="s">
        <v>124</v>
      </c>
      <c r="M269" s="7" t="n">
        <v>2018</v>
      </c>
    </row>
    <row r="270" customFormat="false" ht="15" hidden="false" customHeight="false" outlineLevel="0" collapsed="false">
      <c r="A270" s="3" t="n">
        <v>405</v>
      </c>
      <c r="B270" s="3" t="s">
        <v>122</v>
      </c>
      <c r="C270" s="4" t="s">
        <v>19</v>
      </c>
      <c r="D270" s="5" t="n">
        <v>3887</v>
      </c>
      <c r="E270" s="6" t="n">
        <v>63.1</v>
      </c>
      <c r="F270" s="7" t="n">
        <v>61</v>
      </c>
      <c r="G270" s="6" t="n">
        <v>226.987614569239</v>
      </c>
      <c r="H270" s="8" t="n">
        <v>27230.7265999051</v>
      </c>
      <c r="I270" s="9" t="n">
        <v>17.6391581132755</v>
      </c>
      <c r="J270" s="9" t="n">
        <v>52.2763545397882</v>
      </c>
      <c r="K270" s="3" t="s">
        <v>123</v>
      </c>
      <c r="L270" s="3" t="s">
        <v>124</v>
      </c>
      <c r="M270" s="7" t="n">
        <v>2019</v>
      </c>
    </row>
    <row r="271" customFormat="false" ht="15" hidden="false" customHeight="false" outlineLevel="0" collapsed="false">
      <c r="A271" s="3" t="n">
        <v>406</v>
      </c>
      <c r="B271" s="3" t="s">
        <v>122</v>
      </c>
      <c r="C271" s="4" t="s">
        <v>20</v>
      </c>
      <c r="D271" s="5" t="n">
        <v>3894</v>
      </c>
      <c r="E271" s="6" t="n">
        <v>63.1</v>
      </c>
      <c r="F271" s="7" t="n">
        <v>65</v>
      </c>
      <c r="G271" s="6" t="n">
        <v>228.401060747279</v>
      </c>
      <c r="H271" s="8" t="n">
        <v>29372.4525106126</v>
      </c>
      <c r="I271" s="9" t="n">
        <v>15.8125220395662</v>
      </c>
      <c r="J271" s="9" t="n">
        <v>52.363463315928</v>
      </c>
      <c r="K271" s="3" t="s">
        <v>123</v>
      </c>
      <c r="L271" s="3" t="s">
        <v>124</v>
      </c>
      <c r="M271" s="7" t="n">
        <v>2020</v>
      </c>
    </row>
    <row r="272" customFormat="false" ht="15" hidden="false" customHeight="false" outlineLevel="0" collapsed="false">
      <c r="A272" s="3" t="n">
        <v>407</v>
      </c>
      <c r="B272" s="3" t="s">
        <v>122</v>
      </c>
      <c r="C272" s="4" t="s">
        <v>21</v>
      </c>
      <c r="D272" s="5" t="n">
        <v>3841</v>
      </c>
      <c r="E272" s="6" t="n">
        <v>64.4</v>
      </c>
      <c r="F272" s="7" t="n">
        <v>69</v>
      </c>
      <c r="G272" s="6" t="n">
        <v>131.042454945437</v>
      </c>
      <c r="H272" s="8" t="n">
        <v>13367.3312697526</v>
      </c>
      <c r="I272" s="9" t="n">
        <v>7.70624813472164</v>
      </c>
      <c r="J272" s="9" t="n">
        <v>30.5411501314802</v>
      </c>
      <c r="K272" s="3" t="s">
        <v>123</v>
      </c>
      <c r="L272" s="3" t="s">
        <v>124</v>
      </c>
      <c r="M272" s="7" t="n">
        <v>2021</v>
      </c>
    </row>
    <row r="273" customFormat="false" ht="15" hidden="false" customHeight="false" outlineLevel="0" collapsed="false">
      <c r="A273" s="3" t="n">
        <v>408</v>
      </c>
      <c r="B273" s="3" t="s">
        <v>122</v>
      </c>
      <c r="C273" s="4" t="s">
        <v>22</v>
      </c>
      <c r="D273" s="5" t="n">
        <v>3938</v>
      </c>
      <c r="E273" s="6" t="n">
        <v>64.4</v>
      </c>
      <c r="F273" s="7" t="n">
        <v>70</v>
      </c>
      <c r="G273" s="6" t="n">
        <v>176.335704355704</v>
      </c>
      <c r="H273" s="8" t="n">
        <v>25590.0095182222</v>
      </c>
      <c r="I273" s="9" t="n">
        <v>14.9141395401025</v>
      </c>
      <c r="J273" s="9" t="n">
        <v>40.0850306118536</v>
      </c>
      <c r="K273" s="3" t="s">
        <v>123</v>
      </c>
      <c r="L273" s="3" t="s">
        <v>124</v>
      </c>
      <c r="M273" s="7" t="n">
        <v>2022</v>
      </c>
    </row>
    <row r="274" customFormat="false" ht="15" hidden="false" customHeight="false" outlineLevel="0" collapsed="false">
      <c r="A274" s="3" t="n">
        <v>409</v>
      </c>
      <c r="B274" s="3" t="s">
        <v>122</v>
      </c>
      <c r="C274" s="4" t="s">
        <v>23</v>
      </c>
      <c r="D274" s="5" t="n">
        <v>4011</v>
      </c>
      <c r="E274" s="6" t="n">
        <v>64.4</v>
      </c>
      <c r="F274" s="7" t="n">
        <v>71</v>
      </c>
      <c r="G274" s="6" t="n">
        <v>145.523039629371</v>
      </c>
      <c r="H274" s="8" t="n">
        <v>22307.2353500454</v>
      </c>
      <c r="I274" s="9" t="n">
        <v>14.8183265574511</v>
      </c>
      <c r="J274" s="9" t="n">
        <v>32.4785603233075</v>
      </c>
      <c r="K274" s="3" t="s">
        <v>123</v>
      </c>
      <c r="L274" s="3" t="s">
        <v>124</v>
      </c>
      <c r="M274" s="7" t="n">
        <v>2023</v>
      </c>
    </row>
    <row r="275" customFormat="false" ht="15" hidden="false" customHeight="false" outlineLevel="0" collapsed="false">
      <c r="A275" s="3" t="n">
        <v>410</v>
      </c>
      <c r="B275" s="3" t="s">
        <v>122</v>
      </c>
      <c r="C275" s="4" t="s">
        <v>24</v>
      </c>
      <c r="D275" s="5" t="n">
        <v>4073</v>
      </c>
      <c r="E275" s="6" t="n">
        <v>64.4</v>
      </c>
      <c r="F275" s="7" t="n">
        <v>72</v>
      </c>
      <c r="G275" s="6" t="n">
        <v>109.019681914765</v>
      </c>
      <c r="H275" s="8" t="n">
        <v>16889.9648015404</v>
      </c>
      <c r="I275" s="9" t="n">
        <v>12.2511948096972</v>
      </c>
      <c r="J275" s="9" t="n">
        <v>23.8955314628631</v>
      </c>
      <c r="K275" s="3" t="s">
        <v>123</v>
      </c>
      <c r="L275" s="3" t="s">
        <v>124</v>
      </c>
      <c r="M275" s="7" t="n">
        <v>2024</v>
      </c>
    </row>
    <row r="276" customFormat="false" ht="15" hidden="false" customHeight="false" outlineLevel="0" collapsed="false">
      <c r="A276" s="3" t="n">
        <v>411</v>
      </c>
      <c r="B276" s="3" t="s">
        <v>125</v>
      </c>
      <c r="C276" s="4" t="s">
        <v>14</v>
      </c>
      <c r="D276" s="5" t="n">
        <v>3679</v>
      </c>
      <c r="E276" s="6" t="n">
        <v>61</v>
      </c>
      <c r="F276" s="7" t="n">
        <v>45</v>
      </c>
      <c r="G276" s="6" t="n">
        <v>2082.33722755577</v>
      </c>
      <c r="H276" s="8" t="n">
        <v>132313.652117778</v>
      </c>
      <c r="I276" s="9" t="n">
        <v>76.5567245575221</v>
      </c>
      <c r="J276" s="9" t="n">
        <v>505.297871991924</v>
      </c>
      <c r="K276" s="3" t="s">
        <v>126</v>
      </c>
      <c r="L276" s="3" t="s">
        <v>124</v>
      </c>
      <c r="M276" s="7" t="n">
        <v>2016</v>
      </c>
    </row>
    <row r="277" customFormat="false" ht="15" hidden="false" customHeight="false" outlineLevel="0" collapsed="false">
      <c r="A277" s="3" t="n">
        <v>412</v>
      </c>
      <c r="B277" s="3" t="s">
        <v>125</v>
      </c>
      <c r="C277" s="4" t="s">
        <v>17</v>
      </c>
      <c r="D277" s="5" t="n">
        <v>3666</v>
      </c>
      <c r="E277" s="6" t="n">
        <v>61</v>
      </c>
      <c r="F277" s="7" t="n">
        <v>47</v>
      </c>
      <c r="G277" s="6" t="n">
        <v>209.220000731716</v>
      </c>
      <c r="H277" s="8" t="n">
        <v>21415.6665353066</v>
      </c>
      <c r="I277" s="9" t="n">
        <v>11.62745697238</v>
      </c>
      <c r="J277" s="9" t="n">
        <v>51.0891189445262</v>
      </c>
      <c r="K277" s="3" t="s">
        <v>126</v>
      </c>
      <c r="L277" s="3" t="s">
        <v>124</v>
      </c>
      <c r="M277" s="7" t="n">
        <v>2017</v>
      </c>
    </row>
    <row r="278" customFormat="false" ht="15" hidden="false" customHeight="false" outlineLevel="0" collapsed="false">
      <c r="A278" s="3" t="n">
        <v>413</v>
      </c>
      <c r="B278" s="3" t="s">
        <v>125</v>
      </c>
      <c r="C278" s="4" t="s">
        <v>18</v>
      </c>
      <c r="D278" s="5" t="n">
        <v>3701</v>
      </c>
      <c r="E278" s="6" t="n">
        <v>63</v>
      </c>
      <c r="F278" s="7" t="n">
        <v>47</v>
      </c>
      <c r="G278" s="6" t="n">
        <v>170.043411579037</v>
      </c>
      <c r="H278" s="8" t="n">
        <v>16644.8053285306</v>
      </c>
      <c r="I278" s="9" t="n">
        <v>9.62085720321606</v>
      </c>
      <c r="J278" s="9" t="n">
        <v>41.1299705948502</v>
      </c>
      <c r="K278" s="3" t="s">
        <v>126</v>
      </c>
      <c r="L278" s="3" t="s">
        <v>124</v>
      </c>
      <c r="M278" s="7" t="n">
        <v>2018</v>
      </c>
    </row>
    <row r="279" customFormat="false" ht="15" hidden="false" customHeight="false" outlineLevel="0" collapsed="false">
      <c r="A279" s="3" t="n">
        <v>414</v>
      </c>
      <c r="B279" s="3" t="s">
        <v>125</v>
      </c>
      <c r="C279" s="4" t="s">
        <v>19</v>
      </c>
      <c r="D279" s="5" t="n">
        <v>3732</v>
      </c>
      <c r="E279" s="6" t="n">
        <v>68</v>
      </c>
      <c r="F279" s="7" t="n">
        <v>47</v>
      </c>
      <c r="G279" s="6" t="n">
        <v>159.721694246644</v>
      </c>
      <c r="H279" s="8" t="n">
        <v>15817.1371751163</v>
      </c>
      <c r="I279" s="9" t="n">
        <v>9.36178344532123</v>
      </c>
      <c r="J279" s="9" t="n">
        <v>38.3124519981355</v>
      </c>
      <c r="K279" s="3" t="s">
        <v>126</v>
      </c>
      <c r="L279" s="3" t="s">
        <v>124</v>
      </c>
      <c r="M279" s="7" t="n">
        <v>2019</v>
      </c>
    </row>
    <row r="280" customFormat="false" ht="15" hidden="false" customHeight="false" outlineLevel="0" collapsed="false">
      <c r="A280" s="3" t="n">
        <v>415</v>
      </c>
      <c r="B280" s="3" t="s">
        <v>125</v>
      </c>
      <c r="C280" s="4" t="s">
        <v>20</v>
      </c>
      <c r="D280" s="5" t="n">
        <v>3953</v>
      </c>
      <c r="E280" s="6" t="n">
        <v>68</v>
      </c>
      <c r="F280" s="7" t="n">
        <v>47</v>
      </c>
      <c r="G280" s="6" t="n">
        <v>254.776085596445</v>
      </c>
      <c r="H280" s="8" t="n">
        <v>51603.7974622939</v>
      </c>
      <c r="I280" s="9" t="n">
        <v>12.5607903346382</v>
      </c>
      <c r="J280" s="9" t="n">
        <v>57.5384343208641</v>
      </c>
      <c r="K280" s="3" t="s">
        <v>126</v>
      </c>
      <c r="L280" s="3" t="s">
        <v>124</v>
      </c>
      <c r="M280" s="7" t="n">
        <v>2020</v>
      </c>
    </row>
    <row r="281" customFormat="false" ht="15" hidden="false" customHeight="false" outlineLevel="0" collapsed="false">
      <c r="A281" s="3" t="n">
        <v>416</v>
      </c>
      <c r="B281" s="3" t="s">
        <v>125</v>
      </c>
      <c r="C281" s="4" t="s">
        <v>21</v>
      </c>
      <c r="D281" s="5" t="n">
        <v>3944</v>
      </c>
      <c r="E281" s="6" t="n">
        <v>68</v>
      </c>
      <c r="F281" s="7" t="n">
        <v>53</v>
      </c>
      <c r="G281" s="6" t="n">
        <v>316.262702472842</v>
      </c>
      <c r="H281" s="8" t="n">
        <v>33197.976581191</v>
      </c>
      <c r="I281" s="9" t="n">
        <v>16.9978246064125</v>
      </c>
      <c r="J281" s="9" t="n">
        <v>71.7841803542717</v>
      </c>
      <c r="K281" s="3" t="s">
        <v>126</v>
      </c>
      <c r="L281" s="3" t="s">
        <v>124</v>
      </c>
      <c r="M281" s="7" t="n">
        <v>2021</v>
      </c>
    </row>
    <row r="282" customFormat="false" ht="15" hidden="false" customHeight="false" outlineLevel="0" collapsed="false">
      <c r="A282" s="3" t="n">
        <v>417</v>
      </c>
      <c r="B282" s="3" t="s">
        <v>125</v>
      </c>
      <c r="C282" s="4" t="s">
        <v>22</v>
      </c>
      <c r="D282" s="5" t="n">
        <v>4044</v>
      </c>
      <c r="E282" s="6" t="n">
        <v>68</v>
      </c>
      <c r="F282" s="7" t="n">
        <v>50</v>
      </c>
      <c r="G282" s="6" t="n">
        <v>323.774014418081</v>
      </c>
      <c r="H282" s="8" t="n">
        <v>39567.495556202</v>
      </c>
      <c r="I282" s="9" t="n">
        <v>16.8355267572153</v>
      </c>
      <c r="J282" s="9" t="n">
        <v>71.6718339828821</v>
      </c>
      <c r="K282" s="3" t="s">
        <v>126</v>
      </c>
      <c r="L282" s="3" t="s">
        <v>124</v>
      </c>
      <c r="M282" s="7" t="n">
        <v>2022</v>
      </c>
    </row>
    <row r="283" customFormat="false" ht="15" hidden="false" customHeight="false" outlineLevel="0" collapsed="false">
      <c r="A283" s="3" t="n">
        <v>418</v>
      </c>
      <c r="B283" s="3" t="s">
        <v>125</v>
      </c>
      <c r="C283" s="4" t="s">
        <v>23</v>
      </c>
      <c r="D283" s="5" t="n">
        <v>4116</v>
      </c>
      <c r="E283" s="6" t="n">
        <v>68</v>
      </c>
      <c r="F283" s="7" t="n">
        <v>64</v>
      </c>
      <c r="G283" s="6" t="n">
        <v>147.958838390095</v>
      </c>
      <c r="H283" s="8" t="n">
        <v>21637.3000013965</v>
      </c>
      <c r="I283" s="9" t="n">
        <v>11.103813958496</v>
      </c>
      <c r="J283" s="9" t="n">
        <v>32.1797911715811</v>
      </c>
      <c r="K283" s="3" t="s">
        <v>126</v>
      </c>
      <c r="L283" s="3" t="s">
        <v>124</v>
      </c>
      <c r="M283" s="7" t="n">
        <v>2023</v>
      </c>
    </row>
    <row r="284" customFormat="false" ht="15" hidden="false" customHeight="false" outlineLevel="0" collapsed="false">
      <c r="A284" s="3" t="n">
        <v>419</v>
      </c>
      <c r="B284" s="3" t="s">
        <v>125</v>
      </c>
      <c r="C284" s="4" t="s">
        <v>24</v>
      </c>
      <c r="D284" s="5" t="n">
        <v>4158</v>
      </c>
      <c r="E284" s="6" t="n">
        <v>68</v>
      </c>
      <c r="F284" s="7" t="n">
        <v>74</v>
      </c>
      <c r="G284" s="6" t="n">
        <v>146.160650678396</v>
      </c>
      <c r="H284" s="8" t="n">
        <v>20106.0394860606</v>
      </c>
      <c r="I284" s="9" t="n">
        <v>10.1720595255391</v>
      </c>
      <c r="J284" s="9" t="n">
        <v>31.3813900150929</v>
      </c>
      <c r="K284" s="3" t="s">
        <v>126</v>
      </c>
      <c r="L284" s="3" t="s">
        <v>124</v>
      </c>
      <c r="M284" s="7" t="n">
        <v>2024</v>
      </c>
    </row>
    <row r="285" customFormat="false" ht="15" hidden="false" customHeight="false" outlineLevel="0" collapsed="false">
      <c r="A285" s="3" t="n">
        <v>420</v>
      </c>
      <c r="B285" s="3" t="s">
        <v>127</v>
      </c>
      <c r="C285" s="4" t="s">
        <v>14</v>
      </c>
      <c r="D285" s="5" t="n">
        <v>6668</v>
      </c>
      <c r="E285" s="6" t="n">
        <v>90.97</v>
      </c>
      <c r="F285" s="7" t="n">
        <v>60</v>
      </c>
      <c r="G285" s="6" t="n">
        <v>247.906085714286</v>
      </c>
      <c r="H285" s="8" t="n">
        <v>31947.657266</v>
      </c>
      <c r="I285" s="9" t="n">
        <v>8.80770172486547</v>
      </c>
      <c r="J285" s="9" t="n">
        <v>33.1908053743029</v>
      </c>
      <c r="K285" s="3" t="s">
        <v>128</v>
      </c>
      <c r="L285" s="3" t="s">
        <v>129</v>
      </c>
      <c r="M285" s="7" t="n">
        <v>2016</v>
      </c>
    </row>
    <row r="286" customFormat="false" ht="15" hidden="false" customHeight="false" outlineLevel="0" collapsed="false">
      <c r="A286" s="3" t="n">
        <v>421</v>
      </c>
      <c r="B286" s="3" t="s">
        <v>127</v>
      </c>
      <c r="C286" s="4" t="s">
        <v>17</v>
      </c>
      <c r="D286" s="5" t="n">
        <v>6528</v>
      </c>
      <c r="E286" s="6" t="n">
        <v>91.9</v>
      </c>
      <c r="F286" s="7" t="n">
        <v>61</v>
      </c>
      <c r="G286" s="6" t="n">
        <v>327.221377551021</v>
      </c>
      <c r="H286" s="8" t="n">
        <v>36570.2611551021</v>
      </c>
      <c r="I286" s="9" t="n">
        <v>10.5446406366576</v>
      </c>
      <c r="J286" s="9" t="n">
        <v>44.8723895612719</v>
      </c>
      <c r="K286" s="3" t="s">
        <v>128</v>
      </c>
      <c r="L286" s="3" t="s">
        <v>129</v>
      </c>
      <c r="M286" s="7" t="n">
        <v>2017</v>
      </c>
    </row>
    <row r="287" customFormat="false" ht="15" hidden="false" customHeight="false" outlineLevel="0" collapsed="false">
      <c r="A287" s="3" t="n">
        <v>422</v>
      </c>
      <c r="B287" s="3" t="s">
        <v>127</v>
      </c>
      <c r="C287" s="4" t="s">
        <v>18</v>
      </c>
      <c r="D287" s="5" t="n">
        <v>6578</v>
      </c>
      <c r="E287" s="6" t="n">
        <v>92.5097680619802</v>
      </c>
      <c r="F287" s="7" t="n">
        <v>62</v>
      </c>
      <c r="G287" s="6" t="n">
        <v>201.332930286029</v>
      </c>
      <c r="H287" s="8" t="n">
        <v>21270.824084719</v>
      </c>
      <c r="I287" s="9" t="n">
        <v>7.47748257184145</v>
      </c>
      <c r="J287" s="9" t="n">
        <v>27.3992465171254</v>
      </c>
      <c r="K287" s="3" t="s">
        <v>128</v>
      </c>
      <c r="L287" s="3" t="s">
        <v>129</v>
      </c>
      <c r="M287" s="7" t="n">
        <v>2018</v>
      </c>
    </row>
    <row r="288" customFormat="false" ht="15" hidden="false" customHeight="false" outlineLevel="0" collapsed="false">
      <c r="A288" s="3" t="n">
        <v>423</v>
      </c>
      <c r="B288" s="3" t="s">
        <v>127</v>
      </c>
      <c r="C288" s="4" t="s">
        <v>19</v>
      </c>
      <c r="D288" s="5" t="n">
        <v>6481</v>
      </c>
      <c r="E288" s="6" t="n">
        <v>92.5612304744481</v>
      </c>
      <c r="F288" s="7" t="n">
        <v>62</v>
      </c>
      <c r="G288" s="6" t="n">
        <v>243.255277425063</v>
      </c>
      <c r="H288" s="8" t="n">
        <v>27245.6065618953</v>
      </c>
      <c r="I288" s="9" t="n">
        <v>8.55661434984084</v>
      </c>
      <c r="J288" s="9" t="n">
        <v>33.5998953001395</v>
      </c>
      <c r="K288" s="3" t="s">
        <v>128</v>
      </c>
      <c r="L288" s="3" t="s">
        <v>129</v>
      </c>
      <c r="M288" s="7" t="n">
        <v>2019</v>
      </c>
    </row>
    <row r="289" customFormat="false" ht="15" hidden="false" customHeight="false" outlineLevel="0" collapsed="false">
      <c r="A289" s="3" t="n">
        <v>424</v>
      </c>
      <c r="B289" s="3" t="s">
        <v>127</v>
      </c>
      <c r="C289" s="4" t="s">
        <v>20</v>
      </c>
      <c r="D289" s="5" t="n">
        <v>6637.25</v>
      </c>
      <c r="E289" s="6" t="n">
        <v>92.67026827</v>
      </c>
      <c r="F289" s="7" t="n">
        <v>70</v>
      </c>
      <c r="G289" s="6" t="n">
        <v>411.135279356918</v>
      </c>
      <c r="H289" s="8" t="n">
        <v>46129.3783438462</v>
      </c>
      <c r="I289" s="9" t="n">
        <v>13.0329103486744</v>
      </c>
      <c r="J289" s="9" t="n">
        <v>55.2996983767853</v>
      </c>
      <c r="K289" s="3" t="s">
        <v>128</v>
      </c>
      <c r="L289" s="3" t="s">
        <v>129</v>
      </c>
      <c r="M289" s="7" t="n">
        <v>2020</v>
      </c>
    </row>
    <row r="290" customFormat="false" ht="15" hidden="false" customHeight="false" outlineLevel="0" collapsed="false">
      <c r="A290" s="3" t="n">
        <v>425</v>
      </c>
      <c r="B290" s="3" t="s">
        <v>127</v>
      </c>
      <c r="C290" s="4" t="s">
        <v>21</v>
      </c>
      <c r="D290" s="5" t="n">
        <v>6660.83333333333</v>
      </c>
      <c r="E290" s="6" t="n">
        <v>92.67026827</v>
      </c>
      <c r="F290" s="7" t="n">
        <v>64</v>
      </c>
      <c r="G290" s="6" t="n">
        <v>107.884204770619</v>
      </c>
      <c r="H290" s="8" t="n">
        <v>12819.876807222</v>
      </c>
      <c r="I290" s="9" t="n">
        <v>6.20325404072527</v>
      </c>
      <c r="J290" s="9" t="n">
        <v>14.4992978782442</v>
      </c>
      <c r="K290" s="3" t="s">
        <v>128</v>
      </c>
      <c r="L290" s="3" t="s">
        <v>129</v>
      </c>
      <c r="M290" s="7" t="n">
        <v>2021</v>
      </c>
    </row>
    <row r="291" customFormat="false" ht="15" hidden="false" customHeight="false" outlineLevel="0" collapsed="false">
      <c r="A291" s="3" t="n">
        <v>426</v>
      </c>
      <c r="B291" s="3" t="s">
        <v>127</v>
      </c>
      <c r="C291" s="4" t="s">
        <v>22</v>
      </c>
      <c r="D291" s="5" t="n">
        <v>6697.5</v>
      </c>
      <c r="E291" s="6" t="n">
        <v>93.26093598</v>
      </c>
      <c r="F291" s="7" t="n">
        <v>62</v>
      </c>
      <c r="G291" s="6" t="n">
        <v>6.12874312072199</v>
      </c>
      <c r="H291" s="8" t="n">
        <v>1018.597106664</v>
      </c>
      <c r="I291" s="9" t="n">
        <v>3.75034644234878</v>
      </c>
      <c r="J291" s="9" t="n">
        <v>0.81917439861125</v>
      </c>
      <c r="K291" s="3" t="s">
        <v>128</v>
      </c>
      <c r="L291" s="3" t="s">
        <v>129</v>
      </c>
      <c r="M291" s="7" t="n">
        <v>2022</v>
      </c>
    </row>
    <row r="292" customFormat="false" ht="15" hidden="false" customHeight="false" outlineLevel="0" collapsed="false">
      <c r="A292" s="3" t="n">
        <v>427</v>
      </c>
      <c r="B292" s="3" t="s">
        <v>127</v>
      </c>
      <c r="C292" s="4" t="s">
        <v>23</v>
      </c>
      <c r="D292" s="5" t="n">
        <v>6728.16666666667</v>
      </c>
      <c r="E292" s="6" t="n">
        <v>93.29590469</v>
      </c>
      <c r="F292" s="7" t="n">
        <v>71</v>
      </c>
      <c r="G292" s="6" t="n">
        <v>103.105107668861</v>
      </c>
      <c r="H292" s="8" t="n">
        <v>18364.0507269008</v>
      </c>
      <c r="I292" s="9" t="n">
        <v>6.41352224544085</v>
      </c>
      <c r="J292" s="9" t="n">
        <v>13.7183258229942</v>
      </c>
      <c r="K292" s="3" t="s">
        <v>128</v>
      </c>
      <c r="L292" s="3" t="s">
        <v>129</v>
      </c>
      <c r="M292" s="7" t="n">
        <v>2023</v>
      </c>
    </row>
    <row r="293" customFormat="false" ht="15" hidden="false" customHeight="false" outlineLevel="0" collapsed="false">
      <c r="A293" s="3" t="n">
        <v>428</v>
      </c>
      <c r="B293" s="3" t="s">
        <v>127</v>
      </c>
      <c r="C293" s="4" t="s">
        <v>24</v>
      </c>
      <c r="D293" s="5" t="n">
        <v>6796.58333333333</v>
      </c>
      <c r="E293" s="6" t="n">
        <v>93.52017058873</v>
      </c>
      <c r="F293" s="7" t="n">
        <v>71</v>
      </c>
      <c r="G293" s="6" t="n">
        <v>111.040325801721</v>
      </c>
      <c r="H293" s="8" t="n">
        <v>19484.6017205648</v>
      </c>
      <c r="I293" s="9" t="n">
        <v>6.71829805045847</v>
      </c>
      <c r="J293" s="9" t="n">
        <v>14.5853305098334</v>
      </c>
      <c r="K293" s="3" t="s">
        <v>128</v>
      </c>
      <c r="L293" s="3" t="s">
        <v>129</v>
      </c>
      <c r="M293" s="7" t="n">
        <v>2024</v>
      </c>
    </row>
    <row r="294" customFormat="false" ht="15" hidden="false" customHeight="false" outlineLevel="0" collapsed="false">
      <c r="A294" s="3" t="n">
        <v>429</v>
      </c>
      <c r="B294" s="3" t="s">
        <v>130</v>
      </c>
      <c r="C294" s="4" t="s">
        <v>14</v>
      </c>
      <c r="D294" s="5" t="n">
        <v>6244</v>
      </c>
      <c r="E294" s="6" t="n">
        <v>92.2</v>
      </c>
      <c r="F294" s="7" t="n">
        <v>55</v>
      </c>
      <c r="G294" s="6" t="n">
        <v>671.156388120054</v>
      </c>
      <c r="H294" s="8" t="n">
        <v>101094.964672307</v>
      </c>
      <c r="I294" s="9" t="n">
        <v>22.4208141814769</v>
      </c>
      <c r="J294" s="9" t="n">
        <v>95.9592903325528</v>
      </c>
      <c r="K294" s="3" t="s">
        <v>131</v>
      </c>
      <c r="L294" s="3" t="s">
        <v>124</v>
      </c>
      <c r="M294" s="7" t="n">
        <v>2016</v>
      </c>
    </row>
    <row r="295" customFormat="false" ht="15" hidden="false" customHeight="false" outlineLevel="0" collapsed="false">
      <c r="A295" s="3" t="n">
        <v>430</v>
      </c>
      <c r="B295" s="3" t="s">
        <v>130</v>
      </c>
      <c r="C295" s="4" t="s">
        <v>17</v>
      </c>
      <c r="D295" s="5" t="n">
        <v>6379</v>
      </c>
      <c r="E295" s="6" t="n">
        <v>92.2</v>
      </c>
      <c r="F295" s="7" t="n">
        <v>53</v>
      </c>
      <c r="G295" s="6" t="n">
        <v>1179.81389314078</v>
      </c>
      <c r="H295" s="8" t="n">
        <v>177797.415861824</v>
      </c>
      <c r="I295" s="9" t="n">
        <v>34.6733524560262</v>
      </c>
      <c r="J295" s="9" t="n">
        <v>165.568829423907</v>
      </c>
      <c r="K295" s="3" t="s">
        <v>131</v>
      </c>
      <c r="L295" s="3" t="s">
        <v>124</v>
      </c>
      <c r="M295" s="7" t="n">
        <v>2017</v>
      </c>
    </row>
    <row r="296" customFormat="false" ht="15" hidden="false" customHeight="false" outlineLevel="0" collapsed="false">
      <c r="A296" s="3" t="n">
        <v>431</v>
      </c>
      <c r="B296" s="3" t="s">
        <v>130</v>
      </c>
      <c r="C296" s="4" t="s">
        <v>18</v>
      </c>
      <c r="D296" s="5" t="n">
        <v>6364</v>
      </c>
      <c r="E296" s="6" t="n">
        <v>92.2</v>
      </c>
      <c r="F296" s="7" t="n">
        <v>60</v>
      </c>
      <c r="G296" s="6" t="n">
        <v>1447.27745945229</v>
      </c>
      <c r="H296" s="8" t="n">
        <v>137534.937854135</v>
      </c>
      <c r="I296" s="9" t="n">
        <v>37.8257355529194</v>
      </c>
      <c r="J296" s="9" t="n">
        <v>203.581964933239</v>
      </c>
      <c r="K296" s="3" t="s">
        <v>131</v>
      </c>
      <c r="L296" s="3" t="s">
        <v>124</v>
      </c>
      <c r="M296" s="7" t="n">
        <v>2018</v>
      </c>
    </row>
    <row r="297" customFormat="false" ht="15" hidden="false" customHeight="false" outlineLevel="0" collapsed="false">
      <c r="A297" s="3" t="n">
        <v>432</v>
      </c>
      <c r="B297" s="3" t="s">
        <v>130</v>
      </c>
      <c r="C297" s="4" t="s">
        <v>19</v>
      </c>
      <c r="D297" s="5" t="n">
        <v>6342</v>
      </c>
      <c r="E297" s="6" t="n">
        <v>92.2</v>
      </c>
      <c r="F297" s="7" t="n">
        <v>60</v>
      </c>
      <c r="G297" s="6" t="n">
        <v>1246.41930156374</v>
      </c>
      <c r="H297" s="8" t="n">
        <v>212008.684323956</v>
      </c>
      <c r="I297" s="9" t="n">
        <v>38.4146781842168</v>
      </c>
      <c r="J297" s="9" t="n">
        <v>175.936360004404</v>
      </c>
      <c r="K297" s="3" t="s">
        <v>131</v>
      </c>
      <c r="L297" s="3" t="s">
        <v>124</v>
      </c>
      <c r="M297" s="7" t="n">
        <v>2019</v>
      </c>
    </row>
    <row r="298" customFormat="false" ht="15" hidden="false" customHeight="false" outlineLevel="0" collapsed="false">
      <c r="A298" s="3" t="n">
        <v>433</v>
      </c>
      <c r="B298" s="3" t="s">
        <v>130</v>
      </c>
      <c r="C298" s="4" t="s">
        <v>20</v>
      </c>
      <c r="D298" s="5" t="n">
        <v>6178</v>
      </c>
      <c r="E298" s="6" t="n">
        <v>92.3</v>
      </c>
      <c r="F298" s="7" t="n">
        <v>60</v>
      </c>
      <c r="G298" s="6" t="n">
        <v>942.971238597938</v>
      </c>
      <c r="H298" s="8" t="n">
        <v>121063.618537767</v>
      </c>
      <c r="I298" s="9" t="n">
        <v>38.4419113605012</v>
      </c>
      <c r="J298" s="9" t="n">
        <v>136.262620375604</v>
      </c>
      <c r="K298" s="3" t="s">
        <v>131</v>
      </c>
      <c r="L298" s="3" t="s">
        <v>124</v>
      </c>
      <c r="M298" s="7" t="n">
        <v>2020</v>
      </c>
    </row>
    <row r="299" customFormat="false" ht="15" hidden="false" customHeight="false" outlineLevel="0" collapsed="false">
      <c r="A299" s="3" t="n">
        <v>434</v>
      </c>
      <c r="B299" s="3" t="s">
        <v>130</v>
      </c>
      <c r="C299" s="4" t="s">
        <v>21</v>
      </c>
      <c r="D299" s="5" t="n">
        <v>6019</v>
      </c>
      <c r="E299" s="6" t="n">
        <v>93.7</v>
      </c>
      <c r="F299" s="7" t="n">
        <v>60</v>
      </c>
      <c r="G299" s="6" t="n">
        <v>1166.55836864887</v>
      </c>
      <c r="H299" s="8" t="n">
        <v>131522.954008407</v>
      </c>
      <c r="I299" s="9" t="n">
        <v>35.1840379665499</v>
      </c>
      <c r="J299" s="9" t="n">
        <v>173.500130074637</v>
      </c>
      <c r="K299" s="3" t="s">
        <v>131</v>
      </c>
      <c r="L299" s="3" t="s">
        <v>124</v>
      </c>
      <c r="M299" s="7" t="n">
        <v>2021</v>
      </c>
    </row>
    <row r="300" customFormat="false" ht="15" hidden="false" customHeight="false" outlineLevel="0" collapsed="false">
      <c r="A300" s="3" t="n">
        <v>435</v>
      </c>
      <c r="B300" s="3" t="s">
        <v>130</v>
      </c>
      <c r="C300" s="4" t="s">
        <v>22</v>
      </c>
      <c r="D300" s="5" t="n">
        <v>6190</v>
      </c>
      <c r="E300" s="6" t="n">
        <v>98</v>
      </c>
      <c r="F300" s="7" t="n">
        <v>59</v>
      </c>
      <c r="G300" s="6" t="n">
        <v>1944.00604808672</v>
      </c>
      <c r="H300" s="8" t="n">
        <v>227771.847286808</v>
      </c>
      <c r="I300" s="9" t="n">
        <v>40.8585152122924</v>
      </c>
      <c r="J300" s="9" t="n">
        <v>281.141292573588</v>
      </c>
      <c r="K300" s="3" t="s">
        <v>131</v>
      </c>
      <c r="L300" s="3" t="s">
        <v>124</v>
      </c>
      <c r="M300" s="7" t="n">
        <v>2022</v>
      </c>
    </row>
    <row r="301" customFormat="false" ht="15" hidden="false" customHeight="false" outlineLevel="0" collapsed="false">
      <c r="A301" s="3" t="n">
        <v>436</v>
      </c>
      <c r="B301" s="3" t="s">
        <v>130</v>
      </c>
      <c r="C301" s="4" t="s">
        <v>23</v>
      </c>
      <c r="D301" s="5" t="n">
        <v>6308</v>
      </c>
      <c r="E301" s="6" t="n">
        <v>102.5</v>
      </c>
      <c r="F301" s="7" t="n">
        <v>60</v>
      </c>
      <c r="G301" s="6" t="n">
        <v>2112.90446300209</v>
      </c>
      <c r="H301" s="8" t="n">
        <v>247561.036732464</v>
      </c>
      <c r="I301" s="9" t="n">
        <v>44.9145110004112</v>
      </c>
      <c r="J301" s="9" t="n">
        <v>299.851240781675</v>
      </c>
      <c r="K301" s="3" t="s">
        <v>131</v>
      </c>
      <c r="L301" s="3" t="s">
        <v>124</v>
      </c>
      <c r="M301" s="7" t="n">
        <v>2023</v>
      </c>
    </row>
    <row r="302" customFormat="false" ht="15" hidden="false" customHeight="false" outlineLevel="0" collapsed="false">
      <c r="A302" s="3" t="n">
        <v>437</v>
      </c>
      <c r="B302" s="3" t="s">
        <v>130</v>
      </c>
      <c r="C302" s="4" t="s">
        <v>24</v>
      </c>
      <c r="D302" s="5" t="n">
        <v>6375</v>
      </c>
      <c r="E302" s="6" t="n">
        <v>102.5</v>
      </c>
      <c r="F302" s="7" t="n">
        <v>56</v>
      </c>
      <c r="G302" s="6" t="n">
        <v>1730.15475824149</v>
      </c>
      <c r="H302" s="8" t="n">
        <v>303614.074233234</v>
      </c>
      <c r="I302" s="9" t="n">
        <v>38.6429859020542</v>
      </c>
      <c r="J302" s="9" t="n">
        <v>242.287470589416</v>
      </c>
      <c r="K302" s="3" t="s">
        <v>131</v>
      </c>
      <c r="L302" s="3" t="s">
        <v>124</v>
      </c>
      <c r="M302" s="7" t="n">
        <v>2024</v>
      </c>
    </row>
    <row r="303" customFormat="false" ht="15" hidden="false" customHeight="false" outlineLevel="0" collapsed="false">
      <c r="A303" s="3" t="n">
        <v>438</v>
      </c>
      <c r="B303" s="3" t="s">
        <v>132</v>
      </c>
      <c r="C303" s="4" t="s">
        <v>41</v>
      </c>
      <c r="D303" s="5" t="n">
        <v>6724</v>
      </c>
      <c r="E303" s="6" t="n">
        <v>88.45</v>
      </c>
      <c r="F303" s="7" t="n">
        <v>62</v>
      </c>
      <c r="G303" s="6" t="n">
        <v>182.170583304818</v>
      </c>
      <c r="H303" s="8" t="n">
        <v>109223.239709091</v>
      </c>
      <c r="I303" s="9" t="n">
        <v>6.09782776399933</v>
      </c>
      <c r="J303" s="9" t="n">
        <v>24.2531536780085</v>
      </c>
      <c r="K303" s="3" t="s">
        <v>133</v>
      </c>
      <c r="L303" s="3" t="s">
        <v>134</v>
      </c>
      <c r="M303" s="7" t="n">
        <v>2016</v>
      </c>
    </row>
    <row r="304" customFormat="false" ht="15" hidden="false" customHeight="false" outlineLevel="0" collapsed="false">
      <c r="A304" s="3" t="n">
        <v>439</v>
      </c>
      <c r="B304" s="3" t="s">
        <v>132</v>
      </c>
      <c r="C304" s="4" t="s">
        <v>42</v>
      </c>
      <c r="D304" s="5" t="n">
        <v>6786</v>
      </c>
      <c r="E304" s="6" t="n">
        <v>88.45</v>
      </c>
      <c r="F304" s="7" t="n">
        <v>62</v>
      </c>
      <c r="G304" s="6" t="n">
        <v>44.435602347205</v>
      </c>
      <c r="H304" s="8" t="n">
        <v>26207.6831020205</v>
      </c>
      <c r="I304" s="9" t="n">
        <v>3.52812130990905</v>
      </c>
      <c r="J304" s="9" t="n">
        <v>5.86185256185128</v>
      </c>
      <c r="K304" s="3" t="s">
        <v>133</v>
      </c>
      <c r="L304" s="3" t="s">
        <v>134</v>
      </c>
      <c r="M304" s="7" t="n">
        <v>2017</v>
      </c>
    </row>
    <row r="305" customFormat="false" ht="15" hidden="false" customHeight="false" outlineLevel="0" collapsed="false">
      <c r="A305" s="3" t="n">
        <v>440</v>
      </c>
      <c r="B305" s="3" t="s">
        <v>132</v>
      </c>
      <c r="C305" s="4" t="s">
        <v>43</v>
      </c>
      <c r="D305" s="5" t="n">
        <v>6881</v>
      </c>
      <c r="E305" s="6" t="n">
        <v>88.45</v>
      </c>
      <c r="F305" s="7" t="n">
        <v>73</v>
      </c>
      <c r="G305" s="6" t="n">
        <v>346.066000170602</v>
      </c>
      <c r="H305" s="8" t="n">
        <v>209744.634466626</v>
      </c>
      <c r="I305" s="9" t="n">
        <v>8.93466594746256</v>
      </c>
      <c r="J305" s="9" t="n">
        <v>45.0220276176918</v>
      </c>
      <c r="K305" s="3" t="s">
        <v>133</v>
      </c>
      <c r="L305" s="3" t="s">
        <v>134</v>
      </c>
      <c r="M305" s="7" t="n">
        <v>2018</v>
      </c>
    </row>
    <row r="306" customFormat="false" ht="15" hidden="false" customHeight="false" outlineLevel="0" collapsed="false">
      <c r="A306" s="3" t="n">
        <v>441</v>
      </c>
      <c r="B306" s="3" t="s">
        <v>132</v>
      </c>
      <c r="C306" s="4" t="s">
        <v>44</v>
      </c>
      <c r="D306" s="5" t="n">
        <v>6973</v>
      </c>
      <c r="E306" s="6" t="n">
        <v>88.45</v>
      </c>
      <c r="F306" s="7" t="n">
        <v>73</v>
      </c>
      <c r="G306" s="6" t="n">
        <v>449.658718403865</v>
      </c>
      <c r="H306" s="8" t="n">
        <v>236840.040857305</v>
      </c>
      <c r="I306" s="9" t="n">
        <v>10.0514743671863</v>
      </c>
      <c r="J306" s="9" t="n">
        <v>57.5691141568036</v>
      </c>
      <c r="K306" s="3" t="s">
        <v>133</v>
      </c>
      <c r="L306" s="3" t="s">
        <v>134</v>
      </c>
      <c r="M306" s="7" t="n">
        <v>2019</v>
      </c>
    </row>
    <row r="307" customFormat="false" ht="15" hidden="false" customHeight="false" outlineLevel="0" collapsed="false">
      <c r="A307" s="3" t="n">
        <v>442</v>
      </c>
      <c r="B307" s="3" t="s">
        <v>132</v>
      </c>
      <c r="C307" s="4" t="s">
        <v>45</v>
      </c>
      <c r="D307" s="5" t="n">
        <v>6980</v>
      </c>
      <c r="E307" s="6" t="n">
        <v>88.45</v>
      </c>
      <c r="F307" s="7" t="n">
        <v>73</v>
      </c>
      <c r="G307" s="6" t="n">
        <v>12.8042268647026</v>
      </c>
      <c r="H307" s="8" t="n">
        <v>8803.48843132942</v>
      </c>
      <c r="I307" s="9" t="n">
        <v>3.16341443675885</v>
      </c>
      <c r="J307" s="9" t="n">
        <v>1.64216054035478</v>
      </c>
      <c r="K307" s="3" t="s">
        <v>133</v>
      </c>
      <c r="L307" s="3" t="s">
        <v>134</v>
      </c>
      <c r="M307" s="7" t="n">
        <v>2020</v>
      </c>
    </row>
    <row r="308" customFormat="false" ht="15" hidden="false" customHeight="false" outlineLevel="0" collapsed="false">
      <c r="A308" s="3" t="n">
        <v>443</v>
      </c>
      <c r="B308" s="3" t="s">
        <v>132</v>
      </c>
      <c r="C308" s="4" t="s">
        <v>46</v>
      </c>
      <c r="D308" s="5" t="n">
        <v>7019</v>
      </c>
      <c r="E308" s="6" t="n">
        <v>88.45</v>
      </c>
      <c r="F308" s="7" t="n">
        <v>74</v>
      </c>
      <c r="G308" s="6" t="n">
        <v>297.465281118272</v>
      </c>
      <c r="H308" s="8" t="n">
        <v>183196.457085759</v>
      </c>
      <c r="I308" s="9" t="n">
        <v>10.7585360109189</v>
      </c>
      <c r="J308" s="9" t="n">
        <v>37.9383742235244</v>
      </c>
      <c r="K308" s="3" t="s">
        <v>133</v>
      </c>
      <c r="L308" s="3" t="s">
        <v>134</v>
      </c>
      <c r="M308" s="7" t="n">
        <v>2021</v>
      </c>
    </row>
    <row r="309" customFormat="false" ht="15" hidden="false" customHeight="false" outlineLevel="0" collapsed="false">
      <c r="A309" s="3" t="n">
        <v>444</v>
      </c>
      <c r="B309" s="3" t="s">
        <v>132</v>
      </c>
      <c r="C309" s="4" t="s">
        <v>47</v>
      </c>
      <c r="D309" s="5" t="n">
        <v>7020</v>
      </c>
      <c r="E309" s="6" t="n">
        <v>88.5</v>
      </c>
      <c r="F309" s="7" t="n">
        <v>63</v>
      </c>
      <c r="G309" s="6" t="n">
        <v>374.868183818391</v>
      </c>
      <c r="H309" s="8" t="n">
        <v>33800.445051906</v>
      </c>
      <c r="I309" s="9" t="n">
        <v>12.0315685073746</v>
      </c>
      <c r="J309" s="9" t="n">
        <v>47.8034393747091</v>
      </c>
      <c r="K309" s="3" t="s">
        <v>133</v>
      </c>
      <c r="L309" s="3" t="s">
        <v>134</v>
      </c>
      <c r="M309" s="7" t="n">
        <v>2022</v>
      </c>
    </row>
    <row r="310" customFormat="false" ht="15" hidden="false" customHeight="false" outlineLevel="0" collapsed="false">
      <c r="A310" s="3" t="n">
        <v>445</v>
      </c>
      <c r="B310" s="3" t="s">
        <v>132</v>
      </c>
      <c r="C310" s="4" t="s">
        <v>48</v>
      </c>
      <c r="D310" s="5" t="n">
        <v>7109</v>
      </c>
      <c r="E310" s="6" t="n">
        <v>88.5</v>
      </c>
      <c r="F310" s="7" t="n">
        <v>73</v>
      </c>
      <c r="G310" s="6" t="n">
        <v>842.924455063768</v>
      </c>
      <c r="H310" s="8" t="n">
        <v>87822.2595400771</v>
      </c>
      <c r="I310" s="9" t="n">
        <v>18.2879372743305</v>
      </c>
      <c r="J310" s="9" t="n">
        <v>105.853770777534</v>
      </c>
      <c r="K310" s="3" t="s">
        <v>133</v>
      </c>
      <c r="L310" s="3" t="s">
        <v>134</v>
      </c>
      <c r="M310" s="7" t="n">
        <v>2023</v>
      </c>
    </row>
    <row r="311" customFormat="false" ht="15" hidden="false" customHeight="false" outlineLevel="0" collapsed="false">
      <c r="A311" s="3" t="n">
        <v>446</v>
      </c>
      <c r="B311" s="3" t="s">
        <v>132</v>
      </c>
      <c r="C311" s="4" t="s">
        <v>49</v>
      </c>
      <c r="D311" s="5" t="n">
        <v>7067</v>
      </c>
      <c r="E311" s="6" t="n">
        <v>88.5</v>
      </c>
      <c r="F311" s="7" t="n">
        <v>62</v>
      </c>
      <c r="G311" s="6" t="n">
        <v>624.243035787576</v>
      </c>
      <c r="H311" s="8" t="n">
        <v>82739.1255881033</v>
      </c>
      <c r="I311" s="9" t="n">
        <v>14.9757657123913</v>
      </c>
      <c r="J311" s="9" t="n">
        <v>79.0744698911741</v>
      </c>
      <c r="K311" s="3" t="s">
        <v>133</v>
      </c>
      <c r="L311" s="3" t="s">
        <v>134</v>
      </c>
      <c r="M311" s="7" t="n">
        <v>2024</v>
      </c>
    </row>
    <row r="312" customFormat="false" ht="15" hidden="false" customHeight="false" outlineLevel="0" collapsed="false">
      <c r="A312" s="3" t="n">
        <v>465</v>
      </c>
      <c r="B312" s="3" t="s">
        <v>135</v>
      </c>
      <c r="C312" s="4" t="s">
        <v>14</v>
      </c>
      <c r="D312" s="5" t="n">
        <v>6048</v>
      </c>
      <c r="E312" s="6" t="n">
        <v>81</v>
      </c>
      <c r="F312" s="7" t="n">
        <v>57</v>
      </c>
      <c r="G312" s="6" t="n">
        <v>231.749362334668</v>
      </c>
      <c r="H312" s="8" t="n">
        <v>126067.500468856</v>
      </c>
      <c r="I312" s="9" t="n">
        <v>23.0288457582317</v>
      </c>
      <c r="J312" s="9" t="n">
        <v>34.2084155369437</v>
      </c>
      <c r="K312" s="3" t="s">
        <v>136</v>
      </c>
      <c r="L312" s="3" t="s">
        <v>137</v>
      </c>
      <c r="M312" s="7" t="n">
        <v>2016</v>
      </c>
    </row>
    <row r="313" customFormat="false" ht="15" hidden="false" customHeight="false" outlineLevel="0" collapsed="false">
      <c r="A313" s="3" t="n">
        <v>466</v>
      </c>
      <c r="B313" s="3" t="s">
        <v>135</v>
      </c>
      <c r="C313" s="4" t="s">
        <v>17</v>
      </c>
      <c r="D313" s="5" t="n">
        <v>6030</v>
      </c>
      <c r="E313" s="6" t="n">
        <v>81</v>
      </c>
      <c r="F313" s="7" t="n">
        <v>59</v>
      </c>
      <c r="G313" s="6" t="n">
        <v>237.747121006562</v>
      </c>
      <c r="H313" s="8" t="n">
        <v>142032.175177405</v>
      </c>
      <c r="I313" s="9" t="n">
        <v>23.9202834260329</v>
      </c>
      <c r="J313" s="9" t="n">
        <v>35.2951985161688</v>
      </c>
      <c r="K313" s="3" t="s">
        <v>136</v>
      </c>
      <c r="L313" s="3" t="s">
        <v>137</v>
      </c>
      <c r="M313" s="7" t="n">
        <v>2017</v>
      </c>
    </row>
    <row r="314" customFormat="false" ht="15" hidden="false" customHeight="false" outlineLevel="0" collapsed="false">
      <c r="A314" s="3" t="n">
        <v>467</v>
      </c>
      <c r="B314" s="3" t="s">
        <v>135</v>
      </c>
      <c r="C314" s="4" t="s">
        <v>18</v>
      </c>
      <c r="D314" s="5" t="n">
        <v>6134</v>
      </c>
      <c r="E314" s="6" t="n">
        <v>84.5</v>
      </c>
      <c r="F314" s="7" t="n">
        <v>54</v>
      </c>
      <c r="G314" s="6" t="n">
        <v>411.687828430835</v>
      </c>
      <c r="H314" s="8" t="n">
        <v>212750.71284971</v>
      </c>
      <c r="I314" s="9" t="n">
        <v>27.4519730423641</v>
      </c>
      <c r="J314" s="9" t="n">
        <v>60.0816609377815</v>
      </c>
      <c r="K314" s="3" t="s">
        <v>136</v>
      </c>
      <c r="L314" s="3" t="s">
        <v>137</v>
      </c>
      <c r="M314" s="7" t="n">
        <v>2018</v>
      </c>
    </row>
    <row r="315" customFormat="false" ht="15" hidden="false" customHeight="false" outlineLevel="0" collapsed="false">
      <c r="A315" s="3" t="n">
        <v>468</v>
      </c>
      <c r="B315" s="3" t="s">
        <v>135</v>
      </c>
      <c r="C315" s="4" t="s">
        <v>19</v>
      </c>
      <c r="D315" s="5" t="n">
        <v>6221</v>
      </c>
      <c r="E315" s="6" t="n">
        <v>84.78</v>
      </c>
      <c r="F315" s="7" t="n">
        <v>55</v>
      </c>
      <c r="G315" s="6" t="n">
        <v>288.998847866375</v>
      </c>
      <c r="H315" s="8" t="n">
        <v>203990.355747664</v>
      </c>
      <c r="I315" s="9" t="n">
        <v>22.4941111893163</v>
      </c>
      <c r="J315" s="9" t="n">
        <v>41.586616218421</v>
      </c>
      <c r="K315" s="3" t="s">
        <v>136</v>
      </c>
      <c r="L315" s="3" t="s">
        <v>137</v>
      </c>
      <c r="M315" s="7" t="n">
        <v>2019</v>
      </c>
    </row>
    <row r="316" customFormat="false" ht="15" hidden="false" customHeight="false" outlineLevel="0" collapsed="false">
      <c r="A316" s="3" t="n">
        <v>469</v>
      </c>
      <c r="B316" s="3" t="s">
        <v>135</v>
      </c>
      <c r="C316" s="4" t="s">
        <v>20</v>
      </c>
      <c r="D316" s="5" t="n">
        <v>6224</v>
      </c>
      <c r="E316" s="6" t="n">
        <v>85.5</v>
      </c>
      <c r="F316" s="7" t="n">
        <v>54</v>
      </c>
      <c r="G316" s="6" t="n">
        <v>318.776500709501</v>
      </c>
      <c r="H316" s="8" t="n">
        <v>240672.069150032</v>
      </c>
      <c r="I316" s="9" t="n">
        <v>21.8446389985939</v>
      </c>
      <c r="J316" s="9" t="n">
        <v>45.7238623502006</v>
      </c>
      <c r="K316" s="3" t="s">
        <v>136</v>
      </c>
      <c r="L316" s="3" t="s">
        <v>137</v>
      </c>
      <c r="M316" s="7" t="n">
        <v>2020</v>
      </c>
    </row>
    <row r="317" customFormat="false" ht="15" hidden="false" customHeight="false" outlineLevel="0" collapsed="false">
      <c r="A317" s="3" t="n">
        <v>470</v>
      </c>
      <c r="B317" s="3" t="s">
        <v>135</v>
      </c>
      <c r="C317" s="4" t="s">
        <v>21</v>
      </c>
      <c r="D317" s="5" t="n">
        <v>6279</v>
      </c>
      <c r="E317" s="6" t="n">
        <v>86.29</v>
      </c>
      <c r="F317" s="7" t="n">
        <v>59</v>
      </c>
      <c r="G317" s="6" t="n">
        <v>286.371719320787</v>
      </c>
      <c r="H317" s="8" t="n">
        <v>244232.027240193</v>
      </c>
      <c r="I317" s="9" t="n">
        <v>20.10273585115</v>
      </c>
      <c r="J317" s="9" t="n">
        <v>40.8279259455458</v>
      </c>
      <c r="K317" s="3" t="s">
        <v>136</v>
      </c>
      <c r="L317" s="3" t="s">
        <v>137</v>
      </c>
      <c r="M317" s="7" t="n">
        <v>2021</v>
      </c>
    </row>
    <row r="318" customFormat="false" ht="15" hidden="false" customHeight="false" outlineLevel="0" collapsed="false">
      <c r="A318" s="3" t="n">
        <v>471</v>
      </c>
      <c r="B318" s="3" t="s">
        <v>135</v>
      </c>
      <c r="C318" s="4" t="s">
        <v>22</v>
      </c>
      <c r="D318" s="5" t="n">
        <v>6092</v>
      </c>
      <c r="E318" s="6" t="n">
        <v>86.3</v>
      </c>
      <c r="F318" s="7" t="n">
        <v>57</v>
      </c>
      <c r="G318" s="6" t="n">
        <v>170.550730998437</v>
      </c>
      <c r="H318" s="8" t="n">
        <v>164356.003713006</v>
      </c>
      <c r="I318" s="9" t="n">
        <v>13.7447135045677</v>
      </c>
      <c r="J318" s="9" t="n">
        <v>25.0617483596627</v>
      </c>
      <c r="K318" s="3" t="s">
        <v>136</v>
      </c>
      <c r="L318" s="3" t="s">
        <v>137</v>
      </c>
      <c r="M318" s="7" t="n">
        <v>2022</v>
      </c>
    </row>
    <row r="319" customFormat="false" ht="15" hidden="false" customHeight="false" outlineLevel="0" collapsed="false">
      <c r="A319" s="3" t="n">
        <v>472</v>
      </c>
      <c r="B319" s="3" t="s">
        <v>135</v>
      </c>
      <c r="C319" s="4" t="s">
        <v>23</v>
      </c>
      <c r="D319" s="5" t="n">
        <v>6362</v>
      </c>
      <c r="E319" s="6" t="n">
        <v>87.58</v>
      </c>
      <c r="F319" s="7" t="n">
        <v>54</v>
      </c>
      <c r="G319" s="6" t="n">
        <v>294.541698151859</v>
      </c>
      <c r="H319" s="8" t="n">
        <v>262698.758258121</v>
      </c>
      <c r="I319" s="9" t="n">
        <v>19.1905038197239</v>
      </c>
      <c r="J319" s="9" t="n">
        <v>41.4448713707424</v>
      </c>
      <c r="K319" s="3" t="s">
        <v>136</v>
      </c>
      <c r="L319" s="3" t="s">
        <v>137</v>
      </c>
      <c r="M319" s="7" t="n">
        <v>2023</v>
      </c>
    </row>
    <row r="320" customFormat="false" ht="15" hidden="false" customHeight="false" outlineLevel="0" collapsed="false">
      <c r="A320" s="3" t="n">
        <v>473</v>
      </c>
      <c r="B320" s="3" t="s">
        <v>135</v>
      </c>
      <c r="C320" s="4" t="s">
        <v>24</v>
      </c>
      <c r="D320" s="5" t="n">
        <v>6332</v>
      </c>
      <c r="E320" s="6" t="n">
        <v>87.58</v>
      </c>
      <c r="F320" s="7" t="n">
        <v>54</v>
      </c>
      <c r="G320" s="6" t="n">
        <v>708.065744024323</v>
      </c>
      <c r="H320" s="8" t="n">
        <v>669999.105399773</v>
      </c>
      <c r="I320" s="9" t="n">
        <v>36.2087130132364</v>
      </c>
      <c r="J320" s="9" t="n">
        <v>99.8294943518331</v>
      </c>
      <c r="K320" s="3" t="s">
        <v>136</v>
      </c>
      <c r="L320" s="3" t="s">
        <v>137</v>
      </c>
      <c r="M320" s="7" t="n">
        <v>2024</v>
      </c>
    </row>
    <row r="321" customFormat="false" ht="15" hidden="false" customHeight="false" outlineLevel="0" collapsed="false">
      <c r="A321" s="3" t="n">
        <v>474</v>
      </c>
      <c r="B321" s="3" t="s">
        <v>138</v>
      </c>
      <c r="C321" s="4" t="s">
        <v>14</v>
      </c>
      <c r="D321" s="5" t="n">
        <v>10167</v>
      </c>
      <c r="E321" s="6" t="n">
        <v>160.901515151515</v>
      </c>
      <c r="F321" s="7" t="n">
        <v>47</v>
      </c>
      <c r="G321" s="6" t="n">
        <v>217.652795913509</v>
      </c>
      <c r="H321" s="8" t="n">
        <v>267326.699901924</v>
      </c>
      <c r="I321" s="9" t="n">
        <v>10.6047613718123</v>
      </c>
      <c r="J321" s="9" t="n">
        <v>19.1116252288731</v>
      </c>
      <c r="K321" s="3" t="s">
        <v>139</v>
      </c>
      <c r="L321" s="3" t="s">
        <v>140</v>
      </c>
      <c r="M321" s="7" t="n">
        <v>2016</v>
      </c>
    </row>
    <row r="322" customFormat="false" ht="15" hidden="false" customHeight="false" outlineLevel="0" collapsed="false">
      <c r="A322" s="3" t="n">
        <v>475</v>
      </c>
      <c r="B322" s="3" t="s">
        <v>138</v>
      </c>
      <c r="C322" s="4" t="s">
        <v>17</v>
      </c>
      <c r="D322" s="5" t="n">
        <v>9957</v>
      </c>
      <c r="E322" s="6" t="n">
        <v>160.901515151515</v>
      </c>
      <c r="F322" s="7" t="n">
        <v>47</v>
      </c>
      <c r="G322" s="6" t="n">
        <v>295.189637139928</v>
      </c>
      <c r="H322" s="8" t="n">
        <v>316842.684472462</v>
      </c>
      <c r="I322" s="9" t="n">
        <v>13.4938518322152</v>
      </c>
      <c r="J322" s="9" t="n">
        <v>26.5393495469206</v>
      </c>
      <c r="K322" s="3" t="s">
        <v>139</v>
      </c>
      <c r="L322" s="3" t="s">
        <v>140</v>
      </c>
      <c r="M322" s="7" t="n">
        <v>2017</v>
      </c>
    </row>
    <row r="323" customFormat="false" ht="15" hidden="false" customHeight="false" outlineLevel="0" collapsed="false">
      <c r="A323" s="3" t="n">
        <v>476</v>
      </c>
      <c r="B323" s="3" t="s">
        <v>138</v>
      </c>
      <c r="C323" s="4" t="s">
        <v>18</v>
      </c>
      <c r="D323" s="5" t="n">
        <v>9962</v>
      </c>
      <c r="E323" s="6" t="n">
        <v>160.901515151515</v>
      </c>
      <c r="F323" s="7" t="n">
        <v>47</v>
      </c>
      <c r="G323" s="6" t="n">
        <v>270.499625687995</v>
      </c>
      <c r="H323" s="8" t="n">
        <v>247759.916624645</v>
      </c>
      <c r="I323" s="9" t="n">
        <v>11.797153024911</v>
      </c>
      <c r="J323" s="9" t="n">
        <v>24.3073606986932</v>
      </c>
      <c r="K323" s="3" t="s">
        <v>139</v>
      </c>
      <c r="L323" s="3" t="s">
        <v>140</v>
      </c>
      <c r="M323" s="7" t="n">
        <v>2018</v>
      </c>
    </row>
    <row r="324" customFormat="false" ht="15" hidden="false" customHeight="false" outlineLevel="0" collapsed="false">
      <c r="A324" s="3" t="n">
        <v>477</v>
      </c>
      <c r="B324" s="3" t="s">
        <v>138</v>
      </c>
      <c r="C324" s="4" t="s">
        <v>19</v>
      </c>
      <c r="D324" s="5" t="n">
        <v>10022</v>
      </c>
      <c r="E324" s="6" t="n">
        <v>160.901515151515</v>
      </c>
      <c r="F324" s="7" t="n">
        <v>47</v>
      </c>
      <c r="G324" s="6" t="n">
        <v>388.70558238351</v>
      </c>
      <c r="H324" s="8" t="n">
        <v>317156.841781726</v>
      </c>
      <c r="I324" s="9" t="n">
        <v>15.6503841657758</v>
      </c>
      <c r="J324" s="9" t="n">
        <v>34.7203467550644</v>
      </c>
      <c r="K324" s="3" t="s">
        <v>139</v>
      </c>
      <c r="L324" s="3" t="s">
        <v>140</v>
      </c>
      <c r="M324" s="7" t="n">
        <v>2019</v>
      </c>
    </row>
    <row r="325" customFormat="false" ht="15" hidden="false" customHeight="false" outlineLevel="0" collapsed="false">
      <c r="A325" s="3" t="n">
        <v>478</v>
      </c>
      <c r="B325" s="3" t="s">
        <v>138</v>
      </c>
      <c r="C325" s="4" t="s">
        <v>20</v>
      </c>
      <c r="D325" s="5" t="n">
        <v>10022</v>
      </c>
      <c r="E325" s="6" t="n">
        <v>160.901515151515</v>
      </c>
      <c r="F325" s="7" t="n">
        <v>47</v>
      </c>
      <c r="G325" s="6" t="n">
        <v>370.433383738359</v>
      </c>
      <c r="H325" s="8" t="n">
        <v>359626.853239849</v>
      </c>
      <c r="I325" s="9" t="n">
        <v>16.4221991367954</v>
      </c>
      <c r="J325" s="9" t="n">
        <v>32.9975665930919</v>
      </c>
      <c r="K325" s="3" t="s">
        <v>139</v>
      </c>
      <c r="L325" s="3" t="s">
        <v>140</v>
      </c>
      <c r="M325" s="7" t="n">
        <v>2020</v>
      </c>
    </row>
    <row r="326" customFormat="false" ht="15" hidden="false" customHeight="false" outlineLevel="0" collapsed="false">
      <c r="A326" s="3" t="n">
        <v>479</v>
      </c>
      <c r="B326" s="3" t="s">
        <v>138</v>
      </c>
      <c r="C326" s="4" t="s">
        <v>21</v>
      </c>
      <c r="D326" s="5" t="n">
        <v>10028</v>
      </c>
      <c r="E326" s="6" t="n">
        <v>160.901515151515</v>
      </c>
      <c r="F326" s="7" t="n">
        <v>47</v>
      </c>
      <c r="G326" s="6" t="n">
        <v>230.16587527252</v>
      </c>
      <c r="H326" s="8" t="n">
        <v>239253.758351533</v>
      </c>
      <c r="I326" s="9" t="n">
        <v>13.2228352713395</v>
      </c>
      <c r="J326" s="9" t="n">
        <v>20.5468042841105</v>
      </c>
      <c r="K326" s="3" t="s">
        <v>139</v>
      </c>
      <c r="L326" s="3" t="s">
        <v>140</v>
      </c>
      <c r="M326" s="7" t="n">
        <v>2021</v>
      </c>
    </row>
    <row r="327" customFormat="false" ht="15" hidden="false" customHeight="false" outlineLevel="0" collapsed="false">
      <c r="A327" s="3" t="n">
        <v>480</v>
      </c>
      <c r="B327" s="3" t="s">
        <v>138</v>
      </c>
      <c r="C327" s="4" t="s">
        <v>22</v>
      </c>
      <c r="D327" s="5" t="n">
        <v>10028</v>
      </c>
      <c r="E327" s="6" t="n">
        <v>160.9</v>
      </c>
      <c r="F327" s="7" t="n">
        <v>47</v>
      </c>
      <c r="G327" s="6" t="n">
        <v>260.287256433328</v>
      </c>
      <c r="H327" s="8" t="n">
        <v>293044.629368048</v>
      </c>
      <c r="I327" s="9" t="n">
        <v>12.4759296248012</v>
      </c>
      <c r="J327" s="9" t="n">
        <v>23.2357264483776</v>
      </c>
      <c r="K327" s="3" t="s">
        <v>139</v>
      </c>
      <c r="L327" s="3" t="s">
        <v>140</v>
      </c>
      <c r="M327" s="7" t="n">
        <v>2022</v>
      </c>
    </row>
    <row r="328" customFormat="false" ht="15" hidden="false" customHeight="false" outlineLevel="0" collapsed="false">
      <c r="A328" s="3" t="n">
        <v>481</v>
      </c>
      <c r="B328" s="3" t="s">
        <v>138</v>
      </c>
      <c r="C328" s="4" t="s">
        <v>23</v>
      </c>
      <c r="D328" s="5" t="n">
        <v>10128</v>
      </c>
      <c r="E328" s="6" t="n">
        <v>160.9</v>
      </c>
      <c r="F328" s="7" t="n">
        <v>47</v>
      </c>
      <c r="G328" s="6" t="n">
        <v>325.278957964296</v>
      </c>
      <c r="H328" s="8" t="n">
        <v>388144.370953553</v>
      </c>
      <c r="I328" s="9" t="n">
        <v>15.3308113421032</v>
      </c>
      <c r="J328" s="9" t="n">
        <v>28.7508012092534</v>
      </c>
      <c r="K328" s="3" t="s">
        <v>139</v>
      </c>
      <c r="L328" s="3" t="s">
        <v>140</v>
      </c>
      <c r="M328" s="7" t="n">
        <v>2023</v>
      </c>
    </row>
    <row r="329" customFormat="false" ht="15" hidden="false" customHeight="false" outlineLevel="0" collapsed="false">
      <c r="A329" s="3" t="n">
        <v>482</v>
      </c>
      <c r="B329" s="3" t="s">
        <v>138</v>
      </c>
      <c r="C329" s="4" t="s">
        <v>24</v>
      </c>
      <c r="D329" s="5" t="n">
        <v>10412</v>
      </c>
      <c r="E329" s="6" t="n">
        <v>147.46</v>
      </c>
      <c r="F329" s="7" t="n">
        <v>55</v>
      </c>
      <c r="G329" s="6" t="n">
        <v>301.333307383183</v>
      </c>
      <c r="H329" s="8" t="n">
        <v>391286.123382444</v>
      </c>
      <c r="I329" s="9" t="n">
        <v>19.4087191836763</v>
      </c>
      <c r="J329" s="9" t="n">
        <v>25.8368267236744</v>
      </c>
      <c r="K329" s="3" t="s">
        <v>139</v>
      </c>
      <c r="L329" s="3" t="s">
        <v>140</v>
      </c>
      <c r="M329" s="7" t="n">
        <v>2024</v>
      </c>
    </row>
    <row r="330" customFormat="false" ht="15" hidden="false" customHeight="false" outlineLevel="0" collapsed="false">
      <c r="A330" s="3" t="n">
        <v>483</v>
      </c>
      <c r="B330" s="3" t="s">
        <v>141</v>
      </c>
      <c r="C330" s="4" t="s">
        <v>14</v>
      </c>
      <c r="D330" s="5" t="n">
        <v>4450</v>
      </c>
      <c r="E330" s="6" t="n">
        <v>64.830303030303</v>
      </c>
      <c r="F330" s="7" t="n">
        <v>52</v>
      </c>
      <c r="G330" s="6" t="n">
        <v>201.154881177699</v>
      </c>
      <c r="H330" s="8" t="n">
        <v>68795.6481165244</v>
      </c>
      <c r="I330" s="9" t="n">
        <v>18.3191280920892</v>
      </c>
      <c r="J330" s="9" t="n">
        <v>40.3549448586328</v>
      </c>
      <c r="K330" s="3" t="s">
        <v>142</v>
      </c>
      <c r="L330" s="3" t="s">
        <v>143</v>
      </c>
      <c r="M330" s="7" t="n">
        <v>2016</v>
      </c>
    </row>
    <row r="331" customFormat="false" ht="15" hidden="false" customHeight="false" outlineLevel="0" collapsed="false">
      <c r="A331" s="3" t="n">
        <v>484</v>
      </c>
      <c r="B331" s="3" t="s">
        <v>141</v>
      </c>
      <c r="C331" s="4" t="s">
        <v>17</v>
      </c>
      <c r="D331" s="5" t="n">
        <v>4581</v>
      </c>
      <c r="E331" s="6" t="n">
        <v>64.569696969697</v>
      </c>
      <c r="F331" s="7" t="n">
        <v>55</v>
      </c>
      <c r="G331" s="6" t="n">
        <v>196.606334782071</v>
      </c>
      <c r="H331" s="8" t="n">
        <v>28892.3855341818</v>
      </c>
      <c r="I331" s="9" t="n">
        <v>18.2406147824634</v>
      </c>
      <c r="J331" s="9" t="n">
        <v>38.419781416237</v>
      </c>
      <c r="K331" s="3" t="s">
        <v>142</v>
      </c>
      <c r="L331" s="3" t="s">
        <v>143</v>
      </c>
      <c r="M331" s="7" t="n">
        <v>2017</v>
      </c>
    </row>
    <row r="332" customFormat="false" ht="15" hidden="false" customHeight="false" outlineLevel="0" collapsed="false">
      <c r="A332" s="3" t="n">
        <v>485</v>
      </c>
      <c r="B332" s="3" t="s">
        <v>141</v>
      </c>
      <c r="C332" s="4" t="s">
        <v>18</v>
      </c>
      <c r="D332" s="5" t="n">
        <v>4603</v>
      </c>
      <c r="E332" s="6" t="n">
        <v>66.946</v>
      </c>
      <c r="F332" s="7" t="n">
        <v>55</v>
      </c>
      <c r="G332" s="6" t="n">
        <v>295.903749454152</v>
      </c>
      <c r="H332" s="8" t="n">
        <v>47804.7741536292</v>
      </c>
      <c r="I332" s="9" t="n">
        <v>26.2929066231407</v>
      </c>
      <c r="J332" s="9" t="n">
        <v>57.5475935805035</v>
      </c>
      <c r="K332" s="3" t="s">
        <v>142</v>
      </c>
      <c r="L332" s="3" t="s">
        <v>143</v>
      </c>
      <c r="M332" s="7" t="n">
        <v>2018</v>
      </c>
    </row>
    <row r="333" customFormat="false" ht="15" hidden="false" customHeight="false" outlineLevel="0" collapsed="false">
      <c r="A333" s="3" t="n">
        <v>486</v>
      </c>
      <c r="B333" s="3" t="s">
        <v>141</v>
      </c>
      <c r="C333" s="4" t="s">
        <v>19</v>
      </c>
      <c r="D333" s="5" t="n">
        <v>4617</v>
      </c>
      <c r="E333" s="6" t="n">
        <v>66.946</v>
      </c>
      <c r="F333" s="7" t="n">
        <v>55</v>
      </c>
      <c r="G333" s="6" t="n">
        <v>68.6306726956198</v>
      </c>
      <c r="H333" s="8" t="n">
        <v>12298.064111002</v>
      </c>
      <c r="I333" s="9" t="n">
        <v>8.73948270121307</v>
      </c>
      <c r="J333" s="9" t="n">
        <v>13.3068743371608</v>
      </c>
      <c r="K333" s="3" t="s">
        <v>142</v>
      </c>
      <c r="L333" s="3" t="s">
        <v>143</v>
      </c>
      <c r="M333" s="7" t="n">
        <v>2019</v>
      </c>
    </row>
    <row r="334" customFormat="false" ht="15" hidden="false" customHeight="false" outlineLevel="0" collapsed="false">
      <c r="A334" s="3" t="n">
        <v>487</v>
      </c>
      <c r="B334" s="3" t="s">
        <v>141</v>
      </c>
      <c r="C334" s="4" t="s">
        <v>20</v>
      </c>
      <c r="D334" s="5" t="n">
        <v>4639</v>
      </c>
      <c r="E334" s="6" t="n">
        <v>67.13</v>
      </c>
      <c r="F334" s="7" t="n">
        <v>49</v>
      </c>
      <c r="G334" s="6" t="n">
        <v>33.9251374485597</v>
      </c>
      <c r="H334" s="8" t="n">
        <v>9031.004843856</v>
      </c>
      <c r="I334" s="9" t="n">
        <v>6.13410356708028</v>
      </c>
      <c r="J334" s="9" t="n">
        <v>6.52865075594978</v>
      </c>
      <c r="K334" s="3" t="s">
        <v>142</v>
      </c>
      <c r="L334" s="3" t="s">
        <v>143</v>
      </c>
      <c r="M334" s="7" t="n">
        <v>2020</v>
      </c>
    </row>
    <row r="335" customFormat="false" ht="15" hidden="false" customHeight="false" outlineLevel="0" collapsed="false">
      <c r="A335" s="3" t="n">
        <v>488</v>
      </c>
      <c r="B335" s="3" t="s">
        <v>141</v>
      </c>
      <c r="C335" s="4" t="s">
        <v>21</v>
      </c>
      <c r="D335" s="5" t="n">
        <v>4660</v>
      </c>
      <c r="E335" s="6" t="n">
        <v>65.99</v>
      </c>
      <c r="F335" s="7" t="n">
        <v>52</v>
      </c>
      <c r="G335" s="6" t="n">
        <v>143.427186923096</v>
      </c>
      <c r="H335" s="8" t="n">
        <v>25264.4842355146</v>
      </c>
      <c r="I335" s="9" t="n">
        <v>13.9674491083133</v>
      </c>
      <c r="J335" s="9" t="n">
        <v>27.5526413043424</v>
      </c>
      <c r="K335" s="3" t="s">
        <v>142</v>
      </c>
      <c r="L335" s="3" t="s">
        <v>143</v>
      </c>
      <c r="M335" s="7" t="n">
        <v>2021</v>
      </c>
    </row>
    <row r="336" customFormat="false" ht="15" hidden="false" customHeight="false" outlineLevel="0" collapsed="false">
      <c r="A336" s="3" t="n">
        <v>489</v>
      </c>
      <c r="B336" s="3" t="s">
        <v>141</v>
      </c>
      <c r="C336" s="4" t="s">
        <v>22</v>
      </c>
      <c r="D336" s="5" t="n">
        <v>4798</v>
      </c>
      <c r="E336" s="6" t="n">
        <v>66.04</v>
      </c>
      <c r="F336" s="7" t="n">
        <v>57</v>
      </c>
      <c r="G336" s="6" t="n">
        <v>150.547679333017</v>
      </c>
      <c r="H336" s="8" t="n">
        <v>29818.2618194344</v>
      </c>
      <c r="I336" s="9" t="n">
        <v>14.6430570238169</v>
      </c>
      <c r="J336" s="9" t="n">
        <v>28.0886907195437</v>
      </c>
      <c r="K336" s="3" t="s">
        <v>142</v>
      </c>
      <c r="L336" s="3" t="s">
        <v>143</v>
      </c>
      <c r="M336" s="7" t="n">
        <v>2022</v>
      </c>
    </row>
    <row r="337" customFormat="false" ht="15" hidden="false" customHeight="false" outlineLevel="0" collapsed="false">
      <c r="A337" s="3" t="n">
        <v>490</v>
      </c>
      <c r="B337" s="3" t="s">
        <v>141</v>
      </c>
      <c r="C337" s="4" t="s">
        <v>23</v>
      </c>
      <c r="D337" s="5" t="n">
        <v>4728</v>
      </c>
      <c r="E337" s="6" t="n">
        <v>66.04</v>
      </c>
      <c r="F337" s="7" t="n">
        <v>60</v>
      </c>
      <c r="G337" s="6" t="n">
        <v>138.41575754169</v>
      </c>
      <c r="H337" s="8" t="n">
        <v>31083.5691258664</v>
      </c>
      <c r="I337" s="9" t="n">
        <v>13.8805131921168</v>
      </c>
      <c r="J337" s="9" t="n">
        <v>26.2075088151004</v>
      </c>
      <c r="K337" s="3" t="s">
        <v>142</v>
      </c>
      <c r="L337" s="3" t="s">
        <v>143</v>
      </c>
      <c r="M337" s="7" t="n">
        <v>2023</v>
      </c>
    </row>
    <row r="338" customFormat="false" ht="15" hidden="false" customHeight="false" outlineLevel="0" collapsed="false">
      <c r="A338" s="3" t="n">
        <v>491</v>
      </c>
      <c r="B338" s="3" t="s">
        <v>141</v>
      </c>
      <c r="C338" s="4" t="s">
        <v>24</v>
      </c>
      <c r="D338" s="5" t="n">
        <v>4695</v>
      </c>
      <c r="E338" s="6" t="n">
        <v>70.12</v>
      </c>
      <c r="F338" s="7" t="n">
        <v>62</v>
      </c>
      <c r="G338" s="6" t="n">
        <v>144.741423559892</v>
      </c>
      <c r="H338" s="8" t="n">
        <v>37464.8261600045</v>
      </c>
      <c r="I338" s="9" t="n">
        <v>14.7279102017321</v>
      </c>
      <c r="J338" s="9" t="n">
        <v>27.5222183952117</v>
      </c>
      <c r="K338" s="3" t="s">
        <v>142</v>
      </c>
      <c r="L338" s="3" t="s">
        <v>143</v>
      </c>
      <c r="M338" s="7" t="n">
        <v>2024</v>
      </c>
    </row>
    <row r="339" customFormat="false" ht="15" hidden="false" customHeight="false" outlineLevel="0" collapsed="false">
      <c r="A339" s="3" t="n">
        <v>492</v>
      </c>
      <c r="B339" s="3" t="s">
        <v>144</v>
      </c>
      <c r="C339" s="4" t="s">
        <v>14</v>
      </c>
      <c r="D339" s="5" t="n">
        <v>7908</v>
      </c>
      <c r="E339" s="6" t="n">
        <v>87.8</v>
      </c>
      <c r="F339" s="7" t="n">
        <v>54</v>
      </c>
      <c r="G339" s="6" t="n">
        <v>490.116251538191</v>
      </c>
      <c r="H339" s="8" t="n">
        <v>308230.34653049</v>
      </c>
      <c r="I339" s="9" t="n">
        <v>27.2168906624222</v>
      </c>
      <c r="J339" s="9" t="n">
        <v>55.3297408831601</v>
      </c>
      <c r="K339" s="3" t="s">
        <v>145</v>
      </c>
      <c r="L339" s="3" t="s">
        <v>146</v>
      </c>
      <c r="M339" s="7" t="n">
        <v>2016</v>
      </c>
    </row>
    <row r="340" customFormat="false" ht="15" hidden="false" customHeight="false" outlineLevel="0" collapsed="false">
      <c r="A340" s="3" t="n">
        <v>493</v>
      </c>
      <c r="B340" s="3" t="s">
        <v>144</v>
      </c>
      <c r="C340" s="4" t="s">
        <v>17</v>
      </c>
      <c r="D340" s="5" t="n">
        <v>7919</v>
      </c>
      <c r="E340" s="6" t="n">
        <v>114.52</v>
      </c>
      <c r="F340" s="7" t="n">
        <v>54</v>
      </c>
      <c r="G340" s="6" t="n">
        <v>493.651169125909</v>
      </c>
      <c r="H340" s="8" t="n">
        <v>325533.744583908</v>
      </c>
      <c r="I340" s="9" t="n">
        <v>28.4678721533533</v>
      </c>
      <c r="J340" s="9" t="n">
        <v>55.8042790086322</v>
      </c>
      <c r="K340" s="3" t="s">
        <v>145</v>
      </c>
      <c r="L340" s="3" t="s">
        <v>146</v>
      </c>
      <c r="M340" s="7" t="n">
        <v>2017</v>
      </c>
    </row>
    <row r="341" customFormat="false" ht="15" hidden="false" customHeight="false" outlineLevel="0" collapsed="false">
      <c r="A341" s="3" t="n">
        <v>494</v>
      </c>
      <c r="B341" s="3" t="s">
        <v>144</v>
      </c>
      <c r="C341" s="4" t="s">
        <v>18</v>
      </c>
      <c r="D341" s="5" t="n">
        <v>7969</v>
      </c>
      <c r="E341" s="6" t="n">
        <v>114.52</v>
      </c>
      <c r="F341" s="7" t="n">
        <v>54</v>
      </c>
      <c r="G341" s="6" t="n">
        <v>592.837794554964</v>
      </c>
      <c r="H341" s="8" t="n">
        <v>453219.710624871</v>
      </c>
      <c r="I341" s="9" t="n">
        <v>32.9539574280062</v>
      </c>
      <c r="J341" s="9" t="n">
        <v>66.5962432011716</v>
      </c>
      <c r="K341" s="3" t="s">
        <v>145</v>
      </c>
      <c r="L341" s="3" t="s">
        <v>146</v>
      </c>
      <c r="M341" s="7" t="n">
        <v>2018</v>
      </c>
    </row>
    <row r="342" customFormat="false" ht="15" hidden="false" customHeight="false" outlineLevel="0" collapsed="false">
      <c r="A342" s="3" t="n">
        <v>495</v>
      </c>
      <c r="B342" s="3" t="s">
        <v>144</v>
      </c>
      <c r="C342" s="4" t="s">
        <v>19</v>
      </c>
      <c r="D342" s="5" t="n">
        <v>7990</v>
      </c>
      <c r="E342" s="6" t="n">
        <v>114.52</v>
      </c>
      <c r="F342" s="7" t="n">
        <v>59</v>
      </c>
      <c r="G342" s="6" t="n">
        <v>408.122889879239</v>
      </c>
      <c r="H342" s="8" t="n">
        <v>332069.109670612</v>
      </c>
      <c r="I342" s="9" t="n">
        <v>29.1984978746789</v>
      </c>
      <c r="J342" s="9" t="n">
        <v>45.7258564242528</v>
      </c>
      <c r="K342" s="3" t="s">
        <v>145</v>
      </c>
      <c r="L342" s="3" t="s">
        <v>146</v>
      </c>
      <c r="M342" s="7" t="n">
        <v>2019</v>
      </c>
    </row>
    <row r="343" customFormat="false" ht="15" hidden="false" customHeight="false" outlineLevel="0" collapsed="false">
      <c r="A343" s="3" t="n">
        <v>496</v>
      </c>
      <c r="B343" s="3" t="s">
        <v>144</v>
      </c>
      <c r="C343" s="4" t="s">
        <v>20</v>
      </c>
      <c r="D343" s="5" t="n">
        <v>8066</v>
      </c>
      <c r="E343" s="6" t="n">
        <v>114.52</v>
      </c>
      <c r="F343" s="7" t="n">
        <v>66</v>
      </c>
      <c r="G343" s="6" t="n">
        <v>344.509904924094</v>
      </c>
      <c r="H343" s="8" t="n">
        <v>338020.460577873</v>
      </c>
      <c r="I343" s="9" t="n">
        <v>26.4149483111138</v>
      </c>
      <c r="J343" s="9" t="n">
        <v>38.1302531612216</v>
      </c>
      <c r="K343" s="3" t="s">
        <v>145</v>
      </c>
      <c r="L343" s="3" t="s">
        <v>146</v>
      </c>
      <c r="M343" s="7" t="n">
        <v>2020</v>
      </c>
    </row>
    <row r="344" customFormat="false" ht="15" hidden="false" customHeight="false" outlineLevel="0" collapsed="false">
      <c r="A344" s="3" t="n">
        <v>497</v>
      </c>
      <c r="B344" s="3" t="s">
        <v>144</v>
      </c>
      <c r="C344" s="4" t="s">
        <v>21</v>
      </c>
      <c r="D344" s="5" t="n">
        <v>8117</v>
      </c>
      <c r="E344" s="6" t="n">
        <v>114.52</v>
      </c>
      <c r="F344" s="7" t="n">
        <v>71</v>
      </c>
      <c r="G344" s="6" t="n">
        <v>216.02729768918</v>
      </c>
      <c r="H344" s="8" t="n">
        <v>292023.406521873</v>
      </c>
      <c r="I344" s="9" t="n">
        <v>23.0397922499225</v>
      </c>
      <c r="J344" s="9" t="n">
        <v>23.8248821762347</v>
      </c>
      <c r="K344" s="3" t="s">
        <v>145</v>
      </c>
      <c r="L344" s="3" t="s">
        <v>146</v>
      </c>
      <c r="M344" s="7" t="n">
        <v>2021</v>
      </c>
    </row>
    <row r="345" customFormat="false" ht="15" hidden="false" customHeight="false" outlineLevel="0" collapsed="false">
      <c r="A345" s="3" t="n">
        <v>498</v>
      </c>
      <c r="B345" s="3" t="s">
        <v>144</v>
      </c>
      <c r="C345" s="4" t="s">
        <v>22</v>
      </c>
      <c r="D345" s="5" t="n">
        <v>8053</v>
      </c>
      <c r="E345" s="6" t="n">
        <v>115.5</v>
      </c>
      <c r="F345" s="7" t="n">
        <v>64</v>
      </c>
      <c r="G345" s="6" t="n">
        <v>192.331207714095</v>
      </c>
      <c r="H345" s="8" t="n">
        <v>216821.408472176</v>
      </c>
      <c r="I345" s="9" t="n">
        <v>24.0078464185171</v>
      </c>
      <c r="J345" s="9" t="n">
        <v>21.3801000940355</v>
      </c>
      <c r="K345" s="3" t="s">
        <v>145</v>
      </c>
      <c r="L345" s="3" t="s">
        <v>146</v>
      </c>
      <c r="M345" s="7" t="n">
        <v>2022</v>
      </c>
    </row>
    <row r="346" customFormat="false" ht="15" hidden="false" customHeight="false" outlineLevel="0" collapsed="false">
      <c r="A346" s="3" t="n">
        <v>499</v>
      </c>
      <c r="B346" s="3" t="s">
        <v>144</v>
      </c>
      <c r="C346" s="4" t="s">
        <v>23</v>
      </c>
      <c r="D346" s="5" t="n">
        <v>8067</v>
      </c>
      <c r="E346" s="6" t="n">
        <v>115.5</v>
      </c>
      <c r="F346" s="7" t="n">
        <v>65</v>
      </c>
      <c r="G346" s="6" t="n">
        <v>185.697395453706</v>
      </c>
      <c r="H346" s="8" t="n">
        <v>197638.504109154</v>
      </c>
      <c r="I346" s="9" t="n">
        <v>23.7572581754648</v>
      </c>
      <c r="J346" s="9" t="n">
        <v>20.6068414684931</v>
      </c>
      <c r="K346" s="3" t="s">
        <v>145</v>
      </c>
      <c r="L346" s="3" t="s">
        <v>146</v>
      </c>
      <c r="M346" s="7" t="n">
        <v>2023</v>
      </c>
    </row>
    <row r="347" customFormat="false" ht="15" hidden="false" customHeight="false" outlineLevel="0" collapsed="false">
      <c r="A347" s="3" t="n">
        <v>500</v>
      </c>
      <c r="B347" s="3" t="s">
        <v>144</v>
      </c>
      <c r="C347" s="4" t="s">
        <v>24</v>
      </c>
      <c r="D347" s="5" t="n">
        <v>8067</v>
      </c>
      <c r="E347" s="6" t="n">
        <v>115.5</v>
      </c>
      <c r="F347" s="7" t="n">
        <v>65</v>
      </c>
      <c r="G347" s="6" t="n">
        <v>232.800115082853</v>
      </c>
      <c r="H347" s="8" t="n">
        <v>290383.431422839</v>
      </c>
      <c r="I347" s="9" t="n">
        <v>26.0485387142284</v>
      </c>
      <c r="J347" s="9" t="n">
        <v>25.7630530267444</v>
      </c>
      <c r="K347" s="3" t="s">
        <v>145</v>
      </c>
      <c r="L347" s="3" t="s">
        <v>146</v>
      </c>
      <c r="M347" s="7" t="n">
        <v>2024</v>
      </c>
    </row>
    <row r="348" customFormat="false" ht="15" hidden="false" customHeight="false" outlineLevel="0" collapsed="false">
      <c r="A348" s="3" t="n">
        <v>507</v>
      </c>
      <c r="B348" s="3" t="s">
        <v>147</v>
      </c>
      <c r="C348" s="4" t="s">
        <v>14</v>
      </c>
      <c r="D348" s="5" t="n">
        <v>6195</v>
      </c>
      <c r="E348" s="6" t="n">
        <v>87.5</v>
      </c>
      <c r="F348" s="7" t="n">
        <v>53</v>
      </c>
      <c r="G348" s="6" t="n">
        <v>122.089880032155</v>
      </c>
      <c r="H348" s="8" t="n">
        <v>80600.1679228344</v>
      </c>
      <c r="I348" s="9" t="n">
        <v>9.62761502625932</v>
      </c>
      <c r="J348" s="9" t="n">
        <v>17.5939984735183</v>
      </c>
      <c r="K348" s="3" t="s">
        <v>148</v>
      </c>
      <c r="L348" s="3" t="s">
        <v>149</v>
      </c>
      <c r="M348" s="7" t="n">
        <v>2016</v>
      </c>
    </row>
    <row r="349" customFormat="false" ht="15" hidden="false" customHeight="false" outlineLevel="0" collapsed="false">
      <c r="A349" s="3" t="n">
        <v>508</v>
      </c>
      <c r="B349" s="3" t="s">
        <v>147</v>
      </c>
      <c r="C349" s="4" t="s">
        <v>17</v>
      </c>
      <c r="D349" s="5" t="n">
        <v>6313</v>
      </c>
      <c r="E349" s="6" t="n">
        <v>88</v>
      </c>
      <c r="F349" s="7" t="n">
        <v>58</v>
      </c>
      <c r="G349" s="6" t="n">
        <v>138.915259121818</v>
      </c>
      <c r="H349" s="8" t="n">
        <v>91197.1943534258</v>
      </c>
      <c r="I349" s="9" t="n">
        <v>16.3898154864269</v>
      </c>
      <c r="J349" s="9" t="n">
        <v>19.6984402062827</v>
      </c>
      <c r="K349" s="3" t="s">
        <v>148</v>
      </c>
      <c r="L349" s="3" t="s">
        <v>149</v>
      </c>
      <c r="M349" s="7" t="n">
        <v>2017</v>
      </c>
    </row>
    <row r="350" customFormat="false" ht="15" hidden="false" customHeight="false" outlineLevel="0" collapsed="false">
      <c r="A350" s="3" t="n">
        <v>509</v>
      </c>
      <c r="B350" s="3" t="s">
        <v>147</v>
      </c>
      <c r="C350" s="4" t="s">
        <v>18</v>
      </c>
      <c r="D350" s="5" t="n">
        <v>6393</v>
      </c>
      <c r="E350" s="6" t="n">
        <v>88</v>
      </c>
      <c r="F350" s="7" t="n">
        <v>57</v>
      </c>
      <c r="G350" s="6" t="n">
        <v>150.998248160449</v>
      </c>
      <c r="H350" s="8" t="n">
        <v>123012.716221748</v>
      </c>
      <c r="I350" s="9" t="n">
        <v>15.5682399223633</v>
      </c>
      <c r="J350" s="9" t="n">
        <v>21.1438894194588</v>
      </c>
      <c r="K350" s="3" t="s">
        <v>148</v>
      </c>
      <c r="L350" s="3" t="s">
        <v>149</v>
      </c>
      <c r="M350" s="7" t="n">
        <v>2018</v>
      </c>
    </row>
    <row r="351" customFormat="false" ht="15" hidden="false" customHeight="false" outlineLevel="0" collapsed="false">
      <c r="A351" s="3" t="n">
        <v>510</v>
      </c>
      <c r="B351" s="3" t="s">
        <v>147</v>
      </c>
      <c r="C351" s="4" t="s">
        <v>19</v>
      </c>
      <c r="D351" s="5" t="n">
        <v>6419</v>
      </c>
      <c r="E351" s="6" t="n">
        <v>89</v>
      </c>
      <c r="F351" s="7" t="n">
        <v>64</v>
      </c>
      <c r="G351" s="6" t="n">
        <v>99.9227947637907</v>
      </c>
      <c r="H351" s="8" t="n">
        <v>84574.7617094883</v>
      </c>
      <c r="I351" s="9" t="n">
        <v>12.8245599537228</v>
      </c>
      <c r="J351" s="9" t="n">
        <v>13.9352534271437</v>
      </c>
      <c r="K351" s="3" t="s">
        <v>148</v>
      </c>
      <c r="L351" s="3" t="s">
        <v>149</v>
      </c>
      <c r="M351" s="7" t="n">
        <v>2019</v>
      </c>
    </row>
    <row r="352" customFormat="false" ht="15" hidden="false" customHeight="false" outlineLevel="0" collapsed="false">
      <c r="A352" s="3" t="n">
        <v>511</v>
      </c>
      <c r="B352" s="3" t="s">
        <v>147</v>
      </c>
      <c r="C352" s="4" t="s">
        <v>20</v>
      </c>
      <c r="D352" s="5" t="n">
        <v>6611</v>
      </c>
      <c r="E352" s="6" t="n">
        <v>89</v>
      </c>
      <c r="F352" s="7" t="n">
        <v>64</v>
      </c>
      <c r="G352" s="6" t="n">
        <v>122.641203787676</v>
      </c>
      <c r="H352" s="8" t="n">
        <v>109776.8802404</v>
      </c>
      <c r="I352" s="9" t="n">
        <v>14.2027589597454</v>
      </c>
      <c r="J352" s="9" t="n">
        <v>16.5613387796669</v>
      </c>
      <c r="K352" s="3" t="s">
        <v>148</v>
      </c>
      <c r="L352" s="3" t="s">
        <v>149</v>
      </c>
      <c r="M352" s="7" t="n">
        <v>2020</v>
      </c>
    </row>
    <row r="353" customFormat="false" ht="15" hidden="false" customHeight="false" outlineLevel="0" collapsed="false">
      <c r="A353" s="3" t="n">
        <v>512</v>
      </c>
      <c r="B353" s="3" t="s">
        <v>147</v>
      </c>
      <c r="C353" s="4" t="s">
        <v>21</v>
      </c>
      <c r="D353" s="5" t="n">
        <v>6440</v>
      </c>
      <c r="E353" s="6" t="n">
        <v>90</v>
      </c>
      <c r="F353" s="7" t="n">
        <v>64</v>
      </c>
      <c r="G353" s="6" t="n">
        <v>178.849169269413</v>
      </c>
      <c r="H353" s="8" t="n">
        <v>141171.874578226</v>
      </c>
      <c r="I353" s="9" t="n">
        <v>17.707445285878</v>
      </c>
      <c r="J353" s="9" t="n">
        <v>24.8610080607158</v>
      </c>
      <c r="K353" s="3" t="s">
        <v>148</v>
      </c>
      <c r="L353" s="3" t="s">
        <v>149</v>
      </c>
      <c r="M353" s="7" t="n">
        <v>2021</v>
      </c>
    </row>
    <row r="354" customFormat="false" ht="15" hidden="false" customHeight="false" outlineLevel="0" collapsed="false">
      <c r="A354" s="3" t="n">
        <v>513</v>
      </c>
      <c r="B354" s="3" t="s">
        <v>147</v>
      </c>
      <c r="C354" s="4" t="s">
        <v>22</v>
      </c>
      <c r="D354" s="5" t="n">
        <v>6463</v>
      </c>
      <c r="E354" s="6" t="n">
        <v>90</v>
      </c>
      <c r="F354" s="7" t="n">
        <v>60</v>
      </c>
      <c r="G354" s="6" t="n">
        <v>151.30687594344</v>
      </c>
      <c r="H354" s="8" t="n">
        <v>134249.947163325</v>
      </c>
      <c r="I354" s="9" t="n">
        <v>17.4225033001217</v>
      </c>
      <c r="J354" s="9" t="n">
        <v>20.9576306860208</v>
      </c>
      <c r="K354" s="3" t="s">
        <v>148</v>
      </c>
      <c r="L354" s="3" t="s">
        <v>149</v>
      </c>
      <c r="M354" s="7" t="n">
        <v>2022</v>
      </c>
    </row>
    <row r="355" customFormat="false" ht="15" hidden="false" customHeight="false" outlineLevel="0" collapsed="false">
      <c r="A355" s="3" t="n">
        <v>514</v>
      </c>
      <c r="B355" s="3" t="s">
        <v>147</v>
      </c>
      <c r="C355" s="4" t="s">
        <v>23</v>
      </c>
      <c r="D355" s="5" t="n">
        <v>6487</v>
      </c>
      <c r="E355" s="6" t="n">
        <v>90</v>
      </c>
      <c r="F355" s="7" t="n">
        <v>46</v>
      </c>
      <c r="G355" s="6" t="n">
        <v>192.602028921567</v>
      </c>
      <c r="H355" s="8" t="n">
        <v>174398.12798246</v>
      </c>
      <c r="I355" s="9" t="n">
        <v>19.9218358970937</v>
      </c>
      <c r="J355" s="9" t="n">
        <v>26.5787550274351</v>
      </c>
      <c r="K355" s="3" t="s">
        <v>148</v>
      </c>
      <c r="L355" s="3" t="s">
        <v>149</v>
      </c>
      <c r="M355" s="7" t="n">
        <v>2023</v>
      </c>
    </row>
    <row r="356" customFormat="false" ht="15" hidden="false" customHeight="false" outlineLevel="0" collapsed="false">
      <c r="A356" s="3" t="n">
        <v>515</v>
      </c>
      <c r="B356" s="3" t="s">
        <v>147</v>
      </c>
      <c r="C356" s="4" t="s">
        <v>24</v>
      </c>
      <c r="D356" s="5" t="n">
        <v>6503</v>
      </c>
      <c r="E356" s="6" t="n">
        <v>90</v>
      </c>
      <c r="F356" s="7" t="n">
        <v>46</v>
      </c>
      <c r="G356" s="6" t="n">
        <v>188.119582831041</v>
      </c>
      <c r="H356" s="8" t="n">
        <v>177446.955576314</v>
      </c>
      <c r="I356" s="9" t="n">
        <v>19.4628683266283</v>
      </c>
      <c r="J356" s="9" t="n">
        <v>25.8253637141457</v>
      </c>
      <c r="K356" s="3" t="s">
        <v>148</v>
      </c>
      <c r="L356" s="3" t="s">
        <v>149</v>
      </c>
      <c r="M356" s="7" t="n">
        <v>2024</v>
      </c>
    </row>
    <row r="357" customFormat="false" ht="15" hidden="false" customHeight="false" outlineLevel="0" collapsed="false">
      <c r="A357" s="3" t="n">
        <v>525</v>
      </c>
      <c r="B357" s="3" t="s">
        <v>150</v>
      </c>
      <c r="C357" s="4" t="s">
        <v>14</v>
      </c>
      <c r="D357" s="5" t="n">
        <v>7139</v>
      </c>
      <c r="E357" s="6" t="n">
        <v>100</v>
      </c>
      <c r="F357" s="7" t="n">
        <v>61</v>
      </c>
      <c r="G357" s="6" t="n">
        <v>417.284232819229</v>
      </c>
      <c r="H357" s="8" t="n">
        <v>21102.0636536684</v>
      </c>
      <c r="I357" s="9" t="n">
        <v>9.88052204339531</v>
      </c>
      <c r="J357" s="9" t="n">
        <v>52.1820079740951</v>
      </c>
      <c r="K357" s="3" t="s">
        <v>151</v>
      </c>
      <c r="L357" s="3" t="s">
        <v>152</v>
      </c>
      <c r="M357" s="7" t="n">
        <v>2016</v>
      </c>
    </row>
    <row r="358" customFormat="false" ht="15" hidden="false" customHeight="false" outlineLevel="0" collapsed="false">
      <c r="A358" s="3" t="n">
        <v>526</v>
      </c>
      <c r="B358" s="3" t="s">
        <v>150</v>
      </c>
      <c r="C358" s="4" t="s">
        <v>17</v>
      </c>
      <c r="D358" s="5" t="n">
        <v>7460</v>
      </c>
      <c r="E358" s="6" t="n">
        <v>100</v>
      </c>
      <c r="F358" s="7" t="n">
        <v>62</v>
      </c>
      <c r="G358" s="6" t="n">
        <v>335.971682474226</v>
      </c>
      <c r="H358" s="8" t="n">
        <v>16798.5841237113</v>
      </c>
      <c r="I358" s="9" t="n">
        <v>9.58185004150143</v>
      </c>
      <c r="J358" s="9" t="n">
        <v>40.3163791893428</v>
      </c>
      <c r="K358" s="3" t="s">
        <v>151</v>
      </c>
      <c r="L358" s="3" t="s">
        <v>152</v>
      </c>
      <c r="M358" s="7" t="n">
        <v>2017</v>
      </c>
    </row>
    <row r="359" customFormat="false" ht="15" hidden="false" customHeight="false" outlineLevel="0" collapsed="false">
      <c r="A359" s="3" t="n">
        <v>527</v>
      </c>
      <c r="B359" s="3" t="s">
        <v>150</v>
      </c>
      <c r="C359" s="4" t="s">
        <v>18</v>
      </c>
      <c r="D359" s="5" t="n">
        <v>7862</v>
      </c>
      <c r="E359" s="6" t="n">
        <v>100</v>
      </c>
      <c r="F359" s="7" t="n">
        <v>55</v>
      </c>
      <c r="G359" s="6" t="n">
        <v>625.965088422103</v>
      </c>
      <c r="H359" s="8" t="n">
        <v>32549.7423473456</v>
      </c>
      <c r="I359" s="9" t="n">
        <v>12.7905796009488</v>
      </c>
      <c r="J359" s="9" t="n">
        <v>71.2745931981316</v>
      </c>
      <c r="K359" s="3" t="s">
        <v>151</v>
      </c>
      <c r="L359" s="3" t="s">
        <v>152</v>
      </c>
      <c r="M359" s="7" t="n">
        <v>2018</v>
      </c>
    </row>
    <row r="360" customFormat="false" ht="15" hidden="false" customHeight="false" outlineLevel="0" collapsed="false">
      <c r="A360" s="3" t="n">
        <v>528</v>
      </c>
      <c r="B360" s="3" t="s">
        <v>150</v>
      </c>
      <c r="C360" s="4" t="s">
        <v>19</v>
      </c>
      <c r="D360" s="5" t="n">
        <v>8297</v>
      </c>
      <c r="E360" s="6" t="n">
        <v>100</v>
      </c>
      <c r="F360" s="7" t="n">
        <v>62</v>
      </c>
      <c r="G360" s="6" t="n">
        <v>583.447419879004</v>
      </c>
      <c r="H360" s="8" t="n">
        <v>66244.9525926626</v>
      </c>
      <c r="I360" s="9" t="n">
        <v>13.6489913802036</v>
      </c>
      <c r="J360" s="9" t="n">
        <v>62.9503730379819</v>
      </c>
      <c r="K360" s="3" t="s">
        <v>151</v>
      </c>
      <c r="L360" s="3" t="s">
        <v>152</v>
      </c>
      <c r="M360" s="7" t="n">
        <v>2019</v>
      </c>
    </row>
    <row r="361" customFormat="false" ht="15" hidden="false" customHeight="false" outlineLevel="0" collapsed="false">
      <c r="A361" s="3" t="n">
        <v>529</v>
      </c>
      <c r="B361" s="3" t="s">
        <v>150</v>
      </c>
      <c r="C361" s="4" t="s">
        <v>20</v>
      </c>
      <c r="D361" s="5" t="n">
        <v>8592</v>
      </c>
      <c r="E361" s="6" t="n">
        <v>100</v>
      </c>
      <c r="F361" s="7" t="n">
        <v>63</v>
      </c>
      <c r="G361" s="6" t="n">
        <v>985.450312228711</v>
      </c>
      <c r="H361" s="8" t="n">
        <v>111756.425925705</v>
      </c>
      <c r="I361" s="9" t="n">
        <v>18.8937706669614</v>
      </c>
      <c r="J361" s="9" t="n">
        <v>102.392148698387</v>
      </c>
      <c r="K361" s="3" t="s">
        <v>151</v>
      </c>
      <c r="L361" s="3" t="s">
        <v>152</v>
      </c>
      <c r="M361" s="7" t="n">
        <v>2020</v>
      </c>
    </row>
    <row r="362" customFormat="false" ht="15" hidden="false" customHeight="false" outlineLevel="0" collapsed="false">
      <c r="A362" s="3" t="n">
        <v>530</v>
      </c>
      <c r="B362" s="3" t="s">
        <v>150</v>
      </c>
      <c r="C362" s="4" t="s">
        <v>21</v>
      </c>
      <c r="D362" s="5" t="n">
        <v>9139</v>
      </c>
      <c r="E362" s="6" t="n">
        <v>100</v>
      </c>
      <c r="F362" s="7" t="n">
        <v>68</v>
      </c>
      <c r="G362" s="6" t="n">
        <v>741.167929765847</v>
      </c>
      <c r="H362" s="8" t="n">
        <v>90375.5577114613</v>
      </c>
      <c r="I362" s="9" t="n">
        <v>13.6023133870805</v>
      </c>
      <c r="J362" s="9" t="n">
        <v>72.5998321052905</v>
      </c>
      <c r="K362" s="3" t="s">
        <v>151</v>
      </c>
      <c r="L362" s="3" t="s">
        <v>152</v>
      </c>
      <c r="M362" s="7" t="n">
        <v>2021</v>
      </c>
    </row>
    <row r="363" customFormat="false" ht="15" hidden="false" customHeight="false" outlineLevel="0" collapsed="false">
      <c r="A363" s="3" t="n">
        <v>531</v>
      </c>
      <c r="B363" s="3" t="s">
        <v>150</v>
      </c>
      <c r="C363" s="4" t="s">
        <v>22</v>
      </c>
      <c r="D363" s="5" t="n">
        <v>9543</v>
      </c>
      <c r="E363" s="6" t="n">
        <v>100</v>
      </c>
      <c r="F363" s="7" t="n">
        <v>75</v>
      </c>
      <c r="G363" s="6" t="n">
        <v>851.930501055643</v>
      </c>
      <c r="H363" s="8" t="n">
        <v>125095.950212291</v>
      </c>
      <c r="I363" s="9" t="n">
        <v>14.5351336352648</v>
      </c>
      <c r="J363" s="9" t="n">
        <v>79.9165851097008</v>
      </c>
      <c r="K363" s="3" t="s">
        <v>151</v>
      </c>
      <c r="L363" s="3" t="s">
        <v>152</v>
      </c>
      <c r="M363" s="7" t="n">
        <v>2022</v>
      </c>
    </row>
    <row r="364" customFormat="false" ht="15" hidden="false" customHeight="false" outlineLevel="0" collapsed="false">
      <c r="A364" s="3" t="n">
        <v>532</v>
      </c>
      <c r="B364" s="3" t="s">
        <v>150</v>
      </c>
      <c r="C364" s="4" t="s">
        <v>23</v>
      </c>
      <c r="D364" s="5" t="n">
        <v>10048</v>
      </c>
      <c r="E364" s="6" t="n">
        <v>100</v>
      </c>
      <c r="F364" s="7" t="n">
        <v>71</v>
      </c>
      <c r="G364" s="6" t="n">
        <v>435.346752028511</v>
      </c>
      <c r="H364" s="8" t="n">
        <v>78270.2340953029</v>
      </c>
      <c r="I364" s="9" t="n">
        <v>8.87240935973258</v>
      </c>
      <c r="J364" s="9" t="n">
        <v>38.7858538616953</v>
      </c>
      <c r="K364" s="3" t="s">
        <v>151</v>
      </c>
      <c r="L364" s="3" t="s">
        <v>152</v>
      </c>
      <c r="M364" s="7" t="n">
        <v>2023</v>
      </c>
    </row>
    <row r="365" customFormat="false" ht="15" hidden="false" customHeight="false" outlineLevel="0" collapsed="false">
      <c r="A365" s="3" t="n">
        <v>533</v>
      </c>
      <c r="B365" s="3" t="s">
        <v>150</v>
      </c>
      <c r="C365" s="4" t="s">
        <v>24</v>
      </c>
      <c r="D365" s="5" t="n">
        <v>10048</v>
      </c>
      <c r="E365" s="6" t="n">
        <v>100</v>
      </c>
      <c r="F365" s="7" t="n">
        <v>71</v>
      </c>
      <c r="G365" s="6" t="n">
        <v>746.236764631917</v>
      </c>
      <c r="H365" s="8" t="n">
        <v>143540.932761641</v>
      </c>
      <c r="I365" s="9" t="n">
        <v>13.7976515841684</v>
      </c>
      <c r="J365" s="9" t="n">
        <v>66.3014778357241</v>
      </c>
      <c r="K365" s="3" t="s">
        <v>151</v>
      </c>
      <c r="L365" s="3" t="s">
        <v>152</v>
      </c>
      <c r="M365" s="7" t="n">
        <v>2024</v>
      </c>
    </row>
    <row r="366" customFormat="false" ht="15" hidden="false" customHeight="false" outlineLevel="0" collapsed="false">
      <c r="A366" s="3" t="n">
        <v>534</v>
      </c>
      <c r="B366" s="3" t="s">
        <v>153</v>
      </c>
      <c r="C366" s="4" t="s">
        <v>14</v>
      </c>
      <c r="D366" s="5" t="n">
        <v>8550</v>
      </c>
      <c r="E366" s="6" t="n">
        <v>55.21</v>
      </c>
      <c r="F366" s="7" t="n">
        <v>42</v>
      </c>
      <c r="G366" s="6" t="n">
        <v>39.9451870940531</v>
      </c>
      <c r="H366" s="8" t="n">
        <v>9762.1326633164</v>
      </c>
      <c r="I366" s="9" t="n">
        <v>9.73138648844236</v>
      </c>
      <c r="J366" s="9" t="n">
        <v>4.17084968670489</v>
      </c>
      <c r="K366" s="3" t="s">
        <v>154</v>
      </c>
      <c r="L366" s="3" t="s">
        <v>155</v>
      </c>
      <c r="M366" s="7" t="n">
        <v>2016</v>
      </c>
    </row>
    <row r="367" customFormat="false" ht="15" hidden="false" customHeight="false" outlineLevel="0" collapsed="false">
      <c r="A367" s="3" t="n">
        <v>535</v>
      </c>
      <c r="B367" s="3" t="s">
        <v>153</v>
      </c>
      <c r="C367" s="4" t="s">
        <v>17</v>
      </c>
      <c r="D367" s="5" t="n">
        <v>8440</v>
      </c>
      <c r="E367" s="6" t="n">
        <v>103.5</v>
      </c>
      <c r="F367" s="7" t="n">
        <v>53</v>
      </c>
      <c r="G367" s="6" t="n">
        <v>280.880974798467</v>
      </c>
      <c r="H367" s="8" t="n">
        <v>25485.1818320916</v>
      </c>
      <c r="I367" s="9" t="n">
        <v>4.89664284751246</v>
      </c>
      <c r="J367" s="9" t="n">
        <v>29.791855410869</v>
      </c>
      <c r="K367" s="3" t="s">
        <v>154</v>
      </c>
      <c r="L367" s="3" t="s">
        <v>155</v>
      </c>
      <c r="M367" s="7" t="n">
        <v>2017</v>
      </c>
    </row>
    <row r="368" customFormat="false" ht="15" hidden="false" customHeight="false" outlineLevel="0" collapsed="false">
      <c r="A368" s="3" t="n">
        <v>536</v>
      </c>
      <c r="B368" s="3" t="s">
        <v>153</v>
      </c>
      <c r="C368" s="4" t="s">
        <v>18</v>
      </c>
      <c r="D368" s="5" t="n">
        <v>8431</v>
      </c>
      <c r="E368" s="6" t="n">
        <v>103.5</v>
      </c>
      <c r="F368" s="7" t="n">
        <v>58</v>
      </c>
      <c r="G368" s="6" t="n">
        <v>1683.52889270598</v>
      </c>
      <c r="H368" s="8" t="n">
        <v>162398.828713179</v>
      </c>
      <c r="I368" s="9" t="n">
        <v>23.7746864940576</v>
      </c>
      <c r="J368" s="9" t="n">
        <v>178.755395517438</v>
      </c>
      <c r="K368" s="3" t="s">
        <v>154</v>
      </c>
      <c r="L368" s="3" t="s">
        <v>155</v>
      </c>
      <c r="M368" s="7" t="n">
        <v>2018</v>
      </c>
    </row>
    <row r="369" customFormat="false" ht="15" hidden="false" customHeight="false" outlineLevel="0" collapsed="false">
      <c r="A369" s="3" t="n">
        <v>537</v>
      </c>
      <c r="B369" s="3" t="s">
        <v>153</v>
      </c>
      <c r="C369" s="4" t="s">
        <v>19</v>
      </c>
      <c r="D369" s="5" t="n">
        <v>8464</v>
      </c>
      <c r="E369" s="6" t="n">
        <v>103.5</v>
      </c>
      <c r="F369" s="7" t="n">
        <v>58</v>
      </c>
      <c r="G369" s="6" t="n">
        <v>177.692949106253</v>
      </c>
      <c r="H369" s="8" t="n">
        <v>22879.5246438706</v>
      </c>
      <c r="I369" s="9" t="n">
        <v>4.83546657191276</v>
      </c>
      <c r="J369" s="9" t="n">
        <v>18.7936967554963</v>
      </c>
      <c r="K369" s="3" t="s">
        <v>154</v>
      </c>
      <c r="L369" s="3" t="s">
        <v>155</v>
      </c>
      <c r="M369" s="7" t="n">
        <v>2019</v>
      </c>
    </row>
    <row r="370" customFormat="false" ht="15" hidden="false" customHeight="false" outlineLevel="0" collapsed="false">
      <c r="A370" s="3" t="n">
        <v>538</v>
      </c>
      <c r="B370" s="3" t="s">
        <v>153</v>
      </c>
      <c r="C370" s="4" t="s">
        <v>20</v>
      </c>
      <c r="D370" s="5" t="n">
        <v>8559</v>
      </c>
      <c r="E370" s="6" t="n">
        <v>103.5</v>
      </c>
      <c r="F370" s="7" t="n">
        <v>58</v>
      </c>
      <c r="G370" s="6" t="n">
        <v>322.346749582756</v>
      </c>
      <c r="H370" s="8" t="n">
        <v>40579.9253747727</v>
      </c>
      <c r="I370" s="9" t="n">
        <v>7.23822928915018</v>
      </c>
      <c r="J370" s="9" t="n">
        <v>33.6222259668316</v>
      </c>
      <c r="K370" s="3" t="s">
        <v>154</v>
      </c>
      <c r="L370" s="3" t="s">
        <v>155</v>
      </c>
      <c r="M370" s="7" t="n">
        <v>2020</v>
      </c>
    </row>
    <row r="371" customFormat="false" ht="15" hidden="false" customHeight="false" outlineLevel="0" collapsed="false">
      <c r="A371" s="3" t="n">
        <v>539</v>
      </c>
      <c r="B371" s="3" t="s">
        <v>153</v>
      </c>
      <c r="C371" s="4" t="s">
        <v>21</v>
      </c>
      <c r="D371" s="5" t="n">
        <v>8576</v>
      </c>
      <c r="E371" s="6" t="n">
        <v>103.5</v>
      </c>
      <c r="F371" s="7" t="n">
        <v>58</v>
      </c>
      <c r="G371" s="6" t="n">
        <v>255.268435726231</v>
      </c>
      <c r="H371" s="8" t="n">
        <v>33576.7335980825</v>
      </c>
      <c r="I371" s="9" t="n">
        <v>6.28757238829721</v>
      </c>
      <c r="J371" s="9" t="n">
        <v>26.6458770225841</v>
      </c>
      <c r="K371" s="3" t="s">
        <v>154</v>
      </c>
      <c r="L371" s="3" t="s">
        <v>155</v>
      </c>
      <c r="M371" s="7" t="n">
        <v>2021</v>
      </c>
    </row>
    <row r="372" customFormat="false" ht="15" hidden="false" customHeight="false" outlineLevel="0" collapsed="false">
      <c r="A372" s="3" t="n">
        <v>540</v>
      </c>
      <c r="B372" s="3" t="s">
        <v>153</v>
      </c>
      <c r="C372" s="4" t="s">
        <v>22</v>
      </c>
      <c r="D372" s="5" t="n">
        <v>8573</v>
      </c>
      <c r="E372" s="6" t="n">
        <v>103.5</v>
      </c>
      <c r="F372" s="7" t="n">
        <v>58</v>
      </c>
      <c r="G372" s="6" t="n">
        <v>270.650239607779</v>
      </c>
      <c r="H372" s="8" t="n">
        <v>36907.3137180266</v>
      </c>
      <c r="I372" s="9" t="n">
        <v>6.73968609242385</v>
      </c>
      <c r="J372" s="9" t="n">
        <v>28.2613736284356</v>
      </c>
      <c r="K372" s="3" t="s">
        <v>154</v>
      </c>
      <c r="L372" s="3" t="s">
        <v>155</v>
      </c>
      <c r="M372" s="7" t="n">
        <v>2022</v>
      </c>
    </row>
    <row r="373" customFormat="false" ht="15" hidden="false" customHeight="false" outlineLevel="0" collapsed="false">
      <c r="A373" s="3" t="n">
        <v>541</v>
      </c>
      <c r="B373" s="3" t="s">
        <v>153</v>
      </c>
      <c r="C373" s="4" t="s">
        <v>23</v>
      </c>
      <c r="D373" s="5" t="n">
        <v>8616</v>
      </c>
      <c r="E373" s="6" t="n">
        <v>103.5</v>
      </c>
      <c r="F373" s="7" t="n">
        <v>60</v>
      </c>
      <c r="G373" s="6" t="n">
        <v>190.589420287279</v>
      </c>
      <c r="H373" s="8" t="n">
        <v>26369.6288302556</v>
      </c>
      <c r="I373" s="9" t="n">
        <v>6.25872866222582</v>
      </c>
      <c r="J373" s="9" t="n">
        <v>19.8020782922489</v>
      </c>
      <c r="K373" s="3" t="s">
        <v>154</v>
      </c>
      <c r="L373" s="3" t="s">
        <v>155</v>
      </c>
      <c r="M373" s="7" t="n">
        <v>2023</v>
      </c>
    </row>
    <row r="374" customFormat="false" ht="15" hidden="false" customHeight="false" outlineLevel="0" collapsed="false">
      <c r="A374" s="3" t="n">
        <v>542</v>
      </c>
      <c r="B374" s="3" t="s">
        <v>153</v>
      </c>
      <c r="C374" s="4" t="s">
        <v>24</v>
      </c>
      <c r="D374" s="5" t="n">
        <v>8638</v>
      </c>
      <c r="E374" s="6" t="n">
        <v>103.5</v>
      </c>
      <c r="F374" s="7" t="n">
        <v>62</v>
      </c>
      <c r="G374" s="6" t="n">
        <v>512.814698350582</v>
      </c>
      <c r="H374" s="8" t="n">
        <v>85504.8285779839</v>
      </c>
      <c r="I374" s="9" t="n">
        <v>11.8106183104029</v>
      </c>
      <c r="J374" s="9" t="n">
        <v>52.9997057513426</v>
      </c>
      <c r="K374" s="3" t="s">
        <v>154</v>
      </c>
      <c r="L374" s="3" t="s">
        <v>155</v>
      </c>
      <c r="M374" s="7" t="n">
        <v>2024</v>
      </c>
    </row>
    <row r="375" customFormat="false" ht="15" hidden="false" customHeight="false" outlineLevel="0" collapsed="false">
      <c r="A375" s="3" t="n">
        <v>543</v>
      </c>
      <c r="B375" s="3" t="s">
        <v>153</v>
      </c>
      <c r="C375" s="4" t="s">
        <v>37</v>
      </c>
      <c r="D375" s="5" t="n">
        <v>8638</v>
      </c>
      <c r="E375" s="6" t="n">
        <v>103.5</v>
      </c>
      <c r="F375" s="7" t="n">
        <v>64</v>
      </c>
      <c r="G375" s="6" t="n">
        <v>224.80217435396</v>
      </c>
      <c r="H375" s="8" t="n">
        <v>37310.6042671602</v>
      </c>
      <c r="I375" s="9" t="n">
        <v>6.9453925927685</v>
      </c>
      <c r="J375" s="9" t="n">
        <v>23.2972672867054</v>
      </c>
      <c r="K375" s="3" t="s">
        <v>154</v>
      </c>
      <c r="L375" s="3" t="s">
        <v>155</v>
      </c>
      <c r="M375" s="7" t="n">
        <v>2025</v>
      </c>
    </row>
    <row r="376" customFormat="false" ht="15" hidden="false" customHeight="false" outlineLevel="0" collapsed="false">
      <c r="A376" s="3" t="n">
        <v>553</v>
      </c>
      <c r="B376" s="3" t="s">
        <v>156</v>
      </c>
      <c r="C376" s="4" t="s">
        <v>14</v>
      </c>
      <c r="D376" s="5" t="n">
        <v>9899</v>
      </c>
      <c r="E376" s="6" t="n">
        <v>120</v>
      </c>
      <c r="F376" s="7" t="n">
        <v>44</v>
      </c>
      <c r="G376" s="6" t="n">
        <v>276.118637339303</v>
      </c>
      <c r="H376" s="8" t="n">
        <v>24326.9164964107</v>
      </c>
      <c r="I376" s="9" t="n">
        <v>8.25572720643089</v>
      </c>
      <c r="J376" s="9" t="n">
        <v>24.9017914070881</v>
      </c>
      <c r="K376" s="3" t="s">
        <v>157</v>
      </c>
      <c r="L376" s="3" t="s">
        <v>158</v>
      </c>
      <c r="M376" s="7" t="n">
        <v>2016</v>
      </c>
    </row>
    <row r="377" customFormat="false" ht="15" hidden="false" customHeight="false" outlineLevel="0" collapsed="false">
      <c r="A377" s="3" t="n">
        <v>554</v>
      </c>
      <c r="B377" s="3" t="s">
        <v>156</v>
      </c>
      <c r="C377" s="4" t="s">
        <v>17</v>
      </c>
      <c r="D377" s="5" t="n">
        <v>9974</v>
      </c>
      <c r="E377" s="6" t="n">
        <v>120</v>
      </c>
      <c r="F377" s="7" t="n">
        <v>51</v>
      </c>
      <c r="G377" s="6" t="n">
        <v>144.274721770881</v>
      </c>
      <c r="H377" s="8" t="n">
        <v>14290.7467202446</v>
      </c>
      <c r="I377" s="9" t="n">
        <v>3.81562126530832</v>
      </c>
      <c r="J377" s="9" t="n">
        <v>12.9490693285408</v>
      </c>
      <c r="K377" s="3" t="s">
        <v>157</v>
      </c>
      <c r="L377" s="3" t="s">
        <v>158</v>
      </c>
      <c r="M377" s="7" t="n">
        <v>2017</v>
      </c>
    </row>
    <row r="378" customFormat="false" ht="15" hidden="false" customHeight="false" outlineLevel="0" collapsed="false">
      <c r="A378" s="3" t="n">
        <v>555</v>
      </c>
      <c r="B378" s="3" t="s">
        <v>156</v>
      </c>
      <c r="C378" s="4" t="s">
        <v>18</v>
      </c>
      <c r="D378" s="5" t="n">
        <v>9899</v>
      </c>
      <c r="E378" s="6" t="n">
        <v>120</v>
      </c>
      <c r="F378" s="7" t="n">
        <v>46</v>
      </c>
      <c r="G378" s="6" t="n">
        <v>2562.52280966013</v>
      </c>
      <c r="H378" s="8" t="n">
        <v>166202.838417411</v>
      </c>
      <c r="I378" s="9" t="n">
        <v>36.0205796080264</v>
      </c>
      <c r="J378" s="9" t="n">
        <v>231.736311485166</v>
      </c>
      <c r="K378" s="3" t="s">
        <v>157</v>
      </c>
      <c r="L378" s="3" t="s">
        <v>158</v>
      </c>
      <c r="M378" s="7" t="n">
        <v>2018</v>
      </c>
    </row>
    <row r="379" customFormat="false" ht="15" hidden="false" customHeight="false" outlineLevel="0" collapsed="false">
      <c r="A379" s="3" t="n">
        <v>556</v>
      </c>
      <c r="B379" s="3" t="s">
        <v>156</v>
      </c>
      <c r="C379" s="4" t="s">
        <v>19</v>
      </c>
      <c r="D379" s="5" t="n">
        <v>9899</v>
      </c>
      <c r="E379" s="6" t="n">
        <v>120</v>
      </c>
      <c r="F379" s="7" t="n">
        <v>46</v>
      </c>
      <c r="G379" s="6" t="n">
        <v>1857.05025047483</v>
      </c>
      <c r="H379" s="8" t="n">
        <v>126812.761038214</v>
      </c>
      <c r="I379" s="9" t="n">
        <v>28.3762251023289</v>
      </c>
      <c r="J379" s="9" t="n">
        <v>167.938397919946</v>
      </c>
      <c r="K379" s="3" t="s">
        <v>157</v>
      </c>
      <c r="L379" s="3" t="s">
        <v>158</v>
      </c>
      <c r="M379" s="7" t="n">
        <v>2019</v>
      </c>
    </row>
    <row r="380" customFormat="false" ht="15" hidden="false" customHeight="false" outlineLevel="0" collapsed="false">
      <c r="A380" s="3" t="n">
        <v>557</v>
      </c>
      <c r="B380" s="3" t="s">
        <v>156</v>
      </c>
      <c r="C380" s="4" t="s">
        <v>20</v>
      </c>
      <c r="D380" s="5" t="n">
        <v>10056</v>
      </c>
      <c r="E380" s="6" t="n">
        <v>120</v>
      </c>
      <c r="F380" s="7" t="n">
        <v>51</v>
      </c>
      <c r="G380" s="6" t="n">
        <v>328.107518754705</v>
      </c>
      <c r="H380" s="8" t="n">
        <v>29537.3658435178</v>
      </c>
      <c r="I380" s="9" t="n">
        <v>5.92911840035364</v>
      </c>
      <c r="J380" s="9" t="n">
        <v>29.1284323115865</v>
      </c>
      <c r="K380" s="3" t="s">
        <v>157</v>
      </c>
      <c r="L380" s="3" t="s">
        <v>158</v>
      </c>
      <c r="M380" s="7" t="n">
        <v>2020</v>
      </c>
    </row>
    <row r="381" customFormat="false" ht="15" hidden="false" customHeight="false" outlineLevel="0" collapsed="false">
      <c r="A381" s="3" t="n">
        <v>558</v>
      </c>
      <c r="B381" s="3" t="s">
        <v>156</v>
      </c>
      <c r="C381" s="4" t="s">
        <v>21</v>
      </c>
      <c r="D381" s="5" t="n">
        <v>10115</v>
      </c>
      <c r="E381" s="6" t="n">
        <v>120</v>
      </c>
      <c r="F381" s="7" t="n">
        <v>54</v>
      </c>
      <c r="G381" s="6" t="n">
        <v>1207.64303588408</v>
      </c>
      <c r="H381" s="8" t="n">
        <v>146067.579005799</v>
      </c>
      <c r="I381" s="9" t="n">
        <v>16.0643938761231</v>
      </c>
      <c r="J381" s="9" t="n">
        <v>106.878504583516</v>
      </c>
      <c r="K381" s="3" t="s">
        <v>157</v>
      </c>
      <c r="L381" s="3" t="s">
        <v>158</v>
      </c>
      <c r="M381" s="7" t="n">
        <v>2021</v>
      </c>
    </row>
    <row r="382" customFormat="false" ht="15" hidden="false" customHeight="false" outlineLevel="0" collapsed="false">
      <c r="A382" s="3" t="n">
        <v>559</v>
      </c>
      <c r="B382" s="3" t="s">
        <v>156</v>
      </c>
      <c r="C382" s="4" t="s">
        <v>22</v>
      </c>
      <c r="D382" s="5" t="n">
        <v>10056</v>
      </c>
      <c r="E382" s="6" t="n">
        <v>120</v>
      </c>
      <c r="F382" s="7" t="n">
        <v>52</v>
      </c>
      <c r="G382" s="6" t="n">
        <v>1501.36579819563</v>
      </c>
      <c r="H382" s="8" t="n">
        <v>124478.76452533</v>
      </c>
      <c r="I382" s="9" t="n">
        <v>22.6201017811705</v>
      </c>
      <c r="J382" s="9" t="n">
        <v>133.65306664761</v>
      </c>
      <c r="K382" s="3" t="s">
        <v>157</v>
      </c>
      <c r="L382" s="3" t="s">
        <v>158</v>
      </c>
      <c r="M382" s="7" t="n">
        <v>2022</v>
      </c>
    </row>
    <row r="383" customFormat="false" ht="15" hidden="false" customHeight="false" outlineLevel="0" collapsed="false">
      <c r="A383" s="3" t="n">
        <v>560</v>
      </c>
      <c r="B383" s="3" t="s">
        <v>156</v>
      </c>
      <c r="C383" s="4" t="s">
        <v>23</v>
      </c>
      <c r="D383" s="5" t="n">
        <v>10056</v>
      </c>
      <c r="E383" s="6" t="n">
        <v>120</v>
      </c>
      <c r="F383" s="7" t="n">
        <v>52</v>
      </c>
      <c r="G383" s="6" t="n">
        <v>887.195082656231</v>
      </c>
      <c r="H383" s="8" t="n">
        <v>79867.8210040933</v>
      </c>
      <c r="I383" s="9" t="n">
        <v>20.7534556314506</v>
      </c>
      <c r="J383" s="9" t="n">
        <v>78.9789827730138</v>
      </c>
      <c r="K383" s="3" t="s">
        <v>157</v>
      </c>
      <c r="L383" s="3" t="s">
        <v>158</v>
      </c>
      <c r="M383" s="7" t="n">
        <v>2023</v>
      </c>
    </row>
    <row r="384" customFormat="false" ht="15" hidden="false" customHeight="false" outlineLevel="0" collapsed="false">
      <c r="A384" s="3" t="n">
        <v>561</v>
      </c>
      <c r="B384" s="3" t="s">
        <v>156</v>
      </c>
      <c r="C384" s="4" t="s">
        <v>24</v>
      </c>
      <c r="D384" s="5" t="n">
        <v>10056</v>
      </c>
      <c r="E384" s="6" t="n">
        <v>120</v>
      </c>
      <c r="F384" s="7" t="n">
        <v>51</v>
      </c>
      <c r="G384" s="6" t="n">
        <v>1101.48853535146</v>
      </c>
      <c r="H384" s="8" t="n">
        <v>99159.1262162119</v>
      </c>
      <c r="I384" s="9" t="n">
        <v>20.6747806180847</v>
      </c>
      <c r="J384" s="9" t="n">
        <v>97.7869521727119</v>
      </c>
      <c r="K384" s="3" t="s">
        <v>157</v>
      </c>
      <c r="L384" s="3" t="s">
        <v>158</v>
      </c>
      <c r="M384" s="7" t="n">
        <v>2024</v>
      </c>
    </row>
    <row r="385" customFormat="false" ht="15" hidden="false" customHeight="false" outlineLevel="0" collapsed="false">
      <c r="A385" s="3" t="n">
        <v>562</v>
      </c>
      <c r="B385" s="3" t="s">
        <v>156</v>
      </c>
      <c r="C385" s="4" t="s">
        <v>37</v>
      </c>
      <c r="D385" s="5" t="n">
        <v>10056</v>
      </c>
      <c r="E385" s="6" t="n">
        <v>120</v>
      </c>
      <c r="F385" s="7" t="n">
        <v>59</v>
      </c>
      <c r="G385" s="6" t="n">
        <v>1248.16804841054</v>
      </c>
      <c r="H385" s="8" t="n">
        <v>155741.265497654</v>
      </c>
      <c r="I385" s="9" t="n">
        <v>22.6617839662551</v>
      </c>
      <c r="J385" s="9" t="n">
        <v>111.113152812006</v>
      </c>
      <c r="K385" s="3" t="s">
        <v>157</v>
      </c>
      <c r="L385" s="3" t="s">
        <v>158</v>
      </c>
      <c r="M385" s="7" t="n">
        <v>2025</v>
      </c>
    </row>
    <row r="386" customFormat="false" ht="15" hidden="false" customHeight="false" outlineLevel="0" collapsed="false">
      <c r="A386" s="3" t="n">
        <v>563</v>
      </c>
      <c r="B386" s="3" t="s">
        <v>159</v>
      </c>
      <c r="C386" s="4" t="s">
        <v>14</v>
      </c>
      <c r="D386" s="5" t="n">
        <v>5532</v>
      </c>
      <c r="E386" s="6" t="n">
        <v>63</v>
      </c>
      <c r="F386" s="7" t="n">
        <v>87</v>
      </c>
      <c r="G386" s="6" t="n">
        <v>282.512630643767</v>
      </c>
      <c r="H386" s="8" t="n">
        <v>109821.24777844</v>
      </c>
      <c r="I386" s="9" t="n">
        <v>14.605645592578</v>
      </c>
      <c r="J386" s="9" t="n">
        <v>45.5912911220902</v>
      </c>
      <c r="K386" s="3" t="s">
        <v>160</v>
      </c>
      <c r="L386" s="3" t="s">
        <v>161</v>
      </c>
      <c r="M386" s="7" t="n">
        <v>2016</v>
      </c>
    </row>
    <row r="387" customFormat="false" ht="15" hidden="false" customHeight="false" outlineLevel="0" collapsed="false">
      <c r="A387" s="3" t="n">
        <v>564</v>
      </c>
      <c r="B387" s="3" t="s">
        <v>159</v>
      </c>
      <c r="C387" s="4" t="s">
        <v>17</v>
      </c>
      <c r="D387" s="5" t="n">
        <v>5762</v>
      </c>
      <c r="E387" s="6" t="n">
        <v>63</v>
      </c>
      <c r="F387" s="7" t="n">
        <v>36</v>
      </c>
      <c r="G387" s="6" t="n">
        <v>284.808046288886</v>
      </c>
      <c r="H387" s="8" t="n">
        <v>41842.7157767639</v>
      </c>
      <c r="I387" s="9" t="n">
        <v>12.4293220968322</v>
      </c>
      <c r="J387" s="9" t="n">
        <v>44.2483086855906</v>
      </c>
      <c r="K387" s="3" t="s">
        <v>160</v>
      </c>
      <c r="L387" s="3" t="s">
        <v>161</v>
      </c>
      <c r="M387" s="7" t="n">
        <v>2017</v>
      </c>
    </row>
    <row r="388" customFormat="false" ht="15" hidden="false" customHeight="false" outlineLevel="0" collapsed="false">
      <c r="A388" s="3" t="n">
        <v>565</v>
      </c>
      <c r="B388" s="3" t="s">
        <v>159</v>
      </c>
      <c r="C388" s="4" t="s">
        <v>18</v>
      </c>
      <c r="D388" s="5" t="n">
        <v>5871</v>
      </c>
      <c r="E388" s="6" t="n">
        <v>63</v>
      </c>
      <c r="F388" s="7" t="n">
        <v>36</v>
      </c>
      <c r="G388" s="6" t="n">
        <v>340.833524604234</v>
      </c>
      <c r="H388" s="8" t="n">
        <v>50073.726789102</v>
      </c>
      <c r="I388" s="9" t="n">
        <v>13.8747399216511</v>
      </c>
      <c r="J388" s="9" t="n">
        <v>51.9694235709767</v>
      </c>
      <c r="K388" s="3" t="s">
        <v>160</v>
      </c>
      <c r="L388" s="3" t="s">
        <v>161</v>
      </c>
      <c r="M388" s="7" t="n">
        <v>2018</v>
      </c>
    </row>
    <row r="389" customFormat="false" ht="15" hidden="false" customHeight="false" outlineLevel="0" collapsed="false">
      <c r="A389" s="3" t="n">
        <v>566</v>
      </c>
      <c r="B389" s="3" t="s">
        <v>159</v>
      </c>
      <c r="C389" s="4" t="s">
        <v>19</v>
      </c>
      <c r="D389" s="5" t="n">
        <v>5998</v>
      </c>
      <c r="E389" s="6" t="n">
        <v>63</v>
      </c>
      <c r="F389" s="7" t="n">
        <v>36</v>
      </c>
      <c r="G389" s="6" t="n">
        <v>316.042105572045</v>
      </c>
      <c r="H389" s="8" t="n">
        <v>46431.4831313708</v>
      </c>
      <c r="I389" s="9" t="n">
        <v>13.3180791901562</v>
      </c>
      <c r="J389" s="9" t="n">
        <v>47.1689446586392</v>
      </c>
      <c r="K389" s="3" t="s">
        <v>160</v>
      </c>
      <c r="L389" s="3" t="s">
        <v>161</v>
      </c>
      <c r="M389" s="7" t="n">
        <v>2019</v>
      </c>
    </row>
    <row r="390" customFormat="false" ht="15" hidden="false" customHeight="false" outlineLevel="0" collapsed="false">
      <c r="A390" s="3" t="n">
        <v>567</v>
      </c>
      <c r="B390" s="3" t="s">
        <v>159</v>
      </c>
      <c r="C390" s="4" t="s">
        <v>20</v>
      </c>
      <c r="D390" s="5" t="n">
        <v>6385</v>
      </c>
      <c r="E390" s="6" t="n">
        <v>63</v>
      </c>
      <c r="F390" s="7" t="n">
        <v>36</v>
      </c>
      <c r="G390" s="6" t="n">
        <v>378.495424002103</v>
      </c>
      <c r="H390" s="8" t="n">
        <v>55606.8434712047</v>
      </c>
      <c r="I390" s="9" t="n">
        <v>14.5669852425558</v>
      </c>
      <c r="J390" s="9" t="n">
        <v>52.9207420673493</v>
      </c>
      <c r="K390" s="3" t="s">
        <v>160</v>
      </c>
      <c r="L390" s="3" t="s">
        <v>161</v>
      </c>
      <c r="M390" s="7" t="n">
        <v>2020</v>
      </c>
    </row>
    <row r="391" customFormat="false" ht="15" hidden="false" customHeight="false" outlineLevel="0" collapsed="false">
      <c r="A391" s="3" t="n">
        <v>568</v>
      </c>
      <c r="B391" s="3" t="s">
        <v>159</v>
      </c>
      <c r="C391" s="4" t="s">
        <v>21</v>
      </c>
      <c r="D391" s="5" t="n">
        <v>6596</v>
      </c>
      <c r="E391" s="6" t="n">
        <v>63</v>
      </c>
      <c r="F391" s="7" t="n">
        <v>36</v>
      </c>
      <c r="G391" s="6" t="n">
        <v>19.9265033515627</v>
      </c>
      <c r="H391" s="8" t="n">
        <v>2927.51215082756</v>
      </c>
      <c r="I391" s="9" t="n">
        <v>3.78999350207782</v>
      </c>
      <c r="J391" s="9" t="n">
        <v>2.70438254437007</v>
      </c>
      <c r="K391" s="3" t="s">
        <v>160</v>
      </c>
      <c r="L391" s="3" t="s">
        <v>161</v>
      </c>
      <c r="M391" s="7" t="n">
        <v>2021</v>
      </c>
    </row>
    <row r="392" customFormat="false" ht="15" hidden="false" customHeight="false" outlineLevel="0" collapsed="false">
      <c r="A392" s="3" t="n">
        <v>569</v>
      </c>
      <c r="B392" s="3" t="s">
        <v>159</v>
      </c>
      <c r="C392" s="4" t="s">
        <v>22</v>
      </c>
      <c r="D392" s="5" t="n">
        <v>6668</v>
      </c>
      <c r="E392" s="6" t="n">
        <v>63</v>
      </c>
      <c r="F392" s="7" t="n">
        <v>36</v>
      </c>
      <c r="G392" s="6" t="n">
        <v>20.3513717945665</v>
      </c>
      <c r="H392" s="8" t="n">
        <v>2989.93190945015</v>
      </c>
      <c r="I392" s="9" t="n">
        <v>3.80020820171308</v>
      </c>
      <c r="J392" s="9" t="n">
        <v>2.7322206646437</v>
      </c>
      <c r="K392" s="3" t="s">
        <v>160</v>
      </c>
      <c r="L392" s="3" t="s">
        <v>161</v>
      </c>
      <c r="M392" s="7" t="n">
        <v>2022</v>
      </c>
    </row>
    <row r="393" customFormat="false" ht="15" hidden="false" customHeight="false" outlineLevel="0" collapsed="false">
      <c r="A393" s="3" t="n">
        <v>570</v>
      </c>
      <c r="B393" s="3" t="s">
        <v>159</v>
      </c>
      <c r="C393" s="4" t="s">
        <v>23</v>
      </c>
      <c r="D393" s="5" t="n">
        <v>6862</v>
      </c>
      <c r="E393" s="6" t="n">
        <v>74</v>
      </c>
      <c r="F393" s="7" t="n">
        <v>45</v>
      </c>
      <c r="G393" s="6" t="n">
        <v>36.520487124635</v>
      </c>
      <c r="H393" s="8" t="n">
        <v>5541.09169938379</v>
      </c>
      <c r="I393" s="9" t="n">
        <v>4.76853394110561</v>
      </c>
      <c r="J393" s="9" t="n">
        <v>4.76434851036983</v>
      </c>
      <c r="K393" s="3" t="s">
        <v>160</v>
      </c>
      <c r="L393" s="3" t="s">
        <v>161</v>
      </c>
      <c r="M393" s="7" t="n">
        <v>2023</v>
      </c>
    </row>
    <row r="394" customFormat="false" ht="15" hidden="false" customHeight="false" outlineLevel="0" collapsed="false">
      <c r="A394" s="3" t="n">
        <v>571</v>
      </c>
      <c r="B394" s="3" t="s">
        <v>159</v>
      </c>
      <c r="C394" s="4" t="s">
        <v>24</v>
      </c>
      <c r="D394" s="5" t="n">
        <v>6957</v>
      </c>
      <c r="E394" s="6" t="n">
        <v>74</v>
      </c>
      <c r="F394" s="7" t="n">
        <v>48</v>
      </c>
      <c r="G394" s="6" t="n">
        <v>54.3417593726462</v>
      </c>
      <c r="H394" s="8" t="n">
        <v>8753.94803619379</v>
      </c>
      <c r="I394" s="9" t="n">
        <v>4.52652708968561</v>
      </c>
      <c r="J394" s="9" t="n">
        <v>6.97329254789643</v>
      </c>
      <c r="K394" s="3" t="s">
        <v>160</v>
      </c>
      <c r="L394" s="3" t="s">
        <v>161</v>
      </c>
      <c r="M394" s="7" t="n">
        <v>2024</v>
      </c>
    </row>
    <row r="395" customFormat="false" ht="15" hidden="false" customHeight="false" outlineLevel="0" collapsed="false">
      <c r="A395" s="3" t="n">
        <v>602</v>
      </c>
      <c r="B395" s="3" t="s">
        <v>162</v>
      </c>
      <c r="C395" s="4" t="s">
        <v>14</v>
      </c>
      <c r="D395" s="5" t="n">
        <v>3875</v>
      </c>
      <c r="E395" s="6" t="n">
        <v>60</v>
      </c>
      <c r="F395" s="7" t="n">
        <v>59</v>
      </c>
      <c r="G395" s="6" t="n">
        <v>351.822024489923</v>
      </c>
      <c r="H395" s="8" t="n">
        <v>162619.161774284</v>
      </c>
      <c r="I395" s="9" t="n">
        <v>16.7883211678832</v>
      </c>
      <c r="J395" s="9" t="n">
        <v>81.0545707482569</v>
      </c>
      <c r="K395" s="3" t="s">
        <v>163</v>
      </c>
      <c r="L395" s="3" t="s">
        <v>164</v>
      </c>
      <c r="M395" s="7" t="n">
        <v>2016</v>
      </c>
    </row>
    <row r="396" customFormat="false" ht="15" hidden="false" customHeight="false" outlineLevel="0" collapsed="false">
      <c r="A396" s="3" t="n">
        <v>603</v>
      </c>
      <c r="B396" s="3" t="s">
        <v>162</v>
      </c>
      <c r="C396" s="4" t="s">
        <v>17</v>
      </c>
      <c r="D396" s="5" t="n">
        <v>4132</v>
      </c>
      <c r="E396" s="6" t="n">
        <v>62</v>
      </c>
      <c r="F396" s="7" t="n">
        <v>57</v>
      </c>
      <c r="G396" s="6" t="n">
        <v>303.781985958703</v>
      </c>
      <c r="H396" s="8"/>
      <c r="I396" s="9" t="n">
        <v>15.5062190749625</v>
      </c>
      <c r="J396" s="9" t="n">
        <v>65.8141654432766</v>
      </c>
      <c r="K396" s="3" t="s">
        <v>163</v>
      </c>
      <c r="L396" s="3" t="s">
        <v>164</v>
      </c>
      <c r="M396" s="7" t="n">
        <v>2017</v>
      </c>
    </row>
    <row r="397" customFormat="false" ht="15" hidden="false" customHeight="false" outlineLevel="0" collapsed="false">
      <c r="A397" s="3" t="n">
        <v>604</v>
      </c>
      <c r="B397" s="3" t="s">
        <v>162</v>
      </c>
      <c r="C397" s="4" t="s">
        <v>18</v>
      </c>
      <c r="D397" s="5" t="n">
        <v>4132</v>
      </c>
      <c r="E397" s="6" t="n">
        <v>62</v>
      </c>
      <c r="F397" s="7" t="n">
        <v>64</v>
      </c>
      <c r="G397" s="6" t="n">
        <v>268.210765001231</v>
      </c>
      <c r="H397" s="8" t="n">
        <v>87134.5405164373</v>
      </c>
      <c r="I397" s="9" t="n">
        <v>12.0992894496166</v>
      </c>
      <c r="J397" s="9" t="n">
        <v>58.107684054243</v>
      </c>
      <c r="K397" s="3" t="s">
        <v>163</v>
      </c>
      <c r="L397" s="3" t="s">
        <v>164</v>
      </c>
      <c r="M397" s="7" t="n">
        <v>2018</v>
      </c>
    </row>
    <row r="398" customFormat="false" ht="15" hidden="false" customHeight="false" outlineLevel="0" collapsed="false">
      <c r="A398" s="3" t="n">
        <v>605</v>
      </c>
      <c r="B398" s="3" t="s">
        <v>162</v>
      </c>
      <c r="C398" s="4" t="s">
        <v>19</v>
      </c>
      <c r="D398" s="5" t="n">
        <v>4250</v>
      </c>
      <c r="E398" s="6" t="n">
        <v>65</v>
      </c>
      <c r="F398" s="7" t="n">
        <v>64</v>
      </c>
      <c r="G398" s="6" t="n">
        <v>251.397457866375</v>
      </c>
      <c r="H398" s="8"/>
      <c r="I398" s="9" t="n">
        <v>11.8395374051319</v>
      </c>
      <c r="J398" s="9" t="n">
        <v>52.9528849665263</v>
      </c>
      <c r="K398" s="3" t="s">
        <v>163</v>
      </c>
      <c r="L398" s="3" t="s">
        <v>164</v>
      </c>
      <c r="M398" s="7" t="n">
        <v>2019</v>
      </c>
    </row>
    <row r="399" customFormat="false" ht="15" hidden="false" customHeight="false" outlineLevel="0" collapsed="false">
      <c r="A399" s="3" t="n">
        <v>606</v>
      </c>
      <c r="B399" s="3" t="s">
        <v>162</v>
      </c>
      <c r="C399" s="4" t="s">
        <v>20</v>
      </c>
      <c r="D399" s="5" t="n">
        <v>4250</v>
      </c>
      <c r="E399" s="6" t="n">
        <v>65</v>
      </c>
      <c r="F399" s="7" t="n">
        <v>68</v>
      </c>
      <c r="G399" s="6" t="n">
        <v>175.494681450177</v>
      </c>
      <c r="H399" s="8"/>
      <c r="I399" s="9" t="n">
        <v>8.83867037731567</v>
      </c>
      <c r="J399" s="9" t="n">
        <v>36.8638952104571</v>
      </c>
      <c r="K399" s="3" t="s">
        <v>163</v>
      </c>
      <c r="L399" s="3" t="s">
        <v>164</v>
      </c>
      <c r="M399" s="7" t="n">
        <v>2020</v>
      </c>
    </row>
    <row r="400" customFormat="false" ht="15" hidden="false" customHeight="false" outlineLevel="0" collapsed="false">
      <c r="A400" s="3" t="n">
        <v>607</v>
      </c>
      <c r="B400" s="3" t="s">
        <v>162</v>
      </c>
      <c r="C400" s="4" t="s">
        <v>21</v>
      </c>
      <c r="D400" s="5" t="n">
        <v>4250</v>
      </c>
      <c r="E400" s="6" t="n">
        <v>65</v>
      </c>
      <c r="F400" s="7" t="n">
        <v>64</v>
      </c>
      <c r="G400" s="6" t="n">
        <v>261.06424724801</v>
      </c>
      <c r="H400" s="8"/>
      <c r="I400" s="9" t="n">
        <v>11.5117845117845</v>
      </c>
      <c r="J400" s="9" t="n">
        <v>54.9890407433816</v>
      </c>
      <c r="K400" s="3" t="s">
        <v>163</v>
      </c>
      <c r="L400" s="3" t="s">
        <v>164</v>
      </c>
      <c r="M400" s="7" t="n">
        <v>2021</v>
      </c>
    </row>
    <row r="401" customFormat="false" ht="15" hidden="false" customHeight="false" outlineLevel="0" collapsed="false">
      <c r="A401" s="3" t="n">
        <v>608</v>
      </c>
      <c r="B401" s="3" t="s">
        <v>162</v>
      </c>
      <c r="C401" s="4" t="s">
        <v>22</v>
      </c>
      <c r="D401" s="5" t="n">
        <v>4550</v>
      </c>
      <c r="E401" s="6" t="n">
        <v>65</v>
      </c>
      <c r="F401" s="7" t="n">
        <v>68</v>
      </c>
      <c r="G401" s="6" t="n">
        <v>201.235791704849</v>
      </c>
      <c r="H401" s="8" t="n">
        <v>22002.977367375</v>
      </c>
      <c r="I401" s="9" t="n">
        <v>9.68622149743942</v>
      </c>
      <c r="J401" s="9" t="n">
        <v>39.5923704642053</v>
      </c>
      <c r="K401" s="3" t="s">
        <v>163</v>
      </c>
      <c r="L401" s="3" t="s">
        <v>164</v>
      </c>
      <c r="M401" s="7" t="n">
        <v>2022</v>
      </c>
    </row>
    <row r="402" customFormat="false" ht="15" hidden="false" customHeight="false" outlineLevel="0" collapsed="false">
      <c r="A402" s="3" t="n">
        <v>609</v>
      </c>
      <c r="B402" s="3" t="s">
        <v>162</v>
      </c>
      <c r="C402" s="4" t="s">
        <v>23</v>
      </c>
      <c r="D402" s="5" t="n">
        <v>4362</v>
      </c>
      <c r="E402" s="6" t="n">
        <v>65</v>
      </c>
      <c r="F402" s="7" t="n">
        <v>68</v>
      </c>
      <c r="G402" s="6" t="n">
        <v>129.957764139651</v>
      </c>
      <c r="H402" s="8" t="n">
        <v>21910.6888326</v>
      </c>
      <c r="I402" s="9" t="n">
        <v>9.24840563374548</v>
      </c>
      <c r="J402" s="9" t="n">
        <v>26.6706895482649</v>
      </c>
      <c r="K402" s="3" t="s">
        <v>163</v>
      </c>
      <c r="L402" s="3" t="s">
        <v>164</v>
      </c>
      <c r="M402" s="7" t="n">
        <v>2023</v>
      </c>
    </row>
    <row r="403" customFormat="false" ht="15" hidden="false" customHeight="false" outlineLevel="0" collapsed="false">
      <c r="A403" s="3" t="n">
        <v>610</v>
      </c>
      <c r="B403" s="3" t="s">
        <v>165</v>
      </c>
      <c r="C403" s="4" t="s">
        <v>14</v>
      </c>
      <c r="D403" s="5" t="n">
        <v>64668</v>
      </c>
      <c r="E403" s="6" t="n">
        <v>845</v>
      </c>
      <c r="F403" s="7" t="n">
        <v>58</v>
      </c>
      <c r="G403" s="6" t="n">
        <v>2878.89035714286</v>
      </c>
      <c r="H403" s="8" t="n">
        <v>821664.096832143</v>
      </c>
      <c r="I403" s="9" t="n">
        <v>7.99967214458424</v>
      </c>
      <c r="J403" s="9" t="n">
        <v>39.7431136894519</v>
      </c>
      <c r="K403" s="3" t="s">
        <v>166</v>
      </c>
      <c r="L403" s="3" t="s">
        <v>167</v>
      </c>
      <c r="M403" s="7" t="n">
        <v>2016</v>
      </c>
    </row>
    <row r="404" customFormat="false" ht="15" hidden="false" customHeight="false" outlineLevel="0" collapsed="false">
      <c r="A404" s="3" t="n">
        <v>611</v>
      </c>
      <c r="B404" s="3" t="s">
        <v>165</v>
      </c>
      <c r="C404" s="4" t="s">
        <v>17</v>
      </c>
      <c r="D404" s="5" t="n">
        <v>66373</v>
      </c>
      <c r="E404" s="6" t="n">
        <v>845</v>
      </c>
      <c r="F404" s="7" t="n">
        <v>59</v>
      </c>
      <c r="G404" s="6" t="n">
        <v>4359.5829582442</v>
      </c>
      <c r="H404" s="8" t="n">
        <v>1301509.89635422</v>
      </c>
      <c r="I404" s="9" t="n">
        <v>10.8735925670903</v>
      </c>
      <c r="J404" s="9" t="n">
        <v>58.7991669179176</v>
      </c>
      <c r="K404" s="3" t="s">
        <v>166</v>
      </c>
      <c r="L404" s="3" t="s">
        <v>167</v>
      </c>
      <c r="M404" s="7" t="n">
        <v>2017</v>
      </c>
    </row>
    <row r="405" customFormat="false" ht="15" hidden="false" customHeight="false" outlineLevel="0" collapsed="false">
      <c r="A405" s="3" t="n">
        <v>612</v>
      </c>
      <c r="B405" s="3" t="s">
        <v>165</v>
      </c>
      <c r="C405" s="4" t="s">
        <v>18</v>
      </c>
      <c r="D405" s="5" t="n">
        <v>66847</v>
      </c>
      <c r="E405" s="6" t="n">
        <v>880.439213824518</v>
      </c>
      <c r="F405" s="7" t="n">
        <v>60</v>
      </c>
      <c r="G405" s="6" t="n">
        <v>5093.1944278824</v>
      </c>
      <c r="H405" s="8" t="n">
        <v>1435934.46470315</v>
      </c>
      <c r="I405" s="9" t="n">
        <v>11.9526608698731</v>
      </c>
      <c r="J405" s="9" t="n">
        <v>68.2065382996101</v>
      </c>
      <c r="K405" s="3" t="s">
        <v>166</v>
      </c>
      <c r="L405" s="3" t="s">
        <v>167</v>
      </c>
      <c r="M405" s="7" t="n">
        <v>2018</v>
      </c>
    </row>
    <row r="406" customFormat="false" ht="15" hidden="false" customHeight="false" outlineLevel="0" collapsed="false">
      <c r="A406" s="3" t="n">
        <v>613</v>
      </c>
      <c r="B406" s="3" t="s">
        <v>165</v>
      </c>
      <c r="C406" s="4" t="s">
        <v>19</v>
      </c>
      <c r="D406" s="5" t="n">
        <v>67120</v>
      </c>
      <c r="E406" s="6" t="n">
        <v>883.900092928076</v>
      </c>
      <c r="F406" s="7" t="n">
        <v>62</v>
      </c>
      <c r="G406" s="6" t="n">
        <v>2100.86627366317</v>
      </c>
      <c r="H406" s="8" t="n">
        <v>688637.196100378</v>
      </c>
      <c r="I406" s="9" t="n">
        <v>6.80204166246158</v>
      </c>
      <c r="J406" s="9" t="n">
        <v>28.019742242016</v>
      </c>
      <c r="K406" s="3" t="s">
        <v>166</v>
      </c>
      <c r="L406" s="3" t="s">
        <v>167</v>
      </c>
      <c r="M406" s="7" t="n">
        <v>2019</v>
      </c>
    </row>
    <row r="407" customFormat="false" ht="15" hidden="false" customHeight="false" outlineLevel="0" collapsed="false">
      <c r="A407" s="3" t="n">
        <v>614</v>
      </c>
      <c r="B407" s="3" t="s">
        <v>165</v>
      </c>
      <c r="C407" s="4" t="s">
        <v>20</v>
      </c>
      <c r="D407" s="5" t="n">
        <v>67698.5833333333</v>
      </c>
      <c r="E407" s="6" t="n">
        <v>885.61113852</v>
      </c>
      <c r="F407" s="7" t="n">
        <v>62</v>
      </c>
      <c r="G407" s="6" t="n">
        <v>4765.4818560149</v>
      </c>
      <c r="H407" s="8" t="n">
        <v>1573276.17994476</v>
      </c>
      <c r="I407" s="9" t="n">
        <v>11.4025045956916</v>
      </c>
      <c r="J407" s="9" t="n">
        <v>62.8424970385931</v>
      </c>
      <c r="K407" s="3" t="s">
        <v>166</v>
      </c>
      <c r="L407" s="3" t="s">
        <v>167</v>
      </c>
      <c r="M407" s="7" t="n">
        <v>2020</v>
      </c>
    </row>
    <row r="408" customFormat="false" ht="15" hidden="false" customHeight="false" outlineLevel="0" collapsed="false">
      <c r="A408" s="3" t="n">
        <v>615</v>
      </c>
      <c r="B408" s="3" t="s">
        <v>165</v>
      </c>
      <c r="C408" s="4" t="s">
        <v>21</v>
      </c>
      <c r="D408" s="5" t="n">
        <v>66766</v>
      </c>
      <c r="E408" s="6" t="n">
        <v>885.611138519999</v>
      </c>
      <c r="F408" s="7" t="n">
        <v>64</v>
      </c>
      <c r="G408" s="6" t="n">
        <v>3369.88510288091</v>
      </c>
      <c r="H408" s="8" t="n">
        <v>1145109.05807191</v>
      </c>
      <c r="I408" s="9" t="n">
        <v>9.17981475587084</v>
      </c>
      <c r="J408" s="9" t="n">
        <v>45.1832441636761</v>
      </c>
      <c r="K408" s="3" t="s">
        <v>166</v>
      </c>
      <c r="L408" s="3" t="s">
        <v>167</v>
      </c>
      <c r="M408" s="7" t="n">
        <v>2021</v>
      </c>
    </row>
    <row r="409" customFormat="false" ht="15" hidden="false" customHeight="false" outlineLevel="0" collapsed="false">
      <c r="A409" s="3" t="n">
        <v>616</v>
      </c>
      <c r="B409" s="3" t="s">
        <v>165</v>
      </c>
      <c r="C409" s="4" t="s">
        <v>22</v>
      </c>
      <c r="D409" s="5" t="n">
        <v>67041.5833333333</v>
      </c>
      <c r="E409" s="6" t="n">
        <v>886.01421202</v>
      </c>
      <c r="F409" s="7" t="n">
        <v>61</v>
      </c>
      <c r="G409" s="6" t="n">
        <v>2298.8964137631</v>
      </c>
      <c r="H409" s="8" t="n">
        <v>893204.263464045</v>
      </c>
      <c r="I409" s="9" t="n">
        <v>7.40292225140179</v>
      </c>
      <c r="J409" s="9" t="n">
        <v>30.6967795077182</v>
      </c>
      <c r="K409" s="3" t="s">
        <v>166</v>
      </c>
      <c r="L409" s="3" t="s">
        <v>167</v>
      </c>
      <c r="M409" s="7" t="n">
        <v>2022</v>
      </c>
    </row>
    <row r="410" customFormat="false" ht="15" hidden="false" customHeight="false" outlineLevel="0" collapsed="false">
      <c r="A410" s="3" t="n">
        <v>617</v>
      </c>
      <c r="B410" s="3" t="s">
        <v>165</v>
      </c>
      <c r="C410" s="4" t="s">
        <v>23</v>
      </c>
      <c r="D410" s="5" t="n">
        <v>67039.75</v>
      </c>
      <c r="E410" s="6" t="n">
        <v>888.73437131</v>
      </c>
      <c r="F410" s="7" t="n">
        <v>66</v>
      </c>
      <c r="G410" s="6" t="n">
        <v>2687.8670982579</v>
      </c>
      <c r="H410" s="8" t="n">
        <v>1076893.95291703</v>
      </c>
      <c r="I410" s="9" t="n">
        <v>8.50963527413197</v>
      </c>
      <c r="J410" s="9" t="n">
        <v>35.8916215336421</v>
      </c>
      <c r="K410" s="3" t="s">
        <v>166</v>
      </c>
      <c r="L410" s="3" t="s">
        <v>167</v>
      </c>
      <c r="M410" s="7" t="n">
        <v>2023</v>
      </c>
    </row>
    <row r="411" customFormat="false" ht="15" hidden="false" customHeight="false" outlineLevel="0" collapsed="false">
      <c r="A411" s="3" t="n">
        <v>618</v>
      </c>
      <c r="B411" s="3" t="s">
        <v>165</v>
      </c>
      <c r="C411" s="4" t="s">
        <v>24</v>
      </c>
      <c r="D411" s="5" t="n">
        <v>67916.25</v>
      </c>
      <c r="E411" s="6" t="n">
        <v>895.320537847087</v>
      </c>
      <c r="F411" s="7" t="n">
        <v>66</v>
      </c>
      <c r="G411" s="6" t="n">
        <v>4513.6995360156</v>
      </c>
      <c r="H411" s="8" t="n">
        <v>1699934.99134699</v>
      </c>
      <c r="I411" s="9" t="n">
        <v>11.8322818201185</v>
      </c>
      <c r="J411" s="9" t="n">
        <v>59.3314744770604</v>
      </c>
      <c r="K411" s="3" t="s">
        <v>166</v>
      </c>
      <c r="L411" s="3" t="s">
        <v>167</v>
      </c>
      <c r="M411" s="7" t="n">
        <v>2024</v>
      </c>
    </row>
    <row r="412" customFormat="false" ht="15" hidden="false" customHeight="false" outlineLevel="0" collapsed="false">
      <c r="A412" s="3" t="n">
        <v>619</v>
      </c>
      <c r="B412" s="3" t="s">
        <v>168</v>
      </c>
      <c r="C412" s="4" t="s">
        <v>41</v>
      </c>
      <c r="D412" s="5" t="n">
        <v>9277</v>
      </c>
      <c r="E412" s="6" t="n">
        <v>140</v>
      </c>
      <c r="F412" s="7" t="n">
        <v>58</v>
      </c>
      <c r="G412" s="6" t="n">
        <v>295.040580364876</v>
      </c>
      <c r="H412" s="8" t="n">
        <v>45859.9100480469</v>
      </c>
      <c r="I412" s="9" t="n">
        <v>7.17120407420881</v>
      </c>
      <c r="J412" s="9" t="n">
        <v>28.4702887302745</v>
      </c>
      <c r="K412" s="3" t="s">
        <v>169</v>
      </c>
      <c r="L412" s="3" t="s">
        <v>170</v>
      </c>
      <c r="M412" s="7" t="n">
        <v>2016</v>
      </c>
    </row>
    <row r="413" customFormat="false" ht="15" hidden="false" customHeight="false" outlineLevel="0" collapsed="false">
      <c r="A413" s="3" t="n">
        <v>620</v>
      </c>
      <c r="B413" s="3" t="s">
        <v>168</v>
      </c>
      <c r="C413" s="4" t="s">
        <v>42</v>
      </c>
      <c r="D413" s="5" t="n">
        <v>9384</v>
      </c>
      <c r="E413" s="6" t="n">
        <v>125</v>
      </c>
      <c r="F413" s="7" t="n">
        <v>59</v>
      </c>
      <c r="G413" s="6" t="n">
        <v>682.968282828282</v>
      </c>
      <c r="H413" s="8" t="n">
        <v>105982.636960135</v>
      </c>
      <c r="I413" s="9" t="n">
        <v>13.6229836335806</v>
      </c>
      <c r="J413" s="9" t="n">
        <v>65.1523688695859</v>
      </c>
      <c r="K413" s="3" t="s">
        <v>169</v>
      </c>
      <c r="L413" s="3" t="s">
        <v>170</v>
      </c>
      <c r="M413" s="7" t="n">
        <v>2017</v>
      </c>
    </row>
    <row r="414" customFormat="false" ht="15" hidden="false" customHeight="false" outlineLevel="0" collapsed="false">
      <c r="A414" s="3" t="n">
        <v>621</v>
      </c>
      <c r="B414" s="3" t="s">
        <v>168</v>
      </c>
      <c r="C414" s="4" t="s">
        <v>43</v>
      </c>
      <c r="D414" s="5" t="n">
        <v>9509</v>
      </c>
      <c r="E414" s="6" t="n">
        <v>128</v>
      </c>
      <c r="F414" s="7" t="n">
        <v>59</v>
      </c>
      <c r="G414" s="6" t="n">
        <v>807.016186868686</v>
      </c>
      <c r="H414" s="8" t="n">
        <v>136361.525095202</v>
      </c>
      <c r="I414" s="9" t="n">
        <v>13.9726359123381</v>
      </c>
      <c r="J414" s="9" t="n">
        <v>75.9740140651448</v>
      </c>
      <c r="K414" s="3" t="s">
        <v>169</v>
      </c>
      <c r="L414" s="3" t="s">
        <v>170</v>
      </c>
      <c r="M414" s="7" t="n">
        <v>2018</v>
      </c>
    </row>
    <row r="415" customFormat="false" ht="15" hidden="false" customHeight="false" outlineLevel="0" collapsed="false">
      <c r="A415" s="3" t="n">
        <v>622</v>
      </c>
      <c r="B415" s="3" t="s">
        <v>168</v>
      </c>
      <c r="C415" s="4" t="s">
        <v>44</v>
      </c>
      <c r="D415" s="5" t="n">
        <v>9638</v>
      </c>
      <c r="E415" s="6" t="n">
        <v>128</v>
      </c>
      <c r="F415" s="7" t="n">
        <v>57</v>
      </c>
      <c r="G415" s="6" t="n">
        <v>772.612095959596</v>
      </c>
      <c r="H415" s="8" t="n">
        <v>145175.52891755</v>
      </c>
      <c r="I415" s="9" t="n">
        <v>14.2563978754225</v>
      </c>
      <c r="J415" s="9" t="n">
        <v>71.5650163537966</v>
      </c>
      <c r="K415" s="3" t="s">
        <v>169</v>
      </c>
      <c r="L415" s="3" t="s">
        <v>170</v>
      </c>
      <c r="M415" s="7" t="n">
        <v>2019</v>
      </c>
    </row>
    <row r="416" customFormat="false" ht="15" hidden="false" customHeight="false" outlineLevel="0" collapsed="false">
      <c r="A416" s="3" t="n">
        <v>623</v>
      </c>
      <c r="B416" s="3" t="s">
        <v>168</v>
      </c>
      <c r="C416" s="4" t="s">
        <v>45</v>
      </c>
      <c r="D416" s="5" t="n">
        <v>9985</v>
      </c>
      <c r="E416" s="6" t="n">
        <v>128</v>
      </c>
      <c r="F416" s="7" t="n">
        <v>61</v>
      </c>
      <c r="G416" s="6" t="n">
        <v>1188.24296002745</v>
      </c>
      <c r="H416" s="8" t="n">
        <v>297773.797046963</v>
      </c>
      <c r="I416" s="9" t="n">
        <v>18.7476124317091</v>
      </c>
      <c r="J416" s="9" t="n">
        <v>106.530718266384</v>
      </c>
      <c r="K416" s="3" t="s">
        <v>169</v>
      </c>
      <c r="L416" s="3" t="s">
        <v>170</v>
      </c>
      <c r="M416" s="7" t="n">
        <v>2020</v>
      </c>
    </row>
    <row r="417" customFormat="false" ht="15" hidden="false" customHeight="false" outlineLevel="0" collapsed="false">
      <c r="A417" s="3" t="n">
        <v>624</v>
      </c>
      <c r="B417" s="3" t="s">
        <v>168</v>
      </c>
      <c r="C417" s="4" t="s">
        <v>171</v>
      </c>
      <c r="D417" s="5" t="n">
        <v>9985</v>
      </c>
      <c r="E417" s="6" t="n">
        <v>128</v>
      </c>
      <c r="F417" s="7" t="n">
        <v>61</v>
      </c>
      <c r="G417" s="6" t="n">
        <v>1077.95328653478</v>
      </c>
      <c r="H417" s="8" t="n">
        <v>270135.194542453</v>
      </c>
      <c r="I417" s="9" t="n">
        <v>18.0738160675985</v>
      </c>
      <c r="J417" s="9" t="n">
        <v>96.6428093708267</v>
      </c>
      <c r="K417" s="3" t="s">
        <v>169</v>
      </c>
      <c r="L417" s="3" t="s">
        <v>170</v>
      </c>
      <c r="M417" s="7" t="n">
        <v>2020</v>
      </c>
    </row>
    <row r="418" customFormat="false" ht="15" hidden="false" customHeight="false" outlineLevel="0" collapsed="false">
      <c r="A418" s="3" t="n">
        <v>625</v>
      </c>
      <c r="B418" s="3" t="s">
        <v>168</v>
      </c>
      <c r="C418" s="4" t="s">
        <v>46</v>
      </c>
      <c r="D418" s="5" t="n">
        <v>10126</v>
      </c>
      <c r="E418" s="6" t="n">
        <v>130</v>
      </c>
      <c r="F418" s="7" t="n">
        <v>60</v>
      </c>
      <c r="G418" s="6" t="n">
        <v>902.152754473737</v>
      </c>
      <c r="H418" s="8" t="n">
        <v>203086.211444899</v>
      </c>
      <c r="I418" s="9" t="n">
        <v>14.8924497623096</v>
      </c>
      <c r="J418" s="9" t="n">
        <v>79.7553510379172</v>
      </c>
      <c r="K418" s="3" t="s">
        <v>169</v>
      </c>
      <c r="L418" s="3" t="s">
        <v>170</v>
      </c>
      <c r="M418" s="7" t="n">
        <v>2021</v>
      </c>
    </row>
    <row r="419" customFormat="false" ht="15" hidden="false" customHeight="false" outlineLevel="0" collapsed="false">
      <c r="A419" s="3" t="n">
        <v>626</v>
      </c>
      <c r="B419" s="3" t="s">
        <v>168</v>
      </c>
      <c r="C419" s="4" t="s">
        <v>47</v>
      </c>
      <c r="D419" s="5" t="n">
        <v>10581</v>
      </c>
      <c r="E419" s="6" t="n">
        <v>133</v>
      </c>
      <c r="F419" s="7" t="n">
        <v>56</v>
      </c>
      <c r="G419" s="6" t="n">
        <v>721.484362763636</v>
      </c>
      <c r="H419" s="8" t="n">
        <v>181863.129369491</v>
      </c>
      <c r="I419" s="9" t="n">
        <v>14.0021778119395</v>
      </c>
      <c r="J419" s="9" t="n">
        <v>61.0404719559769</v>
      </c>
      <c r="K419" s="3" t="s">
        <v>169</v>
      </c>
      <c r="L419" s="3" t="s">
        <v>170</v>
      </c>
      <c r="M419" s="7" t="n">
        <v>2022</v>
      </c>
    </row>
    <row r="420" customFormat="false" ht="15" hidden="false" customHeight="false" outlineLevel="0" collapsed="false">
      <c r="A420" s="3" t="n">
        <v>627</v>
      </c>
      <c r="B420" s="3" t="s">
        <v>168</v>
      </c>
      <c r="C420" s="4" t="s">
        <v>48</v>
      </c>
      <c r="D420" s="5" t="n">
        <v>10265</v>
      </c>
      <c r="E420" s="6" t="n">
        <v>135</v>
      </c>
      <c r="F420" s="7" t="n">
        <v>55</v>
      </c>
      <c r="G420" s="6" t="n">
        <v>906.515943656566</v>
      </c>
      <c r="H420" s="8" t="n">
        <v>270720.154133627</v>
      </c>
      <c r="I420" s="9" t="n">
        <v>14.3208264517642</v>
      </c>
      <c r="J420" s="9" t="n">
        <v>78.8392867788364</v>
      </c>
      <c r="K420" s="3" t="s">
        <v>169</v>
      </c>
      <c r="L420" s="3" t="s">
        <v>170</v>
      </c>
      <c r="M420" s="7" t="n">
        <v>2023</v>
      </c>
    </row>
    <row r="421" customFormat="false" ht="15" hidden="false" customHeight="false" outlineLevel="0" collapsed="false">
      <c r="A421" s="3" t="n">
        <v>628</v>
      </c>
      <c r="B421" s="3" t="s">
        <v>168</v>
      </c>
      <c r="C421" s="4" t="s">
        <v>49</v>
      </c>
      <c r="D421" s="5" t="n">
        <v>10372</v>
      </c>
      <c r="E421" s="6" t="n">
        <v>135</v>
      </c>
      <c r="F421" s="7" t="n">
        <v>64</v>
      </c>
      <c r="G421" s="6" t="n">
        <v>233.78381397067</v>
      </c>
      <c r="H421" s="8" t="n">
        <v>20702.8272726498</v>
      </c>
      <c r="I421" s="9" t="n">
        <v>6.19862438383962</v>
      </c>
      <c r="J421" s="9" t="n">
        <v>20.1776045307307</v>
      </c>
      <c r="K421" s="3" t="s">
        <v>169</v>
      </c>
      <c r="L421" s="3" t="s">
        <v>170</v>
      </c>
      <c r="M421" s="7" t="n">
        <v>2024</v>
      </c>
    </row>
    <row r="422" customFormat="false" ht="15" hidden="false" customHeight="false" outlineLevel="0" collapsed="false">
      <c r="A422" s="3" t="n">
        <v>629</v>
      </c>
      <c r="B422" s="3" t="s">
        <v>172</v>
      </c>
      <c r="C422" s="4" t="s">
        <v>14</v>
      </c>
      <c r="D422" s="5" t="n">
        <v>7991</v>
      </c>
      <c r="E422" s="6" t="n">
        <v>121.899621212121</v>
      </c>
      <c r="F422" s="7" t="n">
        <v>60</v>
      </c>
      <c r="G422" s="6" t="n">
        <v>586.574698096447</v>
      </c>
      <c r="H422" s="8" t="n">
        <v>220563.817978226</v>
      </c>
      <c r="I422" s="9" t="n">
        <v>9.55353582052019</v>
      </c>
      <c r="J422" s="9" t="n">
        <v>65.53124043639</v>
      </c>
      <c r="K422" s="3" t="s">
        <v>173</v>
      </c>
      <c r="L422" s="3" t="s">
        <v>174</v>
      </c>
      <c r="M422" s="7" t="n">
        <v>2016</v>
      </c>
    </row>
    <row r="423" customFormat="false" ht="15" hidden="false" customHeight="false" outlineLevel="0" collapsed="false">
      <c r="A423" s="3" t="n">
        <v>630</v>
      </c>
      <c r="B423" s="3" t="s">
        <v>172</v>
      </c>
      <c r="C423" s="4" t="s">
        <v>17</v>
      </c>
      <c r="D423" s="5" t="n">
        <v>8028</v>
      </c>
      <c r="E423" s="6" t="n">
        <v>121.899621212121</v>
      </c>
      <c r="F423" s="7" t="n">
        <v>60</v>
      </c>
      <c r="G423" s="6" t="n">
        <v>260.338972081218</v>
      </c>
      <c r="H423" s="8" t="n">
        <v>147768.400553299</v>
      </c>
      <c r="I423" s="9" t="n">
        <v>5.58981760923763</v>
      </c>
      <c r="J423" s="9" t="n">
        <v>29.0301644764057</v>
      </c>
      <c r="K423" s="3" t="s">
        <v>173</v>
      </c>
      <c r="L423" s="3" t="s">
        <v>174</v>
      </c>
      <c r="M423" s="7" t="n">
        <v>2017</v>
      </c>
    </row>
    <row r="424" customFormat="false" ht="15" hidden="false" customHeight="false" outlineLevel="0" collapsed="false">
      <c r="A424" s="3" t="n">
        <v>631</v>
      </c>
      <c r="B424" s="3" t="s">
        <v>172</v>
      </c>
      <c r="C424" s="4" t="s">
        <v>18</v>
      </c>
      <c r="D424" s="5" t="n">
        <v>8042</v>
      </c>
      <c r="E424" s="6" t="n">
        <v>139</v>
      </c>
      <c r="F424" s="7" t="n">
        <v>60</v>
      </c>
      <c r="G424" s="6" t="n">
        <v>-240.374555837564</v>
      </c>
      <c r="H424" s="8" t="n">
        <v>-116223.50149302</v>
      </c>
      <c r="I424" s="9" t="n">
        <v>0.0666666666666666</v>
      </c>
      <c r="J424" s="9" t="n">
        <v>-26.7572884506841</v>
      </c>
      <c r="K424" s="3" t="s">
        <v>173</v>
      </c>
      <c r="L424" s="3" t="s">
        <v>174</v>
      </c>
      <c r="M424" s="7" t="n">
        <v>2018</v>
      </c>
    </row>
    <row r="425" customFormat="false" ht="15" hidden="false" customHeight="false" outlineLevel="0" collapsed="false">
      <c r="A425" s="3" t="n">
        <v>632</v>
      </c>
      <c r="B425" s="3" t="s">
        <v>172</v>
      </c>
      <c r="C425" s="4" t="s">
        <v>19</v>
      </c>
      <c r="D425" s="5" t="n">
        <v>8042</v>
      </c>
      <c r="E425" s="6" t="n">
        <v>139</v>
      </c>
      <c r="F425" s="7" t="n">
        <v>60</v>
      </c>
      <c r="G425" s="6" t="n">
        <v>-724.973159898477</v>
      </c>
      <c r="H425" s="8" t="n">
        <v>-384743.255958122</v>
      </c>
      <c r="I425" s="9" t="n">
        <v>-7.62325015216068</v>
      </c>
      <c r="J425" s="9" t="n">
        <v>-80.7003715131817</v>
      </c>
      <c r="K425" s="3" t="s">
        <v>173</v>
      </c>
      <c r="L425" s="3" t="s">
        <v>174</v>
      </c>
      <c r="M425" s="7" t="n">
        <v>2019</v>
      </c>
    </row>
    <row r="426" customFormat="false" ht="15" hidden="false" customHeight="false" outlineLevel="0" collapsed="false">
      <c r="A426" s="3" t="n">
        <v>633</v>
      </c>
      <c r="B426" s="3" t="s">
        <v>172</v>
      </c>
      <c r="C426" s="4" t="s">
        <v>20</v>
      </c>
      <c r="D426" s="5" t="n">
        <v>8146</v>
      </c>
      <c r="E426" s="6" t="n">
        <v>135</v>
      </c>
      <c r="F426" s="7" t="n">
        <v>60</v>
      </c>
      <c r="G426" s="6" t="n">
        <v>372.848032367107</v>
      </c>
      <c r="H426" s="8" t="n">
        <v>201337.937478238</v>
      </c>
      <c r="I426" s="9" t="n">
        <v>7.60089953974738</v>
      </c>
      <c r="J426" s="9" t="n">
        <v>40.8614377322273</v>
      </c>
      <c r="K426" s="3" t="s">
        <v>173</v>
      </c>
      <c r="L426" s="3" t="s">
        <v>174</v>
      </c>
      <c r="M426" s="7" t="n">
        <v>2020</v>
      </c>
    </row>
    <row r="427" customFormat="false" ht="15" hidden="false" customHeight="false" outlineLevel="0" collapsed="false">
      <c r="A427" s="3" t="n">
        <v>634</v>
      </c>
      <c r="B427" s="3" t="s">
        <v>172</v>
      </c>
      <c r="C427" s="4" t="s">
        <v>21</v>
      </c>
      <c r="D427" s="5" t="n">
        <v>8210</v>
      </c>
      <c r="E427" s="6" t="n">
        <v>141</v>
      </c>
      <c r="F427" s="7" t="n">
        <v>64</v>
      </c>
      <c r="G427" s="6" t="n">
        <v>432.539881673965</v>
      </c>
      <c r="H427" s="8" t="n">
        <v>229548.915204373</v>
      </c>
      <c r="I427" s="9" t="n">
        <v>7.45497083209203</v>
      </c>
      <c r="J427" s="9" t="n">
        <v>47.1629187747933</v>
      </c>
      <c r="K427" s="3" t="s">
        <v>173</v>
      </c>
      <c r="L427" s="3" t="s">
        <v>174</v>
      </c>
      <c r="M427" s="7" t="n">
        <v>2021</v>
      </c>
    </row>
    <row r="428" customFormat="false" ht="15" hidden="false" customHeight="false" outlineLevel="0" collapsed="false">
      <c r="A428" s="3" t="n">
        <v>635</v>
      </c>
      <c r="B428" s="3" t="s">
        <v>172</v>
      </c>
      <c r="C428" s="4" t="s">
        <v>48</v>
      </c>
      <c r="D428" s="5" t="n">
        <v>8226</v>
      </c>
      <c r="E428" s="6" t="n">
        <v>136.8</v>
      </c>
      <c r="F428" s="7" t="n">
        <v>60</v>
      </c>
      <c r="G428" s="6" t="n">
        <v>209.442208208309</v>
      </c>
      <c r="H428" s="8" t="n">
        <v>159192.833614971</v>
      </c>
      <c r="I428" s="9" t="n">
        <v>7.44812865284437</v>
      </c>
      <c r="J428" s="9" t="n">
        <v>22.7301183307474</v>
      </c>
      <c r="K428" s="3" t="s">
        <v>173</v>
      </c>
      <c r="L428" s="3" t="s">
        <v>174</v>
      </c>
      <c r="M428" s="7" t="n">
        <v>2023</v>
      </c>
    </row>
    <row r="429" customFormat="false" ht="15" hidden="false" customHeight="false" outlineLevel="0" collapsed="false">
      <c r="A429" s="3" t="n">
        <v>636</v>
      </c>
      <c r="B429" s="3" t="s">
        <v>175</v>
      </c>
      <c r="C429" s="4" t="s">
        <v>41</v>
      </c>
      <c r="D429" s="5" t="n">
        <v>3152</v>
      </c>
      <c r="E429" s="6" t="n">
        <v>28.5</v>
      </c>
      <c r="F429" s="7" t="n">
        <v>46</v>
      </c>
      <c r="G429" s="6" t="n">
        <v>299.698093407952</v>
      </c>
      <c r="H429" s="8" t="n">
        <v>53524.8011541377</v>
      </c>
      <c r="I429" s="9" t="n">
        <v>11.3918015065274</v>
      </c>
      <c r="J429" s="9" t="n">
        <v>85.1168309629631</v>
      </c>
      <c r="K429" s="3" t="s">
        <v>176</v>
      </c>
      <c r="L429" s="3" t="s">
        <v>177</v>
      </c>
      <c r="M429" s="7" t="n">
        <v>2016</v>
      </c>
    </row>
    <row r="430" customFormat="false" ht="15" hidden="false" customHeight="false" outlineLevel="0" collapsed="false">
      <c r="A430" s="3" t="n">
        <v>637</v>
      </c>
      <c r="B430" s="3" t="s">
        <v>175</v>
      </c>
      <c r="C430" s="4" t="s">
        <v>17</v>
      </c>
      <c r="D430" s="5" t="n">
        <v>4000</v>
      </c>
      <c r="E430" s="6" t="n">
        <v>30</v>
      </c>
      <c r="F430" s="7" t="n">
        <v>77</v>
      </c>
      <c r="G430" s="6" t="n">
        <v>292.136137140966</v>
      </c>
      <c r="H430" s="8"/>
      <c r="I430" s="9" t="n">
        <v>10.9477797792633</v>
      </c>
      <c r="J430" s="9" t="n">
        <v>65.3797063348358</v>
      </c>
      <c r="K430" s="3" t="s">
        <v>176</v>
      </c>
      <c r="L430" s="3" t="s">
        <v>177</v>
      </c>
      <c r="M430" s="7" t="n">
        <v>2017</v>
      </c>
    </row>
    <row r="431" customFormat="false" ht="15" hidden="false" customHeight="false" outlineLevel="0" collapsed="false">
      <c r="A431" s="3" t="n">
        <v>638</v>
      </c>
      <c r="B431" s="3" t="s">
        <v>175</v>
      </c>
      <c r="C431" s="4" t="s">
        <v>42</v>
      </c>
      <c r="D431" s="5" t="n">
        <v>3152</v>
      </c>
      <c r="E431" s="6" t="n">
        <v>28.5</v>
      </c>
      <c r="F431" s="7" t="n">
        <v>46</v>
      </c>
      <c r="G431" s="6" t="n">
        <v>262.953657103942</v>
      </c>
      <c r="H431" s="8" t="n">
        <v>46962.4015595034</v>
      </c>
      <c r="I431" s="9" t="n">
        <v>11.3407359554405</v>
      </c>
      <c r="J431" s="9" t="n">
        <v>74.6810956596341</v>
      </c>
      <c r="K431" s="3" t="s">
        <v>176</v>
      </c>
      <c r="L431" s="3" t="s">
        <v>177</v>
      </c>
      <c r="M431" s="7" t="n">
        <v>2017</v>
      </c>
    </row>
    <row r="432" customFormat="false" ht="15" hidden="false" customHeight="false" outlineLevel="0" collapsed="false">
      <c r="A432" s="3" t="n">
        <v>639</v>
      </c>
      <c r="B432" s="3" t="s">
        <v>175</v>
      </c>
      <c r="C432" s="4" t="s">
        <v>43</v>
      </c>
      <c r="D432" s="5" t="n">
        <v>3152</v>
      </c>
      <c r="E432" s="6" t="n">
        <v>28.5</v>
      </c>
      <c r="F432" s="7" t="n">
        <v>46</v>
      </c>
      <c r="G432" s="6" t="n">
        <v>186.083152472981</v>
      </c>
      <c r="H432" s="8" t="n">
        <v>81057.7007680704</v>
      </c>
      <c r="I432" s="9" t="n">
        <v>8.02060104808745</v>
      </c>
      <c r="J432" s="9" t="n">
        <v>52.8492125324871</v>
      </c>
      <c r="K432" s="3" t="s">
        <v>176</v>
      </c>
      <c r="L432" s="3" t="s">
        <v>177</v>
      </c>
      <c r="M432" s="7" t="n">
        <v>2018</v>
      </c>
    </row>
    <row r="433" customFormat="false" ht="15" hidden="false" customHeight="false" outlineLevel="0" collapsed="false">
      <c r="A433" s="3" t="n">
        <v>640</v>
      </c>
      <c r="B433" s="3" t="s">
        <v>175</v>
      </c>
      <c r="C433" s="4" t="s">
        <v>44</v>
      </c>
      <c r="D433" s="5" t="n">
        <v>3152</v>
      </c>
      <c r="E433" s="6" t="n">
        <v>28.5</v>
      </c>
      <c r="F433" s="7" t="n">
        <v>46</v>
      </c>
      <c r="G433" s="6" t="n">
        <v>540.224026047075</v>
      </c>
      <c r="H433" s="8" t="n">
        <v>258853.359672873</v>
      </c>
      <c r="I433" s="9" t="n">
        <v>17.6886008779715</v>
      </c>
      <c r="J433" s="9" t="n">
        <v>153.007908969704</v>
      </c>
      <c r="K433" s="3" t="s">
        <v>176</v>
      </c>
      <c r="L433" s="3" t="s">
        <v>177</v>
      </c>
      <c r="M433" s="7" t="n">
        <v>2019</v>
      </c>
    </row>
    <row r="434" customFormat="false" ht="15" hidden="false" customHeight="false" outlineLevel="0" collapsed="false">
      <c r="A434" s="3" t="n">
        <v>641</v>
      </c>
      <c r="B434" s="3" t="s">
        <v>175</v>
      </c>
      <c r="C434" s="4" t="s">
        <v>45</v>
      </c>
      <c r="D434" s="5" t="n">
        <v>3160</v>
      </c>
      <c r="E434" s="6" t="n">
        <v>28.5</v>
      </c>
      <c r="F434" s="7" t="n">
        <v>54</v>
      </c>
      <c r="G434" s="6" t="n">
        <v>295.205432726834</v>
      </c>
      <c r="H434" s="8" t="n">
        <v>141450.424954566</v>
      </c>
      <c r="I434" s="9" t="n">
        <v>10.0195171075206</v>
      </c>
      <c r="J434" s="9" t="n">
        <v>83.6286213829041</v>
      </c>
      <c r="K434" s="3" t="s">
        <v>176</v>
      </c>
      <c r="L434" s="3" t="s">
        <v>177</v>
      </c>
      <c r="M434" s="7" t="n">
        <v>2020</v>
      </c>
    </row>
    <row r="435" customFormat="false" ht="15" hidden="false" customHeight="false" outlineLevel="0" collapsed="false">
      <c r="A435" s="3" t="n">
        <v>642</v>
      </c>
      <c r="B435" s="3" t="s">
        <v>175</v>
      </c>
      <c r="C435" s="4" t="s">
        <v>46</v>
      </c>
      <c r="D435" s="5" t="n">
        <v>3152</v>
      </c>
      <c r="E435" s="6" t="n">
        <v>28.5</v>
      </c>
      <c r="F435" s="7" t="n">
        <v>54</v>
      </c>
      <c r="G435" s="6" t="n">
        <v>78.0891076021489</v>
      </c>
      <c r="H435" s="8" t="n">
        <v>6361.35233828673</v>
      </c>
      <c r="I435" s="9" t="n">
        <v>5.42206769558793</v>
      </c>
      <c r="J435" s="9" t="n">
        <v>22.1779768307475</v>
      </c>
      <c r="K435" s="3" t="s">
        <v>176</v>
      </c>
      <c r="L435" s="3" t="s">
        <v>177</v>
      </c>
      <c r="M435" s="7" t="n">
        <v>2021</v>
      </c>
    </row>
    <row r="436" customFormat="false" ht="15" hidden="false" customHeight="false" outlineLevel="0" collapsed="false">
      <c r="A436" s="3" t="n">
        <v>643</v>
      </c>
      <c r="B436" s="3" t="s">
        <v>175</v>
      </c>
      <c r="C436" s="4" t="s">
        <v>47</v>
      </c>
      <c r="D436" s="5" t="n">
        <v>3152</v>
      </c>
      <c r="E436" s="6" t="n">
        <v>28.5</v>
      </c>
      <c r="F436" s="7" t="n">
        <v>49</v>
      </c>
      <c r="G436" s="6" t="n">
        <v>34.503585756889</v>
      </c>
      <c r="H436" s="8" t="n">
        <v>6330.72305590738</v>
      </c>
      <c r="I436" s="9" t="n">
        <v>2.73996553165461</v>
      </c>
      <c r="J436" s="9" t="n">
        <v>9.79931451378162</v>
      </c>
      <c r="K436" s="3" t="s">
        <v>176</v>
      </c>
      <c r="L436" s="3" t="s">
        <v>177</v>
      </c>
      <c r="M436" s="7" t="n">
        <v>2022</v>
      </c>
    </row>
    <row r="437" customFormat="false" ht="15" hidden="false" customHeight="false" outlineLevel="0" collapsed="false">
      <c r="A437" s="3" t="n">
        <v>644</v>
      </c>
      <c r="B437" s="3" t="s">
        <v>175</v>
      </c>
      <c r="C437" s="4" t="s">
        <v>48</v>
      </c>
      <c r="D437" s="5" t="n">
        <v>3163</v>
      </c>
      <c r="E437" s="6" t="n">
        <v>28.5</v>
      </c>
      <c r="F437" s="7" t="n">
        <v>56</v>
      </c>
      <c r="G437" s="6" t="n">
        <v>84.2414991162649</v>
      </c>
      <c r="H437" s="8" t="n">
        <v>24214.8946662948</v>
      </c>
      <c r="I437" s="9" t="n">
        <v>3.21648190188876</v>
      </c>
      <c r="J437" s="9" t="n">
        <v>23.776782687265</v>
      </c>
      <c r="K437" s="3" t="s">
        <v>176</v>
      </c>
      <c r="L437" s="3" t="s">
        <v>177</v>
      </c>
      <c r="M437" s="7" t="n">
        <v>2023</v>
      </c>
    </row>
    <row r="438" customFormat="false" ht="15" hidden="false" customHeight="false" outlineLevel="0" collapsed="false">
      <c r="A438" s="3" t="n">
        <v>645</v>
      </c>
      <c r="B438" s="3" t="s">
        <v>175</v>
      </c>
      <c r="C438" s="4" t="s">
        <v>49</v>
      </c>
      <c r="D438" s="5" t="n">
        <v>3163</v>
      </c>
      <c r="E438" s="6" t="n">
        <v>28.5</v>
      </c>
      <c r="F438" s="7" t="n">
        <v>73</v>
      </c>
      <c r="G438" s="6" t="n">
        <v>20.9149233587077</v>
      </c>
      <c r="H438" s="8" t="n">
        <v>3950.40024837496</v>
      </c>
      <c r="I438" s="9" t="n">
        <v>1.39386404113041</v>
      </c>
      <c r="J438" s="9" t="n">
        <v>5.91936009018968</v>
      </c>
      <c r="K438" s="3" t="s">
        <v>176</v>
      </c>
      <c r="L438" s="3" t="s">
        <v>177</v>
      </c>
      <c r="M438" s="7" t="n">
        <v>2024</v>
      </c>
    </row>
    <row r="439" customFormat="false" ht="15" hidden="false" customHeight="false" outlineLevel="0" collapsed="false">
      <c r="A439" s="3" t="n">
        <v>646</v>
      </c>
      <c r="B439" s="3" t="s">
        <v>178</v>
      </c>
      <c r="C439" s="4" t="s">
        <v>14</v>
      </c>
      <c r="D439" s="5" t="n">
        <v>11246</v>
      </c>
      <c r="E439" s="6" t="n">
        <v>147.6</v>
      </c>
      <c r="F439" s="7" t="n">
        <v>50</v>
      </c>
      <c r="G439" s="6" t="n">
        <v>197.769005329948</v>
      </c>
      <c r="H439" s="8" t="n">
        <v>14832.6753997461</v>
      </c>
      <c r="I439" s="9" t="n">
        <v>3.7707595298947</v>
      </c>
      <c r="J439" s="9" t="n">
        <v>15.6995188927494</v>
      </c>
      <c r="K439" s="3" t="s">
        <v>179</v>
      </c>
      <c r="L439" s="3" t="s">
        <v>174</v>
      </c>
      <c r="M439" s="7" t="n">
        <v>2016</v>
      </c>
    </row>
    <row r="440" customFormat="false" ht="15" hidden="false" customHeight="false" outlineLevel="0" collapsed="false">
      <c r="A440" s="3" t="n">
        <v>647</v>
      </c>
      <c r="B440" s="3" t="s">
        <v>178</v>
      </c>
      <c r="C440" s="4" t="s">
        <v>17</v>
      </c>
      <c r="D440" s="5" t="n">
        <v>11253</v>
      </c>
      <c r="E440" s="6" t="n">
        <v>147.6</v>
      </c>
      <c r="F440" s="7" t="n">
        <v>50</v>
      </c>
      <c r="G440" s="6" t="n">
        <v>191.89318819797</v>
      </c>
      <c r="H440" s="8" t="n">
        <v>14391.9891148477</v>
      </c>
      <c r="I440" s="9" t="n">
        <v>3.54437432735957</v>
      </c>
      <c r="J440" s="9" t="n">
        <v>15.2654255000856</v>
      </c>
      <c r="K440" s="3" t="s">
        <v>179</v>
      </c>
      <c r="L440" s="3" t="s">
        <v>174</v>
      </c>
      <c r="M440" s="7" t="n">
        <v>2017</v>
      </c>
    </row>
    <row r="441" customFormat="false" ht="15" hidden="false" customHeight="false" outlineLevel="0" collapsed="false">
      <c r="A441" s="3" t="n">
        <v>648</v>
      </c>
      <c r="B441" s="3" t="s">
        <v>178</v>
      </c>
      <c r="C441" s="4" t="s">
        <v>18</v>
      </c>
      <c r="D441" s="5" t="n">
        <v>11426</v>
      </c>
      <c r="E441" s="6" t="n">
        <v>149.9</v>
      </c>
      <c r="F441" s="7" t="n">
        <v>50</v>
      </c>
      <c r="G441" s="6" t="n">
        <v>73.2348166666658</v>
      </c>
      <c r="H441" s="8" t="n">
        <v>18118.2936433331</v>
      </c>
      <c r="I441" s="9" t="n">
        <v>3.32423697372029</v>
      </c>
      <c r="J441" s="9" t="n">
        <v>5.73774249341912</v>
      </c>
      <c r="K441" s="3" t="s">
        <v>179</v>
      </c>
      <c r="L441" s="3" t="s">
        <v>174</v>
      </c>
      <c r="M441" s="7" t="n">
        <v>2018</v>
      </c>
    </row>
    <row r="442" customFormat="false" ht="15" hidden="false" customHeight="false" outlineLevel="0" collapsed="false">
      <c r="A442" s="3" t="n">
        <v>649</v>
      </c>
      <c r="B442" s="3" t="s">
        <v>178</v>
      </c>
      <c r="C442" s="4" t="s">
        <v>19</v>
      </c>
      <c r="D442" s="5" t="n">
        <v>11241</v>
      </c>
      <c r="E442" s="6" t="n">
        <v>155.9</v>
      </c>
      <c r="F442" s="7" t="n">
        <v>50</v>
      </c>
      <c r="G442" s="6" t="n">
        <v>58.9593301566595</v>
      </c>
      <c r="H442" s="8" t="n">
        <v>34538.9651990727</v>
      </c>
      <c r="I442" s="9" t="n">
        <v>3.4734054122637</v>
      </c>
      <c r="J442" s="9" t="n">
        <v>4.69532077209451</v>
      </c>
      <c r="K442" s="3" t="s">
        <v>179</v>
      </c>
      <c r="L442" s="3" t="s">
        <v>174</v>
      </c>
      <c r="M442" s="7" t="n">
        <v>2019</v>
      </c>
    </row>
    <row r="443" customFormat="false" ht="15" hidden="false" customHeight="false" outlineLevel="0" collapsed="false">
      <c r="A443" s="3" t="n">
        <v>650</v>
      </c>
      <c r="B443" s="3" t="s">
        <v>178</v>
      </c>
      <c r="C443" s="4" t="s">
        <v>20</v>
      </c>
      <c r="D443" s="5" t="n">
        <v>11710</v>
      </c>
      <c r="E443" s="6" t="n">
        <v>162.18</v>
      </c>
      <c r="F443" s="7" t="n">
        <v>50</v>
      </c>
      <c r="G443" s="6" t="n">
        <v>44.7863988219912</v>
      </c>
      <c r="H443" s="8" t="n">
        <v>19691.2359700649</v>
      </c>
      <c r="I443" s="9" t="n">
        <v>3.31505391922605</v>
      </c>
      <c r="J443" s="9" t="n">
        <v>3.41440820807521</v>
      </c>
      <c r="K443" s="3" t="s">
        <v>179</v>
      </c>
      <c r="L443" s="3" t="s">
        <v>174</v>
      </c>
      <c r="M443" s="7" t="n">
        <v>2020</v>
      </c>
    </row>
    <row r="444" customFormat="false" ht="15" hidden="false" customHeight="false" outlineLevel="0" collapsed="false">
      <c r="A444" s="3" t="n">
        <v>651</v>
      </c>
      <c r="B444" s="3" t="s">
        <v>178</v>
      </c>
      <c r="C444" s="4" t="s">
        <v>21</v>
      </c>
      <c r="D444" s="5" t="n">
        <v>12950</v>
      </c>
      <c r="E444" s="6" t="n">
        <v>163.87</v>
      </c>
      <c r="F444" s="7" t="n">
        <v>46</v>
      </c>
      <c r="G444" s="6" t="n">
        <v>41.4575858333318</v>
      </c>
      <c r="H444" s="8" t="n">
        <v>19516.9876827576</v>
      </c>
      <c r="I444" s="9" t="n">
        <v>3.2347798601536</v>
      </c>
      <c r="J444" s="9" t="n">
        <v>2.86583983227481</v>
      </c>
      <c r="K444" s="3" t="s">
        <v>179</v>
      </c>
      <c r="L444" s="3" t="s">
        <v>174</v>
      </c>
      <c r="M444" s="7" t="n">
        <v>2021</v>
      </c>
    </row>
    <row r="445" customFormat="false" ht="15" hidden="false" customHeight="false" outlineLevel="0" collapsed="false">
      <c r="A445" s="3" t="n">
        <v>652</v>
      </c>
      <c r="B445" s="3" t="s">
        <v>178</v>
      </c>
      <c r="C445" s="4" t="s">
        <v>22</v>
      </c>
      <c r="D445" s="5" t="n">
        <v>12775</v>
      </c>
      <c r="E445" s="6" t="n">
        <v>169.8</v>
      </c>
      <c r="F445" s="7" t="n">
        <v>52</v>
      </c>
      <c r="G445" s="6" t="n">
        <v>182.675692015706</v>
      </c>
      <c r="H445" s="8" t="n">
        <v>119637.964214926</v>
      </c>
      <c r="I445" s="9" t="n">
        <v>5.04699981382427</v>
      </c>
      <c r="J445" s="9" t="n">
        <v>12.8008122231801</v>
      </c>
      <c r="K445" s="3" t="s">
        <v>179</v>
      </c>
      <c r="L445" s="3" t="s">
        <v>174</v>
      </c>
      <c r="M445" s="7" t="n">
        <v>2022</v>
      </c>
    </row>
    <row r="446" customFormat="false" ht="15" hidden="false" customHeight="false" outlineLevel="0" collapsed="false">
      <c r="A446" s="3" t="n">
        <v>653</v>
      </c>
      <c r="B446" s="3" t="s">
        <v>178</v>
      </c>
      <c r="C446" s="4" t="s">
        <v>23</v>
      </c>
      <c r="D446" s="5" t="n">
        <v>13238</v>
      </c>
      <c r="E446" s="6" t="n">
        <v>172.15</v>
      </c>
      <c r="F446" s="7" t="n">
        <v>52</v>
      </c>
      <c r="G446" s="6" t="n">
        <v>175.414682894736</v>
      </c>
      <c r="H446" s="8" t="n">
        <v>76379.0612260261</v>
      </c>
      <c r="I446" s="9" t="n">
        <v>5.32198392804905</v>
      </c>
      <c r="J446" s="9" t="n">
        <v>12.9275479489576</v>
      </c>
      <c r="K446" s="3" t="s">
        <v>179</v>
      </c>
      <c r="L446" s="3" t="s">
        <v>174</v>
      </c>
      <c r="M446" s="7" t="n">
        <v>2023</v>
      </c>
    </row>
    <row r="447" customFormat="false" ht="15" hidden="false" customHeight="false" outlineLevel="0" collapsed="false">
      <c r="A447" s="3" t="n">
        <v>654</v>
      </c>
      <c r="B447" s="3" t="s">
        <v>178</v>
      </c>
      <c r="C447" s="4" t="s">
        <v>24</v>
      </c>
      <c r="D447" s="5" t="n">
        <v>14114</v>
      </c>
      <c r="E447" s="6" t="n">
        <v>183.6</v>
      </c>
      <c r="F447" s="7" t="n">
        <v>52</v>
      </c>
      <c r="G447" s="6" t="n">
        <v>239.949764743589</v>
      </c>
      <c r="H447" s="8" t="n">
        <v>44078.7717833973</v>
      </c>
      <c r="I447" s="9" t="n">
        <v>5.04021824006145</v>
      </c>
      <c r="J447" s="9" t="n">
        <v>15.1773660644853</v>
      </c>
      <c r="K447" s="3" t="s">
        <v>179</v>
      </c>
      <c r="L447" s="3" t="s">
        <v>174</v>
      </c>
      <c r="M447" s="7" t="n">
        <v>2024</v>
      </c>
    </row>
    <row r="448" customFormat="false" ht="15" hidden="false" customHeight="false" outlineLevel="0" collapsed="false">
      <c r="A448" s="3" t="n">
        <v>655</v>
      </c>
      <c r="B448" s="3" t="s">
        <v>180</v>
      </c>
      <c r="C448" s="4" t="s">
        <v>41</v>
      </c>
      <c r="D448" s="5" t="n">
        <v>11844</v>
      </c>
      <c r="E448" s="6" t="n">
        <v>235</v>
      </c>
      <c r="F448" s="7" t="n">
        <v>70</v>
      </c>
      <c r="G448" s="6" t="n">
        <v>653.681423737373</v>
      </c>
      <c r="H448" s="8" t="n">
        <v>69401.3567581969</v>
      </c>
      <c r="I448" s="9" t="n">
        <v>11.7111349364374</v>
      </c>
      <c r="J448" s="9" t="n">
        <v>49.406651303541</v>
      </c>
      <c r="K448" s="3" t="s">
        <v>181</v>
      </c>
      <c r="L448" s="3" t="s">
        <v>182</v>
      </c>
      <c r="M448" s="7" t="n">
        <v>2016</v>
      </c>
    </row>
    <row r="449" customFormat="false" ht="15" hidden="false" customHeight="false" outlineLevel="0" collapsed="false">
      <c r="A449" s="3" t="n">
        <v>656</v>
      </c>
      <c r="B449" s="3" t="s">
        <v>180</v>
      </c>
      <c r="C449" s="4" t="s">
        <v>42</v>
      </c>
      <c r="D449" s="5" t="n">
        <v>12780</v>
      </c>
      <c r="E449" s="6" t="n">
        <v>271.4</v>
      </c>
      <c r="F449" s="7" t="n">
        <v>71</v>
      </c>
      <c r="G449" s="6" t="n">
        <v>445.300216267677</v>
      </c>
      <c r="H449" s="8" t="n">
        <v>35267.7771284</v>
      </c>
      <c r="I449" s="9" t="n">
        <v>8.14519602446289</v>
      </c>
      <c r="J449" s="9" t="n">
        <v>31.1917489490445</v>
      </c>
      <c r="K449" s="3" t="s">
        <v>181</v>
      </c>
      <c r="L449" s="3" t="s">
        <v>182</v>
      </c>
      <c r="M449" s="7" t="n">
        <v>2017</v>
      </c>
    </row>
    <row r="450" customFormat="false" ht="15" hidden="false" customHeight="false" outlineLevel="0" collapsed="false">
      <c r="A450" s="3" t="n">
        <v>657</v>
      </c>
      <c r="B450" s="3" t="s">
        <v>180</v>
      </c>
      <c r="C450" s="4" t="s">
        <v>43</v>
      </c>
      <c r="D450" s="5" t="n">
        <v>12430</v>
      </c>
      <c r="E450" s="6" t="n">
        <v>285.3</v>
      </c>
      <c r="F450" s="7" t="n">
        <v>72</v>
      </c>
      <c r="G450" s="6" t="n">
        <v>505.284711747476</v>
      </c>
      <c r="H450" s="8" t="n">
        <v>36436.0805641105</v>
      </c>
      <c r="I450" s="9" t="n">
        <v>9.42257143205374</v>
      </c>
      <c r="J450" s="9" t="n">
        <v>36.3900543278904</v>
      </c>
      <c r="K450" s="3" t="s">
        <v>181</v>
      </c>
      <c r="L450" s="3" t="s">
        <v>182</v>
      </c>
      <c r="M450" s="7" t="n">
        <v>2018</v>
      </c>
    </row>
    <row r="451" customFormat="false" ht="15" hidden="false" customHeight="false" outlineLevel="0" collapsed="false">
      <c r="A451" s="3" t="n">
        <v>658</v>
      </c>
      <c r="B451" s="3" t="s">
        <v>180</v>
      </c>
      <c r="C451" s="4" t="s">
        <v>44</v>
      </c>
      <c r="D451" s="5" t="n">
        <v>12765</v>
      </c>
      <c r="E451" s="6" t="n">
        <v>272</v>
      </c>
      <c r="F451" s="7" t="n">
        <v>72</v>
      </c>
      <c r="G451" s="6" t="n">
        <v>557.606993055556</v>
      </c>
      <c r="H451" s="8" t="n">
        <v>42517.5415765358</v>
      </c>
      <c r="I451" s="9" t="n">
        <v>10.361611406604</v>
      </c>
      <c r="J451" s="9" t="n">
        <v>38.9972144067191</v>
      </c>
      <c r="K451" s="3" t="s">
        <v>181</v>
      </c>
      <c r="L451" s="3" t="s">
        <v>182</v>
      </c>
      <c r="M451" s="7" t="n">
        <v>2019</v>
      </c>
    </row>
    <row r="452" customFormat="false" ht="15" hidden="false" customHeight="false" outlineLevel="0" collapsed="false">
      <c r="A452" s="3" t="n">
        <v>659</v>
      </c>
      <c r="B452" s="3" t="s">
        <v>180</v>
      </c>
      <c r="C452" s="4" t="s">
        <v>45</v>
      </c>
      <c r="D452" s="5" t="n">
        <v>12424</v>
      </c>
      <c r="E452" s="6" t="n">
        <v>286.3</v>
      </c>
      <c r="F452" s="7" t="n">
        <v>70</v>
      </c>
      <c r="G452" s="6" t="n">
        <v>301.845445131578</v>
      </c>
      <c r="H452" s="8" t="n">
        <v>20507.3795422394</v>
      </c>
      <c r="I452" s="9" t="n">
        <v>9.85869382819425</v>
      </c>
      <c r="J452" s="9" t="n">
        <v>21.7490783837313</v>
      </c>
      <c r="K452" s="3" t="s">
        <v>181</v>
      </c>
      <c r="L452" s="3" t="s">
        <v>182</v>
      </c>
      <c r="M452" s="7" t="n">
        <v>2020</v>
      </c>
    </row>
    <row r="453" customFormat="false" ht="15" hidden="false" customHeight="false" outlineLevel="0" collapsed="false">
      <c r="A453" s="3" t="n">
        <v>660</v>
      </c>
      <c r="B453" s="3" t="s">
        <v>180</v>
      </c>
      <c r="C453" s="4" t="s">
        <v>46</v>
      </c>
      <c r="D453" s="5" t="n">
        <v>12500</v>
      </c>
      <c r="E453" s="6" t="n">
        <v>286.3</v>
      </c>
      <c r="F453" s="7" t="n">
        <v>70</v>
      </c>
      <c r="G453" s="6" t="n">
        <v>17.0544548684204</v>
      </c>
      <c r="H453" s="8" t="n">
        <v>1184.94352425785</v>
      </c>
      <c r="I453" s="9" t="n">
        <v>6.36995044431663</v>
      </c>
      <c r="J453" s="9" t="n">
        <v>1.22136509303949</v>
      </c>
      <c r="K453" s="3" t="s">
        <v>181</v>
      </c>
      <c r="L453" s="3" t="s">
        <v>182</v>
      </c>
      <c r="M453" s="7" t="n">
        <v>2021</v>
      </c>
    </row>
    <row r="454" customFormat="false" ht="15" hidden="false" customHeight="false" outlineLevel="0" collapsed="false">
      <c r="A454" s="3" t="n">
        <v>661</v>
      </c>
      <c r="B454" s="3" t="s">
        <v>180</v>
      </c>
      <c r="C454" s="4" t="s">
        <v>47</v>
      </c>
      <c r="D454" s="5" t="n">
        <v>12424</v>
      </c>
      <c r="E454" s="6" t="n">
        <v>272.6</v>
      </c>
      <c r="F454" s="7" t="n">
        <v>66</v>
      </c>
      <c r="G454" s="6" t="n">
        <v>205.662104567651</v>
      </c>
      <c r="H454" s="8" t="n">
        <v>24789.2977166613</v>
      </c>
      <c r="I454" s="9" t="n">
        <v>9.00960424604516</v>
      </c>
      <c r="J454" s="9" t="n">
        <v>14.8187136991753</v>
      </c>
      <c r="K454" s="3" t="s">
        <v>181</v>
      </c>
      <c r="L454" s="3" t="s">
        <v>182</v>
      </c>
      <c r="M454" s="7" t="n">
        <v>2022</v>
      </c>
    </row>
    <row r="455" customFormat="false" ht="15" hidden="false" customHeight="false" outlineLevel="0" collapsed="false">
      <c r="A455" s="3" t="n">
        <v>662</v>
      </c>
      <c r="B455" s="3" t="s">
        <v>180</v>
      </c>
      <c r="C455" s="4" t="s">
        <v>48</v>
      </c>
      <c r="D455" s="5" t="n">
        <v>12555</v>
      </c>
      <c r="E455" s="6" t="n">
        <v>293</v>
      </c>
      <c r="F455" s="7" t="n">
        <v>65</v>
      </c>
      <c r="G455" s="6" t="n">
        <v>360.903592105263</v>
      </c>
      <c r="H455" s="8" t="n">
        <v>52746.0599861842</v>
      </c>
      <c r="I455" s="9" t="n">
        <v>11.6637127957464</v>
      </c>
      <c r="J455" s="9" t="n">
        <v>25.6626015703163</v>
      </c>
      <c r="K455" s="3" t="s">
        <v>181</v>
      </c>
      <c r="L455" s="3" t="s">
        <v>182</v>
      </c>
      <c r="M455" s="7" t="n">
        <v>2023</v>
      </c>
    </row>
    <row r="456" customFormat="false" ht="15" hidden="false" customHeight="false" outlineLevel="0" collapsed="false">
      <c r="A456" s="3" t="n">
        <v>663</v>
      </c>
      <c r="B456" s="3" t="s">
        <v>180</v>
      </c>
      <c r="C456" s="4" t="s">
        <v>49</v>
      </c>
      <c r="D456" s="5" t="n">
        <v>12572</v>
      </c>
      <c r="E456" s="6" t="n">
        <v>289.3</v>
      </c>
      <c r="F456" s="7" t="n">
        <v>68</v>
      </c>
      <c r="G456" s="6" t="n">
        <v>591.685292693095</v>
      </c>
      <c r="H456" s="8" t="n">
        <v>80741.3750408998</v>
      </c>
      <c r="I456" s="9" t="n">
        <v>11.4105469897527</v>
      </c>
      <c r="J456" s="9" t="n">
        <v>42.1312239979777</v>
      </c>
      <c r="K456" s="3" t="s">
        <v>181</v>
      </c>
      <c r="L456" s="3" t="s">
        <v>182</v>
      </c>
      <c r="M456" s="7" t="n">
        <v>2024</v>
      </c>
    </row>
    <row r="457" customFormat="false" ht="15" hidden="false" customHeight="false" outlineLevel="0" collapsed="false">
      <c r="A457" s="3" t="n">
        <v>664</v>
      </c>
      <c r="B457" s="3" t="s">
        <v>183</v>
      </c>
      <c r="C457" s="4" t="s">
        <v>14</v>
      </c>
      <c r="D457" s="5" t="n">
        <v>5030</v>
      </c>
      <c r="E457" s="6" t="n">
        <v>97.25</v>
      </c>
      <c r="F457" s="7" t="n">
        <v>59</v>
      </c>
      <c r="G457" s="6" t="n">
        <v>132.658453401596</v>
      </c>
      <c r="H457" s="8" t="n">
        <v>129421.285135714</v>
      </c>
      <c r="I457" s="9" t="n">
        <v>8.29513120455264</v>
      </c>
      <c r="J457" s="9" t="n">
        <v>23.5446987659596</v>
      </c>
      <c r="K457" s="3" t="s">
        <v>184</v>
      </c>
      <c r="L457" s="3" t="s">
        <v>185</v>
      </c>
      <c r="M457" s="7" t="n">
        <v>2016</v>
      </c>
    </row>
    <row r="458" customFormat="false" ht="15" hidden="false" customHeight="false" outlineLevel="0" collapsed="false">
      <c r="A458" s="3" t="n">
        <v>665</v>
      </c>
      <c r="B458" s="3" t="s">
        <v>183</v>
      </c>
      <c r="C458" s="4" t="s">
        <v>17</v>
      </c>
      <c r="D458" s="5" t="n">
        <v>5030</v>
      </c>
      <c r="E458" s="6" t="n">
        <v>97.25</v>
      </c>
      <c r="F458" s="7" t="n">
        <v>59</v>
      </c>
      <c r="G458" s="6" t="n">
        <v>173.430543412234</v>
      </c>
      <c r="H458" s="8" t="n">
        <v>163151.60517551</v>
      </c>
      <c r="I458" s="9" t="n">
        <v>9.68627599148625</v>
      </c>
      <c r="J458" s="9" t="n">
        <v>30.865639133015</v>
      </c>
      <c r="K458" s="3" t="s">
        <v>184</v>
      </c>
      <c r="L458" s="3" t="s">
        <v>185</v>
      </c>
      <c r="M458" s="7" t="n">
        <v>2017</v>
      </c>
    </row>
    <row r="459" customFormat="false" ht="15" hidden="false" customHeight="false" outlineLevel="0" collapsed="false">
      <c r="A459" s="3" t="n">
        <v>666</v>
      </c>
      <c r="B459" s="3" t="s">
        <v>183</v>
      </c>
      <c r="C459" s="4" t="s">
        <v>18</v>
      </c>
      <c r="D459" s="5" t="n">
        <v>5088</v>
      </c>
      <c r="E459" s="6" t="n">
        <v>97.9857954545455</v>
      </c>
      <c r="F459" s="7" t="n">
        <v>58</v>
      </c>
      <c r="G459" s="6" t="n">
        <v>172.278326180857</v>
      </c>
      <c r="H459" s="8" t="n">
        <v>15906.4345487066</v>
      </c>
      <c r="I459" s="9" t="n">
        <v>9.64226996995294</v>
      </c>
      <c r="J459" s="9" t="n">
        <v>30.3110663662175</v>
      </c>
      <c r="K459" s="3" t="s">
        <v>184</v>
      </c>
      <c r="L459" s="3" t="s">
        <v>185</v>
      </c>
      <c r="M459" s="7" t="n">
        <v>2018</v>
      </c>
    </row>
    <row r="460" customFormat="false" ht="15" hidden="false" customHeight="false" outlineLevel="0" collapsed="false">
      <c r="A460" s="3" t="n">
        <v>667</v>
      </c>
      <c r="B460" s="3" t="s">
        <v>183</v>
      </c>
      <c r="C460" s="4" t="s">
        <v>19</v>
      </c>
      <c r="D460" s="5" t="n">
        <v>5116</v>
      </c>
      <c r="E460" s="6" t="n">
        <v>100.7</v>
      </c>
      <c r="F460" s="7" t="n">
        <v>53</v>
      </c>
      <c r="G460" s="6" t="n">
        <v>214.604425529147</v>
      </c>
      <c r="H460" s="8" t="n">
        <v>25171.6624357817</v>
      </c>
      <c r="I460" s="9" t="n">
        <v>11.6024071675022</v>
      </c>
      <c r="J460" s="9" t="n">
        <v>37.5513722640768</v>
      </c>
      <c r="K460" s="3" t="s">
        <v>184</v>
      </c>
      <c r="L460" s="3" t="s">
        <v>185</v>
      </c>
      <c r="M460" s="7" t="n">
        <v>2019</v>
      </c>
    </row>
    <row r="461" customFormat="false" ht="15" hidden="false" customHeight="false" outlineLevel="0" collapsed="false">
      <c r="A461" s="3" t="n">
        <v>668</v>
      </c>
      <c r="B461" s="3" t="s">
        <v>183</v>
      </c>
      <c r="C461" s="4" t="s">
        <v>20</v>
      </c>
      <c r="D461" s="5" t="n">
        <v>5191</v>
      </c>
      <c r="E461" s="6" t="n">
        <v>101.1</v>
      </c>
      <c r="F461" s="7" t="n">
        <v>57</v>
      </c>
      <c r="G461" s="6" t="n">
        <v>202.079345206702</v>
      </c>
      <c r="H461" s="8" t="n">
        <v>20976.4577122122</v>
      </c>
      <c r="I461" s="9" t="n">
        <v>10.6467409555042</v>
      </c>
      <c r="J461" s="9" t="n">
        <v>34.7533833399477</v>
      </c>
      <c r="K461" s="3" t="s">
        <v>184</v>
      </c>
      <c r="L461" s="3" t="s">
        <v>185</v>
      </c>
      <c r="M461" s="7" t="n">
        <v>2020</v>
      </c>
    </row>
    <row r="462" customFormat="false" ht="15" hidden="false" customHeight="false" outlineLevel="0" collapsed="false">
      <c r="A462" s="3" t="n">
        <v>669</v>
      </c>
      <c r="B462" s="3" t="s">
        <v>183</v>
      </c>
      <c r="C462" s="4" t="s">
        <v>21</v>
      </c>
      <c r="D462" s="5" t="n">
        <v>5273</v>
      </c>
      <c r="E462" s="6" t="n">
        <v>101.9</v>
      </c>
      <c r="F462" s="7" t="n">
        <v>62</v>
      </c>
      <c r="G462" s="6" t="n">
        <v>191.379163946607</v>
      </c>
      <c r="H462" s="8" t="n">
        <v>35785.2827496192</v>
      </c>
      <c r="I462" s="9" t="n">
        <v>8.27489612689494</v>
      </c>
      <c r="J462" s="9" t="n">
        <v>32.4903624472827</v>
      </c>
      <c r="K462" s="3" t="s">
        <v>184</v>
      </c>
      <c r="L462" s="3" t="s">
        <v>185</v>
      </c>
      <c r="M462" s="7" t="n">
        <v>2021</v>
      </c>
    </row>
    <row r="463" customFormat="false" ht="15" hidden="false" customHeight="false" outlineLevel="0" collapsed="false">
      <c r="A463" s="3" t="n">
        <v>670</v>
      </c>
      <c r="B463" s="3" t="s">
        <v>183</v>
      </c>
      <c r="C463" s="4" t="s">
        <v>22</v>
      </c>
      <c r="D463" s="5" t="n">
        <v>5391</v>
      </c>
      <c r="E463" s="6" t="n">
        <v>102.8</v>
      </c>
      <c r="F463" s="7" t="n">
        <v>61</v>
      </c>
      <c r="G463" s="6" t="n">
        <v>216.08808917369</v>
      </c>
      <c r="H463" s="8" t="n">
        <v>40575.9116506099</v>
      </c>
      <c r="I463" s="9" t="n">
        <v>9.45096493533135</v>
      </c>
      <c r="J463" s="9" t="n">
        <v>35.8822090263056</v>
      </c>
      <c r="K463" s="3" t="s">
        <v>184</v>
      </c>
      <c r="L463" s="3" t="s">
        <v>185</v>
      </c>
      <c r="M463" s="7" t="n">
        <v>2022</v>
      </c>
    </row>
    <row r="464" customFormat="false" ht="15" hidden="false" customHeight="false" outlineLevel="0" collapsed="false">
      <c r="A464" s="3" t="n">
        <v>671</v>
      </c>
      <c r="B464" s="3" t="s">
        <v>183</v>
      </c>
      <c r="C464" s="4" t="s">
        <v>23</v>
      </c>
      <c r="D464" s="5" t="n">
        <v>5409</v>
      </c>
      <c r="E464" s="6" t="n">
        <v>103</v>
      </c>
      <c r="F464" s="7" t="n">
        <v>66</v>
      </c>
      <c r="G464" s="6" t="n">
        <v>198.001385033805</v>
      </c>
      <c r="H464" s="8" t="n">
        <v>31039.415899774</v>
      </c>
      <c r="I464" s="9" t="n">
        <v>9.54268280373757</v>
      </c>
      <c r="J464" s="9" t="n">
        <v>32.7694325669318</v>
      </c>
      <c r="K464" s="3" t="s">
        <v>184</v>
      </c>
      <c r="L464" s="3" t="s">
        <v>185</v>
      </c>
      <c r="M464" s="7" t="n">
        <v>2023</v>
      </c>
    </row>
    <row r="465" customFormat="false" ht="15" hidden="false" customHeight="false" outlineLevel="0" collapsed="false">
      <c r="A465" s="3" t="n">
        <v>672</v>
      </c>
      <c r="B465" s="3" t="s">
        <v>183</v>
      </c>
      <c r="C465" s="4" t="s">
        <v>24</v>
      </c>
      <c r="D465" s="5" t="n">
        <v>5600</v>
      </c>
      <c r="E465" s="6" t="n">
        <v>103.2</v>
      </c>
      <c r="F465" s="7" t="n">
        <v>62</v>
      </c>
      <c r="G465" s="6" t="n">
        <v>268.201527488638</v>
      </c>
      <c r="H465" s="8" t="n">
        <v>45827.519237789</v>
      </c>
      <c r="I465" s="9" t="n">
        <v>11.4949901020071</v>
      </c>
      <c r="J465" s="9" t="n">
        <v>42.7562308873289</v>
      </c>
      <c r="K465" s="3" t="s">
        <v>184</v>
      </c>
      <c r="L465" s="3" t="s">
        <v>185</v>
      </c>
      <c r="M465" s="7" t="n">
        <v>2024</v>
      </c>
    </row>
    <row r="466" customFormat="false" ht="15" hidden="false" customHeight="false" outlineLevel="0" collapsed="false">
      <c r="A466" s="3" t="n">
        <v>673</v>
      </c>
      <c r="B466" s="3" t="s">
        <v>186</v>
      </c>
      <c r="C466" s="4" t="s">
        <v>14</v>
      </c>
      <c r="D466" s="5" t="n">
        <v>4834</v>
      </c>
      <c r="E466" s="6" t="n">
        <v>108.6</v>
      </c>
      <c r="F466" s="7" t="n">
        <v>50</v>
      </c>
      <c r="G466" s="6" t="n">
        <v>399.240715996358</v>
      </c>
      <c r="H466" s="8" t="n">
        <v>13009.2963806533</v>
      </c>
      <c r="I466" s="9" t="n">
        <v>12.2202257990964</v>
      </c>
      <c r="J466" s="9" t="n">
        <v>73.7317213958939</v>
      </c>
      <c r="K466" s="3" t="s">
        <v>187</v>
      </c>
      <c r="L466" s="3" t="s">
        <v>188</v>
      </c>
      <c r="M466" s="7" t="n">
        <v>2016</v>
      </c>
    </row>
    <row r="467" customFormat="false" ht="15" hidden="false" customHeight="false" outlineLevel="0" collapsed="false">
      <c r="A467" s="3" t="n">
        <v>674</v>
      </c>
      <c r="B467" s="3" t="s">
        <v>186</v>
      </c>
      <c r="C467" s="4" t="s">
        <v>17</v>
      </c>
      <c r="D467" s="5" t="n">
        <v>4632</v>
      </c>
      <c r="E467" s="6" t="n">
        <v>108.6</v>
      </c>
      <c r="F467" s="7" t="n">
        <v>57</v>
      </c>
      <c r="G467" s="6" t="n">
        <v>556.383623449825</v>
      </c>
      <c r="H467" s="8" t="n">
        <v>105152.914467337</v>
      </c>
      <c r="I467" s="9" t="n">
        <v>12.1825709259266</v>
      </c>
      <c r="J467" s="9" t="n">
        <v>107.528468990651</v>
      </c>
      <c r="K467" s="3" t="s">
        <v>187</v>
      </c>
      <c r="L467" s="3" t="s">
        <v>188</v>
      </c>
      <c r="M467" s="7" t="n">
        <v>2017</v>
      </c>
    </row>
    <row r="468" customFormat="false" ht="15" hidden="false" customHeight="false" outlineLevel="0" collapsed="false">
      <c r="A468" s="3" t="n">
        <v>675</v>
      </c>
      <c r="B468" s="3" t="s">
        <v>186</v>
      </c>
      <c r="C468" s="4" t="s">
        <v>18</v>
      </c>
      <c r="D468" s="5" t="n">
        <v>4632</v>
      </c>
      <c r="E468" s="6" t="n">
        <v>108.6</v>
      </c>
      <c r="F468" s="7" t="n">
        <v>58</v>
      </c>
      <c r="G468" s="6" t="n">
        <v>26.3957744676908</v>
      </c>
      <c r="H468" s="8" t="n">
        <v>4988.63104145714</v>
      </c>
      <c r="I468" s="9" t="n">
        <v>2.44786635956112</v>
      </c>
      <c r="J468" s="9" t="n">
        <v>5.10133134173613</v>
      </c>
      <c r="K468" s="3" t="s">
        <v>187</v>
      </c>
      <c r="L468" s="3" t="s">
        <v>188</v>
      </c>
      <c r="M468" s="7" t="n">
        <v>2018</v>
      </c>
    </row>
    <row r="469" customFormat="false" ht="15" hidden="false" customHeight="false" outlineLevel="0" collapsed="false">
      <c r="A469" s="3" t="n">
        <v>676</v>
      </c>
      <c r="B469" s="3" t="s">
        <v>186</v>
      </c>
      <c r="C469" s="4" t="s">
        <v>19</v>
      </c>
      <c r="D469" s="5" t="n">
        <v>4787</v>
      </c>
      <c r="E469" s="6" t="n">
        <v>111.21</v>
      </c>
      <c r="F469" s="7" t="n">
        <v>58</v>
      </c>
      <c r="G469" s="6" t="n">
        <v>53.3652821068498</v>
      </c>
      <c r="H469" s="8" t="n">
        <v>14954.6496499997</v>
      </c>
      <c r="I469" s="9" t="n">
        <v>3.27849560183583</v>
      </c>
      <c r="J469" s="9" t="n">
        <v>9.97959821345305</v>
      </c>
      <c r="K469" s="3" t="s">
        <v>187</v>
      </c>
      <c r="L469" s="3" t="s">
        <v>188</v>
      </c>
      <c r="M469" s="7" t="n">
        <v>2019</v>
      </c>
    </row>
    <row r="470" customFormat="false" ht="15" hidden="false" customHeight="false" outlineLevel="0" collapsed="false">
      <c r="A470" s="3" t="n">
        <v>677</v>
      </c>
      <c r="B470" s="3" t="s">
        <v>186</v>
      </c>
      <c r="C470" s="4" t="s">
        <v>20</v>
      </c>
      <c r="D470" s="5" t="n">
        <v>4847</v>
      </c>
      <c r="E470" s="6" t="n">
        <v>106.02</v>
      </c>
      <c r="F470" s="7" t="n">
        <v>55</v>
      </c>
      <c r="G470" s="6" t="n">
        <v>13.6159924566986</v>
      </c>
      <c r="H470" s="8" t="n">
        <v>3948.73774434661</v>
      </c>
      <c r="I470" s="9" t="n">
        <v>2.25233922380662</v>
      </c>
      <c r="J470" s="9" t="n">
        <v>2.50785530832951</v>
      </c>
      <c r="K470" s="3" t="s">
        <v>187</v>
      </c>
      <c r="L470" s="3" t="s">
        <v>188</v>
      </c>
      <c r="M470" s="7" t="n">
        <v>2020</v>
      </c>
    </row>
    <row r="471" customFormat="false" ht="15" hidden="false" customHeight="false" outlineLevel="0" collapsed="false">
      <c r="A471" s="3" t="n">
        <v>678</v>
      </c>
      <c r="B471" s="3" t="s">
        <v>186</v>
      </c>
      <c r="C471" s="4" t="s">
        <v>21</v>
      </c>
      <c r="D471" s="5" t="n">
        <v>4847</v>
      </c>
      <c r="E471" s="6" t="n">
        <v>88</v>
      </c>
      <c r="F471" s="7" t="n">
        <v>55</v>
      </c>
      <c r="G471" s="6" t="n">
        <v>415.037059006276</v>
      </c>
      <c r="H471" s="8"/>
      <c r="I471" s="9" t="n">
        <v>10.1518181298158</v>
      </c>
      <c r="J471" s="9" t="n">
        <v>76.6534191956586</v>
      </c>
      <c r="K471" s="3" t="s">
        <v>187</v>
      </c>
      <c r="L471" s="3" t="s">
        <v>188</v>
      </c>
      <c r="M471" s="7" t="n">
        <v>2021</v>
      </c>
    </row>
    <row r="472" customFormat="false" ht="15" hidden="false" customHeight="false" outlineLevel="0" collapsed="false">
      <c r="A472" s="3" t="n">
        <v>679</v>
      </c>
      <c r="B472" s="3" t="s">
        <v>186</v>
      </c>
      <c r="C472" s="4" t="s">
        <v>22</v>
      </c>
      <c r="D472" s="5" t="n">
        <v>4930</v>
      </c>
      <c r="E472" s="6" t="n">
        <v>88</v>
      </c>
      <c r="F472" s="7" t="n">
        <v>57</v>
      </c>
      <c r="G472" s="6" t="n">
        <v>18.4741281504547</v>
      </c>
      <c r="H472" s="8" t="n">
        <v>5538.22711325809</v>
      </c>
      <c r="I472" s="9" t="n">
        <v>1.43292984662039</v>
      </c>
      <c r="J472" s="9" t="n">
        <v>3.35455338026537</v>
      </c>
      <c r="K472" s="3" t="s">
        <v>187</v>
      </c>
      <c r="L472" s="3" t="s">
        <v>188</v>
      </c>
      <c r="M472" s="7" t="n">
        <v>2022</v>
      </c>
    </row>
    <row r="473" customFormat="false" ht="15" hidden="false" customHeight="false" outlineLevel="0" collapsed="false">
      <c r="A473" s="3" t="n">
        <v>680</v>
      </c>
      <c r="B473" s="3" t="s">
        <v>186</v>
      </c>
      <c r="C473" s="4" t="s">
        <v>23</v>
      </c>
      <c r="D473" s="5" t="n">
        <v>4884</v>
      </c>
      <c r="E473" s="6" t="n">
        <v>88</v>
      </c>
      <c r="F473" s="7" t="n">
        <v>57</v>
      </c>
      <c r="G473" s="6" t="n">
        <v>155.573819893246</v>
      </c>
      <c r="H473" s="8" t="n">
        <v>65697.7625033605</v>
      </c>
      <c r="I473" s="9" t="n">
        <v>4.6114022218187</v>
      </c>
      <c r="J473" s="9" t="n">
        <v>28.5153387074829</v>
      </c>
      <c r="K473" s="3" t="s">
        <v>187</v>
      </c>
      <c r="L473" s="3" t="s">
        <v>188</v>
      </c>
      <c r="M473" s="7" t="n">
        <v>2023</v>
      </c>
    </row>
    <row r="474" customFormat="false" ht="15" hidden="false" customHeight="false" outlineLevel="0" collapsed="false">
      <c r="A474" s="3" t="n">
        <v>681</v>
      </c>
      <c r="B474" s="3" t="s">
        <v>186</v>
      </c>
      <c r="C474" s="4" t="s">
        <v>24</v>
      </c>
      <c r="D474" s="5" t="n">
        <v>4998</v>
      </c>
      <c r="E474" s="6" t="n">
        <v>122</v>
      </c>
      <c r="F474" s="7" t="n">
        <v>65</v>
      </c>
      <c r="G474" s="6" t="n">
        <v>608.795916770024</v>
      </c>
      <c r="H474" s="8" t="n">
        <v>169278.901824786</v>
      </c>
      <c r="I474" s="9" t="n">
        <v>14.0456028938632</v>
      </c>
      <c r="J474" s="9" t="n">
        <v>108.743090811902</v>
      </c>
      <c r="K474" s="3" t="s">
        <v>187</v>
      </c>
      <c r="L474" s="3" t="s">
        <v>188</v>
      </c>
      <c r="M474" s="7" t="n">
        <v>2024</v>
      </c>
    </row>
    <row r="475" customFormat="false" ht="15" hidden="false" customHeight="false" outlineLevel="0" collapsed="false">
      <c r="A475" s="3" t="n">
        <v>682</v>
      </c>
      <c r="B475" s="3" t="s">
        <v>189</v>
      </c>
      <c r="C475" s="4" t="s">
        <v>14</v>
      </c>
      <c r="D475" s="5" t="n">
        <v>3085</v>
      </c>
      <c r="E475" s="6" t="n">
        <v>50</v>
      </c>
      <c r="F475" s="7" t="n">
        <v>55</v>
      </c>
      <c r="G475" s="6" t="n">
        <v>240.11428606599</v>
      </c>
      <c r="H475" s="8" t="n">
        <v>33616.0000492386</v>
      </c>
      <c r="I475" s="9" t="n">
        <v>22.3752833075595</v>
      </c>
      <c r="J475" s="9" t="n">
        <v>69.4846741669936</v>
      </c>
      <c r="K475" s="3" t="s">
        <v>190</v>
      </c>
      <c r="L475" s="3" t="s">
        <v>191</v>
      </c>
      <c r="M475" s="7" t="n">
        <v>2016</v>
      </c>
    </row>
    <row r="476" customFormat="false" ht="15" hidden="false" customHeight="false" outlineLevel="0" collapsed="false">
      <c r="A476" s="3" t="n">
        <v>683</v>
      </c>
      <c r="B476" s="3" t="s">
        <v>189</v>
      </c>
      <c r="C476" s="4" t="s">
        <v>17</v>
      </c>
      <c r="D476" s="5" t="n">
        <v>3085</v>
      </c>
      <c r="E476" s="6" t="n">
        <v>50</v>
      </c>
      <c r="F476" s="7" t="n">
        <v>56</v>
      </c>
      <c r="G476" s="6" t="n">
        <v>127.735013058376</v>
      </c>
      <c r="H476" s="8" t="n">
        <v>17882.9018281726</v>
      </c>
      <c r="I476" s="9" t="n">
        <v>16.7984829247477</v>
      </c>
      <c r="J476" s="9" t="n">
        <v>37.0657218908267</v>
      </c>
      <c r="K476" s="3" t="s">
        <v>190</v>
      </c>
      <c r="L476" s="3" t="s">
        <v>191</v>
      </c>
      <c r="M476" s="7" t="n">
        <v>2017</v>
      </c>
    </row>
    <row r="477" customFormat="false" ht="15" hidden="false" customHeight="false" outlineLevel="0" collapsed="false">
      <c r="A477" s="3" t="n">
        <v>684</v>
      </c>
      <c r="B477" s="3" t="s">
        <v>189</v>
      </c>
      <c r="C477" s="4" t="s">
        <v>18</v>
      </c>
      <c r="D477" s="5" t="n">
        <v>3529</v>
      </c>
      <c r="E477" s="6" t="n">
        <v>61</v>
      </c>
      <c r="F477" s="7" t="n">
        <v>71</v>
      </c>
      <c r="G477" s="6" t="n">
        <v>159.636955545685</v>
      </c>
      <c r="H477" s="8" t="n">
        <v>22349.1737763959</v>
      </c>
      <c r="I477" s="9" t="n">
        <v>19.1338785528022</v>
      </c>
      <c r="J477" s="9" t="n">
        <v>40.4948181328934</v>
      </c>
      <c r="K477" s="3" t="s">
        <v>190</v>
      </c>
      <c r="L477" s="3" t="s">
        <v>191</v>
      </c>
      <c r="M477" s="7" t="n">
        <v>2018</v>
      </c>
    </row>
    <row r="478" customFormat="false" ht="15" hidden="false" customHeight="false" outlineLevel="0" collapsed="false">
      <c r="A478" s="3" t="n">
        <v>685</v>
      </c>
      <c r="B478" s="3" t="s">
        <v>189</v>
      </c>
      <c r="C478" s="4" t="s">
        <v>20</v>
      </c>
      <c r="D478" s="5" t="n">
        <v>3488</v>
      </c>
      <c r="E478" s="6" t="n">
        <v>61</v>
      </c>
      <c r="F478" s="7" t="n">
        <v>72</v>
      </c>
      <c r="G478" s="6" t="n">
        <v>217.801819048223</v>
      </c>
      <c r="H478" s="8" t="n">
        <v>23311.3286927313</v>
      </c>
      <c r="I478" s="9" t="n">
        <v>15.4380837103678</v>
      </c>
      <c r="J478" s="9" t="n">
        <v>55.7456803276066</v>
      </c>
      <c r="K478" s="3" t="s">
        <v>190</v>
      </c>
      <c r="L478" s="3" t="s">
        <v>191</v>
      </c>
      <c r="M478" s="7" t="n">
        <v>2020</v>
      </c>
    </row>
    <row r="479" customFormat="false" ht="15" hidden="false" customHeight="false" outlineLevel="0" collapsed="false">
      <c r="A479" s="3" t="n">
        <v>686</v>
      </c>
      <c r="B479" s="3" t="s">
        <v>192</v>
      </c>
      <c r="C479" s="4" t="s">
        <v>14</v>
      </c>
      <c r="D479" s="5" t="n">
        <v>4945</v>
      </c>
      <c r="E479" s="6" t="n">
        <v>75</v>
      </c>
      <c r="F479" s="7" t="n">
        <v>56</v>
      </c>
      <c r="G479" s="6" t="n">
        <v>97.0408665842387</v>
      </c>
      <c r="H479" s="8" t="n">
        <v>28017.9224250849</v>
      </c>
      <c r="I479" s="9" t="n">
        <v>5.43835140208684</v>
      </c>
      <c r="J479" s="9" t="n">
        <v>17.5192118328134</v>
      </c>
      <c r="K479" s="3" t="s">
        <v>193</v>
      </c>
      <c r="L479" s="3" t="s">
        <v>194</v>
      </c>
      <c r="M479" s="7" t="n">
        <v>2016</v>
      </c>
    </row>
    <row r="480" customFormat="false" ht="15" hidden="false" customHeight="false" outlineLevel="0" collapsed="false">
      <c r="A480" s="3" t="n">
        <v>687</v>
      </c>
      <c r="B480" s="3" t="s">
        <v>192</v>
      </c>
      <c r="C480" s="4" t="s">
        <v>18</v>
      </c>
      <c r="D480" s="5" t="n">
        <v>5103</v>
      </c>
      <c r="E480" s="6" t="n">
        <v>84</v>
      </c>
      <c r="F480" s="7" t="n">
        <v>65</v>
      </c>
      <c r="G480" s="6" t="n">
        <v>15.1023923454065</v>
      </c>
      <c r="H480" s="8" t="n">
        <v>2724.30163698639</v>
      </c>
      <c r="I480" s="9" t="n">
        <v>2.74210450613353</v>
      </c>
      <c r="J480" s="9" t="n">
        <v>2.64934096520634</v>
      </c>
      <c r="K480" s="3" t="s">
        <v>193</v>
      </c>
      <c r="L480" s="3" t="s">
        <v>194</v>
      </c>
      <c r="M480" s="7" t="n">
        <v>2018</v>
      </c>
    </row>
    <row r="481" customFormat="false" ht="15" hidden="false" customHeight="false" outlineLevel="0" collapsed="false">
      <c r="A481" s="3" t="n">
        <v>688</v>
      </c>
      <c r="B481" s="3" t="s">
        <v>192</v>
      </c>
      <c r="C481" s="4" t="s">
        <v>19</v>
      </c>
      <c r="D481" s="5" t="n">
        <v>5103</v>
      </c>
      <c r="E481" s="6" t="n">
        <v>84</v>
      </c>
      <c r="F481" s="7" t="n">
        <v>65</v>
      </c>
      <c r="G481" s="6" t="n">
        <v>15.1023923454065</v>
      </c>
      <c r="H481" s="8" t="n">
        <v>19604.2051436399</v>
      </c>
      <c r="I481" s="9" t="n">
        <v>2.74210450613353</v>
      </c>
      <c r="J481" s="9" t="n">
        <v>2.64934096520634</v>
      </c>
      <c r="K481" s="3" t="s">
        <v>193</v>
      </c>
      <c r="L481" s="3" t="s">
        <v>194</v>
      </c>
      <c r="M481" s="7" t="n">
        <v>2019</v>
      </c>
    </row>
    <row r="482" customFormat="false" ht="15" hidden="false" customHeight="false" outlineLevel="0" collapsed="false">
      <c r="A482" s="3" t="n">
        <v>689</v>
      </c>
      <c r="B482" s="3" t="s">
        <v>192</v>
      </c>
      <c r="C482" s="4" t="s">
        <v>20</v>
      </c>
      <c r="D482" s="5" t="n">
        <v>5242</v>
      </c>
      <c r="E482" s="6" t="n">
        <v>87</v>
      </c>
      <c r="F482" s="7" t="n">
        <v>52</v>
      </c>
      <c r="G482" s="6" t="n">
        <v>488.474896307849</v>
      </c>
      <c r="H482" s="8" t="n">
        <v>56413.521707011</v>
      </c>
      <c r="I482" s="9" t="n">
        <v>17.0386746464151</v>
      </c>
      <c r="J482" s="9" t="n">
        <v>83.1900578764818</v>
      </c>
      <c r="K482" s="3" t="s">
        <v>193</v>
      </c>
      <c r="L482" s="3" t="s">
        <v>194</v>
      </c>
      <c r="M482" s="7" t="n">
        <v>2020</v>
      </c>
    </row>
    <row r="483" customFormat="false" ht="15" hidden="false" customHeight="false" outlineLevel="0" collapsed="false">
      <c r="A483" s="3" t="n">
        <v>690</v>
      </c>
      <c r="B483" s="3" t="s">
        <v>192</v>
      </c>
      <c r="C483" s="4" t="s">
        <v>21</v>
      </c>
      <c r="D483" s="5" t="n">
        <v>5242</v>
      </c>
      <c r="E483" s="6" t="n">
        <v>87</v>
      </c>
      <c r="F483" s="7" t="n">
        <v>52</v>
      </c>
      <c r="G483" s="6" t="n">
        <v>-84.584071668708</v>
      </c>
      <c r="H483" s="8" t="n">
        <v>-15187.9584909644</v>
      </c>
      <c r="I483" s="9" t="n">
        <v>-0.0586686641688486</v>
      </c>
      <c r="J483" s="9" t="n">
        <v>-14.4447239002185</v>
      </c>
      <c r="K483" s="3" t="s">
        <v>193</v>
      </c>
      <c r="L483" s="3" t="s">
        <v>194</v>
      </c>
      <c r="M483" s="7" t="n">
        <v>2021</v>
      </c>
    </row>
    <row r="484" customFormat="false" ht="15" hidden="false" customHeight="false" outlineLevel="0" collapsed="false">
      <c r="A484" s="3" t="n">
        <v>691</v>
      </c>
      <c r="B484" s="3" t="s">
        <v>192</v>
      </c>
      <c r="C484" s="4" t="s">
        <v>22</v>
      </c>
      <c r="D484" s="5" t="n">
        <v>5343</v>
      </c>
      <c r="E484" s="6" t="n">
        <v>87</v>
      </c>
      <c r="F484" s="7" t="n">
        <v>52</v>
      </c>
      <c r="G484" s="6" t="n">
        <v>609.674604731352</v>
      </c>
      <c r="H484" s="8" t="n">
        <v>124565.779537458</v>
      </c>
      <c r="I484" s="9" t="n">
        <v>19.5654637871958</v>
      </c>
      <c r="J484" s="9" t="n">
        <v>102.148173550643</v>
      </c>
      <c r="K484" s="3" t="s">
        <v>193</v>
      </c>
      <c r="L484" s="3" t="s">
        <v>194</v>
      </c>
      <c r="M484" s="7" t="n">
        <v>2022</v>
      </c>
    </row>
    <row r="485" customFormat="false" ht="15" hidden="false" customHeight="false" outlineLevel="0" collapsed="false">
      <c r="A485" s="3" t="n">
        <v>692</v>
      </c>
      <c r="B485" s="3" t="s">
        <v>192</v>
      </c>
      <c r="C485" s="4" t="s">
        <v>23</v>
      </c>
      <c r="D485" s="5" t="n">
        <v>5531</v>
      </c>
      <c r="E485" s="6" t="n">
        <v>87</v>
      </c>
      <c r="F485" s="7" t="n">
        <v>52</v>
      </c>
      <c r="G485" s="6" t="n">
        <v>537.913929298731</v>
      </c>
      <c r="H485" s="8" t="n">
        <v>139608.164866322</v>
      </c>
      <c r="I485" s="9" t="n">
        <v>19.3364671364935</v>
      </c>
      <c r="J485" s="9" t="n">
        <v>87.0616325247311</v>
      </c>
      <c r="K485" s="3" t="s">
        <v>193</v>
      </c>
      <c r="L485" s="3" t="s">
        <v>194</v>
      </c>
      <c r="M485" s="7" t="n">
        <v>2023</v>
      </c>
    </row>
    <row r="486" customFormat="false" ht="15" hidden="false" customHeight="false" outlineLevel="0" collapsed="false">
      <c r="A486" s="3" t="n">
        <v>703</v>
      </c>
      <c r="B486" s="3" t="s">
        <v>195</v>
      </c>
      <c r="C486" s="4" t="s">
        <v>14</v>
      </c>
      <c r="D486" s="5" t="n">
        <v>3021</v>
      </c>
      <c r="E486" s="6" t="n">
        <v>45.82</v>
      </c>
      <c r="F486" s="7" t="n">
        <v>57</v>
      </c>
      <c r="G486" s="6" t="n">
        <v>74.7223853899958</v>
      </c>
      <c r="H486" s="8" t="n">
        <v>59890.2017846919</v>
      </c>
      <c r="I486" s="9" t="n">
        <v>6.05583966684017</v>
      </c>
      <c r="J486" s="9" t="n">
        <v>22.0813792055751</v>
      </c>
      <c r="K486" s="3" t="s">
        <v>196</v>
      </c>
      <c r="L486" s="3" t="s">
        <v>174</v>
      </c>
      <c r="M486" s="7" t="n">
        <v>2016</v>
      </c>
    </row>
    <row r="487" customFormat="false" ht="15" hidden="false" customHeight="false" outlineLevel="0" collapsed="false">
      <c r="A487" s="3" t="n">
        <v>704</v>
      </c>
      <c r="B487" s="3" t="s">
        <v>195</v>
      </c>
      <c r="C487" s="4" t="s">
        <v>17</v>
      </c>
      <c r="D487" s="5" t="n">
        <v>3064</v>
      </c>
      <c r="E487" s="6" t="n">
        <v>45.82</v>
      </c>
      <c r="F487" s="7" t="n">
        <v>57</v>
      </c>
      <c r="G487" s="6" t="n">
        <v>81.1878368046888</v>
      </c>
      <c r="H487" s="8" t="n">
        <v>66486.8940213844</v>
      </c>
      <c r="I487" s="9" t="n">
        <v>6.49982576851097</v>
      </c>
      <c r="J487" s="9" t="n">
        <v>23.720283952103</v>
      </c>
      <c r="K487" s="3" t="s">
        <v>196</v>
      </c>
      <c r="L487" s="3" t="s">
        <v>174</v>
      </c>
      <c r="M487" s="7" t="n">
        <v>2017</v>
      </c>
    </row>
    <row r="488" customFormat="false" ht="15" hidden="false" customHeight="false" outlineLevel="0" collapsed="false">
      <c r="A488" s="3" t="n">
        <v>705</v>
      </c>
      <c r="B488" s="3" t="s">
        <v>195</v>
      </c>
      <c r="C488" s="4" t="s">
        <v>18</v>
      </c>
      <c r="D488" s="5" t="n">
        <v>3112</v>
      </c>
      <c r="E488" s="6" t="n">
        <v>47.67</v>
      </c>
      <c r="F488" s="7" t="n">
        <v>57</v>
      </c>
      <c r="G488" s="6" t="n">
        <v>108.314535680215</v>
      </c>
      <c r="H488" s="8" t="n">
        <v>91060.7613492525</v>
      </c>
      <c r="I488" s="9" t="n">
        <v>7.96895516629465</v>
      </c>
      <c r="J488" s="9" t="n">
        <v>31.1576596142668</v>
      </c>
      <c r="K488" s="3" t="s">
        <v>196</v>
      </c>
      <c r="L488" s="3" t="s">
        <v>174</v>
      </c>
      <c r="M488" s="7" t="n">
        <v>2018</v>
      </c>
    </row>
    <row r="489" customFormat="false" ht="15" hidden="false" customHeight="false" outlineLevel="0" collapsed="false">
      <c r="A489" s="3" t="n">
        <v>706</v>
      </c>
      <c r="B489" s="3" t="s">
        <v>195</v>
      </c>
      <c r="C489" s="4" t="s">
        <v>19</v>
      </c>
      <c r="D489" s="5" t="n">
        <v>3266</v>
      </c>
      <c r="E489" s="6" t="n">
        <v>47.7</v>
      </c>
      <c r="F489" s="7" t="n">
        <v>57</v>
      </c>
      <c r="G489" s="6" t="n">
        <v>120.29971630905</v>
      </c>
      <c r="H489" s="8" t="n">
        <v>106901.05625385</v>
      </c>
      <c r="I489" s="9" t="n">
        <v>8.80777795450932</v>
      </c>
      <c r="J489" s="9" t="n">
        <v>32.9735796543645</v>
      </c>
      <c r="K489" s="3" t="s">
        <v>196</v>
      </c>
      <c r="L489" s="3" t="s">
        <v>174</v>
      </c>
      <c r="M489" s="7" t="n">
        <v>2019</v>
      </c>
    </row>
    <row r="490" customFormat="false" ht="15" hidden="false" customHeight="false" outlineLevel="0" collapsed="false">
      <c r="A490" s="3" t="n">
        <v>707</v>
      </c>
      <c r="B490" s="3" t="s">
        <v>195</v>
      </c>
      <c r="C490" s="4" t="s">
        <v>20</v>
      </c>
      <c r="D490" s="5" t="n">
        <v>3340</v>
      </c>
      <c r="E490" s="6" t="n">
        <v>47.7</v>
      </c>
      <c r="F490" s="7" t="n">
        <v>59</v>
      </c>
      <c r="G490" s="6" t="n">
        <v>94.318517519661</v>
      </c>
      <c r="H490" s="8" t="n">
        <v>81348.4686572653</v>
      </c>
      <c r="I490" s="9" t="n">
        <v>8.01570252277506</v>
      </c>
      <c r="J490" s="9" t="n">
        <v>25.2102233223682</v>
      </c>
      <c r="K490" s="3" t="s">
        <v>196</v>
      </c>
      <c r="L490" s="3" t="s">
        <v>174</v>
      </c>
      <c r="M490" s="7" t="n">
        <v>2020</v>
      </c>
    </row>
    <row r="491" customFormat="false" ht="15" hidden="false" customHeight="false" outlineLevel="0" collapsed="false">
      <c r="A491" s="3" t="n">
        <v>708</v>
      </c>
      <c r="B491" s="3" t="s">
        <v>195</v>
      </c>
      <c r="C491" s="4" t="s">
        <v>21</v>
      </c>
      <c r="D491" s="5" t="n">
        <v>3467</v>
      </c>
      <c r="E491" s="6" t="n">
        <v>47.7</v>
      </c>
      <c r="F491" s="7" t="n">
        <v>59</v>
      </c>
      <c r="G491" s="6" t="n">
        <v>176.448910694706</v>
      </c>
      <c r="H491" s="8" t="n">
        <v>157565.114135421</v>
      </c>
      <c r="I491" s="9" t="n">
        <v>11.0269356115458</v>
      </c>
      <c r="J491" s="9" t="n">
        <v>45.5599054814948</v>
      </c>
      <c r="K491" s="3" t="s">
        <v>196</v>
      </c>
      <c r="L491" s="3" t="s">
        <v>174</v>
      </c>
      <c r="M491" s="7" t="n">
        <v>2021</v>
      </c>
    </row>
    <row r="492" customFormat="false" ht="15" hidden="false" customHeight="false" outlineLevel="0" collapsed="false">
      <c r="A492" s="3" t="n">
        <v>709</v>
      </c>
      <c r="B492" s="3" t="s">
        <v>195</v>
      </c>
      <c r="C492" s="4" t="s">
        <v>22</v>
      </c>
      <c r="D492" s="5" t="n">
        <v>3467</v>
      </c>
      <c r="E492" s="6" t="n">
        <v>46.4</v>
      </c>
      <c r="F492" s="7" t="n">
        <v>68</v>
      </c>
      <c r="G492" s="6" t="n">
        <v>216.207919786062</v>
      </c>
      <c r="H492" s="8" t="n">
        <v>127297.50489352</v>
      </c>
      <c r="I492" s="9" t="n">
        <v>13.1848135836099</v>
      </c>
      <c r="J492" s="9" t="n">
        <v>55.8258611573233</v>
      </c>
      <c r="K492" s="3" t="s">
        <v>196</v>
      </c>
      <c r="L492" s="3" t="s">
        <v>174</v>
      </c>
      <c r="M492" s="7" t="n">
        <v>2022</v>
      </c>
    </row>
    <row r="493" customFormat="false" ht="15" hidden="false" customHeight="false" outlineLevel="0" collapsed="false">
      <c r="A493" s="3" t="n">
        <v>710</v>
      </c>
      <c r="B493" s="3" t="s">
        <v>195</v>
      </c>
      <c r="C493" s="4" t="s">
        <v>23</v>
      </c>
      <c r="D493" s="5" t="n">
        <v>3512</v>
      </c>
      <c r="E493" s="6" t="n">
        <v>46.4</v>
      </c>
      <c r="F493" s="7" t="n">
        <v>68</v>
      </c>
      <c r="G493" s="6" t="n">
        <v>277.571797213783</v>
      </c>
      <c r="H493" s="8" t="n">
        <v>167061.999179821</v>
      </c>
      <c r="I493" s="9" t="n">
        <v>16.2686614116856</v>
      </c>
      <c r="J493" s="9" t="n">
        <v>70.7519647659425</v>
      </c>
      <c r="K493" s="3" t="s">
        <v>196</v>
      </c>
      <c r="L493" s="3" t="s">
        <v>174</v>
      </c>
      <c r="M493" s="7" t="n">
        <v>2023</v>
      </c>
    </row>
    <row r="494" customFormat="false" ht="15" hidden="false" customHeight="false" outlineLevel="0" collapsed="false">
      <c r="A494" s="3" t="n">
        <v>711</v>
      </c>
      <c r="B494" s="3" t="s">
        <v>195</v>
      </c>
      <c r="C494" s="4" t="s">
        <v>24</v>
      </c>
      <c r="D494" s="5" t="n">
        <v>3545</v>
      </c>
      <c r="E494" s="6" t="n">
        <v>47</v>
      </c>
      <c r="F494" s="7" t="n">
        <v>68</v>
      </c>
      <c r="G494" s="6" t="n">
        <v>198.141212849067</v>
      </c>
      <c r="H494" s="8" t="n">
        <v>125236.408354077</v>
      </c>
      <c r="I494" s="9" t="n">
        <v>13.6150918630614</v>
      </c>
      <c r="J494" s="9" t="n">
        <v>49.8981875673484</v>
      </c>
      <c r="K494" s="3" t="s">
        <v>196</v>
      </c>
      <c r="L494" s="3" t="s">
        <v>174</v>
      </c>
      <c r="M494" s="7" t="n">
        <v>2024</v>
      </c>
    </row>
    <row r="495" customFormat="false" ht="15" hidden="false" customHeight="false" outlineLevel="0" collapsed="false">
      <c r="A495" s="3" t="n">
        <v>712</v>
      </c>
      <c r="B495" s="3" t="s">
        <v>195</v>
      </c>
      <c r="C495" s="4" t="s">
        <v>37</v>
      </c>
      <c r="D495" s="5" t="n">
        <v>3552</v>
      </c>
      <c r="E495" s="6" t="n">
        <v>47</v>
      </c>
      <c r="F495" s="7" t="n">
        <v>75</v>
      </c>
      <c r="G495" s="6" t="n">
        <v>228.453730262397</v>
      </c>
      <c r="H495" s="8" t="n">
        <v>142427.384076331</v>
      </c>
      <c r="I495" s="9" t="n">
        <v>15.1079910316963</v>
      </c>
      <c r="J495" s="9" t="n">
        <v>57.5761964005206</v>
      </c>
      <c r="K495" s="3" t="s">
        <v>196</v>
      </c>
      <c r="L495" s="3" t="s">
        <v>174</v>
      </c>
      <c r="M495" s="7" t="n">
        <v>2025</v>
      </c>
    </row>
    <row r="496" customFormat="false" ht="15" hidden="false" customHeight="false" outlineLevel="0" collapsed="false">
      <c r="A496" s="3" t="n">
        <v>722</v>
      </c>
      <c r="B496" s="3" t="s">
        <v>197</v>
      </c>
      <c r="C496" s="4" t="s">
        <v>14</v>
      </c>
      <c r="D496" s="5" t="n">
        <v>10550</v>
      </c>
      <c r="E496" s="6" t="n">
        <v>219.19</v>
      </c>
      <c r="F496" s="7" t="n">
        <v>73</v>
      </c>
      <c r="G496" s="6" t="n">
        <v>474.793261239971</v>
      </c>
      <c r="H496" s="8"/>
      <c r="I496" s="9" t="n">
        <v>8.76258309101144</v>
      </c>
      <c r="J496" s="9" t="n">
        <v>40.1770717310409</v>
      </c>
      <c r="K496" s="3" t="s">
        <v>198</v>
      </c>
      <c r="L496" s="3" t="s">
        <v>174</v>
      </c>
      <c r="M496" s="7" t="n">
        <v>2016</v>
      </c>
    </row>
    <row r="497" customFormat="false" ht="15" hidden="false" customHeight="false" outlineLevel="0" collapsed="false">
      <c r="A497" s="3" t="n">
        <v>723</v>
      </c>
      <c r="B497" s="3" t="s">
        <v>197</v>
      </c>
      <c r="C497" s="4" t="s">
        <v>17</v>
      </c>
      <c r="D497" s="5" t="n">
        <v>10741</v>
      </c>
      <c r="E497" s="6" t="n">
        <v>221</v>
      </c>
      <c r="F497" s="7" t="n">
        <v>56</v>
      </c>
      <c r="G497" s="6" t="n">
        <v>456.265375699967</v>
      </c>
      <c r="H497" s="8"/>
      <c r="I497" s="9" t="n">
        <v>9.7278524823591</v>
      </c>
      <c r="J497" s="9" t="n">
        <v>38.0268604477477</v>
      </c>
      <c r="K497" s="3" t="s">
        <v>198</v>
      </c>
      <c r="L497" s="3" t="s">
        <v>174</v>
      </c>
      <c r="M497" s="7" t="n">
        <v>2017</v>
      </c>
    </row>
    <row r="498" customFormat="false" ht="15" hidden="false" customHeight="false" outlineLevel="0" collapsed="false">
      <c r="A498" s="3" t="n">
        <v>724</v>
      </c>
      <c r="B498" s="3" t="s">
        <v>197</v>
      </c>
      <c r="C498" s="4" t="s">
        <v>18</v>
      </c>
      <c r="D498" s="5" t="n">
        <v>10892</v>
      </c>
      <c r="E498" s="6" t="n">
        <v>221</v>
      </c>
      <c r="F498" s="7" t="n">
        <v>53</v>
      </c>
      <c r="G498" s="6" t="n">
        <v>193.922322763873</v>
      </c>
      <c r="H498" s="8" t="n">
        <v>123329.759877984</v>
      </c>
      <c r="I498" s="9" t="n">
        <v>6.02335576081603</v>
      </c>
      <c r="J498" s="9" t="n">
        <v>15.9381476663311</v>
      </c>
      <c r="K498" s="3" t="s">
        <v>198</v>
      </c>
      <c r="L498" s="3" t="s">
        <v>174</v>
      </c>
      <c r="M498" s="7" t="n">
        <v>2018</v>
      </c>
    </row>
    <row r="499" customFormat="false" ht="15" hidden="false" customHeight="false" outlineLevel="0" collapsed="false">
      <c r="A499" s="3" t="n">
        <v>725</v>
      </c>
      <c r="B499" s="3" t="s">
        <v>197</v>
      </c>
      <c r="C499" s="4" t="s">
        <v>19</v>
      </c>
      <c r="D499" s="5" t="n">
        <v>11039</v>
      </c>
      <c r="E499" s="6" t="n">
        <v>223.93</v>
      </c>
      <c r="F499" s="7" t="n">
        <v>53</v>
      </c>
      <c r="G499" s="6" t="n">
        <v>252.252898928832</v>
      </c>
      <c r="H499" s="8" t="n">
        <v>78285.9191148995</v>
      </c>
      <c r="I499" s="9" t="n">
        <v>7.00773328875171</v>
      </c>
      <c r="J499" s="9" t="n">
        <v>20.4561597714145</v>
      </c>
      <c r="K499" s="3" t="s">
        <v>198</v>
      </c>
      <c r="L499" s="3" t="s">
        <v>174</v>
      </c>
      <c r="M499" s="7" t="n">
        <v>2019</v>
      </c>
    </row>
    <row r="500" customFormat="false" ht="15" hidden="false" customHeight="false" outlineLevel="0" collapsed="false">
      <c r="A500" s="3" t="n">
        <v>726</v>
      </c>
      <c r="B500" s="3" t="s">
        <v>197</v>
      </c>
      <c r="C500" s="4" t="s">
        <v>20</v>
      </c>
      <c r="D500" s="5" t="n">
        <v>11095</v>
      </c>
      <c r="E500" s="6" t="n">
        <v>224.8</v>
      </c>
      <c r="F500" s="7" t="n">
        <v>53</v>
      </c>
      <c r="G500" s="6" t="n">
        <v>426.941981649438</v>
      </c>
      <c r="H500" s="8" t="n">
        <v>136356.535118701</v>
      </c>
      <c r="I500" s="9" t="n">
        <v>8.60808840154968</v>
      </c>
      <c r="J500" s="9" t="n">
        <v>34.353243572003</v>
      </c>
      <c r="K500" s="3" t="s">
        <v>198</v>
      </c>
      <c r="L500" s="3" t="s">
        <v>174</v>
      </c>
      <c r="M500" s="7" t="n">
        <v>2020</v>
      </c>
    </row>
    <row r="501" customFormat="false" ht="15" hidden="false" customHeight="false" outlineLevel="0" collapsed="false">
      <c r="A501" s="3" t="n">
        <v>727</v>
      </c>
      <c r="B501" s="3" t="s">
        <v>199</v>
      </c>
      <c r="C501" s="4" t="s">
        <v>14</v>
      </c>
      <c r="D501" s="5" t="n">
        <v>46397</v>
      </c>
      <c r="E501" s="6" t="n">
        <v>525</v>
      </c>
      <c r="F501" s="7" t="n">
        <v>55</v>
      </c>
      <c r="G501" s="6" t="n">
        <v>247.925646428569</v>
      </c>
      <c r="H501" s="8" t="n">
        <v>61220.2798726065</v>
      </c>
      <c r="I501" s="9" t="n">
        <v>3.36920206936033</v>
      </c>
      <c r="J501" s="9" t="n">
        <v>4.77043241839241</v>
      </c>
      <c r="K501" s="3" t="s">
        <v>200</v>
      </c>
      <c r="L501" s="3" t="s">
        <v>201</v>
      </c>
      <c r="M501" s="7" t="n">
        <v>2016</v>
      </c>
    </row>
    <row r="502" customFormat="false" ht="15" hidden="false" customHeight="false" outlineLevel="0" collapsed="false">
      <c r="A502" s="3" t="n">
        <v>728</v>
      </c>
      <c r="B502" s="3" t="s">
        <v>199</v>
      </c>
      <c r="C502" s="4" t="s">
        <v>17</v>
      </c>
      <c r="D502" s="5" t="n">
        <v>46748</v>
      </c>
      <c r="E502" s="6" t="n">
        <v>589</v>
      </c>
      <c r="F502" s="7" t="n">
        <v>58</v>
      </c>
      <c r="G502" s="6" t="n">
        <v>1762.96001806123</v>
      </c>
      <c r="H502" s="8" t="n">
        <v>263826.966702863</v>
      </c>
      <c r="I502" s="9" t="n">
        <v>6.85672655121694</v>
      </c>
      <c r="J502" s="9" t="n">
        <v>33.7595852279083</v>
      </c>
      <c r="K502" s="3" t="s">
        <v>200</v>
      </c>
      <c r="L502" s="3" t="s">
        <v>201</v>
      </c>
      <c r="M502" s="7" t="n">
        <v>2017</v>
      </c>
    </row>
    <row r="503" customFormat="false" ht="15" hidden="false" customHeight="false" outlineLevel="0" collapsed="false">
      <c r="A503" s="3" t="n">
        <v>729</v>
      </c>
      <c r="B503" s="3" t="s">
        <v>199</v>
      </c>
      <c r="C503" s="4" t="s">
        <v>18</v>
      </c>
      <c r="D503" s="5" t="n">
        <v>46237</v>
      </c>
      <c r="E503" s="6" t="n">
        <v>594</v>
      </c>
      <c r="F503" s="7" t="n">
        <v>65</v>
      </c>
      <c r="G503" s="6" t="n">
        <v>-2004.93871343061</v>
      </c>
      <c r="H503" s="8" t="n">
        <v>-266974.321724554</v>
      </c>
      <c r="I503" s="9" t="n">
        <v>-2.14718408006792</v>
      </c>
      <c r="J503" s="9" t="n">
        <v>-38.8176400227303</v>
      </c>
      <c r="K503" s="3" t="s">
        <v>200</v>
      </c>
      <c r="L503" s="3" t="s">
        <v>201</v>
      </c>
      <c r="M503" s="7" t="n">
        <v>2018</v>
      </c>
    </row>
    <row r="504" customFormat="false" ht="15" hidden="false" customHeight="false" outlineLevel="0" collapsed="false">
      <c r="A504" s="3" t="n">
        <v>730</v>
      </c>
      <c r="B504" s="3" t="s">
        <v>199</v>
      </c>
      <c r="C504" s="4" t="s">
        <v>19</v>
      </c>
      <c r="D504" s="5" t="n">
        <v>47167</v>
      </c>
      <c r="E504" s="6" t="n">
        <v>598</v>
      </c>
      <c r="F504" s="7" t="n">
        <v>60</v>
      </c>
      <c r="G504" s="6" t="n">
        <v>1253.60854303955</v>
      </c>
      <c r="H504" s="8" t="n">
        <v>179392.255907689</v>
      </c>
      <c r="I504" s="9" t="n">
        <v>5.61822809408291</v>
      </c>
      <c r="J504" s="9" t="n">
        <v>23.7925704107932</v>
      </c>
      <c r="K504" s="3" t="s">
        <v>200</v>
      </c>
      <c r="L504" s="3" t="s">
        <v>201</v>
      </c>
      <c r="M504" s="7" t="n">
        <v>2019</v>
      </c>
    </row>
    <row r="505" customFormat="false" ht="15" hidden="false" customHeight="false" outlineLevel="0" collapsed="false">
      <c r="A505" s="3" t="n">
        <v>731</v>
      </c>
      <c r="B505" s="3" t="s">
        <v>199</v>
      </c>
      <c r="C505" s="4" t="s">
        <v>20</v>
      </c>
      <c r="D505" s="5" t="n">
        <v>48140</v>
      </c>
      <c r="E505" s="6" t="n">
        <v>613</v>
      </c>
      <c r="F505" s="7" t="n">
        <v>64</v>
      </c>
      <c r="G505" s="6" t="n">
        <v>1948.20206785714</v>
      </c>
      <c r="H505" s="8" t="n">
        <v>288820.956559821</v>
      </c>
      <c r="I505" s="9" t="n">
        <v>6.86698635448545</v>
      </c>
      <c r="J505" s="9" t="n">
        <v>36.1288474832718</v>
      </c>
      <c r="K505" s="3" t="s">
        <v>200</v>
      </c>
      <c r="L505" s="3" t="s">
        <v>201</v>
      </c>
      <c r="M505" s="7" t="n">
        <v>2020</v>
      </c>
    </row>
    <row r="506" customFormat="false" ht="15" hidden="false" customHeight="false" outlineLevel="0" collapsed="false">
      <c r="A506" s="3" t="n">
        <v>732</v>
      </c>
      <c r="B506" s="3" t="s">
        <v>199</v>
      </c>
      <c r="C506" s="4" t="s">
        <v>21</v>
      </c>
      <c r="D506" s="5" t="n">
        <v>50029</v>
      </c>
      <c r="E506" s="6" t="n">
        <v>618</v>
      </c>
      <c r="F506" s="7" t="n">
        <v>61</v>
      </c>
      <c r="G506" s="6" t="n">
        <v>2587.46184897959</v>
      </c>
      <c r="H506" s="8" t="n">
        <v>387161.916462816</v>
      </c>
      <c r="I506" s="9" t="n">
        <v>8.02531360359228</v>
      </c>
      <c r="J506" s="9" t="n">
        <v>46.2988077328253</v>
      </c>
      <c r="K506" s="3" t="s">
        <v>200</v>
      </c>
      <c r="L506" s="3" t="s">
        <v>201</v>
      </c>
      <c r="M506" s="7" t="n">
        <v>2021</v>
      </c>
    </row>
    <row r="507" customFormat="false" ht="15" hidden="false" customHeight="false" outlineLevel="0" collapsed="false">
      <c r="A507" s="3" t="n">
        <v>733</v>
      </c>
      <c r="B507" s="3" t="s">
        <v>199</v>
      </c>
      <c r="C507" s="4" t="s">
        <v>22</v>
      </c>
      <c r="D507" s="5" t="n">
        <v>50838</v>
      </c>
      <c r="E507" s="6" t="n">
        <v>620</v>
      </c>
      <c r="F507" s="7" t="n">
        <v>65</v>
      </c>
      <c r="G507" s="6" t="n">
        <v>1181.40432122449</v>
      </c>
      <c r="H507" s="8" t="n">
        <v>276495.867339379</v>
      </c>
      <c r="I507" s="9" t="n">
        <v>5.39781456673538</v>
      </c>
      <c r="J507" s="9" t="n">
        <v>20.8030863970039</v>
      </c>
      <c r="K507" s="3" t="s">
        <v>200</v>
      </c>
      <c r="L507" s="3" t="s">
        <v>201</v>
      </c>
      <c r="M507" s="7" t="n">
        <v>2022</v>
      </c>
    </row>
    <row r="508" customFormat="false" ht="15" hidden="false" customHeight="false" outlineLevel="0" collapsed="false">
      <c r="A508" s="3" t="n">
        <v>734</v>
      </c>
      <c r="B508" s="3" t="s">
        <v>199</v>
      </c>
      <c r="C508" s="4" t="s">
        <v>23</v>
      </c>
      <c r="D508" s="5" t="n">
        <v>51357</v>
      </c>
      <c r="E508" s="6" t="n">
        <v>630.68</v>
      </c>
      <c r="F508" s="7" t="n">
        <v>66</v>
      </c>
      <c r="G508" s="6" t="n">
        <v>1555.7960319377</v>
      </c>
      <c r="H508" s="8" t="n">
        <v>486124.028139255</v>
      </c>
      <c r="I508" s="9" t="n">
        <v>6.40161577244841</v>
      </c>
      <c r="J508" s="9" t="n">
        <v>27.1188136825315</v>
      </c>
      <c r="K508" s="3" t="s">
        <v>200</v>
      </c>
      <c r="L508" s="3" t="s">
        <v>201</v>
      </c>
      <c r="M508" s="7" t="n">
        <v>2023</v>
      </c>
    </row>
    <row r="509" customFormat="false" ht="15" hidden="false" customHeight="false" outlineLevel="0" collapsed="false">
      <c r="A509" s="3" t="n">
        <v>735</v>
      </c>
      <c r="B509" s="3" t="s">
        <v>199</v>
      </c>
      <c r="C509" s="4" t="s">
        <v>24</v>
      </c>
      <c r="D509" s="5" t="n">
        <v>51664</v>
      </c>
      <c r="E509" s="6" t="n">
        <v>640.19</v>
      </c>
      <c r="F509" s="7" t="n">
        <v>63</v>
      </c>
      <c r="G509" s="6" t="n">
        <v>2460.15865714286</v>
      </c>
      <c r="H509" s="8" t="n">
        <v>750963.430092859</v>
      </c>
      <c r="I509" s="9" t="n">
        <v>8.12009444412451</v>
      </c>
      <c r="J509" s="9" t="n">
        <v>42.51099616217</v>
      </c>
      <c r="K509" s="3" t="s">
        <v>200</v>
      </c>
      <c r="L509" s="3" t="s">
        <v>201</v>
      </c>
      <c r="M509" s="7" t="n">
        <v>2024</v>
      </c>
    </row>
    <row r="510" customFormat="false" ht="15" hidden="false" customHeight="false" outlineLevel="0" collapsed="false">
      <c r="A510" s="3" t="n">
        <v>736</v>
      </c>
      <c r="B510" s="3" t="s">
        <v>199</v>
      </c>
      <c r="C510" s="4" t="s">
        <v>37</v>
      </c>
      <c r="D510" s="5" t="n">
        <v>55158</v>
      </c>
      <c r="E510" s="6" t="n">
        <v>658.1</v>
      </c>
      <c r="F510" s="7" t="n">
        <v>58</v>
      </c>
      <c r="G510" s="6" t="n">
        <v>5845.83588524652</v>
      </c>
      <c r="H510" s="8" t="n">
        <v>1765442.43734445</v>
      </c>
      <c r="I510" s="9" t="n">
        <v>15.2991254374386</v>
      </c>
      <c r="J510" s="9" t="n">
        <v>94.8758725206322</v>
      </c>
      <c r="K510" s="3" t="s">
        <v>200</v>
      </c>
      <c r="L510" s="3" t="s">
        <v>201</v>
      </c>
      <c r="M510" s="7" t="n">
        <v>2025</v>
      </c>
    </row>
    <row r="511" customFormat="false" ht="15" hidden="false" customHeight="false" outlineLevel="0" collapsed="false">
      <c r="A511" s="3" t="n">
        <v>779</v>
      </c>
      <c r="B511" s="3" t="s">
        <v>202</v>
      </c>
      <c r="C511" s="4" t="s">
        <v>14</v>
      </c>
      <c r="D511" s="5" t="n">
        <v>7019</v>
      </c>
      <c r="E511" s="6" t="n">
        <v>119</v>
      </c>
      <c r="F511" s="7" t="n">
        <v>58</v>
      </c>
      <c r="G511" s="6" t="n">
        <v>544.289642857143</v>
      </c>
      <c r="H511" s="8" t="n">
        <v>155345.706967857</v>
      </c>
      <c r="I511" s="9" t="n">
        <v>8.01469743943047</v>
      </c>
      <c r="J511" s="9" t="n">
        <v>69.227878308639</v>
      </c>
      <c r="K511" s="3" t="s">
        <v>166</v>
      </c>
      <c r="L511" s="3" t="s">
        <v>203</v>
      </c>
      <c r="M511" s="7" t="n">
        <v>2016</v>
      </c>
    </row>
    <row r="512" customFormat="false" ht="15" hidden="false" customHeight="false" outlineLevel="0" collapsed="false">
      <c r="A512" s="3" t="n">
        <v>780</v>
      </c>
      <c r="B512" s="3" t="s">
        <v>202</v>
      </c>
      <c r="C512" s="4" t="s">
        <v>17</v>
      </c>
      <c r="D512" s="5" t="n">
        <v>6669</v>
      </c>
      <c r="E512" s="6" t="n">
        <v>123.5</v>
      </c>
      <c r="F512" s="7" t="n">
        <v>59</v>
      </c>
      <c r="G512" s="6" t="n">
        <v>735.052193877551</v>
      </c>
      <c r="H512" s="8" t="n">
        <v>219442.481960204</v>
      </c>
      <c r="I512" s="9" t="n">
        <v>12.4104279938659</v>
      </c>
      <c r="J512" s="9" t="n">
        <v>98.6677296574745</v>
      </c>
      <c r="K512" s="3" t="s">
        <v>166</v>
      </c>
      <c r="L512" s="3" t="s">
        <v>203</v>
      </c>
      <c r="M512" s="7" t="n">
        <v>2017</v>
      </c>
    </row>
    <row r="513" customFormat="false" ht="15" hidden="false" customHeight="false" outlineLevel="0" collapsed="false">
      <c r="A513" s="3" t="n">
        <v>781</v>
      </c>
      <c r="B513" s="3" t="s">
        <v>202</v>
      </c>
      <c r="C513" s="4" t="s">
        <v>18</v>
      </c>
      <c r="D513" s="5" t="n">
        <v>6891</v>
      </c>
      <c r="E513" s="6" t="n">
        <v>124.244426184024</v>
      </c>
      <c r="F513" s="7" t="n">
        <v>60</v>
      </c>
      <c r="G513" s="6" t="n">
        <v>236.134295918366</v>
      </c>
      <c r="H513" s="8" t="n">
        <v>66573.8130771833</v>
      </c>
      <c r="I513" s="9" t="n">
        <v>5.33039591800558</v>
      </c>
      <c r="J513" s="9" t="n">
        <v>30.675700770433</v>
      </c>
      <c r="K513" s="3" t="s">
        <v>166</v>
      </c>
      <c r="L513" s="3" t="s">
        <v>203</v>
      </c>
      <c r="M513" s="7" t="n">
        <v>2018</v>
      </c>
    </row>
    <row r="514" customFormat="false" ht="15" hidden="false" customHeight="false" outlineLevel="0" collapsed="false">
      <c r="A514" s="3" t="n">
        <v>782</v>
      </c>
      <c r="B514" s="3" t="s">
        <v>202</v>
      </c>
      <c r="C514" s="4" t="s">
        <v>19</v>
      </c>
      <c r="D514" s="5" t="n">
        <v>6884.66666666667</v>
      </c>
      <c r="E514" s="6" t="n">
        <v>124.602695169189</v>
      </c>
      <c r="F514" s="7" t="n">
        <v>62</v>
      </c>
      <c r="G514" s="6" t="n">
        <v>51.2414960204226</v>
      </c>
      <c r="H514" s="8" t="n">
        <v>16796.3094966367</v>
      </c>
      <c r="I514" s="9" t="n">
        <v>3.25821012020421</v>
      </c>
      <c r="J514" s="9" t="n">
        <v>6.66279662711373</v>
      </c>
      <c r="K514" s="3" t="s">
        <v>166</v>
      </c>
      <c r="L514" s="3" t="s">
        <v>203</v>
      </c>
      <c r="M514" s="7" t="n">
        <v>2019</v>
      </c>
    </row>
    <row r="515" customFormat="false" ht="15" hidden="false" customHeight="false" outlineLevel="0" collapsed="false">
      <c r="A515" s="3" t="n">
        <v>783</v>
      </c>
      <c r="B515" s="3" t="s">
        <v>202</v>
      </c>
      <c r="C515" s="4" t="s">
        <v>20</v>
      </c>
      <c r="D515" s="5" t="n">
        <v>6885.66666666667</v>
      </c>
      <c r="E515" s="6" t="n">
        <v>125.58524119</v>
      </c>
      <c r="F515" s="7" t="n">
        <v>62</v>
      </c>
      <c r="G515" s="6" t="n">
        <v>235.133713040045</v>
      </c>
      <c r="H515" s="8" t="n">
        <v>77627.0440230406</v>
      </c>
      <c r="I515" s="9" t="n">
        <v>5.70894354666477</v>
      </c>
      <c r="J515" s="9" t="n">
        <v>30.4856248382332</v>
      </c>
      <c r="K515" s="3" t="s">
        <v>166</v>
      </c>
      <c r="L515" s="3" t="s">
        <v>203</v>
      </c>
      <c r="M515" s="7" t="n">
        <v>2020</v>
      </c>
    </row>
    <row r="516" customFormat="false" ht="15" hidden="false" customHeight="false" outlineLevel="0" collapsed="false">
      <c r="A516" s="3" t="n">
        <v>784</v>
      </c>
      <c r="B516" s="3" t="s">
        <v>202</v>
      </c>
      <c r="C516" s="4" t="s">
        <v>21</v>
      </c>
      <c r="D516" s="5" t="n">
        <v>8315.91666666666</v>
      </c>
      <c r="E516" s="6" t="n">
        <v>125.58524119</v>
      </c>
      <c r="F516" s="7" t="n">
        <v>64</v>
      </c>
      <c r="G516" s="6" t="n">
        <v>455.315404023918</v>
      </c>
      <c r="H516" s="8" t="n">
        <v>154719.160300667</v>
      </c>
      <c r="I516" s="9" t="n">
        <v>8.37490342759358</v>
      </c>
      <c r="J516" s="9" t="n">
        <v>49.0139709740383</v>
      </c>
      <c r="K516" s="3" t="s">
        <v>166</v>
      </c>
      <c r="L516" s="3" t="s">
        <v>203</v>
      </c>
      <c r="M516" s="7" t="n">
        <v>2021</v>
      </c>
    </row>
    <row r="517" customFormat="false" ht="15" hidden="false" customHeight="false" outlineLevel="0" collapsed="false">
      <c r="A517" s="3" t="n">
        <v>785</v>
      </c>
      <c r="B517" s="3" t="s">
        <v>202</v>
      </c>
      <c r="C517" s="4" t="s">
        <v>22</v>
      </c>
      <c r="D517" s="5" t="n">
        <v>8451.16666666667</v>
      </c>
      <c r="E517" s="6" t="n">
        <v>126.87826619</v>
      </c>
      <c r="F517" s="7" t="n">
        <v>59</v>
      </c>
      <c r="G517" s="6" t="n">
        <v>156.082901713225</v>
      </c>
      <c r="H517" s="8" t="n">
        <v>60643.8430324414</v>
      </c>
      <c r="I517" s="9" t="n">
        <v>4.85792992584745</v>
      </c>
      <c r="J517" s="9" t="n">
        <v>16.533177877826</v>
      </c>
      <c r="K517" s="3" t="s">
        <v>166</v>
      </c>
      <c r="L517" s="3" t="s">
        <v>203</v>
      </c>
      <c r="M517" s="7" t="n">
        <v>2022</v>
      </c>
    </row>
    <row r="518" customFormat="false" ht="15" hidden="false" customHeight="false" outlineLevel="0" collapsed="false">
      <c r="A518" s="3" t="n">
        <v>786</v>
      </c>
      <c r="B518" s="3" t="s">
        <v>202</v>
      </c>
      <c r="C518" s="4" t="s">
        <v>23</v>
      </c>
      <c r="D518" s="5" t="n">
        <v>8442.25</v>
      </c>
      <c r="E518" s="6" t="n">
        <v>129.54147478</v>
      </c>
      <c r="F518" s="7" t="n">
        <v>61</v>
      </c>
      <c r="G518" s="6" t="n">
        <v>45.6860349004672</v>
      </c>
      <c r="H518" s="8" t="n">
        <v>18304.1098828722</v>
      </c>
      <c r="I518" s="9" t="n">
        <v>3.3945915739008</v>
      </c>
      <c r="J518" s="9" t="n">
        <v>4.84443276649536</v>
      </c>
      <c r="K518" s="3" t="s">
        <v>166</v>
      </c>
      <c r="L518" s="3" t="s">
        <v>203</v>
      </c>
      <c r="M518" s="7" t="n">
        <v>2023</v>
      </c>
    </row>
    <row r="519" customFormat="false" ht="15" hidden="false" customHeight="false" outlineLevel="0" collapsed="false">
      <c r="A519" s="3" t="n">
        <v>787</v>
      </c>
      <c r="B519" s="3" t="s">
        <v>202</v>
      </c>
      <c r="C519" s="4" t="s">
        <v>24</v>
      </c>
      <c r="D519" s="5" t="n">
        <v>8455.41666666667</v>
      </c>
      <c r="E519" s="6" t="n">
        <v>131.090517324647</v>
      </c>
      <c r="F519" s="7" t="n">
        <v>61</v>
      </c>
      <c r="G519" s="6" t="n">
        <v>60.3912238683914</v>
      </c>
      <c r="H519" s="8" t="n">
        <v>22744.3483565967</v>
      </c>
      <c r="I519" s="9" t="n">
        <v>3.56124528636609</v>
      </c>
      <c r="J519" s="9" t="n">
        <v>6.37624522025938</v>
      </c>
      <c r="K519" s="3" t="s">
        <v>166</v>
      </c>
      <c r="L519" s="3" t="s">
        <v>203</v>
      </c>
      <c r="M519" s="7" t="n">
        <v>2024</v>
      </c>
    </row>
    <row r="520" customFormat="false" ht="15" hidden="false" customHeight="false" outlineLevel="0" collapsed="false">
      <c r="A520" s="3" t="n">
        <v>797</v>
      </c>
      <c r="B520" s="3" t="s">
        <v>204</v>
      </c>
      <c r="C520" s="4" t="s">
        <v>14</v>
      </c>
      <c r="D520" s="5" t="n">
        <v>17171</v>
      </c>
      <c r="E520" s="6" t="n">
        <v>218</v>
      </c>
      <c r="F520" s="7" t="n">
        <v>60</v>
      </c>
      <c r="G520" s="6" t="n">
        <v>27.2583559358117</v>
      </c>
      <c r="H520" s="8" t="n">
        <v>2555.51673861343</v>
      </c>
      <c r="I520" s="9" t="n">
        <v>2.33379117570414</v>
      </c>
      <c r="J520" s="9" t="n">
        <v>1.41719712832806</v>
      </c>
      <c r="K520" s="3" t="s">
        <v>205</v>
      </c>
      <c r="L520" s="3" t="s">
        <v>206</v>
      </c>
      <c r="M520" s="7" t="n">
        <v>2016</v>
      </c>
    </row>
    <row r="521" customFormat="false" ht="15" hidden="false" customHeight="false" outlineLevel="0" collapsed="false">
      <c r="A521" s="3" t="n">
        <v>798</v>
      </c>
      <c r="B521" s="3" t="s">
        <v>204</v>
      </c>
      <c r="C521" s="4" t="s">
        <v>17</v>
      </c>
      <c r="D521" s="5" t="n">
        <v>17354</v>
      </c>
      <c r="E521" s="6" t="n">
        <v>251.5</v>
      </c>
      <c r="F521" s="7" t="n">
        <v>60</v>
      </c>
      <c r="G521" s="6" t="n">
        <v>1287.30618655025</v>
      </c>
      <c r="H521" s="8" t="n">
        <v>99738.2283421183</v>
      </c>
      <c r="I521" s="9" t="n">
        <v>13.4639482773278</v>
      </c>
      <c r="J521" s="9" t="n">
        <v>66.4048710614245</v>
      </c>
      <c r="K521" s="3" t="s">
        <v>205</v>
      </c>
      <c r="L521" s="3" t="s">
        <v>206</v>
      </c>
      <c r="M521" s="7" t="n">
        <v>2017</v>
      </c>
    </row>
    <row r="522" customFormat="false" ht="15" hidden="false" customHeight="false" outlineLevel="0" collapsed="false">
      <c r="A522" s="3" t="n">
        <v>799</v>
      </c>
      <c r="B522" s="3" t="s">
        <v>204</v>
      </c>
      <c r="C522" s="4" t="s">
        <v>18</v>
      </c>
      <c r="D522" s="5" t="n">
        <v>17354</v>
      </c>
      <c r="E522" s="6" t="n">
        <v>219</v>
      </c>
      <c r="F522" s="7" t="n">
        <v>61</v>
      </c>
      <c r="G522" s="6" t="n">
        <v>1554.18482467946</v>
      </c>
      <c r="H522" s="8" t="n">
        <v>121083.20816313</v>
      </c>
      <c r="I522" s="9" t="n">
        <v>14.7584039437647</v>
      </c>
      <c r="J522" s="9" t="n">
        <v>80.1716359066325</v>
      </c>
      <c r="K522" s="3" t="s">
        <v>205</v>
      </c>
      <c r="L522" s="3" t="s">
        <v>206</v>
      </c>
      <c r="M522" s="7" t="n">
        <v>2018</v>
      </c>
    </row>
    <row r="523" customFormat="false" ht="15" hidden="false" customHeight="false" outlineLevel="0" collapsed="false">
      <c r="A523" s="3" t="n">
        <v>800</v>
      </c>
      <c r="B523" s="3" t="s">
        <v>204</v>
      </c>
      <c r="C523" s="4" t="s">
        <v>19</v>
      </c>
      <c r="D523" s="5" t="n">
        <v>17641</v>
      </c>
      <c r="E523" s="6" t="n">
        <v>220</v>
      </c>
      <c r="F523" s="7" t="n">
        <v>61</v>
      </c>
      <c r="G523" s="6" t="n">
        <v>539.71450105425</v>
      </c>
      <c r="H523" s="8" t="n">
        <v>38467.0710189832</v>
      </c>
      <c r="I523" s="9" t="n">
        <v>6.47547673187762</v>
      </c>
      <c r="J523" s="9" t="n">
        <v>27.3878891460746</v>
      </c>
      <c r="K523" s="3" t="s">
        <v>205</v>
      </c>
      <c r="L523" s="3" t="s">
        <v>206</v>
      </c>
      <c r="M523" s="7" t="n">
        <v>2019</v>
      </c>
    </row>
    <row r="524" customFormat="false" ht="15" hidden="false" customHeight="false" outlineLevel="0" collapsed="false">
      <c r="A524" s="3" t="n">
        <v>801</v>
      </c>
      <c r="B524" s="3" t="s">
        <v>204</v>
      </c>
      <c r="C524" s="4" t="s">
        <v>20</v>
      </c>
      <c r="D524" s="5" t="n">
        <v>17296</v>
      </c>
      <c r="E524" s="6" t="n">
        <v>225</v>
      </c>
      <c r="F524" s="7" t="n">
        <v>58</v>
      </c>
      <c r="G524" s="6" t="n">
        <v>276.581563537406</v>
      </c>
      <c r="H524" s="8" t="n">
        <v>146472.818975089</v>
      </c>
      <c r="I524" s="9" t="n">
        <v>4.13820358832268</v>
      </c>
      <c r="J524" s="9" t="n">
        <v>14.2759081298752</v>
      </c>
      <c r="K524" s="3" t="s">
        <v>205</v>
      </c>
      <c r="L524" s="3" t="s">
        <v>206</v>
      </c>
      <c r="M524" s="7" t="n">
        <v>2020</v>
      </c>
    </row>
    <row r="525" customFormat="false" ht="15" hidden="false" customHeight="false" outlineLevel="0" collapsed="false">
      <c r="A525" s="3" t="n">
        <v>802</v>
      </c>
      <c r="B525" s="3" t="s">
        <v>204</v>
      </c>
      <c r="C525" s="4" t="s">
        <v>21</v>
      </c>
      <c r="D525" s="5" t="n">
        <v>17296</v>
      </c>
      <c r="E525" s="6" t="n">
        <v>225</v>
      </c>
      <c r="F525" s="7" t="n">
        <v>58</v>
      </c>
      <c r="G525" s="6" t="n">
        <v>159.670707571742</v>
      </c>
      <c r="H525" s="8" t="n">
        <v>91636.3334742929</v>
      </c>
      <c r="I525" s="9" t="n">
        <v>3.07217402801106</v>
      </c>
      <c r="J525" s="9" t="n">
        <v>8.26413204427622</v>
      </c>
      <c r="K525" s="3" t="s">
        <v>205</v>
      </c>
      <c r="L525" s="3" t="s">
        <v>206</v>
      </c>
      <c r="M525" s="7" t="n">
        <v>2021</v>
      </c>
    </row>
    <row r="526" customFormat="false" ht="15" hidden="false" customHeight="false" outlineLevel="0" collapsed="false">
      <c r="A526" s="3" t="n">
        <v>803</v>
      </c>
      <c r="B526" s="3" t="s">
        <v>204</v>
      </c>
      <c r="C526" s="4" t="s">
        <v>22</v>
      </c>
      <c r="D526" s="5" t="n">
        <v>18438</v>
      </c>
      <c r="E526" s="6" t="n">
        <v>234</v>
      </c>
      <c r="F526" s="7" t="n">
        <v>53</v>
      </c>
      <c r="G526" s="6" t="n">
        <v>111.341186885409</v>
      </c>
      <c r="H526" s="8" t="n">
        <v>17633.1259960167</v>
      </c>
      <c r="I526" s="9" t="n">
        <v>2.17330911972825</v>
      </c>
      <c r="J526" s="9" t="n">
        <v>5.40579671935846</v>
      </c>
      <c r="K526" s="3" t="s">
        <v>205</v>
      </c>
      <c r="L526" s="3" t="s">
        <v>206</v>
      </c>
      <c r="M526" s="7" t="n">
        <v>2022</v>
      </c>
    </row>
    <row r="527" customFormat="false" ht="15" hidden="false" customHeight="false" outlineLevel="0" collapsed="false">
      <c r="A527" s="3" t="n">
        <v>804</v>
      </c>
      <c r="B527" s="3" t="s">
        <v>204</v>
      </c>
      <c r="C527" s="4" t="s">
        <v>23</v>
      </c>
      <c r="D527" s="5" t="n">
        <v>18538</v>
      </c>
      <c r="E527" s="6" t="n">
        <v>235.2</v>
      </c>
      <c r="F527" s="7" t="n">
        <v>52</v>
      </c>
      <c r="G527" s="6" t="n">
        <v>758.741588434499</v>
      </c>
      <c r="H527" s="8" t="n">
        <v>134726.262678687</v>
      </c>
      <c r="I527" s="9" t="n">
        <v>7.82131436052922</v>
      </c>
      <c r="J527" s="9" t="n">
        <v>36.6394280908253</v>
      </c>
      <c r="K527" s="3" t="s">
        <v>205</v>
      </c>
      <c r="L527" s="3" t="s">
        <v>206</v>
      </c>
      <c r="M527" s="7" t="n">
        <v>2023</v>
      </c>
    </row>
    <row r="528" customFormat="false" ht="15" hidden="false" customHeight="false" outlineLevel="0" collapsed="false">
      <c r="A528" s="3" t="n">
        <v>805</v>
      </c>
      <c r="B528" s="3" t="s">
        <v>204</v>
      </c>
      <c r="C528" s="4" t="s">
        <v>24</v>
      </c>
      <c r="D528" s="5" t="n">
        <v>18712</v>
      </c>
      <c r="E528" s="6" t="n">
        <v>236.42</v>
      </c>
      <c r="F528" s="7" t="n">
        <v>55</v>
      </c>
      <c r="G528" s="6" t="n">
        <v>1433.88923148563</v>
      </c>
      <c r="H528" s="8" t="n">
        <v>854571.275515076</v>
      </c>
      <c r="I528" s="9" t="n">
        <v>13.2987260114277</v>
      </c>
      <c r="J528" s="9" t="n">
        <v>68.4103146715351</v>
      </c>
      <c r="K528" s="3" t="s">
        <v>205</v>
      </c>
      <c r="L528" s="3" t="s">
        <v>206</v>
      </c>
      <c r="M528" s="7" t="n">
        <v>2024</v>
      </c>
    </row>
    <row r="529" customFormat="false" ht="15" hidden="false" customHeight="false" outlineLevel="0" collapsed="false">
      <c r="A529" s="3" t="n">
        <v>834</v>
      </c>
      <c r="B529" s="3" t="s">
        <v>207</v>
      </c>
      <c r="C529" s="4" t="s">
        <v>14</v>
      </c>
      <c r="D529" s="5" t="n">
        <v>3807</v>
      </c>
      <c r="E529" s="6" t="n">
        <v>43.5</v>
      </c>
      <c r="F529" s="7" t="n">
        <v>50</v>
      </c>
      <c r="G529" s="6" t="n">
        <v>284.028013884587</v>
      </c>
      <c r="H529" s="8" t="n">
        <v>14271.332769949</v>
      </c>
      <c r="I529" s="9" t="n">
        <v>17.2885395199992</v>
      </c>
      <c r="J529" s="9" t="n">
        <v>66.6046413076896</v>
      </c>
      <c r="K529" s="3" t="s">
        <v>208</v>
      </c>
      <c r="L529" s="3" t="s">
        <v>209</v>
      </c>
      <c r="M529" s="7" t="n">
        <v>2016</v>
      </c>
    </row>
    <row r="530" customFormat="false" ht="15" hidden="false" customHeight="false" outlineLevel="0" collapsed="false">
      <c r="A530" s="3" t="n">
        <v>835</v>
      </c>
      <c r="B530" s="3" t="s">
        <v>207</v>
      </c>
      <c r="C530" s="4" t="s">
        <v>17</v>
      </c>
      <c r="D530" s="5" t="n">
        <v>3807</v>
      </c>
      <c r="E530" s="6" t="n">
        <v>43.5</v>
      </c>
      <c r="F530" s="7" t="n">
        <v>50</v>
      </c>
      <c r="G530" s="6" t="n">
        <v>189.54578254087</v>
      </c>
      <c r="H530" s="8" t="n">
        <v>15490.3289350408</v>
      </c>
      <c r="I530" s="9" t="n">
        <v>18.6362442905409</v>
      </c>
      <c r="J530" s="9" t="n">
        <v>44.5706454468814</v>
      </c>
      <c r="K530" s="3" t="s">
        <v>208</v>
      </c>
      <c r="L530" s="3" t="s">
        <v>209</v>
      </c>
      <c r="M530" s="7" t="n">
        <v>2017</v>
      </c>
    </row>
    <row r="531" customFormat="false" ht="15" hidden="false" customHeight="false" outlineLevel="0" collapsed="false">
      <c r="A531" s="3" t="n">
        <v>836</v>
      </c>
      <c r="B531" s="3" t="s">
        <v>207</v>
      </c>
      <c r="C531" s="4" t="s">
        <v>18</v>
      </c>
      <c r="D531" s="5" t="n">
        <v>3811</v>
      </c>
      <c r="E531" s="6" t="n">
        <v>43.5</v>
      </c>
      <c r="F531" s="7" t="n">
        <v>51</v>
      </c>
      <c r="G531" s="6" t="n">
        <v>287.896478699853</v>
      </c>
      <c r="H531" s="8" t="n">
        <v>22677.0149962031</v>
      </c>
      <c r="I531" s="9" t="n">
        <v>21.8714939266485</v>
      </c>
      <c r="J531" s="9" t="n">
        <v>67.6262146597226</v>
      </c>
      <c r="K531" s="3" t="s">
        <v>208</v>
      </c>
      <c r="L531" s="3" t="s">
        <v>209</v>
      </c>
      <c r="M531" s="7" t="n">
        <v>2018</v>
      </c>
    </row>
    <row r="532" customFormat="false" ht="15" hidden="false" customHeight="false" outlineLevel="0" collapsed="false">
      <c r="A532" s="3" t="n">
        <v>837</v>
      </c>
      <c r="B532" s="3" t="s">
        <v>207</v>
      </c>
      <c r="C532" s="4" t="s">
        <v>19</v>
      </c>
      <c r="D532" s="5" t="n">
        <v>3815</v>
      </c>
      <c r="E532" s="6" t="n">
        <v>43.5</v>
      </c>
      <c r="F532" s="7" t="n">
        <v>54</v>
      </c>
      <c r="G532" s="6" t="n">
        <v>258.518297931321</v>
      </c>
      <c r="H532" s="8" t="n">
        <v>21502.7019413397</v>
      </c>
      <c r="I532" s="9" t="n">
        <v>19.1643199034024</v>
      </c>
      <c r="J532" s="9" t="n">
        <v>60.6616780919872</v>
      </c>
      <c r="K532" s="3" t="s">
        <v>208</v>
      </c>
      <c r="L532" s="3" t="s">
        <v>209</v>
      </c>
      <c r="M532" s="7" t="n">
        <v>2019</v>
      </c>
    </row>
    <row r="533" customFormat="false" ht="15" hidden="false" customHeight="false" outlineLevel="0" collapsed="false">
      <c r="A533" s="3" t="n">
        <v>838</v>
      </c>
      <c r="B533" s="3" t="s">
        <v>210</v>
      </c>
      <c r="C533" s="4" t="s">
        <v>41</v>
      </c>
      <c r="D533" s="5" t="n">
        <v>18588</v>
      </c>
      <c r="E533" s="6" t="n">
        <v>160</v>
      </c>
      <c r="F533" s="7" t="n">
        <v>58</v>
      </c>
      <c r="G533" s="6" t="n">
        <v>234.526323409655</v>
      </c>
      <c r="H533" s="8" t="n">
        <v>106843.157155737</v>
      </c>
      <c r="I533" s="9" t="n">
        <v>4.52118191211067</v>
      </c>
      <c r="J533" s="9" t="n">
        <v>11.2947495680422</v>
      </c>
      <c r="K533" s="3" t="s">
        <v>211</v>
      </c>
      <c r="L533" s="3" t="s">
        <v>212</v>
      </c>
      <c r="M533" s="7" t="n">
        <v>2016</v>
      </c>
    </row>
    <row r="534" customFormat="false" ht="15" hidden="false" customHeight="false" outlineLevel="0" collapsed="false">
      <c r="A534" s="3" t="n">
        <v>839</v>
      </c>
      <c r="B534" s="3" t="s">
        <v>210</v>
      </c>
      <c r="C534" s="4" t="s">
        <v>42</v>
      </c>
      <c r="D534" s="5" t="n">
        <v>17794</v>
      </c>
      <c r="E534" s="6" t="n">
        <v>160</v>
      </c>
      <c r="F534" s="7" t="n">
        <v>58</v>
      </c>
      <c r="G534" s="6" t="n">
        <v>9.78653429573004</v>
      </c>
      <c r="H534" s="8" t="n">
        <v>4458.45142910573</v>
      </c>
      <c r="I534" s="9" t="n">
        <v>2.09152476404839</v>
      </c>
      <c r="J534" s="9" t="n">
        <v>0.49234894383431</v>
      </c>
      <c r="K534" s="3" t="s">
        <v>211</v>
      </c>
      <c r="L534" s="3" t="s">
        <v>212</v>
      </c>
      <c r="M534" s="7" t="n">
        <v>2017</v>
      </c>
    </row>
    <row r="535" customFormat="false" ht="15" hidden="false" customHeight="false" outlineLevel="0" collapsed="false">
      <c r="A535" s="3" t="n">
        <v>840</v>
      </c>
      <c r="B535" s="3" t="s">
        <v>210</v>
      </c>
      <c r="C535" s="4" t="s">
        <v>43</v>
      </c>
      <c r="D535" s="5" t="n">
        <v>18588</v>
      </c>
      <c r="E535" s="6" t="n">
        <v>175</v>
      </c>
      <c r="F535" s="7" t="n">
        <v>54</v>
      </c>
      <c r="G535" s="6" t="n">
        <v>124.522547246836</v>
      </c>
      <c r="H535" s="8" t="n">
        <v>62526.5066490539</v>
      </c>
      <c r="I535" s="9" t="n">
        <v>3.32977951730924</v>
      </c>
      <c r="J535" s="9" t="n">
        <v>5.99698561031469</v>
      </c>
      <c r="K535" s="3" t="s">
        <v>211</v>
      </c>
      <c r="L535" s="3" t="s">
        <v>212</v>
      </c>
      <c r="M535" s="7" t="n">
        <v>2018</v>
      </c>
    </row>
    <row r="536" customFormat="false" ht="15" hidden="false" customHeight="false" outlineLevel="0" collapsed="false">
      <c r="A536" s="3" t="n">
        <v>841</v>
      </c>
      <c r="B536" s="3" t="s">
        <v>210</v>
      </c>
      <c r="C536" s="4" t="s">
        <v>44</v>
      </c>
      <c r="D536" s="5" t="n">
        <v>18588</v>
      </c>
      <c r="E536" s="6" t="n">
        <v>175</v>
      </c>
      <c r="F536" s="7" t="n">
        <v>63</v>
      </c>
      <c r="G536" s="6" t="n">
        <v>817.722943671655</v>
      </c>
      <c r="H536" s="8" t="n">
        <v>293778.721539877</v>
      </c>
      <c r="I536" s="9" t="n">
        <v>10.4936815641116</v>
      </c>
      <c r="J536" s="9" t="n">
        <v>39.2735096318368</v>
      </c>
      <c r="K536" s="3" t="s">
        <v>211</v>
      </c>
      <c r="L536" s="3" t="s">
        <v>212</v>
      </c>
      <c r="M536" s="7" t="n">
        <v>2019</v>
      </c>
    </row>
    <row r="537" customFormat="false" ht="15" hidden="false" customHeight="false" outlineLevel="0" collapsed="false">
      <c r="A537" s="3" t="n">
        <v>842</v>
      </c>
      <c r="B537" s="3" t="s">
        <v>210</v>
      </c>
      <c r="C537" s="4" t="s">
        <v>45</v>
      </c>
      <c r="D537" s="5" t="n">
        <v>18588</v>
      </c>
      <c r="E537" s="6" t="n">
        <v>175</v>
      </c>
      <c r="F537" s="7" t="n">
        <v>70</v>
      </c>
      <c r="G537" s="6" t="n">
        <v>560.140950343215</v>
      </c>
      <c r="H537" s="8" t="n">
        <v>238681.660350747</v>
      </c>
      <c r="I537" s="9" t="n">
        <v>7.69536140798484</v>
      </c>
      <c r="J537" s="9" t="n">
        <v>26.9762970098703</v>
      </c>
      <c r="K537" s="3" t="s">
        <v>211</v>
      </c>
      <c r="L537" s="3" t="s">
        <v>212</v>
      </c>
      <c r="M537" s="7" t="n">
        <v>2020</v>
      </c>
    </row>
    <row r="538" customFormat="false" ht="15" hidden="false" customHeight="false" outlineLevel="0" collapsed="false">
      <c r="A538" s="3" t="n">
        <v>843</v>
      </c>
      <c r="B538" s="3" t="s">
        <v>210</v>
      </c>
      <c r="C538" s="4" t="s">
        <v>46</v>
      </c>
      <c r="D538" s="5" t="n">
        <v>18984</v>
      </c>
      <c r="E538" s="6" t="n">
        <v>175</v>
      </c>
      <c r="F538" s="7" t="n">
        <v>68</v>
      </c>
      <c r="G538" s="6" t="n">
        <v>327.026290822784</v>
      </c>
      <c r="H538" s="8" t="n">
        <v>139349.172782497</v>
      </c>
      <c r="I538" s="9" t="n">
        <v>5.54454504880711</v>
      </c>
      <c r="J538" s="9" t="n">
        <v>15.4210028646007</v>
      </c>
      <c r="K538" s="3" t="s">
        <v>211</v>
      </c>
      <c r="L538" s="3" t="s">
        <v>212</v>
      </c>
      <c r="M538" s="7" t="n">
        <v>2021</v>
      </c>
    </row>
    <row r="539" customFormat="false" ht="15" hidden="false" customHeight="false" outlineLevel="0" collapsed="false">
      <c r="A539" s="3" t="n">
        <v>844</v>
      </c>
      <c r="B539" s="3" t="s">
        <v>210</v>
      </c>
      <c r="C539" s="4" t="s">
        <v>47</v>
      </c>
      <c r="D539" s="5" t="n">
        <v>18652</v>
      </c>
      <c r="E539" s="6" t="n">
        <v>175</v>
      </c>
      <c r="F539" s="7" t="n">
        <v>67</v>
      </c>
      <c r="G539" s="6" t="n">
        <v>517.319812911392</v>
      </c>
      <c r="H539" s="8" t="n">
        <v>224301.352427467</v>
      </c>
      <c r="I539" s="9" t="n">
        <v>8.07818937964496</v>
      </c>
      <c r="J539" s="9" t="n">
        <v>24.8285512729669</v>
      </c>
      <c r="K539" s="3" t="s">
        <v>211</v>
      </c>
      <c r="L539" s="3" t="s">
        <v>212</v>
      </c>
      <c r="M539" s="7" t="n">
        <v>2022</v>
      </c>
    </row>
    <row r="540" customFormat="false" ht="15" hidden="false" customHeight="false" outlineLevel="0" collapsed="false">
      <c r="A540" s="3" t="n">
        <v>845</v>
      </c>
      <c r="B540" s="3" t="s">
        <v>210</v>
      </c>
      <c r="C540" s="4" t="s">
        <v>48</v>
      </c>
      <c r="D540" s="5" t="n">
        <v>18453</v>
      </c>
      <c r="E540" s="6" t="n">
        <v>175</v>
      </c>
      <c r="F540" s="7" t="n">
        <v>61</v>
      </c>
      <c r="G540" s="6" t="n">
        <v>467.64284340093</v>
      </c>
      <c r="H540" s="8" t="n">
        <v>158063.281069514</v>
      </c>
      <c r="I540" s="9" t="n">
        <v>7.42284270959338</v>
      </c>
      <c r="J540" s="9" t="n">
        <v>22.6242142258543</v>
      </c>
      <c r="K540" s="3" t="s">
        <v>211</v>
      </c>
      <c r="L540" s="3" t="s">
        <v>212</v>
      </c>
      <c r="M540" s="7" t="n">
        <v>2023</v>
      </c>
    </row>
    <row r="541" customFormat="false" ht="15" hidden="false" customHeight="false" outlineLevel="0" collapsed="false">
      <c r="A541" s="3" t="n">
        <v>846</v>
      </c>
      <c r="B541" s="3" t="s">
        <v>210</v>
      </c>
      <c r="C541" s="4" t="s">
        <v>49</v>
      </c>
      <c r="D541" s="5" t="n">
        <v>18106</v>
      </c>
      <c r="E541" s="6" t="n">
        <v>175</v>
      </c>
      <c r="F541" s="7" t="n">
        <v>66</v>
      </c>
      <c r="G541" s="6" t="n">
        <v>494.627549050633</v>
      </c>
      <c r="H541" s="8" t="n">
        <v>317941.642254257</v>
      </c>
      <c r="I541" s="9" t="n">
        <v>7.33921511801547</v>
      </c>
      <c r="J541" s="9" t="n">
        <v>24.4553261874362</v>
      </c>
      <c r="K541" s="3" t="s">
        <v>211</v>
      </c>
      <c r="L541" s="3" t="s">
        <v>212</v>
      </c>
      <c r="M541" s="7" t="n">
        <v>2024</v>
      </c>
    </row>
    <row r="542" customFormat="false" ht="15" hidden="false" customHeight="false" outlineLevel="0" collapsed="false">
      <c r="A542" s="3" t="n">
        <v>847</v>
      </c>
      <c r="B542" s="3" t="s">
        <v>213</v>
      </c>
      <c r="C542" s="4" t="s">
        <v>14</v>
      </c>
      <c r="D542" s="5" t="n">
        <v>14116</v>
      </c>
      <c r="E542" s="6" t="n">
        <v>164.6</v>
      </c>
      <c r="F542" s="7" t="n">
        <v>62</v>
      </c>
      <c r="G542" s="6" t="n">
        <v>611.402284210525</v>
      </c>
      <c r="H542" s="8" t="n">
        <v>64652.7675212502</v>
      </c>
      <c r="I542" s="9" t="n">
        <v>9.99126345335242</v>
      </c>
      <c r="J542" s="9" t="n">
        <v>38.6670999414409</v>
      </c>
      <c r="K542" s="3" t="s">
        <v>214</v>
      </c>
      <c r="L542" s="3" t="s">
        <v>215</v>
      </c>
      <c r="M542" s="7" t="n">
        <v>2016</v>
      </c>
    </row>
    <row r="543" customFormat="false" ht="15" hidden="false" customHeight="false" outlineLevel="0" collapsed="false">
      <c r="A543" s="3" t="n">
        <v>848</v>
      </c>
      <c r="B543" s="3" t="s">
        <v>213</v>
      </c>
      <c r="C543" s="4" t="s">
        <v>17</v>
      </c>
      <c r="D543" s="5" t="n">
        <v>13688</v>
      </c>
      <c r="E543" s="6" t="n">
        <v>164.6</v>
      </c>
      <c r="F543" s="7" t="n">
        <v>71</v>
      </c>
      <c r="G543" s="6" t="n">
        <v>663.678772967392</v>
      </c>
      <c r="H543" s="8" t="n">
        <v>67316.9379420825</v>
      </c>
      <c r="I543" s="9" t="n">
        <v>12.950930505965</v>
      </c>
      <c r="J543" s="9" t="n">
        <v>43.4045847189079</v>
      </c>
      <c r="K543" s="3" t="s">
        <v>214</v>
      </c>
      <c r="L543" s="3" t="s">
        <v>215</v>
      </c>
      <c r="M543" s="7" t="n">
        <v>2017</v>
      </c>
    </row>
    <row r="544" customFormat="false" ht="15" hidden="false" customHeight="false" outlineLevel="0" collapsed="false">
      <c r="A544" s="3" t="n">
        <v>849</v>
      </c>
      <c r="B544" s="3" t="s">
        <v>213</v>
      </c>
      <c r="C544" s="4" t="s">
        <v>18</v>
      </c>
      <c r="D544" s="5" t="n">
        <v>14132</v>
      </c>
      <c r="E544" s="6" t="n">
        <v>164.6</v>
      </c>
      <c r="F544" s="7" t="n">
        <v>60</v>
      </c>
      <c r="G544" s="6" t="n">
        <v>232.232770876289</v>
      </c>
      <c r="H544" s="8" t="n">
        <v>24544.681553915</v>
      </c>
      <c r="I544" s="9" t="n">
        <v>5.352657785871</v>
      </c>
      <c r="J544" s="9" t="n">
        <v>14.7108426326523</v>
      </c>
      <c r="K544" s="3" t="s">
        <v>214</v>
      </c>
      <c r="L544" s="3" t="s">
        <v>215</v>
      </c>
      <c r="M544" s="7" t="n">
        <v>2018</v>
      </c>
    </row>
    <row r="545" customFormat="false" ht="15" hidden="false" customHeight="false" outlineLevel="0" collapsed="false">
      <c r="A545" s="3" t="n">
        <v>850</v>
      </c>
      <c r="B545" s="3" t="s">
        <v>213</v>
      </c>
      <c r="C545" s="4" t="s">
        <v>19</v>
      </c>
      <c r="D545" s="5" t="n">
        <v>14146</v>
      </c>
      <c r="E545" s="6" t="n">
        <v>164.6</v>
      </c>
      <c r="F545" s="7" t="n">
        <v>60</v>
      </c>
      <c r="G545" s="6" t="n">
        <v>85.0634832474232</v>
      </c>
      <c r="H545" s="8" t="n">
        <v>9240.44618516758</v>
      </c>
      <c r="I545" s="9" t="n">
        <v>4.37909915717115</v>
      </c>
      <c r="J545" s="9" t="n">
        <v>5.38303474900995</v>
      </c>
      <c r="K545" s="3" t="s">
        <v>214</v>
      </c>
      <c r="L545" s="3" t="s">
        <v>215</v>
      </c>
      <c r="M545" s="7" t="n">
        <v>2019</v>
      </c>
    </row>
    <row r="546" customFormat="false" ht="15" hidden="false" customHeight="false" outlineLevel="0" collapsed="false">
      <c r="A546" s="3" t="n">
        <v>851</v>
      </c>
      <c r="B546" s="3" t="s">
        <v>213</v>
      </c>
      <c r="C546" s="4" t="s">
        <v>47</v>
      </c>
      <c r="D546" s="5" t="n">
        <v>14958</v>
      </c>
      <c r="E546" s="6" t="n">
        <v>168</v>
      </c>
      <c r="F546" s="7" t="n">
        <v>58</v>
      </c>
      <c r="G546" s="6" t="n">
        <v>792.14423939394</v>
      </c>
      <c r="H546" s="8" t="n">
        <v>292863.646746334</v>
      </c>
      <c r="I546" s="9" t="n">
        <v>8.36180353092929</v>
      </c>
      <c r="J546" s="9" t="n">
        <v>47.4076484763115</v>
      </c>
      <c r="K546" s="3" t="s">
        <v>214</v>
      </c>
      <c r="L546" s="3" t="s">
        <v>215</v>
      </c>
      <c r="M546" s="7" t="n">
        <v>2022</v>
      </c>
    </row>
    <row r="547" customFormat="false" ht="15" hidden="false" customHeight="false" outlineLevel="0" collapsed="false">
      <c r="A547" s="3" t="n">
        <v>852</v>
      </c>
      <c r="B547" s="3" t="s">
        <v>216</v>
      </c>
      <c r="C547" s="4" t="s">
        <v>14</v>
      </c>
      <c r="D547" s="5" t="n">
        <v>10761</v>
      </c>
      <c r="E547" s="6" t="n">
        <v>102</v>
      </c>
      <c r="F547" s="7" t="n">
        <v>79</v>
      </c>
      <c r="G547" s="6" t="n">
        <v>329.781583468278</v>
      </c>
      <c r="H547" s="8" t="n">
        <v>155805.309109588</v>
      </c>
      <c r="I547" s="9" t="n">
        <v>8.82682322663209</v>
      </c>
      <c r="J547" s="9" t="n">
        <v>27.3589837362271</v>
      </c>
      <c r="K547" s="3" t="s">
        <v>217</v>
      </c>
      <c r="L547" s="3" t="s">
        <v>218</v>
      </c>
      <c r="M547" s="7" t="n">
        <v>2016</v>
      </c>
    </row>
    <row r="548" customFormat="false" ht="15" hidden="false" customHeight="false" outlineLevel="0" collapsed="false">
      <c r="A548" s="3" t="n">
        <v>853</v>
      </c>
      <c r="B548" s="3" t="s">
        <v>216</v>
      </c>
      <c r="C548" s="4" t="s">
        <v>17</v>
      </c>
      <c r="D548" s="5" t="n">
        <v>10846</v>
      </c>
      <c r="E548" s="6" t="n">
        <v>101</v>
      </c>
      <c r="F548" s="7" t="n">
        <v>72</v>
      </c>
      <c r="G548" s="6" t="n">
        <v>376.525003565991</v>
      </c>
      <c r="H548" s="8" t="n">
        <v>187110.335272084</v>
      </c>
      <c r="I548" s="9" t="n">
        <v>14.3714262246871</v>
      </c>
      <c r="J548" s="9" t="n">
        <v>31.0772009271109</v>
      </c>
      <c r="K548" s="3" t="s">
        <v>217</v>
      </c>
      <c r="L548" s="3" t="s">
        <v>218</v>
      </c>
      <c r="M548" s="7" t="n">
        <v>2017</v>
      </c>
    </row>
    <row r="549" customFormat="false" ht="15" hidden="false" customHeight="false" outlineLevel="0" collapsed="false">
      <c r="A549" s="3" t="n">
        <v>854</v>
      </c>
      <c r="B549" s="3" t="s">
        <v>216</v>
      </c>
      <c r="C549" s="4" t="s">
        <v>18</v>
      </c>
      <c r="D549" s="5" t="n">
        <v>10867</v>
      </c>
      <c r="E549" s="6" t="n">
        <v>100.7</v>
      </c>
      <c r="F549" s="7" t="n">
        <v>72</v>
      </c>
      <c r="G549" s="6" t="n">
        <v>140.776422741117</v>
      </c>
      <c r="H549" s="8" t="n">
        <v>69177.5341349851</v>
      </c>
      <c r="I549" s="9" t="n">
        <v>5.40132651454846</v>
      </c>
      <c r="J549" s="9" t="n">
        <v>11.5967937324655</v>
      </c>
      <c r="K549" s="3" t="s">
        <v>217</v>
      </c>
      <c r="L549" s="3" t="s">
        <v>218</v>
      </c>
      <c r="M549" s="7" t="n">
        <v>2018</v>
      </c>
    </row>
    <row r="550" customFormat="false" ht="15" hidden="false" customHeight="false" outlineLevel="0" collapsed="false">
      <c r="A550" s="3" t="n">
        <v>855</v>
      </c>
      <c r="B550" s="3" t="s">
        <v>216</v>
      </c>
      <c r="C550" s="4" t="s">
        <v>19</v>
      </c>
      <c r="D550" s="5" t="n">
        <v>10873</v>
      </c>
      <c r="E550" s="6" t="n">
        <v>100.8</v>
      </c>
      <c r="F550" s="7" t="n">
        <v>71</v>
      </c>
      <c r="G550" s="6" t="n">
        <v>69.3147696192894</v>
      </c>
      <c r="H550" s="8" t="n">
        <v>40721.7340036363</v>
      </c>
      <c r="I550" s="9" t="n">
        <v>4.33464556342426</v>
      </c>
      <c r="J550" s="9" t="n">
        <v>5.70681863311355</v>
      </c>
      <c r="K550" s="3" t="s">
        <v>217</v>
      </c>
      <c r="L550" s="3" t="s">
        <v>218</v>
      </c>
      <c r="M550" s="7" t="n">
        <v>2019</v>
      </c>
    </row>
    <row r="551" customFormat="false" ht="15" hidden="false" customHeight="false" outlineLevel="0" collapsed="false">
      <c r="A551" s="3" t="n">
        <v>856</v>
      </c>
      <c r="B551" s="3" t="s">
        <v>216</v>
      </c>
      <c r="C551" s="4" t="s">
        <v>20</v>
      </c>
      <c r="D551" s="5" t="n">
        <v>10895</v>
      </c>
      <c r="E551" s="6" t="n">
        <v>94.7</v>
      </c>
      <c r="F551" s="7" t="n">
        <v>70</v>
      </c>
      <c r="G551" s="6" t="n">
        <v>104.803025076142</v>
      </c>
      <c r="H551" s="8" t="n">
        <v>64716.9160147685</v>
      </c>
      <c r="I551" s="9" t="n">
        <v>4.88180918780299</v>
      </c>
      <c r="J551" s="9" t="n">
        <v>8.58761918539633</v>
      </c>
      <c r="K551" s="3" t="s">
        <v>217</v>
      </c>
      <c r="L551" s="3" t="s">
        <v>218</v>
      </c>
      <c r="M551" s="7" t="n">
        <v>2020</v>
      </c>
    </row>
    <row r="552" customFormat="false" ht="15" hidden="false" customHeight="false" outlineLevel="0" collapsed="false">
      <c r="A552" s="3" t="n">
        <v>857</v>
      </c>
      <c r="B552" s="3" t="s">
        <v>216</v>
      </c>
      <c r="C552" s="4" t="s">
        <v>21</v>
      </c>
      <c r="D552" s="5" t="n">
        <v>10896</v>
      </c>
      <c r="E552" s="6" t="n">
        <v>95.6</v>
      </c>
      <c r="F552" s="7" t="n">
        <v>74</v>
      </c>
      <c r="G552" s="6" t="n">
        <v>71.6446991565143</v>
      </c>
      <c r="H552" s="8" t="n">
        <v>39936.9046508158</v>
      </c>
      <c r="I552" s="9" t="n">
        <v>4.1456699416594</v>
      </c>
      <c r="J552" s="9" t="n">
        <v>5.88619497044216</v>
      </c>
      <c r="K552" s="3" t="s">
        <v>217</v>
      </c>
      <c r="L552" s="3" t="s">
        <v>218</v>
      </c>
      <c r="M552" s="7" t="n">
        <v>2021</v>
      </c>
    </row>
    <row r="553" customFormat="false" ht="15" hidden="false" customHeight="false" outlineLevel="0" collapsed="false">
      <c r="A553" s="3" t="n">
        <v>858</v>
      </c>
      <c r="B553" s="3" t="s">
        <v>216</v>
      </c>
      <c r="C553" s="4" t="s">
        <v>22</v>
      </c>
      <c r="D553" s="5" t="n">
        <v>10900</v>
      </c>
      <c r="E553" s="6" t="n">
        <v>95.5</v>
      </c>
      <c r="F553" s="7" t="n">
        <v>74</v>
      </c>
      <c r="G553" s="6" t="n">
        <v>118.274242785092</v>
      </c>
      <c r="H553" s="8" t="n">
        <v>77301.7615483224</v>
      </c>
      <c r="I553" s="9" t="n">
        <v>5.39499830119328</v>
      </c>
      <c r="J553" s="9" t="n">
        <v>9.71362543748488</v>
      </c>
      <c r="K553" s="3" t="s">
        <v>217</v>
      </c>
      <c r="L553" s="3" t="s">
        <v>218</v>
      </c>
      <c r="M553" s="7" t="n">
        <v>2022</v>
      </c>
    </row>
    <row r="554" customFormat="false" ht="15" hidden="false" customHeight="false" outlineLevel="0" collapsed="false">
      <c r="A554" s="3" t="n">
        <v>859</v>
      </c>
      <c r="B554" s="3" t="s">
        <v>216</v>
      </c>
      <c r="C554" s="4" t="s">
        <v>23</v>
      </c>
      <c r="D554" s="5" t="n">
        <v>10940</v>
      </c>
      <c r="E554" s="6" t="n">
        <v>95.4877495143728</v>
      </c>
      <c r="F554" s="7" t="n">
        <v>75</v>
      </c>
      <c r="G554" s="6" t="n">
        <v>120.056058341224</v>
      </c>
      <c r="H554" s="8" t="n">
        <v>72312.4203214719</v>
      </c>
      <c r="I554" s="9" t="n">
        <v>5.09235025631004</v>
      </c>
      <c r="J554" s="9" t="n">
        <v>9.82391131108398</v>
      </c>
      <c r="K554" s="3" t="s">
        <v>217</v>
      </c>
      <c r="L554" s="3" t="s">
        <v>218</v>
      </c>
      <c r="M554" s="7" t="n">
        <v>2023</v>
      </c>
    </row>
    <row r="555" customFormat="false" ht="15" hidden="false" customHeight="false" outlineLevel="0" collapsed="false">
      <c r="A555" s="3" t="n">
        <v>860</v>
      </c>
      <c r="B555" s="3" t="s">
        <v>216</v>
      </c>
      <c r="C555" s="4" t="s">
        <v>24</v>
      </c>
      <c r="D555" s="5" t="n">
        <v>10957</v>
      </c>
      <c r="E555" s="6" t="n">
        <v>110.407669294886</v>
      </c>
      <c r="F555" s="7" t="n">
        <v>75</v>
      </c>
      <c r="G555" s="6" t="n">
        <v>163.298781061813</v>
      </c>
      <c r="H555" s="8" t="n">
        <v>95894.5455151054</v>
      </c>
      <c r="I555" s="9" t="n">
        <v>6.57629437332378</v>
      </c>
      <c r="J555" s="9" t="n">
        <v>13.3050795345123</v>
      </c>
      <c r="K555" s="3" t="s">
        <v>217</v>
      </c>
      <c r="L555" s="3" t="s">
        <v>218</v>
      </c>
      <c r="M555" s="7" t="n">
        <v>2024</v>
      </c>
    </row>
    <row r="556" customFormat="false" ht="15" hidden="false" customHeight="false" outlineLevel="0" collapsed="false">
      <c r="A556" s="3" t="n">
        <v>861</v>
      </c>
      <c r="B556" s="3" t="s">
        <v>219</v>
      </c>
      <c r="C556" s="4" t="s">
        <v>14</v>
      </c>
      <c r="D556" s="5" t="n">
        <v>56817</v>
      </c>
      <c r="E556" s="6" t="n">
        <v>842</v>
      </c>
      <c r="F556" s="7" t="n">
        <v>59</v>
      </c>
      <c r="G556" s="6" t="n">
        <v>1391.16855</v>
      </c>
      <c r="H556" s="8" t="n">
        <v>539286.488407501</v>
      </c>
      <c r="I556" s="9" t="n">
        <v>8.96268919270328</v>
      </c>
      <c r="J556" s="9" t="n">
        <v>21.8588669166907</v>
      </c>
      <c r="K556" s="3" t="s">
        <v>220</v>
      </c>
      <c r="L556" s="3" t="s">
        <v>221</v>
      </c>
      <c r="M556" s="7" t="n">
        <v>2016</v>
      </c>
    </row>
    <row r="557" customFormat="false" ht="15" hidden="false" customHeight="false" outlineLevel="0" collapsed="false">
      <c r="A557" s="3" t="n">
        <v>862</v>
      </c>
      <c r="B557" s="3" t="s">
        <v>222</v>
      </c>
      <c r="C557" s="4" t="s">
        <v>14</v>
      </c>
      <c r="D557" s="5" t="n">
        <v>23408</v>
      </c>
      <c r="E557" s="6" t="n">
        <v>305.2</v>
      </c>
      <c r="F557" s="7" t="n">
        <v>54</v>
      </c>
      <c r="G557" s="6" t="n">
        <v>1912.66799000226</v>
      </c>
      <c r="H557" s="8" t="n">
        <v>539187.252379607</v>
      </c>
      <c r="I557" s="9" t="n">
        <v>13.7262409186783</v>
      </c>
      <c r="J557" s="9" t="n">
        <v>72.9459986996866</v>
      </c>
      <c r="K557" s="3" t="s">
        <v>223</v>
      </c>
      <c r="L557" s="3" t="s">
        <v>224</v>
      </c>
      <c r="M557" s="7" t="n">
        <v>2016</v>
      </c>
    </row>
    <row r="558" customFormat="false" ht="15" hidden="false" customHeight="false" outlineLevel="0" collapsed="false">
      <c r="A558" s="3" t="n">
        <v>863</v>
      </c>
      <c r="B558" s="3" t="s">
        <v>222</v>
      </c>
      <c r="C558" s="4" t="s">
        <v>17</v>
      </c>
      <c r="D558" s="5" t="n">
        <v>23663</v>
      </c>
      <c r="E558" s="6" t="n">
        <v>305.2</v>
      </c>
      <c r="F558" s="7" t="n">
        <v>71</v>
      </c>
      <c r="G558" s="6" t="n">
        <v>2337.86950952734</v>
      </c>
      <c r="H558" s="8" t="n">
        <v>660378.000356188</v>
      </c>
      <c r="I558" s="9" t="n">
        <v>15.8761961493458</v>
      </c>
      <c r="J558" s="9" t="n">
        <v>88.4439514869499</v>
      </c>
      <c r="K558" s="3" t="s">
        <v>223</v>
      </c>
      <c r="L558" s="3" t="s">
        <v>224</v>
      </c>
      <c r="M558" s="7" t="n">
        <v>2017</v>
      </c>
    </row>
    <row r="559" customFormat="false" ht="15" hidden="false" customHeight="false" outlineLevel="0" collapsed="false">
      <c r="A559" s="3" t="n">
        <v>864</v>
      </c>
      <c r="B559" s="3" t="s">
        <v>222</v>
      </c>
      <c r="C559" s="4" t="s">
        <v>18</v>
      </c>
      <c r="D559" s="5" t="n">
        <v>23507</v>
      </c>
      <c r="E559" s="6" t="n">
        <v>305.2</v>
      </c>
      <c r="F559" s="7" t="n">
        <v>76</v>
      </c>
      <c r="G559" s="6" t="n">
        <v>1955.55771220461</v>
      </c>
      <c r="H559" s="8" t="n">
        <v>666923.402170259</v>
      </c>
      <c r="I559" s="9" t="n">
        <v>14.7549975018723</v>
      </c>
      <c r="J559" s="9" t="n">
        <v>74.4716719966492</v>
      </c>
      <c r="K559" s="3" t="s">
        <v>223</v>
      </c>
      <c r="L559" s="3" t="s">
        <v>224</v>
      </c>
      <c r="M559" s="7" t="n">
        <v>2018</v>
      </c>
    </row>
    <row r="560" customFormat="false" ht="15" hidden="false" customHeight="false" outlineLevel="0" collapsed="false">
      <c r="A560" s="3" t="n">
        <v>865</v>
      </c>
      <c r="B560" s="3" t="s">
        <v>222</v>
      </c>
      <c r="C560" s="4" t="s">
        <v>19</v>
      </c>
      <c r="D560" s="5" t="n">
        <v>25290</v>
      </c>
      <c r="E560" s="6" t="n">
        <v>287.6</v>
      </c>
      <c r="F560" s="7" t="n">
        <v>77</v>
      </c>
      <c r="G560" s="6" t="n">
        <v>2007.59703619176</v>
      </c>
      <c r="H560" s="8" t="n">
        <v>780373.043938098</v>
      </c>
      <c r="I560" s="9" t="n">
        <v>14.5688173160173</v>
      </c>
      <c r="J560" s="9" t="n">
        <v>71.0633032471812</v>
      </c>
      <c r="K560" s="3" t="s">
        <v>223</v>
      </c>
      <c r="L560" s="3" t="s">
        <v>224</v>
      </c>
      <c r="M560" s="7" t="n">
        <v>2019</v>
      </c>
    </row>
    <row r="561" customFormat="false" ht="15" hidden="false" customHeight="false" outlineLevel="0" collapsed="false">
      <c r="A561" s="3" t="n">
        <v>866</v>
      </c>
      <c r="B561" s="3" t="s">
        <v>222</v>
      </c>
      <c r="C561" s="4" t="s">
        <v>20</v>
      </c>
      <c r="D561" s="5" t="n">
        <v>24935</v>
      </c>
      <c r="E561" s="6" t="n">
        <v>287.6</v>
      </c>
      <c r="F561" s="7" t="n">
        <v>75</v>
      </c>
      <c r="G561" s="6" t="n">
        <v>2948.20968304867</v>
      </c>
      <c r="H561" s="8" t="n">
        <v>1241137.31236983</v>
      </c>
      <c r="I561" s="9" t="n">
        <v>17.683035385124</v>
      </c>
      <c r="J561" s="9" t="n">
        <v>105.554119992099</v>
      </c>
      <c r="K561" s="3" t="s">
        <v>223</v>
      </c>
      <c r="L561" s="3" t="s">
        <v>224</v>
      </c>
      <c r="M561" s="7" t="n">
        <v>2020</v>
      </c>
    </row>
    <row r="562" customFormat="false" ht="15" hidden="false" customHeight="false" outlineLevel="0" collapsed="false">
      <c r="A562" s="3" t="n">
        <v>867</v>
      </c>
      <c r="B562" s="3" t="s">
        <v>222</v>
      </c>
      <c r="C562" s="4" t="s">
        <v>21</v>
      </c>
      <c r="D562" s="5" t="n">
        <v>24935</v>
      </c>
      <c r="E562" s="6" t="n">
        <v>287.6</v>
      </c>
      <c r="F562" s="7" t="n">
        <v>81</v>
      </c>
      <c r="G562" s="6" t="n">
        <v>2677.41447910508</v>
      </c>
      <c r="H562" s="8" t="n">
        <v>1585538.08038124</v>
      </c>
      <c r="I562" s="9" t="n">
        <v>16.5347882341008</v>
      </c>
      <c r="J562" s="9" t="n">
        <v>96.1222459086889</v>
      </c>
      <c r="K562" s="3" t="s">
        <v>223</v>
      </c>
      <c r="L562" s="3" t="s">
        <v>224</v>
      </c>
      <c r="M562" s="7" t="n">
        <v>2021</v>
      </c>
    </row>
    <row r="563" customFormat="false" ht="15" hidden="false" customHeight="false" outlineLevel="0" collapsed="false">
      <c r="A563" s="3" t="n">
        <v>868</v>
      </c>
      <c r="B563" s="3" t="s">
        <v>222</v>
      </c>
      <c r="C563" s="4" t="s">
        <v>22</v>
      </c>
      <c r="D563" s="5" t="n">
        <v>23825</v>
      </c>
      <c r="E563" s="6" t="n">
        <v>287</v>
      </c>
      <c r="F563" s="7" t="n">
        <v>73</v>
      </c>
      <c r="G563" s="6" t="n">
        <v>1120.95536250819</v>
      </c>
      <c r="H563" s="8" t="n">
        <v>543887.541888975</v>
      </c>
      <c r="I563" s="9" t="n">
        <v>7.33616003037585</v>
      </c>
      <c r="J563" s="9" t="n">
        <v>42.1185182510587</v>
      </c>
      <c r="K563" s="3" t="s">
        <v>223</v>
      </c>
      <c r="L563" s="3" t="s">
        <v>224</v>
      </c>
      <c r="M563" s="7" t="n">
        <v>2022</v>
      </c>
    </row>
    <row r="564" customFormat="false" ht="15" hidden="false" customHeight="false" outlineLevel="0" collapsed="false">
      <c r="A564" s="3" t="n">
        <v>869</v>
      </c>
      <c r="B564" s="3" t="s">
        <v>222</v>
      </c>
      <c r="C564" s="4" t="s">
        <v>23</v>
      </c>
      <c r="D564" s="5" t="n">
        <v>23723</v>
      </c>
      <c r="E564" s="6" t="n">
        <v>287</v>
      </c>
      <c r="F564" s="7" t="n">
        <v>73</v>
      </c>
      <c r="G564" s="6" t="n">
        <v>2503.85998841201</v>
      </c>
      <c r="H564" s="8" t="n">
        <v>1228568.98051412</v>
      </c>
      <c r="I564" s="9" t="n">
        <v>16.6487000413608</v>
      </c>
      <c r="J564" s="9" t="n">
        <v>94.4839640813225</v>
      </c>
      <c r="K564" s="3" t="s">
        <v>223</v>
      </c>
      <c r="L564" s="3" t="s">
        <v>224</v>
      </c>
      <c r="M564" s="7" t="n">
        <v>2023</v>
      </c>
    </row>
    <row r="565" customFormat="false" ht="15" hidden="false" customHeight="false" outlineLevel="0" collapsed="false">
      <c r="A565" s="3" t="n">
        <v>870</v>
      </c>
      <c r="B565" s="3" t="s">
        <v>222</v>
      </c>
      <c r="C565" s="4" t="s">
        <v>24</v>
      </c>
      <c r="D565" s="5" t="n">
        <v>23739</v>
      </c>
      <c r="E565" s="6" t="n">
        <v>288</v>
      </c>
      <c r="F565" s="7" t="n">
        <v>72</v>
      </c>
      <c r="G565" s="6" t="n">
        <v>3087.2677525249</v>
      </c>
      <c r="H565" s="8" t="n">
        <v>1489474.92753188</v>
      </c>
      <c r="I565" s="9" t="n">
        <v>18.6455125065931</v>
      </c>
      <c r="J565" s="9" t="n">
        <v>116.101563917187</v>
      </c>
      <c r="K565" s="3" t="s">
        <v>223</v>
      </c>
      <c r="L565" s="3" t="s">
        <v>224</v>
      </c>
      <c r="M565" s="7" t="n">
        <v>2024</v>
      </c>
    </row>
    <row r="566" customFormat="false" ht="15" hidden="false" customHeight="false" outlineLevel="0" collapsed="false">
      <c r="A566" s="3" t="n">
        <v>871</v>
      </c>
      <c r="B566" s="3" t="s">
        <v>225</v>
      </c>
      <c r="C566" s="4" t="s">
        <v>14</v>
      </c>
      <c r="D566" s="5" t="n">
        <v>12358</v>
      </c>
      <c r="E566" s="6" t="n">
        <v>126</v>
      </c>
      <c r="F566" s="7" t="n">
        <v>55</v>
      </c>
      <c r="G566" s="6" t="n">
        <v>158.284744855333</v>
      </c>
      <c r="H566" s="8" t="n">
        <v>72055.9644004934</v>
      </c>
      <c r="I566" s="9" t="n">
        <v>5.04412729715115</v>
      </c>
      <c r="J566" s="9" t="n">
        <v>11.4344969585128</v>
      </c>
      <c r="K566" s="3" t="s">
        <v>226</v>
      </c>
      <c r="L566" s="3" t="s">
        <v>227</v>
      </c>
      <c r="M566" s="7" t="n">
        <v>2016</v>
      </c>
    </row>
    <row r="567" customFormat="false" ht="15" hidden="false" customHeight="false" outlineLevel="0" collapsed="false">
      <c r="A567" s="3" t="n">
        <v>872</v>
      </c>
      <c r="B567" s="3" t="s">
        <v>225</v>
      </c>
      <c r="C567" s="4" t="s">
        <v>17</v>
      </c>
      <c r="D567" s="5" t="n">
        <v>12795</v>
      </c>
      <c r="E567" s="6" t="n">
        <v>126</v>
      </c>
      <c r="F567" s="7" t="n">
        <v>59</v>
      </c>
      <c r="G567" s="6" t="n">
        <v>180.864465971005</v>
      </c>
      <c r="H567" s="8" t="n">
        <v>93517.7807749676</v>
      </c>
      <c r="I567" s="9" t="n">
        <v>4.2912688316708</v>
      </c>
      <c r="J567" s="9" t="n">
        <v>12.654081715711</v>
      </c>
      <c r="K567" s="3" t="s">
        <v>226</v>
      </c>
      <c r="L567" s="3" t="s">
        <v>227</v>
      </c>
      <c r="M567" s="7" t="n">
        <v>2017</v>
      </c>
    </row>
    <row r="568" customFormat="false" ht="15" hidden="false" customHeight="false" outlineLevel="0" collapsed="false">
      <c r="A568" s="3" t="n">
        <v>873</v>
      </c>
      <c r="B568" s="3" t="s">
        <v>225</v>
      </c>
      <c r="C568" s="4" t="s">
        <v>18</v>
      </c>
      <c r="D568" s="5" t="n">
        <v>12795</v>
      </c>
      <c r="E568" s="6" t="n">
        <v>126</v>
      </c>
      <c r="F568" s="7" t="n">
        <v>57</v>
      </c>
      <c r="G568" s="6" t="n">
        <v>203.357427687102</v>
      </c>
      <c r="H568" s="8" t="n">
        <v>102445.371345931</v>
      </c>
      <c r="I568" s="9" t="n">
        <v>5.77693419672651</v>
      </c>
      <c r="J568" s="9" t="n">
        <v>14.2277892654819</v>
      </c>
      <c r="K568" s="3" t="s">
        <v>226</v>
      </c>
      <c r="L568" s="3" t="s">
        <v>227</v>
      </c>
      <c r="M568" s="7" t="n">
        <v>2018</v>
      </c>
    </row>
    <row r="569" customFormat="false" ht="15" hidden="false" customHeight="false" outlineLevel="0" collapsed="false">
      <c r="A569" s="3" t="n">
        <v>874</v>
      </c>
      <c r="B569" s="3" t="s">
        <v>225</v>
      </c>
      <c r="C569" s="4" t="s">
        <v>19</v>
      </c>
      <c r="D569" s="5" t="n">
        <v>12795</v>
      </c>
      <c r="E569" s="6" t="n">
        <v>126</v>
      </c>
      <c r="F569" s="7" t="n">
        <v>57</v>
      </c>
      <c r="G569" s="6" t="n">
        <v>298.569883619557</v>
      </c>
      <c r="H569" s="8" t="n">
        <v>74116.9879097188</v>
      </c>
      <c r="I569" s="9" t="n">
        <v>7.52617207713242</v>
      </c>
      <c r="J569" s="9" t="n">
        <v>20.8892757617623</v>
      </c>
      <c r="K569" s="3" t="s">
        <v>226</v>
      </c>
      <c r="L569" s="3" t="s">
        <v>227</v>
      </c>
      <c r="M569" s="7" t="n">
        <v>2019</v>
      </c>
    </row>
    <row r="570" customFormat="false" ht="15" hidden="false" customHeight="false" outlineLevel="0" collapsed="false">
      <c r="A570" s="3" t="n">
        <v>875</v>
      </c>
      <c r="B570" s="3" t="s">
        <v>225</v>
      </c>
      <c r="C570" s="4" t="s">
        <v>20</v>
      </c>
      <c r="D570" s="5" t="n">
        <v>12747</v>
      </c>
      <c r="E570" s="6" t="n">
        <v>126</v>
      </c>
      <c r="F570" s="7" t="n">
        <v>61</v>
      </c>
      <c r="G570" s="6" t="n">
        <v>539.479249419192</v>
      </c>
      <c r="H570" s="8" t="n">
        <v>345255.930043294</v>
      </c>
      <c r="I570" s="9" t="n">
        <v>9.47760782471819</v>
      </c>
      <c r="J570" s="9" t="n">
        <v>37.7826967403543</v>
      </c>
      <c r="K570" s="3" t="s">
        <v>226</v>
      </c>
      <c r="L570" s="3" t="s">
        <v>227</v>
      </c>
      <c r="M570" s="7" t="n">
        <v>2020</v>
      </c>
    </row>
    <row r="571" customFormat="false" ht="15" hidden="false" customHeight="false" outlineLevel="0" collapsed="false">
      <c r="A571" s="3" t="n">
        <v>876</v>
      </c>
      <c r="B571" s="3" t="s">
        <v>225</v>
      </c>
      <c r="C571" s="4" t="s">
        <v>21</v>
      </c>
      <c r="D571" s="5" t="n">
        <v>12747</v>
      </c>
      <c r="E571" s="6" t="n">
        <v>126</v>
      </c>
      <c r="F571" s="7" t="n">
        <v>67</v>
      </c>
      <c r="G571" s="6" t="n">
        <v>339.350186737579</v>
      </c>
      <c r="H571" s="8" t="n">
        <v>196191.916960464</v>
      </c>
      <c r="I571" s="9" t="n">
        <v>8.15760147353357</v>
      </c>
      <c r="J571" s="9" t="n">
        <v>23.8318513424462</v>
      </c>
      <c r="K571" s="3" t="s">
        <v>226</v>
      </c>
      <c r="L571" s="3" t="s">
        <v>227</v>
      </c>
      <c r="M571" s="7" t="n">
        <v>2021</v>
      </c>
    </row>
    <row r="572" customFormat="false" ht="15" hidden="false" customHeight="false" outlineLevel="0" collapsed="false">
      <c r="A572" s="3" t="n">
        <v>877</v>
      </c>
      <c r="B572" s="3" t="s">
        <v>225</v>
      </c>
      <c r="C572" s="4" t="s">
        <v>22</v>
      </c>
      <c r="D572" s="5" t="n">
        <v>12616</v>
      </c>
      <c r="E572" s="6" t="n">
        <v>125.59</v>
      </c>
      <c r="F572" s="7" t="n">
        <v>58</v>
      </c>
      <c r="G572" s="6" t="n">
        <v>385.334256778037</v>
      </c>
      <c r="H572" s="8" t="n">
        <v>198200.528316351</v>
      </c>
      <c r="I572" s="9" t="n">
        <v>7.25404871126961</v>
      </c>
      <c r="J572" s="9" t="n">
        <v>27.3422099848309</v>
      </c>
      <c r="K572" s="3" t="s">
        <v>226</v>
      </c>
      <c r="L572" s="3" t="s">
        <v>227</v>
      </c>
      <c r="M572" s="7" t="n">
        <v>2022</v>
      </c>
    </row>
    <row r="573" customFormat="false" ht="15" hidden="false" customHeight="false" outlineLevel="0" collapsed="false">
      <c r="A573" s="3" t="n">
        <v>878</v>
      </c>
      <c r="B573" s="3" t="s">
        <v>225</v>
      </c>
      <c r="C573" s="4" t="s">
        <v>23</v>
      </c>
      <c r="D573" s="5" t="n">
        <v>12616</v>
      </c>
      <c r="E573" s="6" t="n">
        <v>125.59</v>
      </c>
      <c r="F573" s="7" t="n">
        <v>50</v>
      </c>
      <c r="G573" s="6" t="n">
        <v>658.222524999999</v>
      </c>
      <c r="H573" s="8" t="n">
        <v>425955.54260325</v>
      </c>
      <c r="I573" s="9" t="n">
        <v>11.6591196507975</v>
      </c>
      <c r="J573" s="9" t="n">
        <v>46.7055762074704</v>
      </c>
      <c r="K573" s="3" t="s">
        <v>226</v>
      </c>
      <c r="L573" s="3" t="s">
        <v>227</v>
      </c>
      <c r="M573" s="7" t="n">
        <v>2023</v>
      </c>
    </row>
    <row r="574" customFormat="false" ht="15" hidden="false" customHeight="false" outlineLevel="0" collapsed="false">
      <c r="A574" s="3" t="n">
        <v>879</v>
      </c>
      <c r="B574" s="3" t="s">
        <v>225</v>
      </c>
      <c r="C574" s="4" t="s">
        <v>24</v>
      </c>
      <c r="D574" s="5" t="n">
        <v>12721</v>
      </c>
      <c r="E574" s="6" t="n">
        <v>125.59</v>
      </c>
      <c r="F574" s="7" t="n">
        <v>57</v>
      </c>
      <c r="G574" s="6" t="n">
        <v>405.651547619048</v>
      </c>
      <c r="H574" s="8" t="n">
        <v>250570.960964286</v>
      </c>
      <c r="I574" s="9" t="n">
        <v>7.55437067552285</v>
      </c>
      <c r="J574" s="9" t="n">
        <v>28.4680734893579</v>
      </c>
      <c r="K574" s="3" t="s">
        <v>226</v>
      </c>
      <c r="L574" s="3" t="s">
        <v>227</v>
      </c>
      <c r="M574" s="7" t="n">
        <v>2024</v>
      </c>
    </row>
    <row r="575" customFormat="false" ht="15" hidden="false" customHeight="false" outlineLevel="0" collapsed="false">
      <c r="A575" s="3" t="n">
        <v>889</v>
      </c>
      <c r="B575" s="3" t="s">
        <v>228</v>
      </c>
      <c r="C575" s="4" t="s">
        <v>14</v>
      </c>
      <c r="D575" s="5" t="n">
        <v>7468</v>
      </c>
      <c r="E575" s="6" t="n">
        <v>75</v>
      </c>
      <c r="F575" s="7" t="n">
        <v>79</v>
      </c>
      <c r="G575" s="6" t="n">
        <v>58.3264647208127</v>
      </c>
      <c r="H575" s="8" t="n">
        <v>27464.7657077363</v>
      </c>
      <c r="I575" s="9" t="n">
        <v>3.90279919785746</v>
      </c>
      <c r="J575" s="9" t="n">
        <v>6.97248419035062</v>
      </c>
      <c r="K575" s="3" t="s">
        <v>229</v>
      </c>
      <c r="L575" s="3" t="s">
        <v>218</v>
      </c>
      <c r="M575" s="7" t="n">
        <v>2016</v>
      </c>
    </row>
    <row r="576" customFormat="false" ht="15" hidden="false" customHeight="false" outlineLevel="0" collapsed="false">
      <c r="A576" s="3" t="n">
        <v>890</v>
      </c>
      <c r="B576" s="3" t="s">
        <v>228</v>
      </c>
      <c r="C576" s="4" t="s">
        <v>17</v>
      </c>
      <c r="D576" s="5" t="n">
        <v>7436</v>
      </c>
      <c r="E576" s="6" t="n">
        <v>75</v>
      </c>
      <c r="F576" s="7" t="n">
        <v>72</v>
      </c>
      <c r="G576" s="6" t="n">
        <v>199.488315736041</v>
      </c>
      <c r="H576" s="8" t="n">
        <v>94788.8681051374</v>
      </c>
      <c r="I576" s="9" t="n">
        <v>6.89706087287684</v>
      </c>
      <c r="J576" s="9" t="n">
        <v>24.015728048174</v>
      </c>
      <c r="K576" s="3" t="s">
        <v>229</v>
      </c>
      <c r="L576" s="3" t="s">
        <v>218</v>
      </c>
      <c r="M576" s="7" t="n">
        <v>2017</v>
      </c>
    </row>
    <row r="577" customFormat="false" ht="15" hidden="false" customHeight="false" outlineLevel="0" collapsed="false">
      <c r="A577" s="3" t="n">
        <v>891</v>
      </c>
      <c r="B577" s="3" t="s">
        <v>228</v>
      </c>
      <c r="C577" s="4" t="s">
        <v>18</v>
      </c>
      <c r="D577" s="5" t="n">
        <v>7445</v>
      </c>
      <c r="E577" s="6" t="n">
        <v>75</v>
      </c>
      <c r="F577" s="7" t="n">
        <v>72</v>
      </c>
      <c r="G577" s="6" t="n">
        <v>285.984457246194</v>
      </c>
      <c r="H577" s="8" t="n">
        <v>149953.090312469</v>
      </c>
      <c r="I577" s="9" t="n">
        <v>8.38005330700221</v>
      </c>
      <c r="J577" s="9" t="n">
        <v>34.3870882361234</v>
      </c>
      <c r="K577" s="3" t="s">
        <v>229</v>
      </c>
      <c r="L577" s="3" t="s">
        <v>218</v>
      </c>
      <c r="M577" s="7" t="n">
        <v>2018</v>
      </c>
    </row>
    <row r="578" customFormat="false" ht="15" hidden="false" customHeight="false" outlineLevel="0" collapsed="false">
      <c r="A578" s="3" t="n">
        <v>892</v>
      </c>
      <c r="B578" s="3" t="s">
        <v>228</v>
      </c>
      <c r="C578" s="4" t="s">
        <v>19</v>
      </c>
      <c r="D578" s="5" t="n">
        <v>7447</v>
      </c>
      <c r="E578" s="6" t="n">
        <v>75.1</v>
      </c>
      <c r="F578" s="7" t="n">
        <v>72</v>
      </c>
      <c r="G578" s="6" t="n">
        <v>305.880727309643</v>
      </c>
      <c r="H578" s="8" t="n">
        <v>163361.720034261</v>
      </c>
      <c r="I578" s="9" t="n">
        <v>8.99098999813172</v>
      </c>
      <c r="J578" s="9" t="n">
        <v>36.7695601571894</v>
      </c>
      <c r="K578" s="3" t="s">
        <v>229</v>
      </c>
      <c r="L578" s="3" t="s">
        <v>218</v>
      </c>
      <c r="M578" s="7" t="n">
        <v>2019</v>
      </c>
    </row>
    <row r="579" customFormat="false" ht="15" hidden="false" customHeight="false" outlineLevel="0" collapsed="false">
      <c r="A579" s="3" t="n">
        <v>893</v>
      </c>
      <c r="B579" s="3" t="s">
        <v>228</v>
      </c>
      <c r="C579" s="4" t="s">
        <v>20</v>
      </c>
      <c r="D579" s="5" t="n">
        <v>7496</v>
      </c>
      <c r="E579" s="6" t="n">
        <v>68.8</v>
      </c>
      <c r="F579" s="7" t="n">
        <v>72</v>
      </c>
      <c r="G579" s="6" t="n">
        <v>272.108943680203</v>
      </c>
      <c r="H579" s="8" t="n">
        <v>150239.511074151</v>
      </c>
      <c r="I579" s="9" t="n">
        <v>8.31232797015248</v>
      </c>
      <c r="J579" s="9" t="n">
        <v>32.4070450019509</v>
      </c>
      <c r="K579" s="3" t="s">
        <v>229</v>
      </c>
      <c r="L579" s="3" t="s">
        <v>218</v>
      </c>
      <c r="M579" s="7" t="n">
        <v>2020</v>
      </c>
    </row>
    <row r="580" customFormat="false" ht="15" hidden="false" customHeight="false" outlineLevel="0" collapsed="false">
      <c r="A580" s="3" t="n">
        <v>894</v>
      </c>
      <c r="B580" s="3" t="s">
        <v>228</v>
      </c>
      <c r="C580" s="4" t="s">
        <v>21</v>
      </c>
      <c r="D580" s="5" t="n">
        <v>7543</v>
      </c>
      <c r="E580" s="6" t="n">
        <v>68.7</v>
      </c>
      <c r="F580" s="7" t="n">
        <v>75</v>
      </c>
      <c r="G580" s="6" t="n">
        <v>286.672988800629</v>
      </c>
      <c r="H580" s="8" t="n">
        <v>202425.5308519</v>
      </c>
      <c r="I580" s="9" t="n">
        <v>8.93150673857353</v>
      </c>
      <c r="J580" s="9" t="n">
        <v>34.0220392364632</v>
      </c>
      <c r="K580" s="3" t="s">
        <v>229</v>
      </c>
      <c r="L580" s="3" t="s">
        <v>218</v>
      </c>
      <c r="M580" s="7" t="n">
        <v>2021</v>
      </c>
    </row>
    <row r="581" customFormat="false" ht="15" hidden="false" customHeight="false" outlineLevel="0" collapsed="false">
      <c r="A581" s="3" t="n">
        <v>895</v>
      </c>
      <c r="B581" s="3" t="s">
        <v>228</v>
      </c>
      <c r="C581" s="4" t="s">
        <v>22</v>
      </c>
      <c r="D581" s="5" t="n">
        <v>7542</v>
      </c>
      <c r="E581" s="6" t="n">
        <v>68.6</v>
      </c>
      <c r="F581" s="7" t="n">
        <v>74</v>
      </c>
      <c r="G581" s="6" t="n">
        <v>301.434514651398</v>
      </c>
      <c r="H581" s="8" t="n">
        <v>220785.557392396</v>
      </c>
      <c r="I581" s="9" t="n">
        <v>9.09225296617886</v>
      </c>
      <c r="J581" s="9" t="n">
        <v>35.7786644001186</v>
      </c>
      <c r="K581" s="3" t="s">
        <v>229</v>
      </c>
      <c r="L581" s="3" t="s">
        <v>218</v>
      </c>
      <c r="M581" s="7" t="n">
        <v>2022</v>
      </c>
    </row>
    <row r="582" customFormat="false" ht="15" hidden="false" customHeight="false" outlineLevel="0" collapsed="false">
      <c r="A582" s="3" t="n">
        <v>896</v>
      </c>
      <c r="B582" s="3" t="s">
        <v>228</v>
      </c>
      <c r="C582" s="4" t="s">
        <v>23</v>
      </c>
      <c r="D582" s="5" t="n">
        <v>7574</v>
      </c>
      <c r="E582" s="6" t="n">
        <v>68.6049324368843</v>
      </c>
      <c r="F582" s="7" t="n">
        <v>75</v>
      </c>
      <c r="G582" s="6" t="n">
        <v>174.405903329956</v>
      </c>
      <c r="H582" s="8" t="n">
        <v>126460.940622664</v>
      </c>
      <c r="I582" s="9" t="n">
        <v>6.96510848236943</v>
      </c>
      <c r="J582" s="9" t="n">
        <v>20.6135862442833</v>
      </c>
      <c r="K582" s="3" t="s">
        <v>229</v>
      </c>
      <c r="L582" s="3" t="s">
        <v>218</v>
      </c>
      <c r="M582" s="7" t="n">
        <v>2023</v>
      </c>
    </row>
    <row r="583" customFormat="false" ht="15" hidden="false" customHeight="false" outlineLevel="0" collapsed="false">
      <c r="A583" s="3" t="n">
        <v>897</v>
      </c>
      <c r="B583" s="3" t="s">
        <v>228</v>
      </c>
      <c r="C583" s="4" t="s">
        <v>24</v>
      </c>
      <c r="D583" s="5" t="n">
        <v>7598</v>
      </c>
      <c r="E583" s="6" t="n">
        <v>75.4707039901515</v>
      </c>
      <c r="F583" s="7" t="n">
        <v>74</v>
      </c>
      <c r="G583" s="6" t="n">
        <v>182.202093165284</v>
      </c>
      <c r="H583" s="8" t="n">
        <v>139681.277581905</v>
      </c>
      <c r="I583" s="9" t="n">
        <v>6.67070869112112</v>
      </c>
      <c r="J583" s="9" t="n">
        <v>21.4082055695987</v>
      </c>
      <c r="K583" s="3" t="s">
        <v>229</v>
      </c>
      <c r="L583" s="3" t="s">
        <v>218</v>
      </c>
      <c r="M583" s="7" t="n">
        <v>2024</v>
      </c>
    </row>
    <row r="584" customFormat="false" ht="15" hidden="false" customHeight="false" outlineLevel="0" collapsed="false">
      <c r="A584" s="3" t="n">
        <v>898</v>
      </c>
      <c r="B584" s="3" t="s">
        <v>230</v>
      </c>
      <c r="C584" s="4" t="s">
        <v>14</v>
      </c>
      <c r="D584" s="5" t="n">
        <v>7127</v>
      </c>
      <c r="E584" s="6" t="n">
        <v>66</v>
      </c>
      <c r="F584" s="7" t="n">
        <v>59</v>
      </c>
      <c r="G584" s="6" t="n">
        <v>-47.3748268011598</v>
      </c>
      <c r="H584" s="8" t="n">
        <v>-2656.36485393448</v>
      </c>
      <c r="I584" s="9" t="n">
        <v>0.224407771115719</v>
      </c>
      <c r="J584" s="9" t="n">
        <v>-5.9342668293965</v>
      </c>
      <c r="K584" s="3" t="s">
        <v>231</v>
      </c>
      <c r="L584" s="3" t="s">
        <v>232</v>
      </c>
      <c r="M584" s="7" t="n">
        <v>2016</v>
      </c>
    </row>
    <row r="585" customFormat="false" ht="15" hidden="false" customHeight="false" outlineLevel="0" collapsed="false">
      <c r="A585" s="3" t="n">
        <v>899</v>
      </c>
      <c r="B585" s="3" t="s">
        <v>230</v>
      </c>
      <c r="C585" s="4" t="s">
        <v>17</v>
      </c>
      <c r="D585" s="5" t="n">
        <v>7016</v>
      </c>
      <c r="E585" s="6" t="n">
        <v>66</v>
      </c>
      <c r="F585" s="7" t="n">
        <v>54</v>
      </c>
      <c r="G585" s="6" t="n">
        <v>58.0821389191351</v>
      </c>
      <c r="H585" s="8" t="n">
        <v>3256.6655291959</v>
      </c>
      <c r="I585" s="9" t="n">
        <v>2.54390644030864</v>
      </c>
      <c r="J585" s="9" t="n">
        <v>7.41089560163077</v>
      </c>
      <c r="K585" s="3" t="s">
        <v>231</v>
      </c>
      <c r="L585" s="3" t="s">
        <v>232</v>
      </c>
      <c r="M585" s="7" t="n">
        <v>2017</v>
      </c>
    </row>
    <row r="586" customFormat="false" ht="15" hidden="false" customHeight="false" outlineLevel="0" collapsed="false">
      <c r="A586" s="3" t="n">
        <v>900</v>
      </c>
      <c r="B586" s="3" t="s">
        <v>230</v>
      </c>
      <c r="C586" s="4" t="s">
        <v>18</v>
      </c>
      <c r="D586" s="5" t="n">
        <v>7016</v>
      </c>
      <c r="E586" s="6" t="n">
        <v>66</v>
      </c>
      <c r="F586" s="7" t="n">
        <v>66</v>
      </c>
      <c r="G586" s="6" t="n">
        <v>138.627857518207</v>
      </c>
      <c r="H586" s="8" t="n">
        <v>7772.86397104588</v>
      </c>
      <c r="I586" s="9" t="n">
        <v>4.0186379042238</v>
      </c>
      <c r="J586" s="9" t="n">
        <v>17.6879949441172</v>
      </c>
      <c r="K586" s="3" t="s">
        <v>231</v>
      </c>
      <c r="L586" s="3" t="s">
        <v>232</v>
      </c>
      <c r="M586" s="7" t="n">
        <v>2018</v>
      </c>
    </row>
    <row r="587" customFormat="false" ht="15" hidden="false" customHeight="false" outlineLevel="0" collapsed="false">
      <c r="A587" s="3" t="n">
        <v>901</v>
      </c>
      <c r="B587" s="3" t="s">
        <v>230</v>
      </c>
      <c r="C587" s="4" t="s">
        <v>19</v>
      </c>
      <c r="D587" s="5" t="n">
        <v>7016</v>
      </c>
      <c r="E587" s="6" t="n">
        <v>66</v>
      </c>
      <c r="F587" s="7" t="n">
        <v>73</v>
      </c>
      <c r="G587" s="6" t="n">
        <v>77.2832464266546</v>
      </c>
      <c r="H587" s="8" t="n">
        <v>13036.1380072481</v>
      </c>
      <c r="I587" s="9" t="n">
        <v>3.78959154022719</v>
      </c>
      <c r="J587" s="9" t="n">
        <v>9.86082953695001</v>
      </c>
      <c r="K587" s="3" t="s">
        <v>231</v>
      </c>
      <c r="L587" s="3" t="s">
        <v>232</v>
      </c>
      <c r="M587" s="7" t="n">
        <v>2019</v>
      </c>
    </row>
    <row r="588" customFormat="false" ht="15" hidden="false" customHeight="false" outlineLevel="0" collapsed="false">
      <c r="A588" s="3" t="n">
        <v>902</v>
      </c>
      <c r="B588" s="3" t="s">
        <v>230</v>
      </c>
      <c r="C588" s="4" t="s">
        <v>20</v>
      </c>
      <c r="D588" s="5" t="n">
        <v>7900</v>
      </c>
      <c r="E588" s="6" t="n">
        <v>66</v>
      </c>
      <c r="F588" s="7" t="n">
        <v>74</v>
      </c>
      <c r="G588" s="6" t="n">
        <v>42.3563129702038</v>
      </c>
      <c r="H588" s="8" t="n">
        <v>22816.4986707894</v>
      </c>
      <c r="I588" s="9" t="n">
        <v>2.35995669278971</v>
      </c>
      <c r="J588" s="9" t="n">
        <v>4.78649104825867</v>
      </c>
      <c r="K588" s="3" t="s">
        <v>231</v>
      </c>
      <c r="L588" s="3" t="s">
        <v>232</v>
      </c>
      <c r="M588" s="7" t="n">
        <v>2020</v>
      </c>
    </row>
    <row r="589" customFormat="false" ht="15" hidden="false" customHeight="false" outlineLevel="0" collapsed="false">
      <c r="A589" s="3" t="n">
        <v>903</v>
      </c>
      <c r="B589" s="3" t="s">
        <v>230</v>
      </c>
      <c r="C589" s="4" t="s">
        <v>21</v>
      </c>
      <c r="D589" s="5" t="n">
        <v>7100</v>
      </c>
      <c r="E589" s="6" t="n">
        <v>66</v>
      </c>
      <c r="F589" s="7" t="n">
        <v>79</v>
      </c>
      <c r="G589" s="6" t="n">
        <v>17.8020311175646</v>
      </c>
      <c r="H589" s="8" t="n">
        <v>10681.2186705388</v>
      </c>
      <c r="I589" s="9" t="n">
        <v>1.79958021268876</v>
      </c>
      <c r="J589" s="9" t="n">
        <v>2.24454791893265</v>
      </c>
      <c r="K589" s="3" t="s">
        <v>231</v>
      </c>
      <c r="L589" s="3" t="s">
        <v>232</v>
      </c>
      <c r="M589" s="7" t="n">
        <v>2021</v>
      </c>
    </row>
    <row r="590" customFormat="false" ht="15" hidden="false" customHeight="false" outlineLevel="0" collapsed="false">
      <c r="A590" s="3" t="n">
        <v>904</v>
      </c>
      <c r="B590" s="3" t="s">
        <v>230</v>
      </c>
      <c r="C590" s="4" t="s">
        <v>22</v>
      </c>
      <c r="D590" s="5" t="n">
        <v>7100</v>
      </c>
      <c r="E590" s="6" t="n">
        <v>66</v>
      </c>
      <c r="F590" s="7" t="n">
        <v>67</v>
      </c>
      <c r="G590" s="6" t="n">
        <v>60.3544265442378</v>
      </c>
      <c r="H590" s="8" t="n">
        <v>36212.6559265427</v>
      </c>
      <c r="I590" s="9" t="n">
        <v>3.31126937338883</v>
      </c>
      <c r="J590" s="9" t="n">
        <v>7.60971608259806</v>
      </c>
      <c r="K590" s="3" t="s">
        <v>231</v>
      </c>
      <c r="L590" s="3" t="s">
        <v>232</v>
      </c>
      <c r="M590" s="7" t="n">
        <v>2022</v>
      </c>
    </row>
    <row r="591" customFormat="false" ht="15" hidden="false" customHeight="false" outlineLevel="0" collapsed="false">
      <c r="A591" s="3" t="n">
        <v>905</v>
      </c>
      <c r="B591" s="3" t="s">
        <v>230</v>
      </c>
      <c r="C591" s="4" t="s">
        <v>23</v>
      </c>
      <c r="D591" s="5" t="n">
        <v>7251</v>
      </c>
      <c r="E591" s="6" t="n">
        <v>102</v>
      </c>
      <c r="F591" s="7" t="n">
        <v>69</v>
      </c>
      <c r="G591" s="6" t="n">
        <v>47.8356902635751</v>
      </c>
      <c r="H591" s="8" t="n">
        <v>32891.8684609245</v>
      </c>
      <c r="I591" s="9" t="n">
        <v>2.89833413193491</v>
      </c>
      <c r="J591" s="9" t="n">
        <v>5.90570588523455</v>
      </c>
      <c r="K591" s="3" t="s">
        <v>231</v>
      </c>
      <c r="L591" s="3" t="s">
        <v>232</v>
      </c>
      <c r="M591" s="7" t="n">
        <v>2023</v>
      </c>
    </row>
    <row r="592" customFormat="false" ht="15" hidden="false" customHeight="false" outlineLevel="0" collapsed="false">
      <c r="A592" s="3" t="n">
        <v>906</v>
      </c>
      <c r="B592" s="3" t="s">
        <v>230</v>
      </c>
      <c r="C592" s="4" t="s">
        <v>24</v>
      </c>
      <c r="D592" s="5" t="n">
        <v>7271</v>
      </c>
      <c r="E592" s="6" t="n">
        <v>66</v>
      </c>
      <c r="F592" s="7" t="n">
        <v>72</v>
      </c>
      <c r="G592" s="6" t="n">
        <v>69.5912632148157</v>
      </c>
      <c r="H592" s="8" t="n">
        <v>48713.884250371</v>
      </c>
      <c r="I592" s="9" t="n">
        <v>3.05276125201867</v>
      </c>
      <c r="J592" s="9" t="n">
        <v>8.54450225791365</v>
      </c>
      <c r="K592" s="3" t="s">
        <v>231</v>
      </c>
      <c r="L592" s="3" t="s">
        <v>232</v>
      </c>
      <c r="M592" s="7" t="n">
        <v>2024</v>
      </c>
    </row>
    <row r="593" customFormat="false" ht="15" hidden="false" customHeight="false" outlineLevel="0" collapsed="false">
      <c r="A593" s="3" t="n">
        <v>907</v>
      </c>
      <c r="B593" s="3" t="s">
        <v>233</v>
      </c>
      <c r="C593" s="4" t="s">
        <v>41</v>
      </c>
      <c r="D593" s="5" t="n">
        <v>31296</v>
      </c>
      <c r="E593" s="6" t="n">
        <v>355</v>
      </c>
      <c r="F593" s="7" t="n">
        <v>55</v>
      </c>
      <c r="G593" s="6" t="n">
        <v>1648.27456676861</v>
      </c>
      <c r="H593" s="8" t="n">
        <v>870354.902236495</v>
      </c>
      <c r="I593" s="9" t="n">
        <v>9.2101003561023</v>
      </c>
      <c r="J593" s="9" t="n">
        <v>47.1474706468227</v>
      </c>
      <c r="K593" s="3" t="s">
        <v>234</v>
      </c>
      <c r="L593" s="3" t="s">
        <v>235</v>
      </c>
      <c r="M593" s="7" t="n">
        <v>2016</v>
      </c>
    </row>
    <row r="594" customFormat="false" ht="15" hidden="false" customHeight="false" outlineLevel="0" collapsed="false">
      <c r="A594" s="3" t="n">
        <v>908</v>
      </c>
      <c r="B594" s="3" t="s">
        <v>233</v>
      </c>
      <c r="C594" s="4" t="s">
        <v>42</v>
      </c>
      <c r="D594" s="5" t="n">
        <v>31296</v>
      </c>
      <c r="E594" s="6" t="n">
        <v>355</v>
      </c>
      <c r="F594" s="7" t="n">
        <v>64</v>
      </c>
      <c r="G594" s="6" t="n">
        <v>1027.53503615146</v>
      </c>
      <c r="H594" s="8" t="n">
        <v>562082.21547557</v>
      </c>
      <c r="I594" s="9" t="n">
        <v>6.36877514491481</v>
      </c>
      <c r="J594" s="9" t="n">
        <v>29.391752401124</v>
      </c>
      <c r="K594" s="3" t="s">
        <v>234</v>
      </c>
      <c r="L594" s="3" t="s">
        <v>235</v>
      </c>
      <c r="M594" s="7" t="n">
        <v>2017</v>
      </c>
    </row>
    <row r="595" customFormat="false" ht="15" hidden="false" customHeight="false" outlineLevel="0" collapsed="false">
      <c r="A595" s="3" t="n">
        <v>909</v>
      </c>
      <c r="B595" s="3" t="s">
        <v>233</v>
      </c>
      <c r="C595" s="4" t="s">
        <v>43</v>
      </c>
      <c r="D595" s="5" t="n">
        <v>30571</v>
      </c>
      <c r="E595" s="6" t="n">
        <v>355</v>
      </c>
      <c r="F595" s="7" t="n">
        <v>64</v>
      </c>
      <c r="G595" s="6" t="n">
        <v>2225.87459103789</v>
      </c>
      <c r="H595" s="8" t="n">
        <v>1301669.20209305</v>
      </c>
      <c r="I595" s="9" t="n">
        <v>11.1646186789334</v>
      </c>
      <c r="J595" s="9" t="n">
        <v>65.1791543235408</v>
      </c>
      <c r="K595" s="3" t="s">
        <v>234</v>
      </c>
      <c r="L595" s="3" t="s">
        <v>235</v>
      </c>
      <c r="M595" s="7" t="n">
        <v>2018</v>
      </c>
    </row>
    <row r="596" customFormat="false" ht="15" hidden="false" customHeight="false" outlineLevel="0" collapsed="false">
      <c r="A596" s="3" t="n">
        <v>910</v>
      </c>
      <c r="B596" s="3" t="s">
        <v>233</v>
      </c>
      <c r="C596" s="4" t="s">
        <v>44</v>
      </c>
      <c r="D596" s="5" t="n">
        <v>32798</v>
      </c>
      <c r="E596" s="6" t="n">
        <v>353</v>
      </c>
      <c r="F596" s="7" t="n">
        <v>64</v>
      </c>
      <c r="G596" s="6" t="n">
        <v>1745.35590382263</v>
      </c>
      <c r="H596" s="8" t="n">
        <v>950433.557426613</v>
      </c>
      <c r="I596" s="9" t="n">
        <v>9.29212354343676</v>
      </c>
      <c r="J596" s="9" t="n">
        <v>47.5075715957044</v>
      </c>
      <c r="K596" s="3" t="s">
        <v>234</v>
      </c>
      <c r="L596" s="3" t="s">
        <v>235</v>
      </c>
      <c r="M596" s="7" t="n">
        <v>2019</v>
      </c>
    </row>
    <row r="597" customFormat="false" ht="15" hidden="false" customHeight="false" outlineLevel="0" collapsed="false">
      <c r="A597" s="3" t="n">
        <v>911</v>
      </c>
      <c r="B597" s="3" t="s">
        <v>233</v>
      </c>
      <c r="C597" s="4" t="s">
        <v>45</v>
      </c>
      <c r="D597" s="5" t="n">
        <v>33096</v>
      </c>
      <c r="E597" s="6" t="n">
        <v>364.13</v>
      </c>
      <c r="F597" s="7" t="n">
        <v>63</v>
      </c>
      <c r="G597" s="6" t="n">
        <v>2830.18135343097</v>
      </c>
      <c r="H597" s="8" t="n">
        <v>1467788.65351637</v>
      </c>
      <c r="I597" s="9" t="n">
        <v>11.8538298799344</v>
      </c>
      <c r="J597" s="9" t="n">
        <v>76.5519806680296</v>
      </c>
      <c r="K597" s="3" t="s">
        <v>234</v>
      </c>
      <c r="L597" s="3" t="s">
        <v>235</v>
      </c>
      <c r="M597" s="7" t="n">
        <v>2020</v>
      </c>
    </row>
    <row r="598" customFormat="false" ht="15" hidden="false" customHeight="false" outlineLevel="0" collapsed="false">
      <c r="A598" s="3" t="n">
        <v>912</v>
      </c>
      <c r="B598" s="3" t="s">
        <v>233</v>
      </c>
      <c r="C598" s="4" t="s">
        <v>46</v>
      </c>
      <c r="D598" s="5" t="n">
        <v>33049</v>
      </c>
      <c r="E598" s="6" t="n">
        <v>366.04</v>
      </c>
      <c r="F598" s="7" t="n">
        <v>65</v>
      </c>
      <c r="G598" s="6" t="n">
        <v>1143.1120900259</v>
      </c>
      <c r="H598" s="8" t="n">
        <v>882013.857543082</v>
      </c>
      <c r="I598" s="9" t="n">
        <v>6.64976543770965</v>
      </c>
      <c r="J598" s="9" t="n">
        <v>30.9633662210382</v>
      </c>
      <c r="K598" s="3" t="s">
        <v>234</v>
      </c>
      <c r="L598" s="3" t="s">
        <v>235</v>
      </c>
      <c r="M598" s="7" t="n">
        <v>2021</v>
      </c>
    </row>
    <row r="599" customFormat="false" ht="15" hidden="false" customHeight="false" outlineLevel="0" collapsed="false">
      <c r="A599" s="3" t="n">
        <v>913</v>
      </c>
      <c r="B599" s="3" t="s">
        <v>233</v>
      </c>
      <c r="C599" s="4" t="s">
        <v>47</v>
      </c>
      <c r="D599" s="5" t="n">
        <v>33468</v>
      </c>
      <c r="E599" s="6" t="n">
        <v>366.04</v>
      </c>
      <c r="F599" s="7" t="n">
        <v>65</v>
      </c>
      <c r="G599" s="6" t="n">
        <v>1984.44636144896</v>
      </c>
      <c r="H599" s="8" t="n">
        <v>1740472.57303347</v>
      </c>
      <c r="I599" s="9" t="n">
        <v>11.0546642224935</v>
      </c>
      <c r="J599" s="9" t="n">
        <v>53.0795556822283</v>
      </c>
      <c r="K599" s="3" t="s">
        <v>234</v>
      </c>
      <c r="L599" s="3" t="s">
        <v>235</v>
      </c>
      <c r="M599" s="7" t="n">
        <v>2022</v>
      </c>
    </row>
    <row r="600" customFormat="false" ht="15" hidden="false" customHeight="false" outlineLevel="0" collapsed="false">
      <c r="A600" s="3" t="n">
        <v>914</v>
      </c>
      <c r="B600" s="3" t="s">
        <v>233</v>
      </c>
      <c r="C600" s="4" t="s">
        <v>48</v>
      </c>
      <c r="D600" s="5" t="n">
        <v>33503</v>
      </c>
      <c r="E600" s="6" t="n">
        <v>366.04</v>
      </c>
      <c r="F600" s="7" t="n">
        <v>65</v>
      </c>
      <c r="G600" s="6" t="n">
        <v>2407.58736070147</v>
      </c>
      <c r="H600" s="8" t="n">
        <v>2477777.24237385</v>
      </c>
      <c r="I600" s="9" t="n">
        <v>12.9126159460349</v>
      </c>
      <c r="J600" s="9" t="n">
        <v>64.1541198373104</v>
      </c>
      <c r="K600" s="3" t="s">
        <v>234</v>
      </c>
      <c r="L600" s="3" t="s">
        <v>235</v>
      </c>
      <c r="M600" s="7" t="n">
        <v>2023</v>
      </c>
    </row>
    <row r="601" customFormat="false" ht="15" hidden="false" customHeight="false" outlineLevel="0" collapsed="false">
      <c r="A601" s="3" t="n">
        <v>917</v>
      </c>
      <c r="B601" s="3" t="s">
        <v>236</v>
      </c>
      <c r="C601" s="4" t="s">
        <v>14</v>
      </c>
      <c r="D601" s="5" t="n">
        <v>15577</v>
      </c>
      <c r="E601" s="6" t="n">
        <v>186.42</v>
      </c>
      <c r="F601" s="7" t="n">
        <v>64</v>
      </c>
      <c r="G601" s="6" t="n">
        <v>317.293294696969</v>
      </c>
      <c r="H601" s="8" t="n">
        <v>140386.418238674</v>
      </c>
      <c r="I601" s="9" t="n">
        <v>5.86831350214788</v>
      </c>
      <c r="J601" s="9" t="n">
        <v>18.1845797184824</v>
      </c>
      <c r="K601" s="3" t="s">
        <v>237</v>
      </c>
      <c r="L601" s="3" t="s">
        <v>238</v>
      </c>
      <c r="M601" s="7" t="n">
        <v>2016</v>
      </c>
    </row>
    <row r="602" customFormat="false" ht="15" hidden="false" customHeight="false" outlineLevel="0" collapsed="false">
      <c r="A602" s="3" t="n">
        <v>918</v>
      </c>
      <c r="B602" s="3" t="s">
        <v>236</v>
      </c>
      <c r="C602" s="4" t="s">
        <v>17</v>
      </c>
      <c r="D602" s="5" t="n">
        <v>15333</v>
      </c>
      <c r="E602" s="6" t="n">
        <v>186.4</v>
      </c>
      <c r="F602" s="7" t="n">
        <v>64</v>
      </c>
      <c r="G602" s="6" t="n">
        <v>563.85827510204</v>
      </c>
      <c r="H602" s="8" t="n">
        <v>241996.694508294</v>
      </c>
      <c r="I602" s="9" t="n">
        <v>11.0281588317687</v>
      </c>
      <c r="J602" s="9" t="n">
        <v>32.9200508420527</v>
      </c>
      <c r="K602" s="3" t="s">
        <v>237</v>
      </c>
      <c r="L602" s="3" t="s">
        <v>238</v>
      </c>
      <c r="M602" s="7" t="n">
        <v>2017</v>
      </c>
    </row>
    <row r="603" customFormat="false" ht="15" hidden="false" customHeight="false" outlineLevel="0" collapsed="false">
      <c r="A603" s="3" t="n">
        <v>919</v>
      </c>
      <c r="B603" s="3" t="s">
        <v>236</v>
      </c>
      <c r="C603" s="4" t="s">
        <v>18</v>
      </c>
      <c r="D603" s="5" t="n">
        <v>16004</v>
      </c>
      <c r="E603" s="6" t="n">
        <v>186.4</v>
      </c>
      <c r="F603" s="7" t="n">
        <v>69</v>
      </c>
      <c r="G603" s="6" t="n">
        <v>166.306071496883</v>
      </c>
      <c r="H603" s="8" t="n">
        <v>74292.2482590877</v>
      </c>
      <c r="I603" s="9" t="n">
        <v>6.19695011668942</v>
      </c>
      <c r="J603" s="9" t="n">
        <v>9.30244768878708</v>
      </c>
      <c r="K603" s="3" t="s">
        <v>237</v>
      </c>
      <c r="L603" s="3" t="s">
        <v>238</v>
      </c>
      <c r="M603" s="7" t="n">
        <v>2018</v>
      </c>
    </row>
    <row r="604" customFormat="false" ht="15" hidden="false" customHeight="false" outlineLevel="0" collapsed="false">
      <c r="A604" s="3" t="n">
        <v>920</v>
      </c>
      <c r="B604" s="3" t="s">
        <v>236</v>
      </c>
      <c r="C604" s="4" t="s">
        <v>19</v>
      </c>
      <c r="D604" s="5" t="n">
        <v>16034</v>
      </c>
      <c r="E604" s="6" t="n">
        <v>186.4</v>
      </c>
      <c r="F604" s="7" t="n">
        <v>75</v>
      </c>
      <c r="G604" s="6" t="n">
        <v>229.713785290864</v>
      </c>
      <c r="H604" s="8" t="n">
        <v>106265.597075554</v>
      </c>
      <c r="I604" s="9" t="n">
        <v>6.71503464284462</v>
      </c>
      <c r="J604" s="9" t="n">
        <v>12.8251618214476</v>
      </c>
      <c r="K604" s="3" t="s">
        <v>237</v>
      </c>
      <c r="L604" s="3" t="s">
        <v>238</v>
      </c>
      <c r="M604" s="7" t="n">
        <v>2019</v>
      </c>
    </row>
    <row r="605" customFormat="false" ht="15" hidden="false" customHeight="false" outlineLevel="0" collapsed="false">
      <c r="A605" s="3" t="n">
        <v>921</v>
      </c>
      <c r="B605" s="3" t="s">
        <v>236</v>
      </c>
      <c r="C605" s="4" t="s">
        <v>20</v>
      </c>
      <c r="D605" s="5" t="n">
        <v>16034</v>
      </c>
      <c r="E605" s="6" t="n">
        <v>186.78</v>
      </c>
      <c r="F605" s="7" t="n">
        <v>69</v>
      </c>
      <c r="G605" s="6" t="n">
        <v>91.7060185677096</v>
      </c>
      <c r="H605" s="8" t="n">
        <v>44113.3461116253</v>
      </c>
      <c r="I605" s="9" t="n">
        <v>5.23806354867566</v>
      </c>
      <c r="J605" s="9" t="n">
        <v>5.10601578773646</v>
      </c>
      <c r="K605" s="3" t="s">
        <v>237</v>
      </c>
      <c r="L605" s="3" t="s">
        <v>238</v>
      </c>
      <c r="M605" s="7" t="n">
        <v>2020</v>
      </c>
    </row>
    <row r="606" customFormat="false" ht="15" hidden="false" customHeight="false" outlineLevel="0" collapsed="false">
      <c r="A606" s="3" t="n">
        <v>922</v>
      </c>
      <c r="B606" s="3" t="s">
        <v>236</v>
      </c>
      <c r="C606" s="4" t="s">
        <v>21</v>
      </c>
      <c r="D606" s="5" t="n">
        <v>15854</v>
      </c>
      <c r="E606" s="6" t="n">
        <v>186.78</v>
      </c>
      <c r="F606" s="7" t="n">
        <v>68</v>
      </c>
      <c r="G606" s="6" t="n">
        <v>293.30530649708</v>
      </c>
      <c r="H606" s="8" t="n">
        <v>150961.308200982</v>
      </c>
      <c r="I606" s="9" t="n">
        <v>7.9109371341012</v>
      </c>
      <c r="J606" s="9" t="n">
        <v>16.5614646124215</v>
      </c>
      <c r="K606" s="3" t="s">
        <v>237</v>
      </c>
      <c r="L606" s="3" t="s">
        <v>238</v>
      </c>
      <c r="M606" s="7" t="n">
        <v>2021</v>
      </c>
    </row>
    <row r="607" customFormat="false" ht="15" hidden="false" customHeight="false" outlineLevel="0" collapsed="false">
      <c r="A607" s="3" t="n">
        <v>923</v>
      </c>
      <c r="B607" s="3" t="s">
        <v>236</v>
      </c>
      <c r="C607" s="4" t="s">
        <v>22</v>
      </c>
      <c r="D607" s="5" t="n">
        <v>15865</v>
      </c>
      <c r="E607" s="6" t="n">
        <v>186.78</v>
      </c>
      <c r="F607" s="7" t="n">
        <v>71</v>
      </c>
      <c r="G607" s="6" t="n">
        <v>139.452790875641</v>
      </c>
      <c r="H607" s="8" t="n">
        <v>88885.8143762248</v>
      </c>
      <c r="I607" s="9" t="n">
        <v>5.60819243883592</v>
      </c>
      <c r="J607" s="9" t="n">
        <v>7.86873298393701</v>
      </c>
      <c r="K607" s="3" t="s">
        <v>237</v>
      </c>
      <c r="L607" s="3" t="s">
        <v>238</v>
      </c>
      <c r="M607" s="7" t="n">
        <v>2022</v>
      </c>
    </row>
    <row r="608" customFormat="false" ht="15" hidden="false" customHeight="false" outlineLevel="0" collapsed="false">
      <c r="A608" s="3" t="n">
        <v>924</v>
      </c>
      <c r="B608" s="3" t="s">
        <v>236</v>
      </c>
      <c r="C608" s="4" t="s">
        <v>23</v>
      </c>
      <c r="D608" s="5" t="n">
        <v>15664</v>
      </c>
      <c r="E608" s="6" t="n">
        <v>180.7</v>
      </c>
      <c r="F608" s="7" t="n">
        <v>62</v>
      </c>
      <c r="G608" s="6" t="n">
        <v>745.897782474226</v>
      </c>
      <c r="H608" s="8" t="n">
        <v>475427.787571247</v>
      </c>
      <c r="I608" s="9" t="n">
        <v>14.6561818024429</v>
      </c>
      <c r="J608" s="9" t="n">
        <v>42.6279370764434</v>
      </c>
      <c r="K608" s="3" t="s">
        <v>237</v>
      </c>
      <c r="L608" s="3" t="s">
        <v>238</v>
      </c>
      <c r="M608" s="7" t="n">
        <v>2023</v>
      </c>
    </row>
    <row r="609" customFormat="false" ht="15" hidden="false" customHeight="false" outlineLevel="0" collapsed="false">
      <c r="A609" s="3" t="n">
        <v>925</v>
      </c>
      <c r="B609" s="3" t="s">
        <v>236</v>
      </c>
      <c r="C609" s="4" t="s">
        <v>24</v>
      </c>
      <c r="D609" s="5" t="n">
        <v>15664</v>
      </c>
      <c r="E609" s="6" t="n">
        <v>180.7</v>
      </c>
      <c r="F609" s="7" t="n">
        <v>63</v>
      </c>
      <c r="G609" s="6" t="n">
        <v>701.844528854061</v>
      </c>
      <c r="H609" s="8" t="n">
        <v>404725.666008983</v>
      </c>
      <c r="I609" s="9" t="n">
        <v>13.1202239427055</v>
      </c>
      <c r="J609" s="9" t="n">
        <v>40.0004095546939</v>
      </c>
      <c r="K609" s="3" t="s">
        <v>237</v>
      </c>
      <c r="L609" s="3" t="s">
        <v>238</v>
      </c>
      <c r="M609" s="7" t="n">
        <v>2024</v>
      </c>
    </row>
    <row r="610" customFormat="false" ht="15" hidden="false" customHeight="false" outlineLevel="0" collapsed="false">
      <c r="A610" s="3" t="n">
        <v>926</v>
      </c>
      <c r="B610" s="3" t="s">
        <v>239</v>
      </c>
      <c r="C610" s="4" t="s">
        <v>22</v>
      </c>
      <c r="D610" s="5" t="n">
        <v>3138</v>
      </c>
      <c r="E610" s="6" t="n">
        <v>33</v>
      </c>
      <c r="F610" s="7" t="n">
        <v>53</v>
      </c>
      <c r="G610" s="6" t="n">
        <v>114.764076333063</v>
      </c>
      <c r="H610" s="8" t="n">
        <v>76004.716712475</v>
      </c>
      <c r="I610" s="9" t="n">
        <v>9.04116923809146</v>
      </c>
      <c r="J610" s="9" t="n">
        <v>32.73939885873</v>
      </c>
      <c r="K610" s="3" t="s">
        <v>240</v>
      </c>
      <c r="L610" s="3" t="s">
        <v>241</v>
      </c>
      <c r="M610" s="7" t="n">
        <v>2022</v>
      </c>
    </row>
    <row r="611" customFormat="false" ht="15" hidden="false" customHeight="false" outlineLevel="0" collapsed="false">
      <c r="A611" s="3" t="n">
        <v>930</v>
      </c>
      <c r="B611" s="3" t="s">
        <v>242</v>
      </c>
      <c r="C611" s="4" t="s">
        <v>18</v>
      </c>
      <c r="D611" s="5" t="n">
        <v>6959</v>
      </c>
      <c r="E611" s="6" t="n">
        <v>42.6145833333333</v>
      </c>
      <c r="F611" s="7" t="n">
        <v>67</v>
      </c>
      <c r="G611" s="6" t="n">
        <v>55.0464541876573</v>
      </c>
      <c r="H611" s="8" t="n">
        <v>41268.3267044867</v>
      </c>
      <c r="I611" s="9" t="n">
        <v>3.99215110274711</v>
      </c>
      <c r="J611" s="9" t="n">
        <v>7.08109118854007</v>
      </c>
      <c r="K611" s="3" t="s">
        <v>243</v>
      </c>
      <c r="L611" s="3" t="s">
        <v>244</v>
      </c>
      <c r="M611" s="7" t="n">
        <v>2018</v>
      </c>
    </row>
    <row r="612" customFormat="false" ht="15" hidden="false" customHeight="false" outlineLevel="0" collapsed="false">
      <c r="A612" s="3" t="n">
        <v>931</v>
      </c>
      <c r="B612" s="3" t="s">
        <v>242</v>
      </c>
      <c r="C612" s="4" t="s">
        <v>19</v>
      </c>
      <c r="D612" s="5" t="n">
        <v>7071</v>
      </c>
      <c r="E612" s="6" t="n">
        <v>64</v>
      </c>
      <c r="F612" s="7" t="n">
        <v>79</v>
      </c>
      <c r="G612" s="6" t="n">
        <v>75.7824629308618</v>
      </c>
      <c r="H612" s="8" t="n">
        <v>50745.4528277637</v>
      </c>
      <c r="I612" s="9" t="n">
        <v>6.10372898293181</v>
      </c>
      <c r="J612" s="9" t="n">
        <v>9.59412898702651</v>
      </c>
      <c r="K612" s="3" t="s">
        <v>243</v>
      </c>
      <c r="L612" s="3" t="s">
        <v>244</v>
      </c>
      <c r="M612" s="7" t="n">
        <v>2019</v>
      </c>
    </row>
    <row r="613" customFormat="false" ht="15" hidden="false" customHeight="false" outlineLevel="0" collapsed="false">
      <c r="A613" s="3" t="n">
        <v>932</v>
      </c>
      <c r="B613" s="3" t="s">
        <v>242</v>
      </c>
      <c r="C613" s="4" t="s">
        <v>20</v>
      </c>
      <c r="D613" s="5" t="n">
        <v>7053</v>
      </c>
      <c r="E613" s="6" t="n">
        <v>64</v>
      </c>
      <c r="F613" s="7" t="n">
        <v>83</v>
      </c>
      <c r="G613" s="6" t="n">
        <v>57.3821441803692</v>
      </c>
      <c r="H613" s="8" t="n">
        <v>54091.8520330668</v>
      </c>
      <c r="I613" s="9" t="n">
        <v>3.67182195060936</v>
      </c>
      <c r="J613" s="9" t="n">
        <v>7.263218047044</v>
      </c>
      <c r="K613" s="3" t="s">
        <v>243</v>
      </c>
      <c r="L613" s="3" t="s">
        <v>244</v>
      </c>
      <c r="M613" s="7" t="n">
        <v>2020</v>
      </c>
    </row>
    <row r="614" customFormat="false" ht="15" hidden="false" customHeight="false" outlineLevel="0" collapsed="false">
      <c r="A614" s="3" t="n">
        <v>933</v>
      </c>
      <c r="B614" s="3" t="s">
        <v>242</v>
      </c>
      <c r="C614" s="4" t="s">
        <v>21</v>
      </c>
      <c r="D614" s="5" t="n">
        <v>7059</v>
      </c>
      <c r="E614" s="6" t="n">
        <v>64</v>
      </c>
      <c r="F614" s="7" t="n">
        <v>82</v>
      </c>
      <c r="G614" s="6" t="n">
        <v>16.7942237803659</v>
      </c>
      <c r="H614" s="8" t="n">
        <v>16982.1511444682</v>
      </c>
      <c r="I614" s="9" t="n">
        <v>1.70606315635407</v>
      </c>
      <c r="J614" s="9" t="n">
        <v>2.12977845018051</v>
      </c>
      <c r="K614" s="3" t="s">
        <v>243</v>
      </c>
      <c r="L614" s="3" t="s">
        <v>244</v>
      </c>
      <c r="M614" s="7" t="n">
        <v>2021</v>
      </c>
    </row>
    <row r="615" customFormat="false" ht="15" hidden="false" customHeight="false" outlineLevel="0" collapsed="false">
      <c r="A615" s="3" t="n">
        <v>934</v>
      </c>
      <c r="B615" s="3" t="s">
        <v>242</v>
      </c>
      <c r="C615" s="4" t="s">
        <v>22</v>
      </c>
      <c r="D615" s="5" t="n">
        <v>7066</v>
      </c>
      <c r="E615" s="6" t="n">
        <v>64</v>
      </c>
      <c r="F615" s="7" t="n">
        <v>76</v>
      </c>
      <c r="G615" s="6" t="n">
        <v>551.550319958844</v>
      </c>
      <c r="H615" s="8" t="n">
        <v>581251.304688627</v>
      </c>
      <c r="I615" s="9" t="n">
        <v>22.1500160034552</v>
      </c>
      <c r="J615" s="9" t="n">
        <v>69.8761844014322</v>
      </c>
      <c r="K615" s="3" t="s">
        <v>243</v>
      </c>
      <c r="L615" s="3" t="s">
        <v>244</v>
      </c>
      <c r="M615" s="7" t="n">
        <v>2022</v>
      </c>
    </row>
    <row r="616" customFormat="false" ht="15" hidden="false" customHeight="false" outlineLevel="0" collapsed="false">
      <c r="A616" s="3" t="n">
        <v>935</v>
      </c>
      <c r="B616" s="3" t="s">
        <v>242</v>
      </c>
      <c r="C616" s="4" t="s">
        <v>23</v>
      </c>
      <c r="D616" s="5" t="n">
        <v>7037</v>
      </c>
      <c r="E616" s="6" t="n">
        <v>66.39</v>
      </c>
      <c r="F616" s="7" t="n">
        <v>75</v>
      </c>
      <c r="G616" s="6" t="n">
        <v>79.7929077996384</v>
      </c>
      <c r="H616" s="8" t="n">
        <v>86264.9105512671</v>
      </c>
      <c r="I616" s="9" t="n">
        <v>4.98027661677907</v>
      </c>
      <c r="J616" s="9" t="n">
        <v>10.1506631351319</v>
      </c>
      <c r="K616" s="3" t="s">
        <v>243</v>
      </c>
      <c r="L616" s="3" t="s">
        <v>244</v>
      </c>
      <c r="M616" s="7" t="n">
        <v>2023</v>
      </c>
    </row>
    <row r="617" customFormat="false" ht="15" hidden="false" customHeight="false" outlineLevel="0" collapsed="false">
      <c r="A617" s="3" t="n">
        <v>936</v>
      </c>
      <c r="B617" s="3" t="s">
        <v>242</v>
      </c>
      <c r="C617" s="4" t="s">
        <v>24</v>
      </c>
      <c r="D617" s="5" t="n">
        <v>7035</v>
      </c>
      <c r="E617" s="6" t="n">
        <v>64.26</v>
      </c>
      <c r="F617" s="7" t="n">
        <v>80</v>
      </c>
      <c r="G617" s="6" t="n">
        <v>98.7737745151574</v>
      </c>
      <c r="H617" s="8" t="n">
        <v>111791.17025851</v>
      </c>
      <c r="I617" s="9" t="n">
        <v>5.76083650190114</v>
      </c>
      <c r="J617" s="9" t="n">
        <v>12.5344055454775</v>
      </c>
      <c r="K617" s="3" t="s">
        <v>243</v>
      </c>
      <c r="L617" s="3" t="s">
        <v>244</v>
      </c>
      <c r="M617" s="7" t="n">
        <v>2024</v>
      </c>
    </row>
    <row r="618" customFormat="false" ht="15" hidden="false" customHeight="false" outlineLevel="0" collapsed="false">
      <c r="A618" s="3" t="n">
        <v>937</v>
      </c>
      <c r="B618" s="3" t="s">
        <v>245</v>
      </c>
      <c r="C618" s="4" t="s">
        <v>14</v>
      </c>
      <c r="D618" s="5" t="n">
        <v>11398</v>
      </c>
      <c r="E618" s="6" t="n">
        <v>149.2</v>
      </c>
      <c r="F618" s="7" t="n">
        <v>72</v>
      </c>
      <c r="G618" s="6" t="n">
        <v>327.921433895774</v>
      </c>
      <c r="H618" s="8" t="n">
        <v>333496.098272002</v>
      </c>
      <c r="I618" s="9" t="n">
        <v>5.68134722748603</v>
      </c>
      <c r="J618" s="9" t="n">
        <v>25.6842770196098</v>
      </c>
      <c r="K618" s="3" t="s">
        <v>246</v>
      </c>
      <c r="L618" s="3" t="s">
        <v>247</v>
      </c>
      <c r="M618" s="7" t="n">
        <v>2016</v>
      </c>
    </row>
    <row r="619" customFormat="false" ht="15" hidden="false" customHeight="false" outlineLevel="0" collapsed="false">
      <c r="A619" s="3" t="n">
        <v>938</v>
      </c>
      <c r="B619" s="3" t="s">
        <v>245</v>
      </c>
      <c r="C619" s="4" t="s">
        <v>17</v>
      </c>
      <c r="D619" s="5" t="n">
        <v>11278</v>
      </c>
      <c r="E619" s="6" t="n">
        <v>172.2</v>
      </c>
      <c r="F619" s="7" t="n">
        <v>69</v>
      </c>
      <c r="G619" s="6" t="n">
        <v>817.18826189394</v>
      </c>
      <c r="H619" s="8" t="n">
        <v>662821.399222175</v>
      </c>
      <c r="I619" s="9" t="n">
        <v>9.9523734302431</v>
      </c>
      <c r="J619" s="9" t="n">
        <v>64.864593988881</v>
      </c>
      <c r="K619" s="3" t="s">
        <v>246</v>
      </c>
      <c r="L619" s="3" t="s">
        <v>247</v>
      </c>
      <c r="M619" s="7" t="n">
        <v>2017</v>
      </c>
    </row>
    <row r="620" customFormat="false" ht="15" hidden="false" customHeight="false" outlineLevel="0" collapsed="false">
      <c r="A620" s="3" t="n">
        <v>939</v>
      </c>
      <c r="B620" s="3" t="s">
        <v>245</v>
      </c>
      <c r="C620" s="4" t="s">
        <v>18</v>
      </c>
      <c r="D620" s="5" t="n">
        <v>11310</v>
      </c>
      <c r="E620" s="6" t="n">
        <v>166.97</v>
      </c>
      <c r="F620" s="7" t="n">
        <v>68</v>
      </c>
      <c r="G620" s="6" t="n">
        <v>639.768341683675</v>
      </c>
      <c r="H620" s="8" t="n">
        <v>497592.623111312</v>
      </c>
      <c r="I620" s="9" t="n">
        <v>9.02055890402859</v>
      </c>
      <c r="J620" s="9" t="n">
        <v>50.6381481684902</v>
      </c>
      <c r="K620" s="3" t="s">
        <v>246</v>
      </c>
      <c r="L620" s="3" t="s">
        <v>247</v>
      </c>
      <c r="M620" s="7" t="n">
        <v>2018</v>
      </c>
    </row>
    <row r="621" customFormat="false" ht="15" hidden="false" customHeight="false" outlineLevel="0" collapsed="false">
      <c r="A621" s="3" t="n">
        <v>940</v>
      </c>
      <c r="B621" s="3" t="s">
        <v>245</v>
      </c>
      <c r="C621" s="4" t="s">
        <v>19</v>
      </c>
      <c r="D621" s="5" t="n">
        <v>11316</v>
      </c>
      <c r="E621" s="6" t="n">
        <v>167</v>
      </c>
      <c r="F621" s="7" t="n">
        <v>73</v>
      </c>
      <c r="G621" s="6" t="n">
        <v>431.818651989797</v>
      </c>
      <c r="H621" s="8" t="n">
        <v>342259.463567113</v>
      </c>
      <c r="I621" s="9" t="n">
        <v>7.48480518426252</v>
      </c>
      <c r="J621" s="9" t="n">
        <v>34.1606505739047</v>
      </c>
      <c r="K621" s="3" t="s">
        <v>246</v>
      </c>
      <c r="L621" s="3" t="s">
        <v>247</v>
      </c>
      <c r="M621" s="7" t="n">
        <v>2019</v>
      </c>
    </row>
    <row r="622" customFormat="false" ht="15" hidden="false" customHeight="false" outlineLevel="0" collapsed="false">
      <c r="A622" s="3" t="n">
        <v>941</v>
      </c>
      <c r="B622" s="3" t="s">
        <v>245</v>
      </c>
      <c r="C622" s="4" t="s">
        <v>20</v>
      </c>
      <c r="D622" s="5" t="n">
        <v>11373</v>
      </c>
      <c r="E622" s="6" t="n">
        <v>162.2</v>
      </c>
      <c r="F622" s="7" t="n">
        <v>72</v>
      </c>
      <c r="G622" s="6" t="n">
        <v>677.272169796953</v>
      </c>
      <c r="H622" s="8" t="n">
        <v>426830.466849436</v>
      </c>
      <c r="I622" s="9" t="n">
        <v>8.80532482905679</v>
      </c>
      <c r="J622" s="9" t="n">
        <v>53.1636003561685</v>
      </c>
      <c r="K622" s="3" t="s">
        <v>246</v>
      </c>
      <c r="L622" s="3" t="s">
        <v>247</v>
      </c>
      <c r="M622" s="7" t="n">
        <v>2020</v>
      </c>
    </row>
    <row r="623" customFormat="false" ht="15" hidden="false" customHeight="false" outlineLevel="0" collapsed="false">
      <c r="A623" s="3" t="n">
        <v>942</v>
      </c>
      <c r="B623" s="3" t="s">
        <v>245</v>
      </c>
      <c r="C623" s="4" t="s">
        <v>21</v>
      </c>
      <c r="D623" s="5" t="n">
        <v>11416</v>
      </c>
      <c r="E623" s="6" t="n">
        <v>161.9</v>
      </c>
      <c r="F623" s="7" t="n">
        <v>74</v>
      </c>
      <c r="G623" s="6" t="n">
        <v>181.023364799649</v>
      </c>
      <c r="H623" s="8" t="n">
        <v>132371.525276095</v>
      </c>
      <c r="I623" s="9" t="n">
        <v>4.10757302870919</v>
      </c>
      <c r="J623" s="9" t="n">
        <v>14.1950964434268</v>
      </c>
      <c r="K623" s="3" t="s">
        <v>246</v>
      </c>
      <c r="L623" s="3" t="s">
        <v>247</v>
      </c>
      <c r="M623" s="7" t="n">
        <v>2021</v>
      </c>
    </row>
    <row r="624" customFormat="false" ht="15" hidden="false" customHeight="false" outlineLevel="0" collapsed="false">
      <c r="A624" s="3" t="n">
        <v>943</v>
      </c>
      <c r="B624" s="3" t="s">
        <v>245</v>
      </c>
      <c r="C624" s="4" t="s">
        <v>22</v>
      </c>
      <c r="D624" s="5" t="n">
        <v>11456</v>
      </c>
      <c r="E624" s="6" t="n">
        <v>161.9</v>
      </c>
      <c r="F624" s="7" t="n">
        <v>74</v>
      </c>
      <c r="G624" s="6" t="n">
        <v>248.24011210271</v>
      </c>
      <c r="H624" s="8" t="n">
        <v>175128.199259432</v>
      </c>
      <c r="I624" s="9" t="n">
        <v>4.97247564190441</v>
      </c>
      <c r="J624" s="9" t="n">
        <v>19.3979854044476</v>
      </c>
      <c r="K624" s="3" t="s">
        <v>246</v>
      </c>
      <c r="L624" s="3" t="s">
        <v>247</v>
      </c>
      <c r="M624" s="7" t="n">
        <v>2022</v>
      </c>
    </row>
    <row r="625" customFormat="false" ht="15" hidden="false" customHeight="false" outlineLevel="0" collapsed="false">
      <c r="A625" s="3" t="n">
        <v>944</v>
      </c>
      <c r="B625" s="3" t="s">
        <v>245</v>
      </c>
      <c r="C625" s="4" t="s">
        <v>23</v>
      </c>
      <c r="D625" s="5" t="n">
        <v>11492</v>
      </c>
      <c r="E625" s="6" t="n">
        <v>162.210748555744</v>
      </c>
      <c r="F625" s="7" t="n">
        <v>65</v>
      </c>
      <c r="G625" s="6" t="n">
        <v>250.558042460214</v>
      </c>
      <c r="H625" s="8" t="n">
        <v>235042.194608202</v>
      </c>
      <c r="I625" s="9" t="n">
        <v>5.48120982130374</v>
      </c>
      <c r="J625" s="9" t="n">
        <v>19.5177793758351</v>
      </c>
      <c r="K625" s="3" t="s">
        <v>246</v>
      </c>
      <c r="L625" s="3" t="s">
        <v>247</v>
      </c>
      <c r="M625" s="7" t="n">
        <v>2023</v>
      </c>
    </row>
    <row r="626" customFormat="false" ht="15" hidden="false" customHeight="false" outlineLevel="0" collapsed="false">
      <c r="A626" s="3" t="n">
        <v>945</v>
      </c>
      <c r="B626" s="3" t="s">
        <v>245</v>
      </c>
      <c r="C626" s="4" t="s">
        <v>24</v>
      </c>
      <c r="D626" s="5" t="n">
        <v>11531</v>
      </c>
      <c r="E626" s="6" t="n">
        <v>183.628759866856</v>
      </c>
      <c r="F626" s="7" t="n">
        <v>65</v>
      </c>
      <c r="G626" s="6" t="n">
        <v>276.003271613497</v>
      </c>
      <c r="H626" s="8" t="n">
        <v>271044.597884034</v>
      </c>
      <c r="I626" s="9" t="n">
        <v>5.8115624963572</v>
      </c>
      <c r="J626" s="9" t="n">
        <v>21.3684711869088</v>
      </c>
      <c r="K626" s="3" t="s">
        <v>246</v>
      </c>
      <c r="L626" s="3" t="s">
        <v>247</v>
      </c>
      <c r="M626" s="7" t="n">
        <v>2024</v>
      </c>
    </row>
    <row r="627" customFormat="false" ht="15" hidden="false" customHeight="false" outlineLevel="0" collapsed="false">
      <c r="A627" s="3" t="n">
        <v>946</v>
      </c>
      <c r="B627" s="3" t="s">
        <v>248</v>
      </c>
      <c r="C627" s="4" t="s">
        <v>42</v>
      </c>
      <c r="D627" s="5" t="n">
        <v>15385</v>
      </c>
      <c r="E627" s="6" t="n">
        <v>158.2</v>
      </c>
      <c r="F627" s="7" t="n">
        <v>49</v>
      </c>
      <c r="G627" s="6" t="n">
        <v>466.392076282052</v>
      </c>
      <c r="H627" s="8" t="n">
        <v>585101.918673971</v>
      </c>
      <c r="I627" s="9" t="n">
        <v>17.684313866341</v>
      </c>
      <c r="J627" s="9" t="n">
        <v>27.1375937831167</v>
      </c>
      <c r="K627" s="3" t="s">
        <v>249</v>
      </c>
      <c r="L627" s="3" t="s">
        <v>244</v>
      </c>
      <c r="M627" s="7" t="n">
        <v>2017</v>
      </c>
    </row>
    <row r="628" customFormat="false" ht="15" hidden="false" customHeight="false" outlineLevel="0" collapsed="false">
      <c r="A628" s="3" t="n">
        <v>947</v>
      </c>
      <c r="B628" s="3" t="s">
        <v>248</v>
      </c>
      <c r="C628" s="4" t="s">
        <v>43</v>
      </c>
      <c r="D628" s="5" t="n">
        <v>14275</v>
      </c>
      <c r="E628" s="6" t="n">
        <v>156</v>
      </c>
      <c r="F628" s="7" t="n">
        <v>49</v>
      </c>
      <c r="G628" s="6" t="n">
        <v>0.542638782050801</v>
      </c>
      <c r="H628" s="8" t="n">
        <v>264.487568759381</v>
      </c>
      <c r="I628" s="9" t="n">
        <v>9.30341181277746</v>
      </c>
      <c r="J628" s="9" t="n">
        <v>0.0340292507399849</v>
      </c>
      <c r="K628" s="3" t="s">
        <v>249</v>
      </c>
      <c r="L628" s="3" t="s">
        <v>244</v>
      </c>
      <c r="M628" s="7" t="n">
        <v>2018</v>
      </c>
    </row>
    <row r="629" customFormat="false" ht="15" hidden="false" customHeight="false" outlineLevel="0" collapsed="false">
      <c r="A629" s="3" t="n">
        <v>948</v>
      </c>
      <c r="B629" s="3" t="s">
        <v>248</v>
      </c>
      <c r="C629" s="4" t="s">
        <v>44</v>
      </c>
      <c r="D629" s="5" t="n">
        <v>14000</v>
      </c>
      <c r="E629" s="6" t="n">
        <v>158.2</v>
      </c>
      <c r="F629" s="7" t="n">
        <v>61</v>
      </c>
      <c r="G629" s="6" t="n">
        <v>541.646700010979</v>
      </c>
      <c r="H629" s="8" t="n">
        <v>679510.951271373</v>
      </c>
      <c r="I629" s="9" t="n">
        <v>10.0608028682134</v>
      </c>
      <c r="J629" s="9" t="n">
        <v>34.5393578953576</v>
      </c>
      <c r="K629" s="3" t="s">
        <v>249</v>
      </c>
      <c r="L629" s="3" t="s">
        <v>244</v>
      </c>
      <c r="M629" s="7" t="n">
        <v>2019</v>
      </c>
    </row>
    <row r="630" customFormat="false" ht="15" hidden="false" customHeight="false" outlineLevel="0" collapsed="false">
      <c r="A630" s="3" t="n">
        <v>949</v>
      </c>
      <c r="B630" s="3" t="s">
        <v>248</v>
      </c>
      <c r="C630" s="4" t="s">
        <v>45</v>
      </c>
      <c r="D630" s="5" t="n">
        <v>15385</v>
      </c>
      <c r="E630" s="6" t="n">
        <v>158.2</v>
      </c>
      <c r="F630" s="7" t="n">
        <v>62</v>
      </c>
      <c r="G630" s="6" t="n">
        <v>313.096402108037</v>
      </c>
      <c r="H630" s="8" t="n">
        <v>392788.203143792</v>
      </c>
      <c r="I630" s="9" t="n">
        <v>6.89122651092183</v>
      </c>
      <c r="J630" s="9" t="n">
        <v>18.2178973602992</v>
      </c>
      <c r="K630" s="3" t="s">
        <v>249</v>
      </c>
      <c r="L630" s="3" t="s">
        <v>244</v>
      </c>
      <c r="M630" s="7" t="n">
        <v>2020</v>
      </c>
    </row>
    <row r="631" customFormat="false" ht="15" hidden="false" customHeight="false" outlineLevel="0" collapsed="false">
      <c r="A631" s="3" t="n">
        <v>950</v>
      </c>
      <c r="B631" s="3" t="s">
        <v>248</v>
      </c>
      <c r="C631" s="4" t="s">
        <v>46</v>
      </c>
      <c r="D631" s="5" t="n">
        <v>14646</v>
      </c>
      <c r="E631" s="6" t="n">
        <v>151.6</v>
      </c>
      <c r="F631" s="7" t="n">
        <v>64</v>
      </c>
      <c r="G631" s="6" t="n">
        <v>532.280205213567</v>
      </c>
      <c r="H631" s="8" t="n">
        <v>407987.454494147</v>
      </c>
      <c r="I631" s="9" t="n">
        <v>8.48808240843118</v>
      </c>
      <c r="J631" s="9" t="n">
        <v>32.5341122185118</v>
      </c>
      <c r="K631" s="3" t="s">
        <v>249</v>
      </c>
      <c r="L631" s="3" t="s">
        <v>244</v>
      </c>
      <c r="M631" s="7" t="n">
        <v>2021</v>
      </c>
    </row>
    <row r="632" customFormat="false" ht="15" hidden="false" customHeight="false" outlineLevel="0" collapsed="false">
      <c r="A632" s="3" t="n">
        <v>952</v>
      </c>
      <c r="B632" s="3" t="s">
        <v>250</v>
      </c>
      <c r="C632" s="4" t="s">
        <v>17</v>
      </c>
      <c r="D632" s="5" t="n">
        <v>8354</v>
      </c>
      <c r="E632" s="6" t="n">
        <v>96.39</v>
      </c>
      <c r="F632" s="7" t="n">
        <v>67</v>
      </c>
      <c r="G632" s="6" t="n">
        <v>240.219366564417</v>
      </c>
      <c r="H632" s="8" t="n">
        <v>165200.986426269</v>
      </c>
      <c r="I632" s="9" t="n">
        <v>9.52496148508423</v>
      </c>
      <c r="J632" s="9" t="n">
        <v>25.7413441525616</v>
      </c>
      <c r="K632" s="3" t="s">
        <v>251</v>
      </c>
      <c r="L632" s="3" t="s">
        <v>252</v>
      </c>
      <c r="M632" s="7" t="n">
        <v>2017</v>
      </c>
    </row>
    <row r="633" customFormat="false" ht="15" hidden="false" customHeight="false" outlineLevel="0" collapsed="false">
      <c r="A633" s="3" t="n">
        <v>953</v>
      </c>
      <c r="B633" s="3" t="s">
        <v>250</v>
      </c>
      <c r="C633" s="4" t="s">
        <v>18</v>
      </c>
      <c r="D633" s="5" t="n">
        <v>8354</v>
      </c>
      <c r="E633" s="6" t="n">
        <v>96.39</v>
      </c>
      <c r="F633" s="7" t="n">
        <v>63</v>
      </c>
      <c r="G633" s="6" t="n">
        <v>116.938792712924</v>
      </c>
      <c r="H633" s="8" t="n">
        <v>80419.8436785555</v>
      </c>
      <c r="I633" s="9" t="n">
        <v>6.82267042985821</v>
      </c>
      <c r="J633" s="9" t="n">
        <v>12.5308868766883</v>
      </c>
      <c r="K633" s="3" t="s">
        <v>251</v>
      </c>
      <c r="L633" s="3" t="s">
        <v>252</v>
      </c>
      <c r="M633" s="7" t="n">
        <v>2018</v>
      </c>
    </row>
    <row r="634" customFormat="false" ht="15" hidden="false" customHeight="false" outlineLevel="0" collapsed="false">
      <c r="A634" s="3" t="n">
        <v>954</v>
      </c>
      <c r="B634" s="3" t="s">
        <v>250</v>
      </c>
      <c r="C634" s="4" t="s">
        <v>19</v>
      </c>
      <c r="D634" s="5" t="n">
        <v>8241</v>
      </c>
      <c r="E634" s="6" t="n">
        <v>100.48</v>
      </c>
      <c r="F634" s="7" t="n">
        <v>68</v>
      </c>
      <c r="G634" s="6" t="n">
        <v>306.255113514847</v>
      </c>
      <c r="H634" s="8" t="n">
        <v>276566.742810717</v>
      </c>
      <c r="I634" s="9" t="n">
        <v>10.8686597222952</v>
      </c>
      <c r="J634" s="9" t="n">
        <v>33.267572281292</v>
      </c>
      <c r="K634" s="3" t="s">
        <v>251</v>
      </c>
      <c r="L634" s="3" t="s">
        <v>252</v>
      </c>
      <c r="M634" s="7" t="n">
        <v>2019</v>
      </c>
    </row>
    <row r="635" customFormat="false" ht="15" hidden="false" customHeight="false" outlineLevel="0" collapsed="false">
      <c r="A635" s="3" t="n">
        <v>955</v>
      </c>
      <c r="B635" s="3" t="s">
        <v>250</v>
      </c>
      <c r="C635" s="4" t="s">
        <v>20</v>
      </c>
      <c r="D635" s="5" t="n">
        <v>8250</v>
      </c>
      <c r="E635" s="6" t="n">
        <v>100.5</v>
      </c>
      <c r="F635" s="7" t="n">
        <v>68</v>
      </c>
      <c r="G635" s="6" t="n">
        <v>296.176249235726</v>
      </c>
      <c r="H635" s="8" t="n">
        <v>253272.157771439</v>
      </c>
      <c r="I635" s="9" t="n">
        <v>9.86245269357592</v>
      </c>
      <c r="J635" s="9" t="n">
        <v>32.0495897018549</v>
      </c>
      <c r="K635" s="3" t="s">
        <v>251</v>
      </c>
      <c r="L635" s="3" t="s">
        <v>252</v>
      </c>
      <c r="M635" s="7" t="n">
        <v>2020</v>
      </c>
    </row>
    <row r="636" customFormat="false" ht="15" hidden="false" customHeight="false" outlineLevel="0" collapsed="false">
      <c r="A636" s="3" t="n">
        <v>956</v>
      </c>
      <c r="B636" s="3" t="s">
        <v>250</v>
      </c>
      <c r="C636" s="4" t="s">
        <v>21</v>
      </c>
      <c r="D636" s="5" t="n">
        <v>8262</v>
      </c>
      <c r="E636" s="6" t="n">
        <v>100.56</v>
      </c>
      <c r="F636" s="7" t="n">
        <v>72</v>
      </c>
      <c r="G636" s="6" t="n">
        <v>274.818997111451</v>
      </c>
      <c r="H636" s="8" t="n">
        <v>237517.814633514</v>
      </c>
      <c r="I636" s="9" t="n">
        <v>9.56744484044717</v>
      </c>
      <c r="J636" s="9" t="n">
        <v>29.7768829846442</v>
      </c>
      <c r="K636" s="3" t="s">
        <v>251</v>
      </c>
      <c r="L636" s="3" t="s">
        <v>252</v>
      </c>
      <c r="M636" s="7" t="n">
        <v>2021</v>
      </c>
    </row>
    <row r="637" customFormat="false" ht="15" hidden="false" customHeight="false" outlineLevel="0" collapsed="false">
      <c r="A637" s="3" t="n">
        <v>957</v>
      </c>
      <c r="B637" s="3" t="s">
        <v>250</v>
      </c>
      <c r="C637" s="4" t="s">
        <v>22</v>
      </c>
      <c r="D637" s="5" t="n">
        <v>8265</v>
      </c>
      <c r="E637" s="6" t="n">
        <v>100.58</v>
      </c>
      <c r="F637" s="7" t="n">
        <v>64</v>
      </c>
      <c r="G637" s="6" t="n">
        <v>129.987787819576</v>
      </c>
      <c r="H637" s="8" t="n">
        <v>110969.274583694</v>
      </c>
      <c r="I637" s="9" t="n">
        <v>6.36872771167903</v>
      </c>
      <c r="J637" s="9" t="n">
        <v>14.0791802612621</v>
      </c>
      <c r="K637" s="3" t="s">
        <v>251</v>
      </c>
      <c r="L637" s="3" t="s">
        <v>252</v>
      </c>
      <c r="M637" s="7" t="n">
        <v>2022</v>
      </c>
    </row>
    <row r="638" customFormat="false" ht="15" hidden="false" customHeight="false" outlineLevel="0" collapsed="false">
      <c r="A638" s="3" t="n">
        <v>958</v>
      </c>
      <c r="B638" s="3" t="s">
        <v>250</v>
      </c>
      <c r="C638" s="4" t="s">
        <v>23</v>
      </c>
      <c r="D638" s="5" t="n">
        <v>8520</v>
      </c>
      <c r="E638" s="6" t="n">
        <v>100.6</v>
      </c>
      <c r="F638" s="7" t="n">
        <v>63</v>
      </c>
      <c r="G638" s="6" t="n">
        <v>327.815933649684</v>
      </c>
      <c r="H638" s="8" t="n">
        <v>289608.986582813</v>
      </c>
      <c r="I638" s="9" t="n">
        <v>12.159327550442</v>
      </c>
      <c r="J638" s="9" t="n">
        <v>34.4435683961729</v>
      </c>
      <c r="K638" s="3" t="s">
        <v>251</v>
      </c>
      <c r="L638" s="3" t="s">
        <v>252</v>
      </c>
      <c r="M638" s="7" t="n">
        <v>2023</v>
      </c>
    </row>
    <row r="639" customFormat="false" ht="15" hidden="false" customHeight="false" outlineLevel="0" collapsed="false">
      <c r="A639" s="3" t="n">
        <v>959</v>
      </c>
      <c r="B639" s="3" t="s">
        <v>250</v>
      </c>
      <c r="C639" s="4" t="s">
        <v>24</v>
      </c>
      <c r="D639" s="5" t="n">
        <v>8542</v>
      </c>
      <c r="E639" s="6" t="n">
        <v>100.6</v>
      </c>
      <c r="F639" s="7" t="n">
        <v>64</v>
      </c>
      <c r="G639" s="6" t="n">
        <v>172.165553411714</v>
      </c>
      <c r="H639" s="8" t="n">
        <v>188246.410655449</v>
      </c>
      <c r="I639" s="9" t="n">
        <v>7.55417097545741</v>
      </c>
      <c r="J639" s="9" t="n">
        <v>17.9933857024791</v>
      </c>
      <c r="K639" s="3" t="s">
        <v>251</v>
      </c>
      <c r="L639" s="3" t="s">
        <v>252</v>
      </c>
      <c r="M639" s="7" t="n">
        <v>2024</v>
      </c>
    </row>
    <row r="640" customFormat="false" ht="15" hidden="false" customHeight="false" outlineLevel="0" collapsed="false">
      <c r="A640" s="3" t="n">
        <v>960</v>
      </c>
      <c r="B640" s="3" t="s">
        <v>253</v>
      </c>
      <c r="C640" s="4" t="s">
        <v>14</v>
      </c>
      <c r="D640" s="5" t="n">
        <v>9720</v>
      </c>
      <c r="E640" s="6" t="n">
        <v>110</v>
      </c>
      <c r="F640" s="7" t="n">
        <v>70</v>
      </c>
      <c r="G640" s="6" t="n">
        <v>182.175735444162</v>
      </c>
      <c r="H640" s="8" t="n">
        <v>240093.04525657</v>
      </c>
      <c r="I640" s="9" t="n">
        <v>5.70099755164809</v>
      </c>
      <c r="J640" s="9" t="n">
        <v>16.7321003354799</v>
      </c>
      <c r="K640" s="3" t="s">
        <v>254</v>
      </c>
      <c r="L640" s="3" t="s">
        <v>255</v>
      </c>
      <c r="M640" s="7" t="n">
        <v>2016</v>
      </c>
    </row>
    <row r="641" customFormat="false" ht="15" hidden="false" customHeight="false" outlineLevel="0" collapsed="false">
      <c r="A641" s="3" t="n">
        <v>961</v>
      </c>
      <c r="B641" s="3" t="s">
        <v>253</v>
      </c>
      <c r="C641" s="4" t="s">
        <v>17</v>
      </c>
      <c r="D641" s="5" t="n">
        <v>9720</v>
      </c>
      <c r="E641" s="6" t="n">
        <v>110</v>
      </c>
      <c r="F641" s="7" t="n">
        <v>74</v>
      </c>
      <c r="G641" s="6" t="n">
        <v>199.99685574873</v>
      </c>
      <c r="H641" s="8" t="n">
        <v>275531.668227911</v>
      </c>
      <c r="I641" s="9" t="n">
        <v>6.00929326990626</v>
      </c>
      <c r="J641" s="9" t="n">
        <v>18.4193617562575</v>
      </c>
      <c r="K641" s="3" t="s">
        <v>254</v>
      </c>
      <c r="L641" s="3" t="s">
        <v>255</v>
      </c>
      <c r="M641" s="7" t="n">
        <v>2017</v>
      </c>
    </row>
    <row r="642" customFormat="false" ht="15" hidden="false" customHeight="false" outlineLevel="0" collapsed="false">
      <c r="A642" s="3" t="n">
        <v>962</v>
      </c>
      <c r="B642" s="3" t="s">
        <v>253</v>
      </c>
      <c r="C642" s="4" t="s">
        <v>18</v>
      </c>
      <c r="D642" s="5" t="n">
        <v>9719</v>
      </c>
      <c r="E642" s="6" t="n">
        <v>109.7</v>
      </c>
      <c r="F642" s="7" t="n">
        <v>74</v>
      </c>
      <c r="G642" s="6" t="n">
        <v>112.968907994924</v>
      </c>
      <c r="H642" s="8" t="n">
        <v>157691.039291955</v>
      </c>
      <c r="I642" s="9" t="n">
        <v>4.26282304591797</v>
      </c>
      <c r="J642" s="9" t="n">
        <v>10.4053099906985</v>
      </c>
      <c r="K642" s="3" t="s">
        <v>254</v>
      </c>
      <c r="L642" s="3" t="s">
        <v>255</v>
      </c>
      <c r="M642" s="7" t="n">
        <v>2018</v>
      </c>
    </row>
    <row r="643" customFormat="false" ht="15" hidden="false" customHeight="false" outlineLevel="0" collapsed="false">
      <c r="A643" s="3" t="n">
        <v>963</v>
      </c>
      <c r="B643" s="3" t="s">
        <v>253</v>
      </c>
      <c r="C643" s="4" t="s">
        <v>19</v>
      </c>
      <c r="D643" s="5" t="n">
        <v>9755</v>
      </c>
      <c r="E643" s="6" t="n">
        <v>109.7</v>
      </c>
      <c r="F643" s="7" t="n">
        <v>74</v>
      </c>
      <c r="G643" s="6" t="n">
        <v>123.476892906091</v>
      </c>
      <c r="H643" s="8" t="n">
        <v>177719.057190807</v>
      </c>
      <c r="I643" s="9" t="n">
        <v>4.62030548445302</v>
      </c>
      <c r="J643" s="9" t="n">
        <v>11.3312049133278</v>
      </c>
      <c r="K643" s="3" t="s">
        <v>254</v>
      </c>
      <c r="L643" s="3" t="s">
        <v>255</v>
      </c>
      <c r="M643" s="7" t="n">
        <v>2019</v>
      </c>
    </row>
    <row r="644" customFormat="false" ht="15" hidden="false" customHeight="false" outlineLevel="0" collapsed="false">
      <c r="A644" s="3" t="n">
        <v>964</v>
      </c>
      <c r="B644" s="3" t="s">
        <v>253</v>
      </c>
      <c r="C644" s="4" t="s">
        <v>20</v>
      </c>
      <c r="D644" s="5" t="n">
        <v>9790</v>
      </c>
      <c r="E644" s="6" t="n">
        <v>100.4</v>
      </c>
      <c r="F644" s="7" t="n">
        <v>74</v>
      </c>
      <c r="G644" s="6" t="n">
        <v>152.536983807106</v>
      </c>
      <c r="H644" s="8" t="n">
        <v>227325.866967731</v>
      </c>
      <c r="I644" s="9" t="n">
        <v>5.29172331747111</v>
      </c>
      <c r="J644" s="9" t="n">
        <v>13.9097286049587</v>
      </c>
      <c r="K644" s="3" t="s">
        <v>254</v>
      </c>
      <c r="L644" s="3" t="s">
        <v>255</v>
      </c>
      <c r="M644" s="7" t="n">
        <v>2020</v>
      </c>
    </row>
    <row r="645" customFormat="false" ht="15" hidden="false" customHeight="false" outlineLevel="0" collapsed="false">
      <c r="A645" s="3" t="n">
        <v>965</v>
      </c>
      <c r="B645" s="3" t="s">
        <v>253</v>
      </c>
      <c r="C645" s="4" t="s">
        <v>21</v>
      </c>
      <c r="D645" s="5" t="n">
        <v>9822</v>
      </c>
      <c r="E645" s="6" t="n">
        <v>99.6</v>
      </c>
      <c r="F645" s="7" t="n">
        <v>76</v>
      </c>
      <c r="G645" s="6" t="n">
        <v>137.33561025883</v>
      </c>
      <c r="H645" s="8" t="n">
        <v>211403.451583622</v>
      </c>
      <c r="I645" s="9" t="n">
        <v>4.90064529778904</v>
      </c>
      <c r="J645" s="9" t="n">
        <v>12.5170188527353</v>
      </c>
      <c r="K645" s="3" t="s">
        <v>254</v>
      </c>
      <c r="L645" s="3" t="s">
        <v>255</v>
      </c>
      <c r="M645" s="7" t="n">
        <v>2021</v>
      </c>
    </row>
    <row r="646" customFormat="false" ht="15" hidden="false" customHeight="false" outlineLevel="0" collapsed="false">
      <c r="A646" s="3" t="n">
        <v>966</v>
      </c>
      <c r="B646" s="3" t="s">
        <v>253</v>
      </c>
      <c r="C646" s="4" t="s">
        <v>22</v>
      </c>
      <c r="D646" s="5" t="n">
        <v>9833</v>
      </c>
      <c r="E646" s="6" t="n">
        <v>99.6</v>
      </c>
      <c r="F646" s="7" t="n">
        <v>70</v>
      </c>
      <c r="G646" s="6" t="n">
        <v>170.247352251522</v>
      </c>
      <c r="H646" s="8" t="n">
        <v>271440.675956304</v>
      </c>
      <c r="I646" s="9" t="n">
        <v>5.67570417893396</v>
      </c>
      <c r="J646" s="9" t="n">
        <v>15.4992970459729</v>
      </c>
      <c r="K646" s="3" t="s">
        <v>254</v>
      </c>
      <c r="L646" s="3" t="s">
        <v>255</v>
      </c>
      <c r="M646" s="7" t="n">
        <v>2022</v>
      </c>
    </row>
    <row r="647" customFormat="false" ht="15" hidden="false" customHeight="false" outlineLevel="0" collapsed="false">
      <c r="A647" s="3" t="n">
        <v>967</v>
      </c>
      <c r="B647" s="3" t="s">
        <v>253</v>
      </c>
      <c r="C647" s="4" t="s">
        <v>23</v>
      </c>
      <c r="D647" s="5" t="n">
        <v>9831</v>
      </c>
      <c r="E647" s="6" t="n">
        <v>99.7497007084129</v>
      </c>
      <c r="F647" s="7" t="n">
        <v>70</v>
      </c>
      <c r="G647" s="6" t="n">
        <v>243.769953997233</v>
      </c>
      <c r="H647" s="8" t="n">
        <v>417515.677951086</v>
      </c>
      <c r="I647" s="9" t="n">
        <v>6.90888852713408</v>
      </c>
      <c r="J647" s="9" t="n">
        <v>22.1973001080772</v>
      </c>
      <c r="K647" s="3" t="s">
        <v>254</v>
      </c>
      <c r="L647" s="3" t="s">
        <v>255</v>
      </c>
      <c r="M647" s="7" t="n">
        <v>2023</v>
      </c>
    </row>
    <row r="648" customFormat="false" ht="15" hidden="false" customHeight="false" outlineLevel="0" collapsed="false">
      <c r="A648" s="3" t="n">
        <v>968</v>
      </c>
      <c r="B648" s="3" t="s">
        <v>253</v>
      </c>
      <c r="C648" s="4" t="s">
        <v>24</v>
      </c>
      <c r="D648" s="5" t="n">
        <v>9868</v>
      </c>
      <c r="E648" s="6" t="n">
        <v>112.918664382765</v>
      </c>
      <c r="F648" s="7" t="n">
        <v>74</v>
      </c>
      <c r="G648" s="6" t="n">
        <v>136.734026468643</v>
      </c>
      <c r="H648" s="8" t="n">
        <v>248075.025814734</v>
      </c>
      <c r="I648" s="9" t="n">
        <v>4.98310968460578</v>
      </c>
      <c r="J648" s="9" t="n">
        <v>12.3701126815981</v>
      </c>
      <c r="K648" s="3" t="s">
        <v>254</v>
      </c>
      <c r="L648" s="3" t="s">
        <v>255</v>
      </c>
      <c r="M648" s="7" t="n">
        <v>2024</v>
      </c>
    </row>
    <row r="649" customFormat="false" ht="15" hidden="false" customHeight="false" outlineLevel="0" collapsed="false">
      <c r="A649" s="3" t="n">
        <v>969</v>
      </c>
      <c r="B649" s="3" t="s">
        <v>256</v>
      </c>
      <c r="C649" s="4" t="s">
        <v>14</v>
      </c>
      <c r="D649" s="5" t="n">
        <v>34385</v>
      </c>
      <c r="E649" s="6" t="n">
        <v>389.57</v>
      </c>
      <c r="F649" s="7" t="n">
        <v>54</v>
      </c>
      <c r="G649" s="6" t="n">
        <v>1200.33761428571</v>
      </c>
      <c r="H649" s="8" t="n">
        <v>1541785.65204543</v>
      </c>
      <c r="I649" s="9" t="n">
        <v>6.66547669455272</v>
      </c>
      <c r="J649" s="9" t="n">
        <v>31.1645299262472</v>
      </c>
      <c r="K649" s="3" t="s">
        <v>257</v>
      </c>
      <c r="L649" s="3" t="s">
        <v>258</v>
      </c>
      <c r="M649" s="7" t="n">
        <v>2016</v>
      </c>
    </row>
    <row r="650" customFormat="false" ht="15" hidden="false" customHeight="false" outlineLevel="0" collapsed="false">
      <c r="A650" s="3" t="n">
        <v>970</v>
      </c>
      <c r="B650" s="3" t="s">
        <v>256</v>
      </c>
      <c r="C650" s="4" t="s">
        <v>17</v>
      </c>
      <c r="D650" s="5" t="n">
        <v>34476</v>
      </c>
      <c r="E650" s="6" t="n">
        <v>389.3</v>
      </c>
      <c r="F650" s="7" t="n">
        <v>62</v>
      </c>
      <c r="G650" s="6" t="n">
        <v>767.996274489793</v>
      </c>
      <c r="H650" s="8" t="n">
        <v>1091852.62347939</v>
      </c>
      <c r="I650" s="9" t="n">
        <v>5.32172305485867</v>
      </c>
      <c r="J650" s="9" t="n">
        <v>19.9415960998807</v>
      </c>
      <c r="K650" s="3" t="s">
        <v>257</v>
      </c>
      <c r="L650" s="3" t="s">
        <v>258</v>
      </c>
      <c r="M650" s="7" t="n">
        <v>2017</v>
      </c>
    </row>
    <row r="651" customFormat="false" ht="15" hidden="false" customHeight="false" outlineLevel="0" collapsed="false">
      <c r="A651" s="3" t="n">
        <v>971</v>
      </c>
      <c r="B651" s="3" t="s">
        <v>256</v>
      </c>
      <c r="C651" s="4" t="s">
        <v>18</v>
      </c>
      <c r="D651" s="5" t="n">
        <v>34458</v>
      </c>
      <c r="E651" s="6" t="n">
        <v>389.788290098714</v>
      </c>
      <c r="F651" s="7" t="n">
        <v>69</v>
      </c>
      <c r="G651" s="6" t="n">
        <v>787.469823327128</v>
      </c>
      <c r="H651" s="8" t="n">
        <v>1130484.17287395</v>
      </c>
      <c r="I651" s="9" t="n">
        <v>5.14358460206325</v>
      </c>
      <c r="J651" s="9" t="n">
        <v>20.4579224493848</v>
      </c>
      <c r="K651" s="3" t="s">
        <v>257</v>
      </c>
      <c r="L651" s="3" t="s">
        <v>258</v>
      </c>
      <c r="M651" s="7" t="n">
        <v>2018</v>
      </c>
    </row>
    <row r="652" customFormat="false" ht="15" hidden="false" customHeight="false" outlineLevel="0" collapsed="false">
      <c r="A652" s="3" t="n">
        <v>972</v>
      </c>
      <c r="B652" s="3" t="s">
        <v>256</v>
      </c>
      <c r="C652" s="4" t="s">
        <v>19</v>
      </c>
      <c r="D652" s="5" t="n">
        <v>33271.75</v>
      </c>
      <c r="E652" s="6" t="n">
        <v>389.8872454203</v>
      </c>
      <c r="F652" s="7" t="n">
        <v>69</v>
      </c>
      <c r="G652" s="6" t="n">
        <v>196.89396461816</v>
      </c>
      <c r="H652" s="8" t="n">
        <v>286090.183171633</v>
      </c>
      <c r="I652" s="9" t="n">
        <v>3.38592855107619</v>
      </c>
      <c r="J652" s="9" t="n">
        <v>5.2975423136656</v>
      </c>
      <c r="K652" s="3" t="s">
        <v>257</v>
      </c>
      <c r="L652" s="3" t="s">
        <v>258</v>
      </c>
      <c r="M652" s="7" t="n">
        <v>2019</v>
      </c>
    </row>
    <row r="653" customFormat="false" ht="15" hidden="false" customHeight="false" outlineLevel="0" collapsed="false">
      <c r="A653" s="3" t="n">
        <v>973</v>
      </c>
      <c r="B653" s="3" t="s">
        <v>256</v>
      </c>
      <c r="C653" s="4" t="s">
        <v>20</v>
      </c>
      <c r="D653" s="5" t="n">
        <v>34566.3333333333</v>
      </c>
      <c r="E653" s="6" t="n">
        <v>390.11072178</v>
      </c>
      <c r="F653" s="7" t="n">
        <v>69</v>
      </c>
      <c r="G653" s="6" t="n">
        <v>944.491543724209</v>
      </c>
      <c r="H653" s="8" t="n">
        <v>1433936.50659753</v>
      </c>
      <c r="I653" s="9" t="n">
        <v>5.98082024095929</v>
      </c>
      <c r="J653" s="9" t="n">
        <v>24.39332229706</v>
      </c>
      <c r="K653" s="3" t="s">
        <v>257</v>
      </c>
      <c r="L653" s="3" t="s">
        <v>258</v>
      </c>
      <c r="M653" s="7" t="n">
        <v>2020</v>
      </c>
    </row>
    <row r="654" customFormat="false" ht="15" hidden="false" customHeight="false" outlineLevel="0" collapsed="false">
      <c r="A654" s="3" t="n">
        <v>974</v>
      </c>
      <c r="B654" s="3" t="s">
        <v>256</v>
      </c>
      <c r="C654" s="4" t="s">
        <v>21</v>
      </c>
      <c r="D654" s="5" t="n">
        <v>34691.3333333333</v>
      </c>
      <c r="E654" s="6" t="n">
        <v>390.11072178</v>
      </c>
      <c r="F654" s="7" t="n">
        <v>71</v>
      </c>
      <c r="G654" s="6" t="n">
        <v>404.281028065587</v>
      </c>
      <c r="H654" s="8" t="n">
        <v>568785.469291665</v>
      </c>
      <c r="I654" s="9" t="n">
        <v>4.22509678927672</v>
      </c>
      <c r="J654" s="9" t="n">
        <v>10.432299434991</v>
      </c>
      <c r="K654" s="3" t="s">
        <v>257</v>
      </c>
      <c r="L654" s="3" t="s">
        <v>258</v>
      </c>
      <c r="M654" s="7" t="n">
        <v>2021</v>
      </c>
    </row>
    <row r="655" customFormat="false" ht="15" hidden="false" customHeight="false" outlineLevel="0" collapsed="false">
      <c r="A655" s="3" t="n">
        <v>975</v>
      </c>
      <c r="B655" s="3" t="s">
        <v>256</v>
      </c>
      <c r="C655" s="4" t="s">
        <v>22</v>
      </c>
      <c r="D655" s="5" t="n">
        <v>34757.0833333333</v>
      </c>
      <c r="E655" s="6" t="n">
        <v>391.20706974</v>
      </c>
      <c r="F655" s="7" t="n">
        <v>72</v>
      </c>
      <c r="G655" s="6" t="n">
        <v>433.174915611114</v>
      </c>
      <c r="H655" s="8" t="n">
        <v>631153.179042017</v>
      </c>
      <c r="I655" s="9" t="n">
        <v>4.41721938837036</v>
      </c>
      <c r="J655" s="9" t="n">
        <v>11.1567486449422</v>
      </c>
      <c r="K655" s="3" t="s">
        <v>257</v>
      </c>
      <c r="L655" s="3" t="s">
        <v>258</v>
      </c>
      <c r="M655" s="7" t="n">
        <v>2022</v>
      </c>
    </row>
    <row r="656" customFormat="false" ht="15" hidden="false" customHeight="false" outlineLevel="0" collapsed="false">
      <c r="A656" s="3" t="n">
        <v>976</v>
      </c>
      <c r="B656" s="3" t="s">
        <v>256</v>
      </c>
      <c r="C656" s="4" t="s">
        <v>23</v>
      </c>
      <c r="D656" s="5" t="n">
        <v>34890.6666666667</v>
      </c>
      <c r="E656" s="6" t="n">
        <v>391.47625235</v>
      </c>
      <c r="F656" s="7" t="n">
        <v>72</v>
      </c>
      <c r="G656" s="6" t="n">
        <v>112.771237852434</v>
      </c>
      <c r="H656" s="8" t="n">
        <v>166221.421457351</v>
      </c>
      <c r="I656" s="9" t="n">
        <v>2.25502525325709</v>
      </c>
      <c r="J656" s="9" t="n">
        <v>2.89338852220837</v>
      </c>
      <c r="K656" s="3" t="s">
        <v>257</v>
      </c>
      <c r="L656" s="3" t="s">
        <v>258</v>
      </c>
      <c r="M656" s="7" t="n">
        <v>2023</v>
      </c>
    </row>
    <row r="657" customFormat="false" ht="15" hidden="false" customHeight="false" outlineLevel="0" collapsed="false">
      <c r="A657" s="3" t="n">
        <v>977</v>
      </c>
      <c r="B657" s="3" t="s">
        <v>256</v>
      </c>
      <c r="C657" s="4" t="s">
        <v>24</v>
      </c>
      <c r="D657" s="5" t="n">
        <v>35086.0833333333</v>
      </c>
      <c r="E657" s="6" t="n">
        <v>391.443142570003</v>
      </c>
      <c r="F657" s="7" t="n">
        <v>72</v>
      </c>
      <c r="G657" s="6" t="n">
        <v>10.6516957858942</v>
      </c>
      <c r="H657" s="8" t="n">
        <v>15489.5007011119</v>
      </c>
      <c r="I657" s="9" t="n">
        <v>2.75594491704805</v>
      </c>
      <c r="J657" s="9" t="n">
        <v>0.271025439631228</v>
      </c>
      <c r="K657" s="3" t="s">
        <v>257</v>
      </c>
      <c r="L657" s="3" t="s">
        <v>258</v>
      </c>
      <c r="M657" s="7" t="n">
        <v>2024</v>
      </c>
    </row>
    <row r="658" customFormat="false" ht="15" hidden="false" customHeight="false" outlineLevel="0" collapsed="false">
      <c r="A658" s="3" t="n">
        <v>978</v>
      </c>
      <c r="B658" s="3" t="s">
        <v>259</v>
      </c>
      <c r="C658" s="4" t="s">
        <v>41</v>
      </c>
      <c r="D658" s="5" t="n">
        <v>23314</v>
      </c>
      <c r="E658" s="6" t="n">
        <v>276</v>
      </c>
      <c r="F658" s="7" t="n">
        <v>70</v>
      </c>
      <c r="G658" s="6" t="n">
        <v>881.501855318704</v>
      </c>
      <c r="H658" s="8" t="n">
        <v>305704.843424527</v>
      </c>
      <c r="I658" s="9" t="n">
        <v>8.52010029474675</v>
      </c>
      <c r="J658" s="9" t="n">
        <v>33.847306417011</v>
      </c>
      <c r="K658" s="3" t="s">
        <v>260</v>
      </c>
      <c r="L658" s="3" t="s">
        <v>261</v>
      </c>
      <c r="M658" s="7" t="n">
        <v>2016</v>
      </c>
    </row>
    <row r="659" customFormat="false" ht="15" hidden="false" customHeight="false" outlineLevel="0" collapsed="false">
      <c r="A659" s="3" t="n">
        <v>979</v>
      </c>
      <c r="B659" s="3" t="s">
        <v>259</v>
      </c>
      <c r="C659" s="4" t="s">
        <v>42</v>
      </c>
      <c r="D659" s="5" t="n">
        <v>23336</v>
      </c>
      <c r="E659" s="6" t="n">
        <v>276</v>
      </c>
      <c r="F659" s="7" t="n">
        <v>75</v>
      </c>
      <c r="G659" s="6" t="n">
        <v>552.701259395778</v>
      </c>
      <c r="H659" s="8" t="n">
        <v>213547.185592747</v>
      </c>
      <c r="I659" s="9" t="n">
        <v>6.18451123530575</v>
      </c>
      <c r="J659" s="9" t="n">
        <v>21.2022383558881</v>
      </c>
      <c r="K659" s="3" t="s">
        <v>260</v>
      </c>
      <c r="L659" s="3" t="s">
        <v>261</v>
      </c>
      <c r="M659" s="7" t="n">
        <v>2017</v>
      </c>
    </row>
    <row r="660" customFormat="false" ht="15" hidden="false" customHeight="false" outlineLevel="0" collapsed="false">
      <c r="A660" s="3" t="n">
        <v>980</v>
      </c>
      <c r="B660" s="3" t="s">
        <v>259</v>
      </c>
      <c r="C660" s="4" t="s">
        <v>43</v>
      </c>
      <c r="D660" s="5" t="n">
        <v>23414</v>
      </c>
      <c r="E660" s="6" t="n">
        <v>276</v>
      </c>
      <c r="F660" s="7" t="n">
        <v>69</v>
      </c>
      <c r="G660" s="6" t="n">
        <v>636.343433522958</v>
      </c>
      <c r="H660" s="8" t="n">
        <v>253544.677652887</v>
      </c>
      <c r="I660" s="9" t="n">
        <v>6.30041041738356</v>
      </c>
      <c r="J660" s="9" t="n">
        <v>24.3295248542116</v>
      </c>
      <c r="K660" s="3" t="s">
        <v>260</v>
      </c>
      <c r="L660" s="3" t="s">
        <v>261</v>
      </c>
      <c r="M660" s="7" t="n">
        <v>2018</v>
      </c>
    </row>
    <row r="661" customFormat="false" ht="15" hidden="false" customHeight="false" outlineLevel="0" collapsed="false">
      <c r="A661" s="3" t="n">
        <v>981</v>
      </c>
      <c r="B661" s="3" t="s">
        <v>259</v>
      </c>
      <c r="C661" s="4" t="s">
        <v>44</v>
      </c>
      <c r="D661" s="5" t="n">
        <v>23623</v>
      </c>
      <c r="E661" s="6" t="n">
        <v>276</v>
      </c>
      <c r="F661" s="7" t="n">
        <v>69</v>
      </c>
      <c r="G661" s="6" t="n">
        <v>150.970612395309</v>
      </c>
      <c r="H661" s="8" t="n">
        <v>65471.4254774736</v>
      </c>
      <c r="I661" s="9" t="n">
        <v>3.16916001066506</v>
      </c>
      <c r="J661" s="9" t="n">
        <v>5.70536666664237</v>
      </c>
      <c r="K661" s="3" t="s">
        <v>260</v>
      </c>
      <c r="L661" s="3" t="s">
        <v>261</v>
      </c>
      <c r="M661" s="7" t="n">
        <v>2019</v>
      </c>
    </row>
    <row r="662" customFormat="false" ht="15" hidden="false" customHeight="false" outlineLevel="0" collapsed="false">
      <c r="A662" s="3" t="n">
        <v>982</v>
      </c>
      <c r="B662" s="3" t="s">
        <v>262</v>
      </c>
      <c r="C662" s="4" t="s">
        <v>14</v>
      </c>
      <c r="D662" s="5" t="n">
        <v>27249</v>
      </c>
      <c r="E662" s="6" t="n">
        <v>277.71</v>
      </c>
      <c r="F662" s="7" t="n">
        <v>60</v>
      </c>
      <c r="G662" s="6" t="n">
        <v>52.6193265000015</v>
      </c>
      <c r="H662" s="8" t="n">
        <v>21973.8307464006</v>
      </c>
      <c r="I662" s="9" t="n">
        <v>1.61762294020666</v>
      </c>
      <c r="J662" s="9" t="n">
        <v>1.72393509067841</v>
      </c>
      <c r="K662" s="3" t="s">
        <v>263</v>
      </c>
      <c r="L662" s="3" t="s">
        <v>264</v>
      </c>
      <c r="M662" s="7" t="n">
        <v>2016</v>
      </c>
    </row>
    <row r="663" customFormat="false" ht="15" hidden="false" customHeight="false" outlineLevel="0" collapsed="false">
      <c r="A663" s="3" t="n">
        <v>983</v>
      </c>
      <c r="B663" s="3" t="s">
        <v>262</v>
      </c>
      <c r="C663" s="4" t="s">
        <v>17</v>
      </c>
      <c r="D663" s="5" t="n">
        <v>27053</v>
      </c>
      <c r="E663" s="6" t="n">
        <v>277.77</v>
      </c>
      <c r="F663" s="7" t="n">
        <v>62</v>
      </c>
      <c r="G663" s="6" t="n">
        <v>36.2541211756893</v>
      </c>
      <c r="H663" s="8" t="n">
        <v>23336.0527183677</v>
      </c>
      <c r="I663" s="9" t="n">
        <v>2.97649755493197</v>
      </c>
      <c r="J663" s="9" t="n">
        <v>1.19966399282356</v>
      </c>
      <c r="K663" s="3" t="s">
        <v>263</v>
      </c>
      <c r="L663" s="3" t="s">
        <v>264</v>
      </c>
      <c r="M663" s="7" t="n">
        <v>2017</v>
      </c>
    </row>
    <row r="664" customFormat="false" ht="15" hidden="false" customHeight="false" outlineLevel="0" collapsed="false">
      <c r="A664" s="3" t="n">
        <v>984</v>
      </c>
      <c r="B664" s="3" t="s">
        <v>262</v>
      </c>
      <c r="C664" s="4" t="s">
        <v>18</v>
      </c>
      <c r="D664" s="5" t="n">
        <v>27091</v>
      </c>
      <c r="E664" s="6" t="n">
        <v>278.06</v>
      </c>
      <c r="F664" s="7" t="n">
        <v>66</v>
      </c>
      <c r="G664" s="6" t="n">
        <v>190.556974489794</v>
      </c>
      <c r="H664" s="8" t="n">
        <v>125996.271532652</v>
      </c>
      <c r="I664" s="9" t="n">
        <v>3.86677917169336</v>
      </c>
      <c r="J664" s="9" t="n">
        <v>6.29676502338616</v>
      </c>
      <c r="K664" s="3" t="s">
        <v>263</v>
      </c>
      <c r="L664" s="3" t="s">
        <v>264</v>
      </c>
      <c r="M664" s="7" t="n">
        <v>2018</v>
      </c>
    </row>
    <row r="665" customFormat="false" ht="15" hidden="false" customHeight="false" outlineLevel="0" collapsed="false">
      <c r="A665" s="3" t="n">
        <v>985</v>
      </c>
      <c r="B665" s="3" t="s">
        <v>262</v>
      </c>
      <c r="C665" s="4" t="s">
        <v>19</v>
      </c>
      <c r="D665" s="5" t="n">
        <v>26412.9166666667</v>
      </c>
      <c r="E665" s="6" t="n">
        <v>278.09843234664</v>
      </c>
      <c r="F665" s="7" t="n">
        <v>65</v>
      </c>
      <c r="G665" s="6" t="n">
        <v>290.508666803762</v>
      </c>
      <c r="H665" s="8" t="n">
        <v>197569.796294354</v>
      </c>
      <c r="I665" s="9" t="n">
        <v>4.80381705665826</v>
      </c>
      <c r="J665" s="9" t="n">
        <v>9.84601304064267</v>
      </c>
      <c r="K665" s="3" t="s">
        <v>263</v>
      </c>
      <c r="L665" s="3" t="s">
        <v>264</v>
      </c>
      <c r="M665" s="7" t="n">
        <v>2019</v>
      </c>
    </row>
    <row r="666" customFormat="false" ht="15" hidden="false" customHeight="false" outlineLevel="0" collapsed="false">
      <c r="A666" s="3" t="n">
        <v>986</v>
      </c>
      <c r="B666" s="3" t="s">
        <v>262</v>
      </c>
      <c r="C666" s="4" t="s">
        <v>20</v>
      </c>
      <c r="D666" s="5" t="n">
        <v>27162.9166666667</v>
      </c>
      <c r="E666" s="6" t="n">
        <v>278.10583106</v>
      </c>
      <c r="F666" s="7" t="n">
        <v>65</v>
      </c>
      <c r="G666" s="6" t="n">
        <v>521.484365934517</v>
      </c>
      <c r="H666" s="8" t="n">
        <v>372642.298209487</v>
      </c>
      <c r="I666" s="9" t="n">
        <v>6.3109312657155</v>
      </c>
      <c r="J666" s="9" t="n">
        <v>17.1392212555564</v>
      </c>
      <c r="K666" s="3" t="s">
        <v>263</v>
      </c>
      <c r="L666" s="3" t="s">
        <v>264</v>
      </c>
      <c r="M666" s="7" t="n">
        <v>2020</v>
      </c>
    </row>
    <row r="667" customFormat="false" ht="15" hidden="false" customHeight="false" outlineLevel="0" collapsed="false">
      <c r="A667" s="3" t="n">
        <v>987</v>
      </c>
      <c r="B667" s="3" t="s">
        <v>262</v>
      </c>
      <c r="C667" s="4" t="s">
        <v>21</v>
      </c>
      <c r="D667" s="5" t="n">
        <v>27215.6666666666</v>
      </c>
      <c r="E667" s="6" t="n">
        <v>278.105831059999</v>
      </c>
      <c r="F667" s="7" t="n">
        <v>67</v>
      </c>
      <c r="G667" s="6" t="n">
        <v>371.328599348046</v>
      </c>
      <c r="H667" s="8" t="n">
        <v>290905.48245021</v>
      </c>
      <c r="I667" s="9" t="n">
        <v>5.32674458160047</v>
      </c>
      <c r="J667" s="9" t="n">
        <v>12.2139769702271</v>
      </c>
      <c r="K667" s="3" t="s">
        <v>263</v>
      </c>
      <c r="L667" s="3" t="s">
        <v>264</v>
      </c>
      <c r="M667" s="7" t="n">
        <v>2021</v>
      </c>
    </row>
    <row r="668" customFormat="false" ht="15" hidden="false" customHeight="false" outlineLevel="0" collapsed="false">
      <c r="A668" s="3" t="n">
        <v>988</v>
      </c>
      <c r="B668" s="3" t="s">
        <v>262</v>
      </c>
      <c r="C668" s="4" t="s">
        <v>22</v>
      </c>
      <c r="D668" s="5" t="n">
        <v>27265.6666666667</v>
      </c>
      <c r="E668" s="6" t="n">
        <v>278.68444509</v>
      </c>
      <c r="F668" s="7" t="n">
        <v>66</v>
      </c>
      <c r="G668" s="6" t="n">
        <v>591.57145235521</v>
      </c>
      <c r="H668" s="8" t="n">
        <v>426298.219996212</v>
      </c>
      <c r="I668" s="9" t="n">
        <v>6.97088599285269</v>
      </c>
      <c r="J668" s="9" t="n">
        <v>19.4226624006399</v>
      </c>
      <c r="K668" s="3" t="s">
        <v>263</v>
      </c>
      <c r="L668" s="3" t="s">
        <v>264</v>
      </c>
      <c r="M668" s="7" t="n">
        <v>2022</v>
      </c>
    </row>
    <row r="669" customFormat="false" ht="15" hidden="false" customHeight="false" outlineLevel="0" collapsed="false">
      <c r="A669" s="3" t="n">
        <v>989</v>
      </c>
      <c r="B669" s="3" t="s">
        <v>262</v>
      </c>
      <c r="C669" s="4" t="s">
        <v>23</v>
      </c>
      <c r="D669" s="5" t="n">
        <v>27257.5833333333</v>
      </c>
      <c r="E669" s="6" t="n">
        <v>280.14599281</v>
      </c>
      <c r="F669" s="7" t="n">
        <v>73</v>
      </c>
      <c r="G669" s="6" t="n">
        <v>133.141690213036</v>
      </c>
      <c r="H669" s="8" t="n">
        <v>94169.7860707783</v>
      </c>
      <c r="I669" s="9" t="n">
        <v>3.93261045478528</v>
      </c>
      <c r="J669" s="9" t="n">
        <v>4.37264673203737</v>
      </c>
      <c r="K669" s="3" t="s">
        <v>263</v>
      </c>
      <c r="L669" s="3" t="s">
        <v>264</v>
      </c>
      <c r="M669" s="7" t="n">
        <v>2023</v>
      </c>
    </row>
    <row r="670" customFormat="false" ht="15" hidden="false" customHeight="false" outlineLevel="0" collapsed="false">
      <c r="A670" s="3" t="n">
        <v>990</v>
      </c>
      <c r="B670" s="3" t="s">
        <v>262</v>
      </c>
      <c r="C670" s="4" t="s">
        <v>24</v>
      </c>
      <c r="D670" s="5" t="n">
        <v>27361.25</v>
      </c>
      <c r="E670" s="6" t="n">
        <v>280.111319586548</v>
      </c>
      <c r="F670" s="7" t="n">
        <v>68</v>
      </c>
      <c r="G670" s="6" t="n">
        <v>363.690057741575</v>
      </c>
      <c r="H670" s="8" t="n">
        <v>250329.41086372</v>
      </c>
      <c r="I670" s="9" t="n">
        <v>5.43582356629729</v>
      </c>
      <c r="J670" s="9" t="n">
        <v>11.8664738971436</v>
      </c>
      <c r="K670" s="3" t="s">
        <v>263</v>
      </c>
      <c r="L670" s="3" t="s">
        <v>264</v>
      </c>
      <c r="M670" s="7" t="n">
        <v>2024</v>
      </c>
    </row>
    <row r="671" customFormat="false" ht="15" hidden="false" customHeight="false" outlineLevel="0" collapsed="false">
      <c r="A671" s="3" t="n">
        <v>991</v>
      </c>
      <c r="B671" s="3" t="s">
        <v>265</v>
      </c>
      <c r="C671" s="4" t="s">
        <v>14</v>
      </c>
      <c r="D671" s="5" t="n">
        <v>3680</v>
      </c>
      <c r="E671" s="6" t="n">
        <v>43</v>
      </c>
      <c r="F671" s="7" t="n">
        <v>62</v>
      </c>
      <c r="G671" s="6" t="n">
        <v>214.453309276452</v>
      </c>
      <c r="H671" s="8" t="n">
        <v>47994.1282757813</v>
      </c>
      <c r="I671" s="9" t="n">
        <v>11.2317640451056</v>
      </c>
      <c r="J671" s="9" t="n">
        <v>52.0248848131635</v>
      </c>
      <c r="K671" s="3" t="s">
        <v>266</v>
      </c>
      <c r="L671" s="3" t="s">
        <v>267</v>
      </c>
      <c r="M671" s="7" t="n">
        <v>2016</v>
      </c>
    </row>
    <row r="672" customFormat="false" ht="15" hidden="false" customHeight="false" outlineLevel="0" collapsed="false">
      <c r="A672" s="3" t="n">
        <v>992</v>
      </c>
      <c r="B672" s="3" t="s">
        <v>265</v>
      </c>
      <c r="C672" s="4" t="s">
        <v>17</v>
      </c>
      <c r="D672" s="5" t="n">
        <v>3730</v>
      </c>
      <c r="E672" s="6" t="n">
        <v>43</v>
      </c>
      <c r="F672" s="7" t="n">
        <v>57</v>
      </c>
      <c r="G672" s="6" t="n">
        <v>317.046833315763</v>
      </c>
      <c r="H672" s="8" t="n">
        <v>46916.1746701455</v>
      </c>
      <c r="I672" s="9" t="n">
        <v>14.8843328903274</v>
      </c>
      <c r="J672" s="9" t="n">
        <v>76.090819670311</v>
      </c>
      <c r="K672" s="3" t="s">
        <v>266</v>
      </c>
      <c r="L672" s="3" t="s">
        <v>267</v>
      </c>
      <c r="M672" s="7" t="n">
        <v>2017</v>
      </c>
    </row>
    <row r="673" customFormat="false" ht="15" hidden="false" customHeight="false" outlineLevel="0" collapsed="false">
      <c r="A673" s="3" t="n">
        <v>993</v>
      </c>
      <c r="B673" s="3" t="s">
        <v>265</v>
      </c>
      <c r="C673" s="4" t="s">
        <v>43</v>
      </c>
      <c r="D673" s="5" t="n">
        <v>3805</v>
      </c>
      <c r="E673" s="6" t="n">
        <v>43</v>
      </c>
      <c r="F673" s="7" t="n">
        <v>59</v>
      </c>
      <c r="G673" s="6" t="n">
        <v>95.9116746688125</v>
      </c>
      <c r="H673" s="8" t="n">
        <v>12946.8303471247</v>
      </c>
      <c r="I673" s="9" t="n">
        <v>8.75311660332599</v>
      </c>
      <c r="J673" s="9" t="n">
        <v>22.5649558147227</v>
      </c>
      <c r="K673" s="3" t="s">
        <v>266</v>
      </c>
      <c r="L673" s="3" t="s">
        <v>267</v>
      </c>
      <c r="M673" s="7" t="n">
        <v>2018</v>
      </c>
    </row>
    <row r="674" customFormat="false" ht="15" hidden="false" customHeight="false" outlineLevel="0" collapsed="false">
      <c r="A674" s="3" t="n">
        <v>994</v>
      </c>
      <c r="B674" s="3" t="s">
        <v>265</v>
      </c>
      <c r="C674" s="4" t="s">
        <v>44</v>
      </c>
      <c r="D674" s="5" t="n">
        <v>3662</v>
      </c>
      <c r="E674" s="6" t="n">
        <v>43</v>
      </c>
      <c r="F674" s="7" t="n">
        <v>71</v>
      </c>
      <c r="G674" s="6" t="n">
        <v>258.344310851974</v>
      </c>
      <c r="H674" s="8" t="n">
        <v>41183.3895314887</v>
      </c>
      <c r="I674" s="9" t="n">
        <v>16.2693210095983</v>
      </c>
      <c r="J674" s="9" t="n">
        <v>62.9805945066522</v>
      </c>
      <c r="K674" s="3" t="s">
        <v>266</v>
      </c>
      <c r="L674" s="3" t="s">
        <v>267</v>
      </c>
      <c r="M674" s="7" t="n">
        <v>2019</v>
      </c>
    </row>
    <row r="675" customFormat="false" ht="15" hidden="false" customHeight="false" outlineLevel="0" collapsed="false">
      <c r="A675" s="3" t="n">
        <v>995</v>
      </c>
      <c r="B675" s="3" t="s">
        <v>265</v>
      </c>
      <c r="C675" s="4" t="s">
        <v>45</v>
      </c>
      <c r="D675" s="5" t="n">
        <v>3956</v>
      </c>
      <c r="E675" s="6" t="n">
        <v>52.8</v>
      </c>
      <c r="F675" s="7" t="n">
        <v>76</v>
      </c>
      <c r="G675" s="6" t="n">
        <v>171.425532135076</v>
      </c>
      <c r="H675" s="8" t="n">
        <v>61003.4898655882</v>
      </c>
      <c r="I675" s="9" t="n">
        <v>10.7696824621397</v>
      </c>
      <c r="J675" s="9" t="n">
        <v>38.7915289834794</v>
      </c>
      <c r="K675" s="3" t="s">
        <v>266</v>
      </c>
      <c r="L675" s="3" t="s">
        <v>267</v>
      </c>
      <c r="M675" s="7" t="n">
        <v>2020</v>
      </c>
    </row>
    <row r="676" customFormat="false" ht="15" hidden="false" customHeight="false" outlineLevel="0" collapsed="false">
      <c r="A676" s="3" t="n">
        <v>996</v>
      </c>
      <c r="B676" s="3" t="s">
        <v>265</v>
      </c>
      <c r="C676" s="4" t="s">
        <v>46</v>
      </c>
      <c r="D676" s="5" t="n">
        <v>3957</v>
      </c>
      <c r="E676" s="6" t="n">
        <v>52.8</v>
      </c>
      <c r="F676" s="7" t="n">
        <v>76</v>
      </c>
      <c r="G676" s="6" t="n">
        <v>189.21430964467</v>
      </c>
      <c r="H676" s="8" t="n">
        <v>63453.01873934</v>
      </c>
      <c r="I676" s="9" t="n">
        <v>12.6310352161891</v>
      </c>
      <c r="J676" s="9" t="n">
        <v>42.8060940911678</v>
      </c>
      <c r="K676" s="3" t="s">
        <v>266</v>
      </c>
      <c r="L676" s="3" t="s">
        <v>267</v>
      </c>
      <c r="M676" s="7" t="n">
        <v>2021</v>
      </c>
    </row>
    <row r="677" customFormat="false" ht="15" hidden="false" customHeight="false" outlineLevel="0" collapsed="false">
      <c r="A677" s="3" t="n">
        <v>997</v>
      </c>
      <c r="B677" s="3" t="s">
        <v>265</v>
      </c>
      <c r="C677" s="4" t="s">
        <v>47</v>
      </c>
      <c r="D677" s="5" t="n">
        <v>3962</v>
      </c>
      <c r="E677" s="6" t="n">
        <v>49.29</v>
      </c>
      <c r="F677" s="7" t="n">
        <v>56</v>
      </c>
      <c r="G677" s="6" t="n">
        <v>176.363776298496</v>
      </c>
      <c r="H677" s="8" t="n">
        <v>80019.7725821535</v>
      </c>
      <c r="I677" s="9" t="n">
        <v>11.8296712884692</v>
      </c>
      <c r="J677" s="9" t="n">
        <v>39.8485563891594</v>
      </c>
      <c r="K677" s="3" t="s">
        <v>266</v>
      </c>
      <c r="L677" s="3" t="s">
        <v>267</v>
      </c>
      <c r="M677" s="7" t="n">
        <v>2022</v>
      </c>
    </row>
    <row r="678" customFormat="false" ht="15" hidden="false" customHeight="false" outlineLevel="0" collapsed="false">
      <c r="A678" s="3" t="n">
        <v>998</v>
      </c>
      <c r="B678" s="3" t="s">
        <v>268</v>
      </c>
      <c r="C678" s="4" t="s">
        <v>14</v>
      </c>
      <c r="D678" s="5" t="n">
        <v>48376</v>
      </c>
      <c r="E678" s="6" t="n">
        <v>569.89</v>
      </c>
      <c r="F678" s="7" t="n">
        <v>65</v>
      </c>
      <c r="G678" s="6" t="n">
        <v>2366.78906002875</v>
      </c>
      <c r="H678" s="8" t="n">
        <v>2028929.92170964</v>
      </c>
      <c r="I678" s="9" t="n">
        <v>11.4242322308558</v>
      </c>
      <c r="J678" s="9" t="n">
        <v>43.6773007559182</v>
      </c>
      <c r="K678" s="3" t="s">
        <v>269</v>
      </c>
      <c r="L678" s="3" t="s">
        <v>267</v>
      </c>
      <c r="M678" s="7" t="n">
        <v>2016</v>
      </c>
    </row>
    <row r="679" customFormat="false" ht="15" hidden="false" customHeight="false" outlineLevel="0" collapsed="false">
      <c r="A679" s="3" t="n">
        <v>999</v>
      </c>
      <c r="B679" s="3" t="s">
        <v>268</v>
      </c>
      <c r="C679" s="4" t="s">
        <v>17</v>
      </c>
      <c r="D679" s="5" t="n">
        <v>49700</v>
      </c>
      <c r="E679" s="6" t="n">
        <v>567.5</v>
      </c>
      <c r="F679" s="7" t="n">
        <v>64</v>
      </c>
      <c r="G679" s="6" t="n">
        <v>1052.78207156674</v>
      </c>
      <c r="H679" s="8" t="n">
        <v>916688.933175304</v>
      </c>
      <c r="I679" s="9" t="n">
        <v>4.37824430109464</v>
      </c>
      <c r="J679" s="9" t="n">
        <v>18.9626821811138</v>
      </c>
      <c r="K679" s="3" t="s">
        <v>269</v>
      </c>
      <c r="L679" s="3" t="s">
        <v>267</v>
      </c>
      <c r="M679" s="7" t="n">
        <v>2017</v>
      </c>
    </row>
    <row r="680" customFormat="false" ht="15" hidden="false" customHeight="false" outlineLevel="0" collapsed="false">
      <c r="A680" s="3" t="n">
        <v>1000</v>
      </c>
      <c r="B680" s="3" t="s">
        <v>268</v>
      </c>
      <c r="C680" s="4" t="s">
        <v>18</v>
      </c>
      <c r="D680" s="5" t="n">
        <v>49861</v>
      </c>
      <c r="E680" s="6" t="n">
        <v>561.17</v>
      </c>
      <c r="F680" s="7" t="n">
        <v>65</v>
      </c>
      <c r="G680" s="6" t="n">
        <v>87.7726144872451</v>
      </c>
      <c r="H680" s="8" t="n">
        <v>80257.5232348471</v>
      </c>
      <c r="I680" s="9" t="n">
        <v>1.97390439098119</v>
      </c>
      <c r="J680" s="9" t="n">
        <v>1.5758530805355</v>
      </c>
      <c r="K680" s="3" t="s">
        <v>269</v>
      </c>
      <c r="L680" s="3" t="s">
        <v>267</v>
      </c>
      <c r="M680" s="7" t="n">
        <v>2018</v>
      </c>
    </row>
    <row r="681" customFormat="false" ht="15" hidden="false" customHeight="false" outlineLevel="0" collapsed="false">
      <c r="A681" s="3" t="n">
        <v>1001</v>
      </c>
      <c r="B681" s="3" t="s">
        <v>268</v>
      </c>
      <c r="C681" s="4" t="s">
        <v>19</v>
      </c>
      <c r="D681" s="5" t="n">
        <v>50273</v>
      </c>
      <c r="E681" s="6" t="n">
        <v>587.127</v>
      </c>
      <c r="F681" s="7" t="n">
        <v>65</v>
      </c>
      <c r="G681" s="6" t="n">
        <v>258.604483355641</v>
      </c>
      <c r="H681" s="8" t="n">
        <v>276805.066894211</v>
      </c>
      <c r="I681" s="9" t="n">
        <v>2.23169171635836</v>
      </c>
      <c r="J681" s="9" t="n">
        <v>4.60488641391185</v>
      </c>
      <c r="K681" s="3" t="s">
        <v>269</v>
      </c>
      <c r="L681" s="3" t="s">
        <v>267</v>
      </c>
      <c r="M681" s="7" t="n">
        <v>2019</v>
      </c>
    </row>
    <row r="682" customFormat="false" ht="15" hidden="false" customHeight="false" outlineLevel="0" collapsed="false">
      <c r="A682" s="3" t="n">
        <v>1002</v>
      </c>
      <c r="B682" s="3" t="s">
        <v>268</v>
      </c>
      <c r="C682" s="4" t="s">
        <v>20</v>
      </c>
      <c r="D682" s="5" t="n">
        <v>50384</v>
      </c>
      <c r="E682" s="6" t="n">
        <v>587.6</v>
      </c>
      <c r="F682" s="7" t="n">
        <v>65</v>
      </c>
      <c r="G682" s="6" t="n">
        <v>554.611861002099</v>
      </c>
      <c r="H682" s="8" t="n">
        <v>605497.499249041</v>
      </c>
      <c r="I682" s="9" t="n">
        <v>3.02600560648939</v>
      </c>
      <c r="J682" s="9" t="n">
        <v>9.82703954285308</v>
      </c>
      <c r="K682" s="3" t="s">
        <v>269</v>
      </c>
      <c r="L682" s="3" t="s">
        <v>267</v>
      </c>
      <c r="M682" s="7" t="n">
        <v>2020</v>
      </c>
    </row>
    <row r="683" customFormat="false" ht="15" hidden="false" customHeight="false" outlineLevel="0" collapsed="false">
      <c r="A683" s="3" t="n">
        <v>1003</v>
      </c>
      <c r="B683" s="3" t="s">
        <v>268</v>
      </c>
      <c r="C683" s="4" t="s">
        <v>21</v>
      </c>
      <c r="D683" s="5" t="n">
        <v>50440</v>
      </c>
      <c r="E683" s="6" t="n">
        <v>587.703</v>
      </c>
      <c r="F683" s="7" t="n">
        <v>65</v>
      </c>
      <c r="G683" s="6" t="n">
        <v>406.832815418825</v>
      </c>
      <c r="H683" s="8" t="n">
        <v>486079.779534258</v>
      </c>
      <c r="I683" s="9" t="n">
        <v>3.6957622911941</v>
      </c>
      <c r="J683" s="9" t="n">
        <v>7.2203553638443</v>
      </c>
      <c r="K683" s="3" t="s">
        <v>269</v>
      </c>
      <c r="L683" s="3" t="s">
        <v>267</v>
      </c>
      <c r="M683" s="7" t="n">
        <v>2021</v>
      </c>
    </row>
    <row r="684" customFormat="false" ht="15" hidden="false" customHeight="false" outlineLevel="0" collapsed="false">
      <c r="A684" s="3" t="n">
        <v>1004</v>
      </c>
      <c r="B684" s="3" t="s">
        <v>268</v>
      </c>
      <c r="C684" s="4" t="s">
        <v>22</v>
      </c>
      <c r="D684" s="5" t="n">
        <v>50469</v>
      </c>
      <c r="E684" s="6" t="n">
        <v>586.98</v>
      </c>
      <c r="F684" s="7" t="n">
        <v>51</v>
      </c>
      <c r="G684" s="6" t="n">
        <v>1272.47533138407</v>
      </c>
      <c r="H684" s="8" t="n">
        <v>1568593.06575046</v>
      </c>
      <c r="I684" s="9" t="n">
        <v>5.92404141663619</v>
      </c>
      <c r="J684" s="9" t="n">
        <v>22.5705606252272</v>
      </c>
      <c r="K684" s="3" t="s">
        <v>269</v>
      </c>
      <c r="L684" s="3" t="s">
        <v>267</v>
      </c>
      <c r="M684" s="7" t="n">
        <v>2022</v>
      </c>
    </row>
    <row r="685" customFormat="false" ht="15" hidden="false" customHeight="false" outlineLevel="0" collapsed="false">
      <c r="A685" s="3" t="n">
        <v>1005</v>
      </c>
      <c r="B685" s="3" t="s">
        <v>268</v>
      </c>
      <c r="C685" s="4" t="s">
        <v>23</v>
      </c>
      <c r="D685" s="5" t="n">
        <v>52341</v>
      </c>
      <c r="E685" s="6" t="n">
        <v>619.53</v>
      </c>
      <c r="F685" s="7" t="n">
        <v>71</v>
      </c>
      <c r="G685" s="6" t="n">
        <v>771.949352750093</v>
      </c>
      <c r="H685" s="8" t="n">
        <v>1046855.95625146</v>
      </c>
      <c r="I685" s="9" t="n">
        <v>5.04783712515977</v>
      </c>
      <c r="J685" s="9" t="n">
        <v>13.2027520156267</v>
      </c>
      <c r="K685" s="3" t="s">
        <v>269</v>
      </c>
      <c r="L685" s="3" t="s">
        <v>267</v>
      </c>
      <c r="M685" s="7" t="n">
        <v>2023</v>
      </c>
    </row>
    <row r="686" customFormat="false" ht="15" hidden="false" customHeight="false" outlineLevel="0" collapsed="false">
      <c r="A686" s="3" t="n">
        <v>1006</v>
      </c>
      <c r="B686" s="3" t="s">
        <v>268</v>
      </c>
      <c r="C686" s="4" t="s">
        <v>24</v>
      </c>
      <c r="D686" s="5" t="n">
        <v>52466</v>
      </c>
      <c r="E686" s="6" t="n">
        <v>627.53</v>
      </c>
      <c r="F686" s="7" t="n">
        <v>70</v>
      </c>
      <c r="G686" s="6" t="n">
        <v>809.665853683313</v>
      </c>
      <c r="H686" s="8" t="n">
        <v>1215786.14923233</v>
      </c>
      <c r="I686" s="9" t="n">
        <v>4.42980609925095</v>
      </c>
      <c r="J686" s="9" t="n">
        <v>13.7769811049745</v>
      </c>
      <c r="K686" s="3" t="s">
        <v>269</v>
      </c>
      <c r="L686" s="3" t="s">
        <v>267</v>
      </c>
      <c r="M686" s="7" t="n">
        <v>2024</v>
      </c>
    </row>
    <row r="687" customFormat="false" ht="15" hidden="false" customHeight="false" outlineLevel="0" collapsed="false">
      <c r="A687" s="3" t="n">
        <v>1007</v>
      </c>
      <c r="B687" s="3" t="s">
        <v>270</v>
      </c>
      <c r="C687" s="4" t="s">
        <v>14</v>
      </c>
      <c r="D687" s="5" t="n">
        <v>5314</v>
      </c>
      <c r="E687" s="6" t="n">
        <v>57.5</v>
      </c>
      <c r="F687" s="7" t="n">
        <v>58</v>
      </c>
      <c r="G687" s="6" t="n">
        <v>629.149393939394</v>
      </c>
      <c r="H687" s="8" t="n">
        <v>829218.901212121</v>
      </c>
      <c r="I687" s="9" t="n">
        <v>10.2634467618002</v>
      </c>
      <c r="J687" s="9" t="n">
        <v>105.69596937763</v>
      </c>
      <c r="K687" s="3" t="s">
        <v>271</v>
      </c>
      <c r="L687" s="3" t="s">
        <v>272</v>
      </c>
      <c r="M687" s="7" t="n">
        <v>2016</v>
      </c>
    </row>
    <row r="688" customFormat="false" ht="15" hidden="false" customHeight="false" outlineLevel="0" collapsed="false">
      <c r="A688" s="3" t="n">
        <v>1008</v>
      </c>
      <c r="B688" s="3" t="s">
        <v>270</v>
      </c>
      <c r="C688" s="4" t="s">
        <v>17</v>
      </c>
      <c r="D688" s="5" t="n">
        <v>5071</v>
      </c>
      <c r="E688" s="6" t="n">
        <v>57.5</v>
      </c>
      <c r="F688" s="7" t="n">
        <v>67</v>
      </c>
      <c r="G688" s="6" t="n">
        <v>1.53342161616217</v>
      </c>
      <c r="H688" s="8" t="n">
        <v>2021.04969010174</v>
      </c>
      <c r="I688" s="9" t="n">
        <v>1.77766983640657</v>
      </c>
      <c r="J688" s="9" t="n">
        <v>0.270698372694583</v>
      </c>
      <c r="K688" s="3" t="s">
        <v>271</v>
      </c>
      <c r="L688" s="3" t="s">
        <v>272</v>
      </c>
      <c r="M688" s="7" t="n">
        <v>2017</v>
      </c>
    </row>
    <row r="689" customFormat="false" ht="15" hidden="false" customHeight="false" outlineLevel="0" collapsed="false">
      <c r="A689" s="3" t="n">
        <v>1009</v>
      </c>
      <c r="B689" s="3" t="s">
        <v>270</v>
      </c>
      <c r="C689" s="4" t="s">
        <v>18</v>
      </c>
      <c r="D689" s="5" t="n">
        <v>5071</v>
      </c>
      <c r="E689" s="6" t="n">
        <v>57.5</v>
      </c>
      <c r="F689" s="7" t="n">
        <v>69</v>
      </c>
      <c r="G689" s="6" t="n">
        <v>20.3676203100291</v>
      </c>
      <c r="H689" s="8" t="n">
        <v>26844.5235686184</v>
      </c>
      <c r="I689" s="9" t="n">
        <v>0.616717673213817</v>
      </c>
      <c r="J689" s="9" t="n">
        <v>3.59554190150592</v>
      </c>
      <c r="K689" s="3" t="s">
        <v>271</v>
      </c>
      <c r="L689" s="3" t="s">
        <v>272</v>
      </c>
      <c r="M689" s="7" t="n">
        <v>2018</v>
      </c>
    </row>
    <row r="690" customFormat="false" ht="15" hidden="false" customHeight="false" outlineLevel="0" collapsed="false">
      <c r="A690" s="3" t="n">
        <v>1010</v>
      </c>
      <c r="B690" s="3" t="s">
        <v>270</v>
      </c>
      <c r="C690" s="4" t="s">
        <v>19</v>
      </c>
      <c r="D690" s="5" t="n">
        <v>5112</v>
      </c>
      <c r="E690" s="6" t="n">
        <v>57.5</v>
      </c>
      <c r="F690" s="7" t="n">
        <v>73</v>
      </c>
      <c r="G690" s="6" t="n">
        <v>13.0091388326439</v>
      </c>
      <c r="H690" s="8" t="n">
        <v>18017.6572832118</v>
      </c>
      <c r="I690" s="9" t="n">
        <v>0.561233931902932</v>
      </c>
      <c r="J690" s="9" t="n">
        <v>2.27811360564877</v>
      </c>
      <c r="K690" s="3" t="s">
        <v>271</v>
      </c>
      <c r="L690" s="3" t="s">
        <v>272</v>
      </c>
      <c r="M690" s="7" t="n">
        <v>2019</v>
      </c>
    </row>
    <row r="691" customFormat="false" ht="15" hidden="false" customHeight="false" outlineLevel="0" collapsed="false">
      <c r="A691" s="3" t="n">
        <v>1011</v>
      </c>
      <c r="B691" s="3" t="s">
        <v>270</v>
      </c>
      <c r="C691" s="4" t="s">
        <v>20</v>
      </c>
      <c r="D691" s="5" t="n">
        <v>5041</v>
      </c>
      <c r="E691" s="6" t="n">
        <v>57.5</v>
      </c>
      <c r="F691" s="7" t="n">
        <v>74</v>
      </c>
      <c r="G691" s="6" t="n">
        <v>10.7254808184245</v>
      </c>
      <c r="H691" s="8" t="n">
        <v>15069.3005498864</v>
      </c>
      <c r="I691" s="9" t="n">
        <v>2.39635709753241</v>
      </c>
      <c r="J691" s="9" t="n">
        <v>1.89944300579872</v>
      </c>
      <c r="K691" s="3" t="s">
        <v>271</v>
      </c>
      <c r="L691" s="3" t="s">
        <v>272</v>
      </c>
      <c r="M691" s="7" t="n">
        <v>2020</v>
      </c>
    </row>
    <row r="692" customFormat="false" ht="15" hidden="false" customHeight="false" outlineLevel="0" collapsed="false">
      <c r="A692" s="3" t="n">
        <v>1012</v>
      </c>
      <c r="B692" s="3" t="s">
        <v>270</v>
      </c>
      <c r="C692" s="4" t="s">
        <v>21</v>
      </c>
      <c r="D692" s="5" t="n">
        <v>5068</v>
      </c>
      <c r="E692" s="6" t="n">
        <v>57.5</v>
      </c>
      <c r="F692" s="7" t="n">
        <v>74</v>
      </c>
      <c r="G692" s="6" t="n">
        <v>65.5932952684676</v>
      </c>
      <c r="H692" s="8" t="n">
        <v>95044.6848440096</v>
      </c>
      <c r="I692" s="9" t="n">
        <v>2.06471023011956</v>
      </c>
      <c r="J692" s="9" t="n">
        <v>11.5861865749572</v>
      </c>
      <c r="K692" s="3" t="s">
        <v>271</v>
      </c>
      <c r="L692" s="3" t="s">
        <v>272</v>
      </c>
      <c r="M692" s="7" t="n">
        <v>2021</v>
      </c>
    </row>
    <row r="693" customFormat="false" ht="15" hidden="false" customHeight="false" outlineLevel="0" collapsed="false">
      <c r="A693" s="3" t="n">
        <v>1013</v>
      </c>
      <c r="B693" s="3" t="s">
        <v>270</v>
      </c>
      <c r="C693" s="4" t="s">
        <v>22</v>
      </c>
      <c r="D693" s="5" t="n">
        <v>5068</v>
      </c>
      <c r="E693" s="6" t="n">
        <v>57.5</v>
      </c>
      <c r="F693" s="7" t="n">
        <v>71</v>
      </c>
      <c r="G693" s="6" t="n">
        <v>302.206660508464</v>
      </c>
      <c r="H693" s="8" t="n">
        <v>449683.510836594</v>
      </c>
      <c r="I693" s="9" t="n">
        <v>5.55129987192483</v>
      </c>
      <c r="J693" s="9" t="n">
        <v>53.3808026950742</v>
      </c>
      <c r="K693" s="3" t="s">
        <v>271</v>
      </c>
      <c r="L693" s="3" t="s">
        <v>272</v>
      </c>
      <c r="M693" s="7" t="n">
        <v>2022</v>
      </c>
    </row>
    <row r="694" customFormat="false" ht="15" hidden="false" customHeight="false" outlineLevel="0" collapsed="false">
      <c r="A694" s="3" t="n">
        <v>1014</v>
      </c>
      <c r="B694" s="3" t="s">
        <v>270</v>
      </c>
      <c r="C694" s="4" t="s">
        <v>23</v>
      </c>
      <c r="D694" s="5" t="n">
        <v>5065</v>
      </c>
      <c r="E694" s="6" t="n">
        <v>57.5</v>
      </c>
      <c r="F694" s="7" t="n">
        <v>71</v>
      </c>
      <c r="G694" s="6" t="n">
        <v>240.307300000001</v>
      </c>
      <c r="H694" s="8" t="n">
        <v>385693.216500001</v>
      </c>
      <c r="I694" s="9" t="n">
        <v>4.49814138094925</v>
      </c>
      <c r="J694" s="9" t="n">
        <v>42.472242177137</v>
      </c>
      <c r="K694" s="3" t="s">
        <v>271</v>
      </c>
      <c r="L694" s="3" t="s">
        <v>272</v>
      </c>
      <c r="M694" s="7" t="n">
        <v>2023</v>
      </c>
    </row>
    <row r="695" customFormat="false" ht="15" hidden="false" customHeight="false" outlineLevel="0" collapsed="false">
      <c r="A695" s="3" t="n">
        <v>1015</v>
      </c>
      <c r="B695" s="3" t="s">
        <v>270</v>
      </c>
      <c r="C695" s="4" t="s">
        <v>24</v>
      </c>
      <c r="D695" s="5" t="n">
        <v>5233</v>
      </c>
      <c r="E695" s="6" t="n">
        <v>65</v>
      </c>
      <c r="F695" s="7" t="n">
        <v>78</v>
      </c>
      <c r="G695" s="6" t="n">
        <v>5.9166824699938</v>
      </c>
      <c r="H695" s="8" t="n">
        <v>9998.60170604253</v>
      </c>
      <c r="I695" s="9" t="n">
        <v>0.897385105220407</v>
      </c>
      <c r="J695" s="9" t="n">
        <v>1.00937773692764</v>
      </c>
      <c r="K695" s="3" t="s">
        <v>271</v>
      </c>
      <c r="L695" s="3" t="s">
        <v>272</v>
      </c>
      <c r="M695" s="7" t="n">
        <v>2024</v>
      </c>
    </row>
    <row r="696" customFormat="false" ht="15" hidden="false" customHeight="false" outlineLevel="0" collapsed="false">
      <c r="A696" s="3" t="n">
        <v>1016</v>
      </c>
      <c r="B696" s="3" t="s">
        <v>270</v>
      </c>
      <c r="C696" s="4" t="s">
        <v>37</v>
      </c>
      <c r="D696" s="5" t="n">
        <v>5233</v>
      </c>
      <c r="E696" s="6" t="n">
        <v>65</v>
      </c>
      <c r="F696" s="7" t="n">
        <v>75</v>
      </c>
      <c r="G696" s="6" t="n">
        <v>2.28206793620799</v>
      </c>
      <c r="H696" s="8" t="n">
        <v>4333.64701085898</v>
      </c>
      <c r="I696" s="9" t="n">
        <v>0.504343403998191</v>
      </c>
      <c r="J696" s="9" t="n">
        <v>0.390387145335765</v>
      </c>
      <c r="K696" s="3" t="s">
        <v>271</v>
      </c>
      <c r="L696" s="3" t="s">
        <v>272</v>
      </c>
      <c r="M696" s="7" t="n">
        <v>2025</v>
      </c>
    </row>
    <row r="697" customFormat="false" ht="15" hidden="false" customHeight="false" outlineLevel="0" collapsed="false">
      <c r="A697" s="3" t="n">
        <v>1017</v>
      </c>
      <c r="B697" s="3" t="s">
        <v>273</v>
      </c>
      <c r="C697" s="4" t="s">
        <v>41</v>
      </c>
      <c r="D697" s="5" t="n">
        <v>9675</v>
      </c>
      <c r="E697" s="6" t="n">
        <v>98</v>
      </c>
      <c r="F697" s="7" t="n">
        <v>78</v>
      </c>
      <c r="G697" s="6" t="n">
        <v>189.929108207193</v>
      </c>
      <c r="H697" s="8" t="n">
        <v>30388.6573131509</v>
      </c>
      <c r="I697" s="9" t="n">
        <v>7.68563332146101</v>
      </c>
      <c r="J697" s="9" t="n">
        <v>17.5734985485482</v>
      </c>
      <c r="K697" s="3" t="s">
        <v>274</v>
      </c>
      <c r="L697" s="3" t="s">
        <v>275</v>
      </c>
      <c r="M697" s="7" t="n">
        <v>2016</v>
      </c>
    </row>
    <row r="698" customFormat="false" ht="15" hidden="false" customHeight="false" outlineLevel="0" collapsed="false">
      <c r="A698" s="3" t="n">
        <v>1018</v>
      </c>
      <c r="B698" s="3" t="s">
        <v>273</v>
      </c>
      <c r="C698" s="4" t="s">
        <v>42</v>
      </c>
      <c r="D698" s="5" t="n">
        <v>9450</v>
      </c>
      <c r="E698" s="6" t="n">
        <v>98</v>
      </c>
      <c r="F698" s="7" t="n">
        <v>71</v>
      </c>
      <c r="G698" s="6" t="n">
        <v>25.2771358585861</v>
      </c>
      <c r="H698" s="8" t="n">
        <v>10753.6519083183</v>
      </c>
      <c r="I698" s="9" t="n">
        <v>2.5337557366488</v>
      </c>
      <c r="J698" s="9" t="n">
        <v>2.39449386495033</v>
      </c>
      <c r="K698" s="3" t="s">
        <v>274</v>
      </c>
      <c r="L698" s="3" t="s">
        <v>275</v>
      </c>
      <c r="M698" s="7" t="n">
        <v>2017</v>
      </c>
    </row>
    <row r="699" customFormat="false" ht="15" hidden="false" customHeight="false" outlineLevel="0" collapsed="false">
      <c r="A699" s="3" t="n">
        <v>1019</v>
      </c>
      <c r="B699" s="3" t="s">
        <v>273</v>
      </c>
      <c r="C699" s="4" t="s">
        <v>43</v>
      </c>
      <c r="D699" s="5" t="n">
        <v>9450</v>
      </c>
      <c r="E699" s="6" t="n">
        <v>98</v>
      </c>
      <c r="F699" s="7" t="n">
        <v>73</v>
      </c>
      <c r="G699" s="6" t="n">
        <v>104.93936510101</v>
      </c>
      <c r="H699" s="8" t="n">
        <v>147131.886486691</v>
      </c>
      <c r="I699" s="9" t="n">
        <v>4.28264387443592</v>
      </c>
      <c r="J699" s="9" t="n">
        <v>9.94086779973522</v>
      </c>
      <c r="K699" s="3" t="s">
        <v>274</v>
      </c>
      <c r="L699" s="3" t="s">
        <v>275</v>
      </c>
      <c r="M699" s="7" t="n">
        <v>2018</v>
      </c>
    </row>
    <row r="700" customFormat="false" ht="15" hidden="false" customHeight="false" outlineLevel="0" collapsed="false">
      <c r="A700" s="3" t="n">
        <v>1020</v>
      </c>
      <c r="B700" s="3" t="s">
        <v>273</v>
      </c>
      <c r="C700" s="4" t="s">
        <v>44</v>
      </c>
      <c r="D700" s="5" t="n">
        <v>9450</v>
      </c>
      <c r="E700" s="6" t="n">
        <v>98</v>
      </c>
      <c r="F700" s="7" t="n">
        <v>68</v>
      </c>
      <c r="G700" s="6" t="n">
        <v>26.4711690767647</v>
      </c>
      <c r="H700" s="8" t="n">
        <v>11886.4413975731</v>
      </c>
      <c r="I700" s="9" t="n">
        <v>2.34624445235594</v>
      </c>
      <c r="J700" s="9" t="n">
        <v>2.50073404793299</v>
      </c>
      <c r="K700" s="3" t="s">
        <v>274</v>
      </c>
      <c r="L700" s="3" t="s">
        <v>275</v>
      </c>
      <c r="M700" s="7" t="n">
        <v>2019</v>
      </c>
    </row>
    <row r="701" customFormat="false" ht="15" hidden="false" customHeight="false" outlineLevel="0" collapsed="false">
      <c r="A701" s="3" t="n">
        <v>1021</v>
      </c>
      <c r="B701" s="3" t="s">
        <v>273</v>
      </c>
      <c r="C701" s="4" t="s">
        <v>46</v>
      </c>
      <c r="D701" s="5" t="n">
        <v>9457</v>
      </c>
      <c r="E701" s="6" t="n">
        <v>98</v>
      </c>
      <c r="F701" s="7" t="n">
        <v>64</v>
      </c>
      <c r="G701" s="6" t="n">
        <v>31.6395550505049</v>
      </c>
      <c r="H701" s="8" t="n">
        <v>15812.8168231413</v>
      </c>
      <c r="I701" s="9" t="n">
        <v>2.45002665548807</v>
      </c>
      <c r="J701" s="9" t="n">
        <v>2.99498500812878</v>
      </c>
      <c r="K701" s="3" t="s">
        <v>274</v>
      </c>
      <c r="L701" s="3" t="s">
        <v>275</v>
      </c>
      <c r="M701" s="7" t="n">
        <v>2021</v>
      </c>
    </row>
    <row r="702" customFormat="false" ht="15" hidden="false" customHeight="false" outlineLevel="0" collapsed="false">
      <c r="A702" s="3" t="n">
        <v>1022</v>
      </c>
      <c r="B702" s="3" t="s">
        <v>273</v>
      </c>
      <c r="C702" s="4" t="s">
        <v>47</v>
      </c>
      <c r="D702" s="5" t="n">
        <v>9662</v>
      </c>
      <c r="E702" s="6" t="n">
        <v>92</v>
      </c>
      <c r="F702" s="7" t="n">
        <v>60</v>
      </c>
      <c r="G702" s="6" t="n">
        <v>178.986881313131</v>
      </c>
      <c r="H702" s="8" t="n">
        <v>103157.29917601</v>
      </c>
      <c r="I702" s="9" t="n">
        <v>6.15317291054686</v>
      </c>
      <c r="J702" s="9" t="n">
        <v>16.5833337871613</v>
      </c>
      <c r="K702" s="3" t="s">
        <v>274</v>
      </c>
      <c r="L702" s="3" t="s">
        <v>275</v>
      </c>
      <c r="M702" s="7" t="n">
        <v>2022</v>
      </c>
    </row>
    <row r="703" customFormat="false" ht="15" hidden="false" customHeight="false" outlineLevel="0" collapsed="false">
      <c r="A703" s="3" t="n">
        <v>1023</v>
      </c>
      <c r="B703" s="3" t="s">
        <v>273</v>
      </c>
      <c r="C703" s="4" t="s">
        <v>48</v>
      </c>
      <c r="D703" s="5" t="n">
        <v>9457</v>
      </c>
      <c r="E703" s="6" t="n">
        <v>98</v>
      </c>
      <c r="F703" s="7" t="n">
        <v>60</v>
      </c>
      <c r="G703" s="6" t="n">
        <v>27.7870833333333</v>
      </c>
      <c r="H703" s="8" t="n">
        <v>14917.4956875</v>
      </c>
      <c r="I703" s="9" t="n">
        <v>6.18753757379879</v>
      </c>
      <c r="J703" s="9" t="n">
        <v>2.62310556107601</v>
      </c>
      <c r="K703" s="3" t="s">
        <v>274</v>
      </c>
      <c r="L703" s="3" t="s">
        <v>275</v>
      </c>
      <c r="M703" s="7" t="n">
        <v>2023</v>
      </c>
    </row>
    <row r="704" customFormat="false" ht="15" hidden="false" customHeight="false" outlineLevel="0" collapsed="false">
      <c r="A704" s="3" t="n">
        <v>1024</v>
      </c>
      <c r="B704" s="3" t="s">
        <v>273</v>
      </c>
      <c r="C704" s="4" t="s">
        <v>49</v>
      </c>
      <c r="D704" s="5" t="n">
        <v>9457</v>
      </c>
      <c r="E704" s="6" t="n">
        <v>98</v>
      </c>
      <c r="F704" s="7" t="n">
        <v>67</v>
      </c>
      <c r="G704" s="6" t="n">
        <v>67.0744444444444</v>
      </c>
      <c r="H704" s="8" t="n">
        <v>37494.6144444444</v>
      </c>
      <c r="I704" s="9" t="n">
        <v>3.3563672260612</v>
      </c>
      <c r="J704" s="9" t="n">
        <v>6.34923453313455</v>
      </c>
      <c r="K704" s="3" t="s">
        <v>274</v>
      </c>
      <c r="L704" s="3" t="s">
        <v>275</v>
      </c>
      <c r="M704" s="7" t="n">
        <v>2024</v>
      </c>
    </row>
    <row r="705" customFormat="false" ht="15" hidden="false" customHeight="false" outlineLevel="0" collapsed="false">
      <c r="A705" s="3" t="n">
        <v>1025</v>
      </c>
      <c r="B705" s="3" t="s">
        <v>276</v>
      </c>
      <c r="C705" s="4" t="s">
        <v>14</v>
      </c>
      <c r="D705" s="5" t="n">
        <v>34132</v>
      </c>
      <c r="E705" s="6" t="n">
        <v>409</v>
      </c>
      <c r="F705" s="7" t="n">
        <v>69</v>
      </c>
      <c r="G705" s="6" t="n">
        <v>644.705747361806</v>
      </c>
      <c r="H705" s="8" t="n">
        <v>797559.033003817</v>
      </c>
      <c r="I705" s="9" t="n">
        <v>4.23492438510659</v>
      </c>
      <c r="J705" s="9" t="n">
        <v>16.8626567029527</v>
      </c>
      <c r="K705" s="3" t="s">
        <v>277</v>
      </c>
      <c r="L705" s="3" t="s">
        <v>278</v>
      </c>
      <c r="M705" s="7" t="n">
        <v>2016</v>
      </c>
    </row>
    <row r="706" customFormat="false" ht="15" hidden="false" customHeight="false" outlineLevel="0" collapsed="false">
      <c r="A706" s="3" t="n">
        <v>1026</v>
      </c>
      <c r="B706" s="3" t="s">
        <v>276</v>
      </c>
      <c r="C706" s="4" t="s">
        <v>17</v>
      </c>
      <c r="D706" s="5" t="n">
        <v>34068</v>
      </c>
      <c r="E706" s="6" t="n">
        <v>395.328</v>
      </c>
      <c r="F706" s="7" t="n">
        <v>60</v>
      </c>
      <c r="G706" s="6" t="n">
        <v>783.82666894472</v>
      </c>
      <c r="H706" s="8" t="n">
        <v>935301.172718287</v>
      </c>
      <c r="I706" s="9" t="n">
        <v>4.70143834612351</v>
      </c>
      <c r="J706" s="9" t="n">
        <v>20.5963883401834</v>
      </c>
      <c r="K706" s="3" t="s">
        <v>277</v>
      </c>
      <c r="L706" s="3" t="s">
        <v>278</v>
      </c>
      <c r="M706" s="7" t="n">
        <v>2017</v>
      </c>
    </row>
    <row r="707" customFormat="false" ht="15" hidden="false" customHeight="false" outlineLevel="0" collapsed="false">
      <c r="A707" s="3" t="n">
        <v>1027</v>
      </c>
      <c r="B707" s="3" t="s">
        <v>276</v>
      </c>
      <c r="C707" s="4" t="s">
        <v>18</v>
      </c>
      <c r="D707" s="5" t="n">
        <v>34103</v>
      </c>
      <c r="E707" s="6" t="n">
        <v>395.5784</v>
      </c>
      <c r="F707" s="7" t="n">
        <v>61</v>
      </c>
      <c r="G707" s="6" t="n">
        <v>660.576328994978</v>
      </c>
      <c r="H707" s="8" t="n">
        <v>796820.196850192</v>
      </c>
      <c r="I707" s="9" t="n">
        <v>3.98504159099272</v>
      </c>
      <c r="J707" s="9" t="n">
        <v>17.3399602125931</v>
      </c>
      <c r="K707" s="3" t="s">
        <v>277</v>
      </c>
      <c r="L707" s="3" t="s">
        <v>278</v>
      </c>
      <c r="M707" s="7" t="n">
        <v>2018</v>
      </c>
    </row>
    <row r="708" customFormat="false" ht="15" hidden="false" customHeight="false" outlineLevel="0" collapsed="false">
      <c r="A708" s="3" t="n">
        <v>1028</v>
      </c>
      <c r="B708" s="3" t="s">
        <v>276</v>
      </c>
      <c r="C708" s="4" t="s">
        <v>19</v>
      </c>
      <c r="D708" s="5" t="n">
        <v>36513</v>
      </c>
      <c r="E708" s="6" t="n">
        <v>394.9</v>
      </c>
      <c r="F708" s="7" t="n">
        <v>59</v>
      </c>
      <c r="G708" s="6" t="n">
        <v>107.623700891962</v>
      </c>
      <c r="H708" s="8" t="n">
        <v>133174.643720723</v>
      </c>
      <c r="I708" s="9" t="n">
        <v>1.69374969155837</v>
      </c>
      <c r="J708" s="9" t="n">
        <v>2.63862747058226</v>
      </c>
      <c r="K708" s="3" t="s">
        <v>277</v>
      </c>
      <c r="L708" s="3" t="s">
        <v>278</v>
      </c>
      <c r="M708" s="7" t="n">
        <v>2019</v>
      </c>
    </row>
    <row r="709" customFormat="false" ht="15" hidden="false" customHeight="false" outlineLevel="0" collapsed="false">
      <c r="A709" s="3" t="n">
        <v>1029</v>
      </c>
      <c r="B709" s="3" t="s">
        <v>276</v>
      </c>
      <c r="C709" s="4" t="s">
        <v>20</v>
      </c>
      <c r="D709" s="5" t="n">
        <v>33944</v>
      </c>
      <c r="E709" s="6" t="n">
        <v>383.7</v>
      </c>
      <c r="F709" s="7" t="n">
        <v>61</v>
      </c>
      <c r="G709" s="6" t="n">
        <v>670.243179648243</v>
      </c>
      <c r="H709" s="8" t="n">
        <v>844379.060152653</v>
      </c>
      <c r="I709" s="9" t="n">
        <v>4.04214839128843</v>
      </c>
      <c r="J709" s="9" t="n">
        <v>17.62769705555</v>
      </c>
      <c r="K709" s="3" t="s">
        <v>277</v>
      </c>
      <c r="L709" s="3" t="s">
        <v>278</v>
      </c>
      <c r="M709" s="7" t="n">
        <v>2020</v>
      </c>
    </row>
    <row r="710" customFormat="false" ht="15" hidden="false" customHeight="false" outlineLevel="0" collapsed="false">
      <c r="A710" s="3" t="n">
        <v>1030</v>
      </c>
      <c r="B710" s="3" t="s">
        <v>276</v>
      </c>
      <c r="C710" s="4" t="s">
        <v>21</v>
      </c>
      <c r="D710" s="5" t="n">
        <v>35291</v>
      </c>
      <c r="E710" s="6" t="n">
        <v>393.6</v>
      </c>
      <c r="F710" s="7" t="n">
        <v>62</v>
      </c>
      <c r="G710" s="6" t="n">
        <v>444.680987439758</v>
      </c>
      <c r="H710" s="8" t="n">
        <v>576528.900215647</v>
      </c>
      <c r="I710" s="9" t="n">
        <v>2.97426518741573</v>
      </c>
      <c r="J710" s="9" t="n">
        <v>11.2798226455514</v>
      </c>
      <c r="K710" s="3" t="s">
        <v>277</v>
      </c>
      <c r="L710" s="3" t="s">
        <v>278</v>
      </c>
      <c r="M710" s="7" t="n">
        <v>2021</v>
      </c>
    </row>
    <row r="711" customFormat="false" ht="15" hidden="false" customHeight="false" outlineLevel="0" collapsed="false">
      <c r="A711" s="3" t="n">
        <v>1031</v>
      </c>
      <c r="B711" s="3" t="s">
        <v>276</v>
      </c>
      <c r="C711" s="4" t="s">
        <v>22</v>
      </c>
      <c r="D711" s="5" t="n">
        <v>35122</v>
      </c>
      <c r="E711" s="6" t="n">
        <v>385.8</v>
      </c>
      <c r="F711" s="7" t="n">
        <v>65</v>
      </c>
      <c r="G711" s="6" t="n">
        <v>126.830364222258</v>
      </c>
      <c r="H711" s="8" t="n">
        <v>171861.485039371</v>
      </c>
      <c r="I711" s="9" t="n">
        <v>1.4704297781801</v>
      </c>
      <c r="J711" s="9" t="n">
        <v>3.23267225296525</v>
      </c>
      <c r="K711" s="3" t="s">
        <v>277</v>
      </c>
      <c r="L711" s="3" t="s">
        <v>278</v>
      </c>
      <c r="M711" s="7" t="n">
        <v>2022</v>
      </c>
    </row>
    <row r="712" customFormat="false" ht="15" hidden="false" customHeight="false" outlineLevel="0" collapsed="false">
      <c r="A712" s="3" t="n">
        <v>1032</v>
      </c>
      <c r="B712" s="3" t="s">
        <v>276</v>
      </c>
      <c r="C712" s="4" t="s">
        <v>23</v>
      </c>
      <c r="D712" s="5" t="n">
        <v>35129</v>
      </c>
      <c r="E712" s="6" t="n">
        <v>387.4</v>
      </c>
      <c r="F712" s="7" t="n">
        <v>66</v>
      </c>
      <c r="G712" s="6" t="n">
        <v>516.805726714588</v>
      </c>
      <c r="H712" s="8" t="n">
        <v>728484.184319616</v>
      </c>
      <c r="I712" s="9" t="n">
        <v>3.73765083408527</v>
      </c>
      <c r="J712" s="9" t="n">
        <v>13.1698007606873</v>
      </c>
      <c r="K712" s="3" t="s">
        <v>277</v>
      </c>
      <c r="L712" s="3" t="s">
        <v>278</v>
      </c>
      <c r="M712" s="7" t="n">
        <v>2023</v>
      </c>
    </row>
    <row r="713" customFormat="false" ht="15" hidden="false" customHeight="false" outlineLevel="0" collapsed="false">
      <c r="A713" s="3" t="n">
        <v>1033</v>
      </c>
      <c r="B713" s="3" t="s">
        <v>276</v>
      </c>
      <c r="C713" s="4" t="s">
        <v>24</v>
      </c>
      <c r="D713" s="5" t="n">
        <v>34216</v>
      </c>
      <c r="E713" s="6" t="n">
        <v>385.1</v>
      </c>
      <c r="F713" s="7" t="n">
        <v>65</v>
      </c>
      <c r="G713" s="6" t="n">
        <v>1305.23385460335</v>
      </c>
      <c r="H713" s="8" t="n">
        <v>2165526.54051096</v>
      </c>
      <c r="I713" s="9" t="n">
        <v>7.08653469707351</v>
      </c>
      <c r="J713" s="9" t="n">
        <v>34.0553451526608</v>
      </c>
      <c r="K713" s="3" t="s">
        <v>277</v>
      </c>
      <c r="L713" s="3" t="s">
        <v>278</v>
      </c>
      <c r="M713" s="7" t="n">
        <v>2024</v>
      </c>
    </row>
    <row r="714" customFormat="false" ht="15" hidden="false" customHeight="false" outlineLevel="0" collapsed="false">
      <c r="A714" s="3" t="n">
        <v>1034</v>
      </c>
      <c r="B714" s="3" t="s">
        <v>279</v>
      </c>
      <c r="C714" s="4" t="s">
        <v>41</v>
      </c>
      <c r="D714" s="5" t="n">
        <v>13485</v>
      </c>
      <c r="E714" s="6" t="n">
        <v>225.7</v>
      </c>
      <c r="F714" s="7" t="n">
        <v>55</v>
      </c>
      <c r="G714" s="6" t="n">
        <v>1343.52679807692</v>
      </c>
      <c r="H714" s="8" t="n">
        <v>469532.310716189</v>
      </c>
      <c r="I714" s="9" t="n">
        <v>16.3347164176414</v>
      </c>
      <c r="J714" s="9" t="n">
        <v>89.1893619447254</v>
      </c>
      <c r="K714" s="3" t="s">
        <v>280</v>
      </c>
      <c r="L714" s="3" t="s">
        <v>281</v>
      </c>
      <c r="M714" s="7" t="n">
        <v>2016</v>
      </c>
    </row>
    <row r="715" customFormat="false" ht="15" hidden="false" customHeight="false" outlineLevel="0" collapsed="false">
      <c r="A715" s="3" t="n">
        <v>1035</v>
      </c>
      <c r="B715" s="3" t="s">
        <v>279</v>
      </c>
      <c r="C715" s="4" t="s">
        <v>42</v>
      </c>
      <c r="D715" s="5" t="n">
        <v>13485</v>
      </c>
      <c r="E715" s="6" t="n">
        <v>225.7</v>
      </c>
      <c r="F715" s="7" t="n">
        <v>58</v>
      </c>
      <c r="G715" s="6" t="n">
        <v>1189.44388345008</v>
      </c>
      <c r="H715" s="8" t="n">
        <v>340133.372911385</v>
      </c>
      <c r="I715" s="9" t="n">
        <v>13.89404030176</v>
      </c>
      <c r="J715" s="9" t="n">
        <v>78.960643870905</v>
      </c>
      <c r="K715" s="3" t="s">
        <v>280</v>
      </c>
      <c r="L715" s="3" t="s">
        <v>281</v>
      </c>
      <c r="M715" s="7" t="n">
        <v>2017</v>
      </c>
    </row>
    <row r="716" customFormat="false" ht="15" hidden="false" customHeight="false" outlineLevel="0" collapsed="false">
      <c r="A716" s="3" t="n">
        <v>1036</v>
      </c>
      <c r="B716" s="3" t="s">
        <v>279</v>
      </c>
      <c r="C716" s="4" t="s">
        <v>43</v>
      </c>
      <c r="D716" s="5" t="n">
        <v>13485</v>
      </c>
      <c r="E716" s="6" t="n">
        <v>225.7</v>
      </c>
      <c r="F716" s="7" t="n">
        <v>61</v>
      </c>
      <c r="G716" s="6" t="n">
        <v>568.917138967611</v>
      </c>
      <c r="H716" s="8" t="n">
        <v>293283.65731239</v>
      </c>
      <c r="I716" s="9" t="n">
        <v>7.6368046913761</v>
      </c>
      <c r="J716" s="9" t="n">
        <v>37.7672828681716</v>
      </c>
      <c r="K716" s="3" t="s">
        <v>280</v>
      </c>
      <c r="L716" s="3" t="s">
        <v>281</v>
      </c>
      <c r="M716" s="7" t="n">
        <v>2018</v>
      </c>
    </row>
    <row r="717" customFormat="false" ht="15" hidden="false" customHeight="false" outlineLevel="0" collapsed="false">
      <c r="A717" s="3" t="n">
        <v>1037</v>
      </c>
      <c r="B717" s="3" t="s">
        <v>279</v>
      </c>
      <c r="C717" s="4" t="s">
        <v>44</v>
      </c>
      <c r="D717" s="5" t="n">
        <v>13602</v>
      </c>
      <c r="E717" s="6" t="n">
        <v>225.7</v>
      </c>
      <c r="F717" s="7" t="n">
        <v>59</v>
      </c>
      <c r="G717" s="6" t="n">
        <v>95.8510040201016</v>
      </c>
      <c r="H717" s="8" t="n">
        <v>40449.1236964829</v>
      </c>
      <c r="I717" s="9" t="n">
        <v>2.1855698697851</v>
      </c>
      <c r="J717" s="9" t="n">
        <v>6.2910058575097</v>
      </c>
      <c r="K717" s="3" t="s">
        <v>280</v>
      </c>
      <c r="L717" s="3" t="s">
        <v>281</v>
      </c>
      <c r="M717" s="7" t="n">
        <v>2019</v>
      </c>
    </row>
    <row r="718" customFormat="false" ht="15" hidden="false" customHeight="false" outlineLevel="0" collapsed="false">
      <c r="A718" s="3" t="n">
        <v>1038</v>
      </c>
      <c r="B718" s="3" t="s">
        <v>279</v>
      </c>
      <c r="C718" s="4" t="s">
        <v>45</v>
      </c>
      <c r="D718" s="5" t="n">
        <v>13620</v>
      </c>
      <c r="E718" s="6" t="n">
        <v>225.7</v>
      </c>
      <c r="F718" s="7" t="n">
        <v>62</v>
      </c>
      <c r="G718" s="6" t="n">
        <v>732.74582847755</v>
      </c>
      <c r="H718" s="8" t="n">
        <v>745935.253390146</v>
      </c>
      <c r="I718" s="9" t="n">
        <v>7.97473147045472</v>
      </c>
      <c r="J718" s="9" t="n">
        <v>48.1608254173803</v>
      </c>
      <c r="K718" s="3" t="s">
        <v>280</v>
      </c>
      <c r="L718" s="3" t="s">
        <v>281</v>
      </c>
      <c r="M718" s="7" t="n">
        <v>2020</v>
      </c>
    </row>
    <row r="719" customFormat="false" ht="15" hidden="false" customHeight="false" outlineLevel="0" collapsed="false">
      <c r="A719" s="3" t="n">
        <v>1039</v>
      </c>
      <c r="B719" s="3" t="s">
        <v>279</v>
      </c>
      <c r="C719" s="4" t="s">
        <v>46</v>
      </c>
      <c r="D719" s="5" t="n">
        <v>13525</v>
      </c>
      <c r="E719" s="6" t="n">
        <v>210</v>
      </c>
      <c r="F719" s="7" t="n">
        <v>72</v>
      </c>
      <c r="G719" s="6" t="n">
        <v>687.40932171981</v>
      </c>
      <c r="H719" s="8" t="n">
        <v>408899.989404331</v>
      </c>
      <c r="I719" s="9" t="n">
        <v>16.0557912566087</v>
      </c>
      <c r="J719" s="9" t="n">
        <v>45.4983678762816</v>
      </c>
      <c r="K719" s="3" t="s">
        <v>280</v>
      </c>
      <c r="L719" s="3" t="s">
        <v>281</v>
      </c>
      <c r="M719" s="7" t="n">
        <v>2021</v>
      </c>
    </row>
    <row r="720" customFormat="false" ht="15" hidden="false" customHeight="false" outlineLevel="0" collapsed="false">
      <c r="A720" s="3" t="n">
        <v>1040</v>
      </c>
      <c r="B720" s="3" t="s">
        <v>279</v>
      </c>
      <c r="C720" s="4" t="s">
        <v>47</v>
      </c>
      <c r="D720" s="5" t="n">
        <v>13532</v>
      </c>
      <c r="E720" s="6" t="n">
        <v>210</v>
      </c>
      <c r="F720" s="7" t="n">
        <v>55</v>
      </c>
      <c r="G720" s="6" t="n">
        <v>1217.22434563461</v>
      </c>
      <c r="H720" s="8" t="n">
        <v>333519.470703884</v>
      </c>
      <c r="I720" s="9" t="n">
        <v>17.0284350663639</v>
      </c>
      <c r="J720" s="9" t="n">
        <v>80.5241808284683</v>
      </c>
      <c r="K720" s="3" t="s">
        <v>280</v>
      </c>
      <c r="L720" s="3" t="s">
        <v>281</v>
      </c>
      <c r="M720" s="7" t="n">
        <v>2022</v>
      </c>
    </row>
    <row r="721" customFormat="false" ht="15" hidden="false" customHeight="false" outlineLevel="0" collapsed="false">
      <c r="A721" s="3" t="n">
        <v>1041</v>
      </c>
      <c r="B721" s="3" t="s">
        <v>279</v>
      </c>
      <c r="C721" s="4" t="s">
        <v>48</v>
      </c>
      <c r="D721" s="5" t="n">
        <v>13569</v>
      </c>
      <c r="E721" s="6" t="n">
        <v>225</v>
      </c>
      <c r="F721" s="7" t="n">
        <v>67</v>
      </c>
      <c r="G721" s="6" t="n">
        <v>1635.23931678565</v>
      </c>
      <c r="H721" s="8" t="n">
        <v>937989.624501415</v>
      </c>
      <c r="I721" s="9" t="n">
        <v>21.3079506911842</v>
      </c>
      <c r="J721" s="9" t="n">
        <v>107.58696880862</v>
      </c>
      <c r="K721" s="3" t="s">
        <v>280</v>
      </c>
      <c r="L721" s="3" t="s">
        <v>281</v>
      </c>
      <c r="M721" s="7" t="n">
        <v>2023</v>
      </c>
    </row>
    <row r="722" customFormat="false" ht="15" hidden="false" customHeight="false" outlineLevel="0" collapsed="false">
      <c r="A722" s="3" t="n">
        <v>1042</v>
      </c>
      <c r="B722" s="3" t="s">
        <v>279</v>
      </c>
      <c r="C722" s="4" t="s">
        <v>49</v>
      </c>
      <c r="D722" s="5" t="n">
        <v>13816</v>
      </c>
      <c r="E722" s="6" t="n">
        <v>327.3</v>
      </c>
      <c r="F722" s="7" t="n">
        <v>67</v>
      </c>
      <c r="G722" s="6" t="n">
        <v>1660.75976445348</v>
      </c>
      <c r="H722" s="8" t="n">
        <v>356415.653049361</v>
      </c>
      <c r="I722" s="9" t="n">
        <v>19.120462311542</v>
      </c>
      <c r="J722" s="9" t="n">
        <v>107.607406527973</v>
      </c>
      <c r="K722" s="3" t="s">
        <v>280</v>
      </c>
      <c r="L722" s="3" t="s">
        <v>281</v>
      </c>
      <c r="M722" s="7" t="n">
        <v>2024</v>
      </c>
    </row>
    <row r="723" customFormat="false" ht="15" hidden="false" customHeight="false" outlineLevel="0" collapsed="false">
      <c r="A723" s="3" t="n">
        <v>1047</v>
      </c>
      <c r="B723" s="3" t="s">
        <v>282</v>
      </c>
      <c r="C723" s="4" t="s">
        <v>14</v>
      </c>
      <c r="D723" s="5" t="n">
        <v>6512</v>
      </c>
      <c r="E723" s="6" t="n">
        <v>60.79</v>
      </c>
      <c r="F723" s="7" t="n">
        <v>56</v>
      </c>
      <c r="G723" s="6" t="n">
        <v>167.12981122449</v>
      </c>
      <c r="H723" s="8" t="n">
        <v>158467.473108725</v>
      </c>
      <c r="I723" s="9" t="n">
        <v>6.90364540076409</v>
      </c>
      <c r="J723" s="9" t="n">
        <v>22.912143699855</v>
      </c>
      <c r="K723" s="3" t="s">
        <v>283</v>
      </c>
      <c r="L723" s="3" t="s">
        <v>284</v>
      </c>
      <c r="M723" s="7" t="n">
        <v>2016</v>
      </c>
    </row>
    <row r="724" customFormat="false" ht="15" hidden="false" customHeight="false" outlineLevel="0" collapsed="false">
      <c r="A724" s="3" t="n">
        <v>1048</v>
      </c>
      <c r="B724" s="3" t="s">
        <v>282</v>
      </c>
      <c r="C724" s="4" t="s">
        <v>17</v>
      </c>
      <c r="D724" s="5" t="n">
        <v>6435</v>
      </c>
      <c r="E724" s="6" t="n">
        <v>60.8</v>
      </c>
      <c r="F724" s="7" t="n">
        <v>57</v>
      </c>
      <c r="G724" s="6" t="n">
        <v>122.24060255102</v>
      </c>
      <c r="H724" s="8" t="n">
        <v>129659.384719842</v>
      </c>
      <c r="I724" s="9" t="n">
        <v>5.79587750596812</v>
      </c>
      <c r="J724" s="9" t="n">
        <v>17.0053120306413</v>
      </c>
      <c r="K724" s="3" t="s">
        <v>283</v>
      </c>
      <c r="L724" s="3" t="s">
        <v>284</v>
      </c>
      <c r="M724" s="7" t="n">
        <v>2017</v>
      </c>
    </row>
    <row r="725" customFormat="false" ht="15" hidden="false" customHeight="false" outlineLevel="0" collapsed="false">
      <c r="A725" s="3" t="n">
        <v>1049</v>
      </c>
      <c r="B725" s="3" t="s">
        <v>282</v>
      </c>
      <c r="C725" s="4" t="s">
        <v>18</v>
      </c>
      <c r="D725" s="5" t="n">
        <v>6484</v>
      </c>
      <c r="E725" s="6" t="n">
        <v>60.8764503682554</v>
      </c>
      <c r="F725" s="7" t="n">
        <v>68</v>
      </c>
      <c r="G725" s="6" t="n">
        <v>17.3461886522628</v>
      </c>
      <c r="H725" s="8" t="n">
        <v>19597.3109262983</v>
      </c>
      <c r="I725" s="9" t="n">
        <v>3.16376488429453</v>
      </c>
      <c r="J725" s="9" t="n">
        <v>2.3948522985271</v>
      </c>
      <c r="K725" s="3" t="s">
        <v>283</v>
      </c>
      <c r="L725" s="3" t="s">
        <v>284</v>
      </c>
      <c r="M725" s="7" t="n">
        <v>2018</v>
      </c>
    </row>
    <row r="726" customFormat="false" ht="15" hidden="false" customHeight="false" outlineLevel="0" collapsed="false">
      <c r="A726" s="3" t="n">
        <v>1050</v>
      </c>
      <c r="B726" s="3" t="s">
        <v>282</v>
      </c>
      <c r="C726" s="4" t="s">
        <v>19</v>
      </c>
      <c r="D726" s="5" t="n">
        <v>6270</v>
      </c>
      <c r="E726" s="6" t="n">
        <v>60.8742826750595</v>
      </c>
      <c r="F726" s="7" t="n">
        <v>70</v>
      </c>
      <c r="G726" s="6" t="n">
        <v>94.9655117142384</v>
      </c>
      <c r="H726" s="8" t="n">
        <v>121615.145013909</v>
      </c>
      <c r="I726" s="9" t="n">
        <v>5.35303741675254</v>
      </c>
      <c r="J726" s="9" t="n">
        <v>13.5586373966368</v>
      </c>
      <c r="K726" s="3" t="s">
        <v>283</v>
      </c>
      <c r="L726" s="3" t="s">
        <v>284</v>
      </c>
      <c r="M726" s="7" t="n">
        <v>2019</v>
      </c>
    </row>
    <row r="727" customFormat="false" ht="15" hidden="false" customHeight="false" outlineLevel="0" collapsed="false">
      <c r="A727" s="3" t="n">
        <v>1051</v>
      </c>
      <c r="B727" s="3" t="s">
        <v>282</v>
      </c>
      <c r="C727" s="4" t="s">
        <v>20</v>
      </c>
      <c r="D727" s="5" t="n">
        <v>6491.58333333333</v>
      </c>
      <c r="E727" s="6" t="n">
        <v>60.86348795</v>
      </c>
      <c r="F727" s="7" t="n">
        <v>72</v>
      </c>
      <c r="G727" s="6" t="n">
        <v>92.6658716943444</v>
      </c>
      <c r="H727" s="8" t="n">
        <v>129513.528914884</v>
      </c>
      <c r="I727" s="9" t="n">
        <v>5.15392584465111</v>
      </c>
      <c r="J727" s="9" t="n">
        <v>12.7436951109924</v>
      </c>
      <c r="K727" s="3" t="s">
        <v>283</v>
      </c>
      <c r="L727" s="3" t="s">
        <v>284</v>
      </c>
      <c r="M727" s="7" t="n">
        <v>2020</v>
      </c>
    </row>
    <row r="728" customFormat="false" ht="15" hidden="false" customHeight="false" outlineLevel="0" collapsed="false">
      <c r="A728" s="3" t="n">
        <v>1052</v>
      </c>
      <c r="B728" s="3" t="s">
        <v>282</v>
      </c>
      <c r="C728" s="4" t="s">
        <v>21</v>
      </c>
      <c r="D728" s="5" t="n">
        <v>6499.75</v>
      </c>
      <c r="E728" s="6" t="n">
        <v>60.87940146</v>
      </c>
      <c r="F728" s="7" t="n">
        <v>71</v>
      </c>
      <c r="G728" s="6" t="n">
        <v>53.4390888757856</v>
      </c>
      <c r="H728" s="8" t="n">
        <v>77071.1665363233</v>
      </c>
      <c r="I728" s="9" t="n">
        <v>4.25953123803759</v>
      </c>
      <c r="J728" s="9" t="n">
        <v>7.3600381710639</v>
      </c>
      <c r="K728" s="3" t="s">
        <v>283</v>
      </c>
      <c r="L728" s="3" t="s">
        <v>284</v>
      </c>
      <c r="M728" s="7" t="n">
        <v>2021</v>
      </c>
    </row>
    <row r="729" customFormat="false" ht="15" hidden="false" customHeight="false" outlineLevel="0" collapsed="false">
      <c r="A729" s="3" t="n">
        <v>1053</v>
      </c>
      <c r="B729" s="3" t="s">
        <v>282</v>
      </c>
      <c r="C729" s="4" t="s">
        <v>22</v>
      </c>
      <c r="D729" s="5" t="n">
        <v>6504.75</v>
      </c>
      <c r="E729" s="6" t="n">
        <v>59.99676668</v>
      </c>
      <c r="F729" s="7" t="n">
        <v>71</v>
      </c>
      <c r="G729" s="6" t="n">
        <v>128.549887124182</v>
      </c>
      <c r="H729" s="8" t="n">
        <v>195731.34363415</v>
      </c>
      <c r="I729" s="9" t="n">
        <v>6.12243016367837</v>
      </c>
      <c r="J729" s="9" t="n">
        <v>17.6912599665341</v>
      </c>
      <c r="K729" s="3" t="s">
        <v>283</v>
      </c>
      <c r="L729" s="3" t="s">
        <v>284</v>
      </c>
      <c r="M729" s="7" t="n">
        <v>2022</v>
      </c>
    </row>
    <row r="730" customFormat="false" ht="15" hidden="false" customHeight="false" outlineLevel="0" collapsed="false">
      <c r="A730" s="3" t="n">
        <v>1054</v>
      </c>
      <c r="B730" s="3" t="s">
        <v>282</v>
      </c>
      <c r="C730" s="4" t="s">
        <v>23</v>
      </c>
      <c r="D730" s="5" t="n">
        <v>6509.41666666667</v>
      </c>
      <c r="E730" s="6" t="n">
        <v>61.17160072</v>
      </c>
      <c r="F730" s="7" t="n">
        <v>71</v>
      </c>
      <c r="G730" s="6" t="n">
        <v>165.97580495099</v>
      </c>
      <c r="H730" s="8" t="n">
        <v>283644.351870995</v>
      </c>
      <c r="I730" s="9" t="n">
        <v>7.21766121649548</v>
      </c>
      <c r="J730" s="9" t="n">
        <v>22.8255045637962</v>
      </c>
      <c r="K730" s="3" t="s">
        <v>283</v>
      </c>
      <c r="L730" s="3" t="s">
        <v>284</v>
      </c>
      <c r="M730" s="7" t="n">
        <v>2023</v>
      </c>
    </row>
    <row r="731" customFormat="false" ht="15" hidden="false" customHeight="false" outlineLevel="0" collapsed="false">
      <c r="A731" s="3" t="n">
        <v>1055</v>
      </c>
      <c r="B731" s="3" t="s">
        <v>282</v>
      </c>
      <c r="C731" s="4" t="s">
        <v>24</v>
      </c>
      <c r="D731" s="5" t="n">
        <v>6533.25</v>
      </c>
      <c r="E731" s="6" t="n">
        <v>61.1716008763462</v>
      </c>
      <c r="F731" s="7" t="n">
        <v>71</v>
      </c>
      <c r="G731" s="6" t="n">
        <v>135.823934258208</v>
      </c>
      <c r="H731" s="8" t="n">
        <v>158230.864285377</v>
      </c>
      <c r="I731" s="9" t="n">
        <v>6.35863729562983</v>
      </c>
      <c r="J731" s="9" t="n">
        <v>18.5597970348607</v>
      </c>
      <c r="K731" s="3" t="s">
        <v>283</v>
      </c>
      <c r="L731" s="3" t="s">
        <v>284</v>
      </c>
      <c r="M731" s="7" t="n">
        <v>2024</v>
      </c>
    </row>
    <row r="732" customFormat="false" ht="15" hidden="false" customHeight="false" outlineLevel="0" collapsed="false">
      <c r="A732" s="3" t="n">
        <v>1062</v>
      </c>
      <c r="B732" s="3" t="s">
        <v>285</v>
      </c>
      <c r="C732" s="4" t="s">
        <v>14</v>
      </c>
      <c r="D732" s="5" t="n">
        <v>5506</v>
      </c>
      <c r="E732" s="6" t="n">
        <v>50</v>
      </c>
      <c r="F732" s="7" t="n">
        <v>63</v>
      </c>
      <c r="G732" s="6" t="n">
        <v>152.905098484849</v>
      </c>
      <c r="H732" s="8" t="n">
        <v>83805.7554285608</v>
      </c>
      <c r="I732" s="9" t="n">
        <v>5.3636167198867</v>
      </c>
      <c r="J732" s="9" t="n">
        <v>24.7920222752696</v>
      </c>
      <c r="K732" s="3" t="s">
        <v>286</v>
      </c>
      <c r="L732" s="3" t="s">
        <v>287</v>
      </c>
      <c r="M732" s="7" t="n">
        <v>2016</v>
      </c>
    </row>
    <row r="733" customFormat="false" ht="15" hidden="false" customHeight="false" outlineLevel="0" collapsed="false">
      <c r="A733" s="3" t="n">
        <v>1063</v>
      </c>
      <c r="B733" s="3" t="s">
        <v>285</v>
      </c>
      <c r="C733" s="4" t="s">
        <v>17</v>
      </c>
      <c r="D733" s="5" t="n">
        <v>5819</v>
      </c>
      <c r="E733" s="6" t="n">
        <v>78.2</v>
      </c>
      <c r="F733" s="7" t="n">
        <v>66</v>
      </c>
      <c r="G733" s="6" t="n">
        <v>96.0638121212124</v>
      </c>
      <c r="H733" s="8" t="n">
        <v>120656.148024243</v>
      </c>
      <c r="I733" s="9" t="n">
        <v>4.95166588456124</v>
      </c>
      <c r="J733" s="9" t="n">
        <v>14.7784584241416</v>
      </c>
      <c r="K733" s="3" t="s">
        <v>286</v>
      </c>
      <c r="L733" s="3" t="s">
        <v>287</v>
      </c>
      <c r="M733" s="7" t="n">
        <v>2017</v>
      </c>
    </row>
    <row r="734" customFormat="false" ht="15" hidden="false" customHeight="false" outlineLevel="0" collapsed="false">
      <c r="A734" s="3" t="n">
        <v>1064</v>
      </c>
      <c r="B734" s="3" t="s">
        <v>285</v>
      </c>
      <c r="C734" s="4" t="s">
        <v>18</v>
      </c>
      <c r="D734" s="5" t="n">
        <v>5624</v>
      </c>
      <c r="E734" s="6" t="n">
        <v>51.34</v>
      </c>
      <c r="F734" s="7" t="n">
        <v>70</v>
      </c>
      <c r="G734" s="6" t="n">
        <v>97.3614734848482</v>
      </c>
      <c r="H734" s="8" t="n">
        <v>55430.8076991286</v>
      </c>
      <c r="I734" s="9" t="n">
        <v>5.0380941386973</v>
      </c>
      <c r="J734" s="9" t="n">
        <v>15.4974234718706</v>
      </c>
      <c r="K734" s="3" t="s">
        <v>286</v>
      </c>
      <c r="L734" s="3" t="s">
        <v>287</v>
      </c>
      <c r="M734" s="7" t="n">
        <v>2018</v>
      </c>
    </row>
    <row r="735" customFormat="false" ht="15" hidden="false" customHeight="false" outlineLevel="0" collapsed="false">
      <c r="A735" s="3" t="n">
        <v>1065</v>
      </c>
      <c r="B735" s="3" t="s">
        <v>285</v>
      </c>
      <c r="C735" s="4" t="s">
        <v>19</v>
      </c>
      <c r="D735" s="5" t="n">
        <v>5621</v>
      </c>
      <c r="E735" s="6" t="n">
        <v>69</v>
      </c>
      <c r="F735" s="7" t="n">
        <v>69</v>
      </c>
      <c r="G735" s="6" t="n">
        <v>224.472973080808</v>
      </c>
      <c r="H735" s="8" t="n">
        <v>159185.008860255</v>
      </c>
      <c r="I735" s="9" t="n">
        <v>8.05022032399375</v>
      </c>
      <c r="J735" s="9" t="n">
        <v>35.7493498435783</v>
      </c>
      <c r="K735" s="3" t="s">
        <v>286</v>
      </c>
      <c r="L735" s="3" t="s">
        <v>287</v>
      </c>
      <c r="M735" s="7" t="n">
        <v>2019</v>
      </c>
    </row>
    <row r="736" customFormat="false" ht="15" hidden="false" customHeight="false" outlineLevel="0" collapsed="false">
      <c r="A736" s="3" t="n">
        <v>1066</v>
      </c>
      <c r="B736" s="3" t="s">
        <v>285</v>
      </c>
      <c r="C736" s="4" t="s">
        <v>20</v>
      </c>
      <c r="D736" s="5" t="n">
        <v>5572</v>
      </c>
      <c r="E736" s="6" t="n">
        <v>51.3</v>
      </c>
      <c r="F736" s="7" t="n">
        <v>64</v>
      </c>
      <c r="G736" s="6" t="n">
        <v>177.747582803876</v>
      </c>
      <c r="H736" s="8" t="n">
        <v>133541.758960552</v>
      </c>
      <c r="I736" s="9" t="n">
        <v>6.03891632286157</v>
      </c>
      <c r="J736" s="9" t="n">
        <v>28.4786100778972</v>
      </c>
      <c r="K736" s="3" t="s">
        <v>286</v>
      </c>
      <c r="L736" s="3" t="s">
        <v>287</v>
      </c>
      <c r="M736" s="7" t="n">
        <v>2020</v>
      </c>
    </row>
    <row r="737" customFormat="false" ht="15" hidden="false" customHeight="false" outlineLevel="0" collapsed="false">
      <c r="A737" s="3" t="n">
        <v>1067</v>
      </c>
      <c r="B737" s="3" t="s">
        <v>285</v>
      </c>
      <c r="C737" s="4" t="s">
        <v>21</v>
      </c>
      <c r="D737" s="5" t="n">
        <v>5562</v>
      </c>
      <c r="E737" s="6" t="n">
        <v>51.3</v>
      </c>
      <c r="F737" s="7" t="n">
        <v>65</v>
      </c>
      <c r="G737" s="6" t="n">
        <v>329.475866843435</v>
      </c>
      <c r="H737" s="8" t="n">
        <v>230992.235485264</v>
      </c>
      <c r="I737" s="9" t="n">
        <v>9.61296166489328</v>
      </c>
      <c r="J737" s="9" t="n">
        <v>53.0286168144514</v>
      </c>
      <c r="K737" s="3" t="s">
        <v>286</v>
      </c>
      <c r="L737" s="3" t="s">
        <v>287</v>
      </c>
      <c r="M737" s="7" t="n">
        <v>2021</v>
      </c>
    </row>
    <row r="738" customFormat="false" ht="15" hidden="false" customHeight="false" outlineLevel="0" collapsed="false">
      <c r="A738" s="3" t="n">
        <v>1068</v>
      </c>
      <c r="B738" s="3" t="s">
        <v>285</v>
      </c>
      <c r="C738" s="4" t="s">
        <v>22</v>
      </c>
      <c r="D738" s="5" t="n">
        <v>5721</v>
      </c>
      <c r="E738" s="6" t="n">
        <v>51.3</v>
      </c>
      <c r="F738" s="7" t="n">
        <v>58</v>
      </c>
      <c r="G738" s="6" t="n">
        <v>206.206453030303</v>
      </c>
      <c r="H738" s="8" t="n">
        <v>173489.737192515</v>
      </c>
      <c r="I738" s="9" t="n">
        <v>6.80770332704952</v>
      </c>
      <c r="J738" s="9" t="n">
        <v>32.2662116851052</v>
      </c>
      <c r="K738" s="3" t="s">
        <v>286</v>
      </c>
      <c r="L738" s="3" t="s">
        <v>287</v>
      </c>
      <c r="M738" s="7" t="n">
        <v>2022</v>
      </c>
    </row>
    <row r="739" customFormat="false" ht="15" hidden="false" customHeight="false" outlineLevel="0" collapsed="false">
      <c r="A739" s="3" t="n">
        <v>1069</v>
      </c>
      <c r="B739" s="3" t="s">
        <v>285</v>
      </c>
      <c r="C739" s="4" t="s">
        <v>23</v>
      </c>
      <c r="D739" s="5" t="n">
        <v>5608</v>
      </c>
      <c r="E739" s="6" t="n">
        <v>69.35</v>
      </c>
      <c r="F739" s="7" t="n">
        <v>55</v>
      </c>
      <c r="G739" s="6" t="n">
        <v>122.126416232932</v>
      </c>
      <c r="H739" s="8" t="n">
        <v>107214.780810891</v>
      </c>
      <c r="I739" s="9" t="n">
        <v>5.13160884947481</v>
      </c>
      <c r="J739" s="9" t="n">
        <v>19.4948223769405</v>
      </c>
      <c r="K739" s="3" t="s">
        <v>286</v>
      </c>
      <c r="L739" s="3" t="s">
        <v>287</v>
      </c>
      <c r="M739" s="7" t="n">
        <v>2023</v>
      </c>
    </row>
    <row r="740" customFormat="false" ht="15" hidden="false" customHeight="false" outlineLevel="0" collapsed="false">
      <c r="A740" s="3" t="n">
        <v>1070</v>
      </c>
      <c r="B740" s="3" t="s">
        <v>285</v>
      </c>
      <c r="C740" s="4" t="s">
        <v>24</v>
      </c>
      <c r="D740" s="5" t="n">
        <v>5608</v>
      </c>
      <c r="E740" s="6" t="n">
        <v>67</v>
      </c>
      <c r="F740" s="7" t="n">
        <v>55</v>
      </c>
      <c r="G740" s="6" t="n">
        <v>192.688774242424</v>
      </c>
      <c r="H740" s="8" t="n">
        <v>175221.536857348</v>
      </c>
      <c r="I740" s="9" t="n">
        <v>7.74687750406163</v>
      </c>
      <c r="J740" s="9" t="n">
        <v>30.6742959058821</v>
      </c>
      <c r="K740" s="3" t="s">
        <v>286</v>
      </c>
      <c r="L740" s="3" t="s">
        <v>287</v>
      </c>
      <c r="M740" s="7" t="n">
        <v>2024</v>
      </c>
    </row>
    <row r="741" customFormat="false" ht="15" hidden="false" customHeight="false" outlineLevel="0" collapsed="false">
      <c r="A741" s="3" t="n">
        <v>1071</v>
      </c>
      <c r="B741" s="3" t="s">
        <v>288</v>
      </c>
      <c r="C741" s="4" t="s">
        <v>14</v>
      </c>
      <c r="D741" s="5" t="n">
        <v>15841</v>
      </c>
      <c r="E741" s="6" t="n">
        <v>156</v>
      </c>
      <c r="F741" s="7" t="n">
        <v>59</v>
      </c>
      <c r="G741" s="6" t="n">
        <v>26.1362500000003</v>
      </c>
      <c r="H741" s="8" t="n">
        <v>55783.3000924125</v>
      </c>
      <c r="I741" s="9" t="n">
        <v>2.03691915977085</v>
      </c>
      <c r="J741" s="9" t="n">
        <v>1.47294616946836</v>
      </c>
      <c r="K741" s="3" t="s">
        <v>289</v>
      </c>
      <c r="L741" s="3" t="s">
        <v>290</v>
      </c>
      <c r="M741" s="7" t="n">
        <v>2016</v>
      </c>
    </row>
    <row r="742" customFormat="false" ht="15" hidden="false" customHeight="false" outlineLevel="0" collapsed="false">
      <c r="A742" s="3" t="n">
        <v>1072</v>
      </c>
      <c r="B742" s="3" t="s">
        <v>288</v>
      </c>
      <c r="C742" s="4" t="s">
        <v>17</v>
      </c>
      <c r="D742" s="5" t="n">
        <v>15868</v>
      </c>
      <c r="E742" s="6" t="n">
        <v>156</v>
      </c>
      <c r="F742" s="7" t="n">
        <v>64</v>
      </c>
      <c r="G742" s="6" t="n">
        <v>510.476682724164</v>
      </c>
      <c r="H742" s="8" t="n">
        <v>1184337.63615275</v>
      </c>
      <c r="I742" s="9" t="n">
        <v>7.36590956333364</v>
      </c>
      <c r="J742" s="9" t="n">
        <v>28.7986010864272</v>
      </c>
      <c r="K742" s="3" t="s">
        <v>289</v>
      </c>
      <c r="L742" s="3" t="s">
        <v>290</v>
      </c>
      <c r="M742" s="7" t="n">
        <v>2017</v>
      </c>
    </row>
    <row r="743" customFormat="false" ht="15" hidden="false" customHeight="false" outlineLevel="0" collapsed="false">
      <c r="A743" s="3" t="n">
        <v>1073</v>
      </c>
      <c r="B743" s="3" t="s">
        <v>288</v>
      </c>
      <c r="C743" s="4" t="s">
        <v>18</v>
      </c>
      <c r="D743" s="5" t="n">
        <v>15899</v>
      </c>
      <c r="E743" s="6" t="n">
        <v>156</v>
      </c>
      <c r="F743" s="7" t="n">
        <v>65</v>
      </c>
      <c r="G743" s="6" t="n">
        <v>135.063808527155</v>
      </c>
      <c r="H743" s="8" t="n">
        <v>306754.821397876</v>
      </c>
      <c r="I743" s="9" t="n">
        <v>4.21573846560833</v>
      </c>
      <c r="J743" s="9" t="n">
        <v>7.60478353956569</v>
      </c>
      <c r="K743" s="3" t="s">
        <v>289</v>
      </c>
      <c r="L743" s="3" t="s">
        <v>290</v>
      </c>
      <c r="M743" s="7" t="n">
        <v>2018</v>
      </c>
    </row>
    <row r="744" customFormat="false" ht="15" hidden="false" customHeight="false" outlineLevel="0" collapsed="false">
      <c r="A744" s="3" t="n">
        <v>1074</v>
      </c>
      <c r="B744" s="3" t="s">
        <v>288</v>
      </c>
      <c r="C744" s="4" t="s">
        <v>19</v>
      </c>
      <c r="D744" s="5" t="n">
        <v>15843</v>
      </c>
      <c r="E744" s="6" t="n">
        <v>156</v>
      </c>
      <c r="F744" s="7" t="n">
        <v>66</v>
      </c>
      <c r="G744" s="6" t="n">
        <v>137.868691724834</v>
      </c>
      <c r="H744" s="8" t="n">
        <v>298300.074204284</v>
      </c>
      <c r="I744" s="9" t="n">
        <v>3.32419976484359</v>
      </c>
      <c r="J744" s="9" t="n">
        <v>7.79015155360826</v>
      </c>
      <c r="K744" s="3" t="s">
        <v>289</v>
      </c>
      <c r="L744" s="3" t="s">
        <v>290</v>
      </c>
      <c r="M744" s="7" t="n">
        <v>2019</v>
      </c>
    </row>
    <row r="745" customFormat="false" ht="15" hidden="false" customHeight="false" outlineLevel="0" collapsed="false">
      <c r="A745" s="3" t="n">
        <v>1075</v>
      </c>
      <c r="B745" s="3" t="s">
        <v>288</v>
      </c>
      <c r="C745" s="4" t="s">
        <v>20</v>
      </c>
      <c r="D745" s="5" t="n">
        <v>15795</v>
      </c>
      <c r="E745" s="6" t="n">
        <v>156</v>
      </c>
      <c r="F745" s="7" t="n">
        <v>68</v>
      </c>
      <c r="G745" s="6" t="n">
        <v>4.92336952171418</v>
      </c>
      <c r="H745" s="8" t="n">
        <v>12288.8383088559</v>
      </c>
      <c r="I745" s="9" t="n">
        <v>2.70903407041295</v>
      </c>
      <c r="J745" s="9" t="n">
        <v>0.27827167120167</v>
      </c>
      <c r="K745" s="3" t="s">
        <v>289</v>
      </c>
      <c r="L745" s="3" t="s">
        <v>290</v>
      </c>
      <c r="M745" s="7" t="n">
        <v>2020</v>
      </c>
    </row>
    <row r="746" customFormat="false" ht="15" hidden="false" customHeight="false" outlineLevel="0" collapsed="false">
      <c r="A746" s="3" t="n">
        <v>1076</v>
      </c>
      <c r="B746" s="3" t="s">
        <v>288</v>
      </c>
      <c r="C746" s="4" t="s">
        <v>21</v>
      </c>
      <c r="D746" s="5" t="n">
        <v>15944</v>
      </c>
      <c r="E746" s="6" t="n">
        <v>156</v>
      </c>
      <c r="F746" s="7" t="n">
        <v>72</v>
      </c>
      <c r="G746" s="6" t="n">
        <v>44.1668672582747</v>
      </c>
      <c r="H746" s="8" t="n">
        <v>115710.367332651</v>
      </c>
      <c r="I746" s="9" t="n">
        <v>3.01584406195089</v>
      </c>
      <c r="J746" s="9" t="n">
        <v>2.4798018792036</v>
      </c>
      <c r="K746" s="3" t="s">
        <v>289</v>
      </c>
      <c r="L746" s="3" t="s">
        <v>290</v>
      </c>
      <c r="M746" s="7" t="n">
        <v>2021</v>
      </c>
    </row>
    <row r="747" customFormat="false" ht="15" hidden="false" customHeight="false" outlineLevel="0" collapsed="false">
      <c r="A747" s="3" t="n">
        <v>1077</v>
      </c>
      <c r="B747" s="3" t="s">
        <v>288</v>
      </c>
      <c r="C747" s="4" t="s">
        <v>22</v>
      </c>
      <c r="D747" s="5" t="n">
        <v>15961</v>
      </c>
      <c r="E747" s="6" t="n">
        <v>156</v>
      </c>
      <c r="F747" s="7" t="n">
        <v>75</v>
      </c>
      <c r="G747" s="6" t="n">
        <v>71.5760976906707</v>
      </c>
      <c r="H747" s="8" t="n">
        <v>201045.756336472</v>
      </c>
      <c r="I747" s="9" t="n">
        <v>3.7321674231538</v>
      </c>
      <c r="J747" s="9" t="n">
        <v>4.01444575558878</v>
      </c>
      <c r="K747" s="3" t="s">
        <v>289</v>
      </c>
      <c r="L747" s="3" t="s">
        <v>290</v>
      </c>
      <c r="M747" s="7" t="n">
        <v>2022</v>
      </c>
    </row>
    <row r="748" customFormat="false" ht="15" hidden="false" customHeight="false" outlineLevel="0" collapsed="false">
      <c r="A748" s="3" t="n">
        <v>1078</v>
      </c>
      <c r="B748" s="3" t="s">
        <v>288</v>
      </c>
      <c r="C748" s="4" t="s">
        <v>23</v>
      </c>
      <c r="D748" s="5" t="n">
        <v>15942</v>
      </c>
      <c r="E748" s="6" t="n">
        <v>156</v>
      </c>
      <c r="F748" s="7" t="n">
        <v>78</v>
      </c>
      <c r="G748" s="6" t="n">
        <v>369.261383226237</v>
      </c>
      <c r="H748" s="8" t="n">
        <v>610389.06647297</v>
      </c>
      <c r="I748" s="9" t="n">
        <v>7.03218238630279</v>
      </c>
      <c r="J748" s="9" t="n">
        <v>20.7352254576777</v>
      </c>
      <c r="K748" s="3" t="s">
        <v>289</v>
      </c>
      <c r="L748" s="3" t="s">
        <v>290</v>
      </c>
      <c r="M748" s="7" t="n">
        <v>2023</v>
      </c>
    </row>
    <row r="749" customFormat="false" ht="15" hidden="false" customHeight="false" outlineLevel="0" collapsed="false">
      <c r="A749" s="3" t="n">
        <v>1079</v>
      </c>
      <c r="B749" s="3" t="s">
        <v>288</v>
      </c>
      <c r="C749" s="4" t="s">
        <v>24</v>
      </c>
      <c r="D749" s="5" t="n">
        <v>15847</v>
      </c>
      <c r="E749" s="6" t="n">
        <v>156</v>
      </c>
      <c r="F749" s="7" t="n">
        <v>81</v>
      </c>
      <c r="G749" s="6" t="n">
        <v>307.773111409689</v>
      </c>
      <c r="H749" s="8" t="n">
        <v>980819.64851928</v>
      </c>
      <c r="I749" s="9" t="n">
        <v>6.38192616993556</v>
      </c>
      <c r="J749" s="9" t="n">
        <v>17.3384316509427</v>
      </c>
      <c r="K749" s="3" t="s">
        <v>289</v>
      </c>
      <c r="L749" s="3" t="s">
        <v>290</v>
      </c>
      <c r="M749" s="7" t="n">
        <v>2024</v>
      </c>
    </row>
    <row r="750" customFormat="false" ht="15" hidden="false" customHeight="false" outlineLevel="0" collapsed="false">
      <c r="A750" s="3" t="n">
        <v>1080</v>
      </c>
      <c r="B750" s="3" t="s">
        <v>288</v>
      </c>
      <c r="C750" s="4" t="s">
        <v>37</v>
      </c>
      <c r="D750" s="5" t="n">
        <v>15919</v>
      </c>
      <c r="E750" s="6" t="n">
        <v>156</v>
      </c>
      <c r="F750" s="7" t="n">
        <v>81</v>
      </c>
      <c r="G750" s="6" t="n">
        <v>283.292225653682</v>
      </c>
      <c r="H750" s="8" t="n">
        <v>1100349.21858532</v>
      </c>
      <c r="I750" s="9" t="n">
        <v>5.89812336455821</v>
      </c>
      <c r="J750" s="9" t="n">
        <v>15.9307619517278</v>
      </c>
      <c r="K750" s="3" t="s">
        <v>289</v>
      </c>
      <c r="L750" s="3" t="s">
        <v>290</v>
      </c>
      <c r="M750" s="7" t="n">
        <v>2025</v>
      </c>
    </row>
    <row r="751" customFormat="false" ht="15" hidden="false" customHeight="false" outlineLevel="0" collapsed="false">
      <c r="A751" s="3" t="n">
        <v>1081</v>
      </c>
      <c r="B751" s="3" t="s">
        <v>291</v>
      </c>
      <c r="C751" s="4" t="s">
        <v>14</v>
      </c>
      <c r="D751" s="5" t="n">
        <v>6650</v>
      </c>
      <c r="E751" s="6" t="n">
        <v>69.77</v>
      </c>
      <c r="F751" s="7" t="n">
        <v>71</v>
      </c>
      <c r="G751" s="6" t="n">
        <v>115.093575149297</v>
      </c>
      <c r="H751" s="8" t="n">
        <v>76410.4503904999</v>
      </c>
      <c r="I751" s="9" t="n">
        <v>6.80231661932131</v>
      </c>
      <c r="J751" s="9" t="n">
        <v>15.4509657249865</v>
      </c>
      <c r="K751" s="3" t="s">
        <v>240</v>
      </c>
      <c r="L751" s="3" t="s">
        <v>292</v>
      </c>
      <c r="M751" s="7" t="n">
        <v>2016</v>
      </c>
    </row>
    <row r="752" customFormat="false" ht="15" hidden="false" customHeight="false" outlineLevel="0" collapsed="false">
      <c r="A752" s="3" t="n">
        <v>1082</v>
      </c>
      <c r="B752" s="3" t="s">
        <v>291</v>
      </c>
      <c r="C752" s="4" t="s">
        <v>17</v>
      </c>
      <c r="D752" s="5" t="n">
        <v>6535</v>
      </c>
      <c r="E752" s="6" t="n">
        <v>69.86</v>
      </c>
      <c r="F752" s="7" t="n">
        <v>70</v>
      </c>
      <c r="G752" s="6" t="n">
        <v>207.813730316955</v>
      </c>
      <c r="H752" s="8" t="n">
        <v>170529.281127</v>
      </c>
      <c r="I752" s="9" t="n">
        <v>8.75382862399515</v>
      </c>
      <c r="J752" s="9" t="n">
        <v>28.4673027895063</v>
      </c>
      <c r="K752" s="3" t="s">
        <v>240</v>
      </c>
      <c r="L752" s="3" t="s">
        <v>292</v>
      </c>
      <c r="M752" s="7" t="n">
        <v>2017</v>
      </c>
    </row>
    <row r="753" customFormat="false" ht="15" hidden="false" customHeight="false" outlineLevel="0" collapsed="false">
      <c r="A753" s="3" t="n">
        <v>1083</v>
      </c>
      <c r="B753" s="3" t="s">
        <v>291</v>
      </c>
      <c r="C753" s="4" t="s">
        <v>18</v>
      </c>
      <c r="D753" s="5" t="n">
        <v>6484</v>
      </c>
      <c r="E753" s="6" t="n">
        <v>69.77</v>
      </c>
      <c r="F753" s="7" t="n">
        <v>72</v>
      </c>
      <c r="G753" s="6" t="n">
        <v>218.007808532693</v>
      </c>
      <c r="H753" s="8" t="n">
        <v>203683.138482</v>
      </c>
      <c r="I753" s="9" t="n">
        <v>9.11944524229617</v>
      </c>
      <c r="J753" s="9" t="n">
        <v>30.098629262473</v>
      </c>
      <c r="K753" s="3" t="s">
        <v>240</v>
      </c>
      <c r="L753" s="3" t="s">
        <v>292</v>
      </c>
      <c r="M753" s="7" t="n">
        <v>2018</v>
      </c>
    </row>
    <row r="754" customFormat="false" ht="15" hidden="false" customHeight="false" outlineLevel="0" collapsed="false">
      <c r="A754" s="3" t="n">
        <v>1084</v>
      </c>
      <c r="B754" s="3" t="s">
        <v>291</v>
      </c>
      <c r="C754" s="4" t="s">
        <v>19</v>
      </c>
      <c r="D754" s="5" t="n">
        <v>6674</v>
      </c>
      <c r="E754" s="6" t="n">
        <v>68.45</v>
      </c>
      <c r="F754" s="7" t="n">
        <v>73</v>
      </c>
      <c r="G754" s="6" t="n">
        <v>402.721176058539</v>
      </c>
      <c r="H754" s="8" t="n">
        <v>435532.163759</v>
      </c>
      <c r="I754" s="9" t="n">
        <v>16.4863220563631</v>
      </c>
      <c r="J754" s="9" t="n">
        <v>54.0176813499043</v>
      </c>
      <c r="K754" s="3" t="s">
        <v>240</v>
      </c>
      <c r="L754" s="3" t="s">
        <v>292</v>
      </c>
      <c r="M754" s="7" t="n">
        <v>2019</v>
      </c>
    </row>
    <row r="755" customFormat="false" ht="15" hidden="false" customHeight="false" outlineLevel="0" collapsed="false">
      <c r="A755" s="3" t="n">
        <v>1085</v>
      </c>
      <c r="B755" s="3" t="s">
        <v>291</v>
      </c>
      <c r="C755" s="4" t="s">
        <v>20</v>
      </c>
      <c r="D755" s="5" t="n">
        <v>7084</v>
      </c>
      <c r="E755" s="6" t="n">
        <v>70.4</v>
      </c>
      <c r="F755" s="7" t="n">
        <v>63</v>
      </c>
      <c r="G755" s="6" t="n">
        <v>158.444654902036</v>
      </c>
      <c r="H755" s="8" t="n">
        <v>156720.345941798</v>
      </c>
      <c r="I755" s="9" t="n">
        <v>11.2795486832558</v>
      </c>
      <c r="J755" s="9" t="n">
        <v>19.9675708501827</v>
      </c>
      <c r="K755" s="3" t="s">
        <v>240</v>
      </c>
      <c r="L755" s="3" t="s">
        <v>292</v>
      </c>
      <c r="M755" s="7" t="n">
        <v>2020</v>
      </c>
    </row>
    <row r="756" customFormat="false" ht="15" hidden="false" customHeight="false" outlineLevel="0" collapsed="false">
      <c r="A756" s="3" t="n">
        <v>1086</v>
      </c>
      <c r="B756" s="3" t="s">
        <v>291</v>
      </c>
      <c r="C756" s="4" t="s">
        <v>21</v>
      </c>
      <c r="D756" s="5" t="n">
        <v>6511.53735152336</v>
      </c>
      <c r="E756" s="6" t="n">
        <v>70.3501027282139</v>
      </c>
      <c r="F756" s="7" t="n">
        <v>60</v>
      </c>
      <c r="G756" s="6" t="n">
        <v>310.442934845217</v>
      </c>
      <c r="H756" s="8" t="n">
        <v>263399.390532582</v>
      </c>
      <c r="I756" s="9" t="n">
        <v>12.1152528770306</v>
      </c>
      <c r="J756" s="9" t="n">
        <v>42.6791654740416</v>
      </c>
      <c r="K756" s="3" t="s">
        <v>240</v>
      </c>
      <c r="L756" s="3" t="s">
        <v>292</v>
      </c>
      <c r="M756" s="7" t="n">
        <v>2021</v>
      </c>
    </row>
    <row r="757" customFormat="false" ht="15" hidden="false" customHeight="false" outlineLevel="0" collapsed="false">
      <c r="A757" s="3" t="n">
        <v>1087</v>
      </c>
      <c r="B757" s="3" t="s">
        <v>291</v>
      </c>
      <c r="C757" s="4" t="s">
        <v>22</v>
      </c>
      <c r="D757" s="5" t="n">
        <v>6485</v>
      </c>
      <c r="E757" s="6" t="n">
        <v>70</v>
      </c>
      <c r="F757" s="7" t="n">
        <v>60</v>
      </c>
      <c r="G757" s="6" t="n">
        <v>276.398540266091</v>
      </c>
      <c r="H757" s="8" t="n">
        <v>294098.25366225</v>
      </c>
      <c r="I757" s="9" t="n">
        <v>11.8399104132887</v>
      </c>
      <c r="J757" s="9" t="n">
        <v>38.1542955189262</v>
      </c>
      <c r="K757" s="3" t="s">
        <v>240</v>
      </c>
      <c r="L757" s="3" t="s">
        <v>292</v>
      </c>
      <c r="M757" s="7" t="n">
        <v>2022</v>
      </c>
    </row>
    <row r="758" customFormat="false" ht="15" hidden="false" customHeight="false" outlineLevel="0" collapsed="false">
      <c r="A758" s="3" t="n">
        <v>1088</v>
      </c>
      <c r="B758" s="3" t="s">
        <v>291</v>
      </c>
      <c r="C758" s="4" t="s">
        <v>23</v>
      </c>
      <c r="D758" s="5" t="n">
        <v>6161</v>
      </c>
      <c r="E758" s="6" t="n">
        <v>70.35</v>
      </c>
      <c r="F758" s="7" t="n">
        <v>59</v>
      </c>
      <c r="G758" s="6" t="n">
        <v>221.01926214658</v>
      </c>
      <c r="H758" s="8" t="n">
        <v>239053.05847215</v>
      </c>
      <c r="I758" s="9" t="n">
        <v>10.8461895081285</v>
      </c>
      <c r="J758" s="9" t="n">
        <v>34.9986672927762</v>
      </c>
      <c r="K758" s="3" t="s">
        <v>240</v>
      </c>
      <c r="L758" s="3" t="s">
        <v>292</v>
      </c>
      <c r="M758" s="7" t="n">
        <v>2023</v>
      </c>
    </row>
    <row r="759" customFormat="false" ht="15" hidden="false" customHeight="false" outlineLevel="0" collapsed="false">
      <c r="A759" s="3" t="n">
        <v>1089</v>
      </c>
      <c r="B759" s="3" t="s">
        <v>291</v>
      </c>
      <c r="C759" s="4" t="s">
        <v>24</v>
      </c>
      <c r="D759" s="5" t="n">
        <v>6312</v>
      </c>
      <c r="E759" s="6" t="n">
        <v>70.35</v>
      </c>
      <c r="F759" s="7" t="n">
        <v>62</v>
      </c>
      <c r="G759" s="6" t="n">
        <v>176.088810623234</v>
      </c>
      <c r="H759" s="8" t="n">
        <v>231144.94900905</v>
      </c>
      <c r="I759" s="9" t="n">
        <v>8.82817508559442</v>
      </c>
      <c r="J759" s="9" t="n">
        <v>24.9052533249958</v>
      </c>
      <c r="K759" s="3" t="s">
        <v>240</v>
      </c>
      <c r="L759" s="3" t="s">
        <v>292</v>
      </c>
      <c r="M759" s="7" t="n">
        <v>2024</v>
      </c>
    </row>
    <row r="760" customFormat="false" ht="15" hidden="false" customHeight="false" outlineLevel="0" collapsed="false">
      <c r="A760" s="3" t="n">
        <v>1090</v>
      </c>
      <c r="B760" s="3" t="s">
        <v>293</v>
      </c>
      <c r="C760" s="4" t="s">
        <v>21</v>
      </c>
      <c r="D760" s="5" t="n">
        <v>15696</v>
      </c>
      <c r="E760" s="6" t="n">
        <v>164.24</v>
      </c>
      <c r="F760" s="7" t="n">
        <v>71</v>
      </c>
      <c r="G760" s="6" t="n">
        <v>331.868461177414</v>
      </c>
      <c r="H760" s="8" t="n">
        <v>188202.509394302</v>
      </c>
      <c r="I760" s="9" t="n">
        <v>7.1325057995262</v>
      </c>
      <c r="J760" s="9" t="n">
        <v>18.9275615021818</v>
      </c>
      <c r="K760" s="3" t="s">
        <v>294</v>
      </c>
      <c r="L760" s="3" t="s">
        <v>295</v>
      </c>
      <c r="M760" s="7" t="n">
        <v>2021</v>
      </c>
    </row>
    <row r="761" customFormat="false" ht="15" hidden="false" customHeight="false" outlineLevel="0" collapsed="false">
      <c r="A761" s="3" t="n">
        <v>1091</v>
      </c>
      <c r="B761" s="3" t="s">
        <v>293</v>
      </c>
      <c r="C761" s="4" t="s">
        <v>22</v>
      </c>
      <c r="D761" s="5" t="n">
        <v>15479</v>
      </c>
      <c r="E761" s="6" t="n">
        <v>164.34</v>
      </c>
      <c r="F761" s="7" t="n">
        <v>63</v>
      </c>
      <c r="G761" s="6" t="n">
        <v>680.387520930948</v>
      </c>
      <c r="H761" s="8" t="n">
        <v>436128.400916738</v>
      </c>
      <c r="I761" s="9" t="n">
        <v>8.38314745257623</v>
      </c>
      <c r="J761" s="9" t="n">
        <v>39.348765694406</v>
      </c>
      <c r="K761" s="3" t="s">
        <v>294</v>
      </c>
      <c r="L761" s="3" t="s">
        <v>295</v>
      </c>
      <c r="M761" s="7" t="n">
        <v>2022</v>
      </c>
    </row>
    <row r="762" customFormat="false" ht="15" hidden="false" customHeight="false" outlineLevel="0" collapsed="false">
      <c r="A762" s="3" t="n">
        <v>1092</v>
      </c>
      <c r="B762" s="3" t="s">
        <v>293</v>
      </c>
      <c r="C762" s="4" t="s">
        <v>23</v>
      </c>
      <c r="D762" s="5" t="n">
        <v>15582</v>
      </c>
      <c r="E762" s="6" t="n">
        <v>164.69</v>
      </c>
      <c r="F762" s="7" t="n">
        <v>58</v>
      </c>
      <c r="G762" s="6" t="n">
        <v>131.294379999999</v>
      </c>
      <c r="H762" s="8" t="n">
        <v>69861.7395979996</v>
      </c>
      <c r="I762" s="9" t="n">
        <v>2.47708247735684</v>
      </c>
      <c r="J762" s="9" t="n">
        <v>7.54293927083019</v>
      </c>
      <c r="K762" s="3" t="s">
        <v>294</v>
      </c>
      <c r="L762" s="3" t="s">
        <v>295</v>
      </c>
      <c r="M762" s="7" t="n">
        <v>2023</v>
      </c>
    </row>
    <row r="763" customFormat="false" ht="15" hidden="false" customHeight="false" outlineLevel="0" collapsed="false">
      <c r="A763" s="3" t="n">
        <v>1093</v>
      </c>
      <c r="B763" s="3" t="s">
        <v>293</v>
      </c>
      <c r="C763" s="4" t="s">
        <v>24</v>
      </c>
      <c r="D763" s="5" t="n">
        <v>15639</v>
      </c>
      <c r="E763" s="6" t="n">
        <v>164.69</v>
      </c>
      <c r="F763" s="7" t="n">
        <v>61</v>
      </c>
      <c r="G763" s="6" t="n">
        <v>440.89298276851</v>
      </c>
      <c r="H763" s="8" t="n">
        <v>288361.646449916</v>
      </c>
      <c r="I763" s="9" t="n">
        <v>6.08146561645173</v>
      </c>
      <c r="J763" s="9" t="n">
        <v>25.1680982524549</v>
      </c>
      <c r="K763" s="3" t="s">
        <v>294</v>
      </c>
      <c r="L763" s="3" t="s">
        <v>295</v>
      </c>
      <c r="M763" s="7" t="n">
        <v>2024</v>
      </c>
    </row>
    <row r="764" customFormat="false" ht="15" hidden="false" customHeight="false" outlineLevel="0" collapsed="false">
      <c r="A764" s="3" t="n">
        <v>1094</v>
      </c>
      <c r="B764" s="3" t="s">
        <v>296</v>
      </c>
      <c r="C764" s="4" t="s">
        <v>41</v>
      </c>
      <c r="D764" s="5" t="n">
        <v>8847</v>
      </c>
      <c r="E764" s="6" t="n">
        <v>177.955</v>
      </c>
      <c r="F764" s="7" t="n">
        <v>68</v>
      </c>
      <c r="G764" s="6" t="n">
        <v>600.020722474747</v>
      </c>
      <c r="H764" s="8" t="n">
        <v>628598.347473264</v>
      </c>
      <c r="I764" s="9" t="n">
        <v>12.4350272064796</v>
      </c>
      <c r="J764" s="9" t="n">
        <v>60.713867257144</v>
      </c>
      <c r="K764" s="3" t="s">
        <v>297</v>
      </c>
      <c r="L764" s="3" t="s">
        <v>298</v>
      </c>
      <c r="M764" s="7" t="n">
        <v>2016</v>
      </c>
    </row>
    <row r="765" customFormat="false" ht="15" hidden="false" customHeight="false" outlineLevel="0" collapsed="false">
      <c r="A765" s="3" t="n">
        <v>1095</v>
      </c>
      <c r="B765" s="3" t="s">
        <v>296</v>
      </c>
      <c r="C765" s="4" t="s">
        <v>43</v>
      </c>
      <c r="D765" s="5" t="n">
        <v>8862</v>
      </c>
      <c r="E765" s="6" t="n">
        <v>177.955</v>
      </c>
      <c r="F765" s="7" t="n">
        <v>72</v>
      </c>
      <c r="G765" s="6" t="n">
        <v>78.4730767238686</v>
      </c>
      <c r="H765" s="8" t="n">
        <v>78060.114108869</v>
      </c>
      <c r="I765" s="9" t="n">
        <v>6.39877642926643</v>
      </c>
      <c r="J765" s="9" t="n">
        <v>7.92695895165099</v>
      </c>
      <c r="K765" s="3" t="s">
        <v>297</v>
      </c>
      <c r="L765" s="3" t="s">
        <v>298</v>
      </c>
      <c r="M765" s="7" t="n">
        <v>2018</v>
      </c>
    </row>
    <row r="766" customFormat="false" ht="15" hidden="false" customHeight="false" outlineLevel="0" collapsed="false">
      <c r="A766" s="3" t="n">
        <v>1096</v>
      </c>
      <c r="B766" s="3" t="s">
        <v>296</v>
      </c>
      <c r="C766" s="4" t="s">
        <v>44</v>
      </c>
      <c r="D766" s="5" t="n">
        <v>8868</v>
      </c>
      <c r="E766" s="6" t="n">
        <v>177.955</v>
      </c>
      <c r="F766" s="7" t="n">
        <v>74</v>
      </c>
      <c r="G766" s="6" t="n">
        <v>442.067804882024</v>
      </c>
      <c r="H766" s="8" t="n">
        <v>483467.454809226</v>
      </c>
      <c r="I766" s="9" t="n">
        <v>10.9487697668169</v>
      </c>
      <c r="J766" s="9" t="n">
        <v>44.5030110690778</v>
      </c>
      <c r="K766" s="3" t="s">
        <v>297</v>
      </c>
      <c r="L766" s="3" t="s">
        <v>298</v>
      </c>
      <c r="M766" s="7" t="n">
        <v>2019</v>
      </c>
    </row>
    <row r="767" customFormat="false" ht="15" hidden="false" customHeight="false" outlineLevel="0" collapsed="false">
      <c r="A767" s="3" t="n">
        <v>1097</v>
      </c>
      <c r="B767" s="3" t="s">
        <v>296</v>
      </c>
      <c r="C767" s="4" t="s">
        <v>45</v>
      </c>
      <c r="D767" s="5" t="n">
        <v>8876</v>
      </c>
      <c r="E767" s="6" t="n">
        <v>150.9</v>
      </c>
      <c r="F767" s="7" t="n">
        <v>62</v>
      </c>
      <c r="G767" s="6" t="n">
        <v>341.202470219832</v>
      </c>
      <c r="H767" s="8" t="n">
        <v>360835.412911868</v>
      </c>
      <c r="I767" s="9" t="n">
        <v>9.54149140066892</v>
      </c>
      <c r="J767" s="9" t="n">
        <v>34.4122086610896</v>
      </c>
      <c r="K767" s="3" t="s">
        <v>297</v>
      </c>
      <c r="L767" s="3" t="s">
        <v>298</v>
      </c>
      <c r="M767" s="7" t="n">
        <v>2020</v>
      </c>
    </row>
    <row r="768" customFormat="false" ht="15" hidden="false" customHeight="false" outlineLevel="0" collapsed="false">
      <c r="A768" s="3" t="n">
        <v>1098</v>
      </c>
      <c r="B768" s="3" t="s">
        <v>296</v>
      </c>
      <c r="C768" s="4" t="s">
        <v>46</v>
      </c>
      <c r="D768" s="5" t="n">
        <v>8881</v>
      </c>
      <c r="E768" s="6" t="n">
        <v>151.371</v>
      </c>
      <c r="F768" s="7" t="n">
        <v>75</v>
      </c>
      <c r="G768" s="6" t="n">
        <v>609.690538923977</v>
      </c>
      <c r="H768" s="8" t="n">
        <v>713337.930541054</v>
      </c>
      <c r="I768" s="9" t="n">
        <v>13.1608060463183</v>
      </c>
      <c r="J768" s="9" t="n">
        <v>61.4561373146639</v>
      </c>
      <c r="K768" s="3" t="s">
        <v>297</v>
      </c>
      <c r="L768" s="3" t="s">
        <v>298</v>
      </c>
      <c r="M768" s="7" t="n">
        <v>2021</v>
      </c>
    </row>
    <row r="769" customFormat="false" ht="15" hidden="false" customHeight="false" outlineLevel="0" collapsed="false">
      <c r="A769" s="3" t="n">
        <v>1099</v>
      </c>
      <c r="B769" s="3" t="s">
        <v>296</v>
      </c>
      <c r="C769" s="4" t="s">
        <v>47</v>
      </c>
      <c r="D769" s="5" t="n">
        <v>8893</v>
      </c>
      <c r="E769" s="6" t="n">
        <v>151.4</v>
      </c>
      <c r="F769" s="7" t="n">
        <v>54</v>
      </c>
      <c r="G769" s="6" t="n">
        <v>261.794197305765</v>
      </c>
      <c r="H769" s="8" t="n">
        <v>342195.535641217</v>
      </c>
      <c r="I769" s="9" t="n">
        <v>8.60970844687147</v>
      </c>
      <c r="J769" s="9" t="n">
        <v>26.3529597257878</v>
      </c>
      <c r="K769" s="3" t="s">
        <v>297</v>
      </c>
      <c r="L769" s="3" t="s">
        <v>298</v>
      </c>
      <c r="M769" s="7" t="n">
        <v>2022</v>
      </c>
    </row>
    <row r="770" customFormat="false" ht="15" hidden="false" customHeight="false" outlineLevel="0" collapsed="false">
      <c r="A770" s="3" t="n">
        <v>1100</v>
      </c>
      <c r="B770" s="3" t="s">
        <v>296</v>
      </c>
      <c r="C770" s="4" t="s">
        <v>48</v>
      </c>
      <c r="D770" s="5" t="n">
        <v>8711</v>
      </c>
      <c r="E770" s="6" t="n">
        <v>151.4</v>
      </c>
      <c r="F770" s="7" t="n">
        <v>57</v>
      </c>
      <c r="G770" s="6" t="n">
        <v>338.905819999999</v>
      </c>
      <c r="H770" s="8" t="n">
        <v>432077.808034399</v>
      </c>
      <c r="I770" s="9" t="n">
        <v>9.51572052027333</v>
      </c>
      <c r="J770" s="9" t="n">
        <v>34.7325929749725</v>
      </c>
      <c r="K770" s="3" t="s">
        <v>297</v>
      </c>
      <c r="L770" s="3" t="s">
        <v>298</v>
      </c>
      <c r="M770" s="7" t="n">
        <v>2023</v>
      </c>
    </row>
    <row r="771" customFormat="false" ht="15" hidden="false" customHeight="false" outlineLevel="0" collapsed="false">
      <c r="A771" s="3" t="n">
        <v>1101</v>
      </c>
      <c r="B771" s="3" t="s">
        <v>296</v>
      </c>
      <c r="C771" s="4" t="s">
        <v>49</v>
      </c>
      <c r="D771" s="5" t="n">
        <v>8618</v>
      </c>
      <c r="E771" s="6" t="n">
        <v>151.4</v>
      </c>
      <c r="F771" s="7" t="n">
        <v>55</v>
      </c>
      <c r="G771" s="6" t="n">
        <v>292.462501701702</v>
      </c>
      <c r="H771" s="8" t="n">
        <v>366075.31338002</v>
      </c>
      <c r="I771" s="9" t="n">
        <v>4.9029549796005</v>
      </c>
      <c r="J771" s="9" t="n">
        <v>30.3795527129524</v>
      </c>
      <c r="K771" s="3" t="s">
        <v>297</v>
      </c>
      <c r="L771" s="3" t="s">
        <v>298</v>
      </c>
      <c r="M771" s="7" t="n">
        <v>2024</v>
      </c>
    </row>
    <row r="772" customFormat="false" ht="15" hidden="false" customHeight="false" outlineLevel="0" collapsed="false">
      <c r="A772" s="3" t="n">
        <v>1102</v>
      </c>
      <c r="B772" s="3" t="s">
        <v>299</v>
      </c>
      <c r="C772" s="4" t="s">
        <v>14</v>
      </c>
      <c r="D772" s="5" t="n">
        <v>4482</v>
      </c>
      <c r="E772" s="6" t="n">
        <v>58</v>
      </c>
      <c r="F772" s="7" t="n">
        <v>51</v>
      </c>
      <c r="G772" s="6" t="n">
        <v>94.0840114067506</v>
      </c>
      <c r="H772" s="8" t="n">
        <v>40818.0007511637</v>
      </c>
      <c r="I772" s="9" t="n">
        <v>6.63541708339789</v>
      </c>
      <c r="J772" s="9" t="n">
        <v>18.7400250627479</v>
      </c>
      <c r="K772" s="3" t="s">
        <v>300</v>
      </c>
      <c r="L772" s="3" t="s">
        <v>301</v>
      </c>
      <c r="M772" s="7" t="n">
        <v>2016</v>
      </c>
    </row>
    <row r="773" customFormat="false" ht="15" hidden="false" customHeight="false" outlineLevel="0" collapsed="false">
      <c r="A773" s="3" t="n">
        <v>1103</v>
      </c>
      <c r="B773" s="3" t="s">
        <v>299</v>
      </c>
      <c r="C773" s="4" t="s">
        <v>17</v>
      </c>
      <c r="D773" s="5" t="n">
        <v>4484</v>
      </c>
      <c r="E773" s="6" t="n">
        <v>58</v>
      </c>
      <c r="F773" s="7" t="n">
        <v>61</v>
      </c>
      <c r="G773" s="6" t="n">
        <v>151.844601748704</v>
      </c>
      <c r="H773" s="8" t="n">
        <v>78555.2862686748</v>
      </c>
      <c r="I773" s="9" t="n">
        <v>12.1803186236577</v>
      </c>
      <c r="J773" s="9" t="n">
        <v>30.3145710538673</v>
      </c>
      <c r="K773" s="3" t="s">
        <v>300</v>
      </c>
      <c r="L773" s="3" t="s">
        <v>301</v>
      </c>
      <c r="M773" s="7" t="n">
        <v>2017</v>
      </c>
    </row>
    <row r="774" customFormat="false" ht="15" hidden="false" customHeight="false" outlineLevel="0" collapsed="false">
      <c r="A774" s="3" t="n">
        <v>1104</v>
      </c>
      <c r="B774" s="3" t="s">
        <v>299</v>
      </c>
      <c r="C774" s="4" t="s">
        <v>18</v>
      </c>
      <c r="D774" s="5" t="n">
        <v>4484</v>
      </c>
      <c r="E774" s="6" t="n">
        <v>58</v>
      </c>
      <c r="F774" s="7" t="n">
        <v>62</v>
      </c>
      <c r="G774" s="6" t="n">
        <v>76.7516309715026</v>
      </c>
      <c r="H774" s="8" t="n">
        <v>28146.3581098694</v>
      </c>
      <c r="I774" s="9" t="n">
        <v>7.70512479426207</v>
      </c>
      <c r="J774" s="9" t="n">
        <v>15.3228547066585</v>
      </c>
      <c r="K774" s="3" t="s">
        <v>300</v>
      </c>
      <c r="L774" s="3" t="s">
        <v>301</v>
      </c>
      <c r="M774" s="7" t="n">
        <v>2018</v>
      </c>
    </row>
    <row r="775" customFormat="false" ht="15" hidden="false" customHeight="false" outlineLevel="0" collapsed="false">
      <c r="A775" s="3" t="n">
        <v>1105</v>
      </c>
      <c r="B775" s="3" t="s">
        <v>299</v>
      </c>
      <c r="C775" s="4" t="s">
        <v>19</v>
      </c>
      <c r="D775" s="5" t="n">
        <v>4485</v>
      </c>
      <c r="E775" s="6" t="n">
        <v>58</v>
      </c>
      <c r="F775" s="7" t="n">
        <v>51</v>
      </c>
      <c r="G775" s="6" t="n">
        <v>229.301588316583</v>
      </c>
      <c r="H775" s="8" t="n">
        <v>103206.351885411</v>
      </c>
      <c r="I775" s="9" t="n">
        <v>12.1600863536347</v>
      </c>
      <c r="J775" s="9" t="n">
        <v>45.7680374475032</v>
      </c>
      <c r="K775" s="3" t="s">
        <v>300</v>
      </c>
      <c r="L775" s="3" t="s">
        <v>301</v>
      </c>
      <c r="M775" s="7" t="n">
        <v>2019</v>
      </c>
    </row>
    <row r="776" customFormat="false" ht="15" hidden="false" customHeight="false" outlineLevel="0" collapsed="false">
      <c r="A776" s="3" t="n">
        <v>1106</v>
      </c>
      <c r="B776" s="3" t="s">
        <v>299</v>
      </c>
      <c r="C776" s="4" t="s">
        <v>20</v>
      </c>
      <c r="D776" s="5" t="n">
        <v>4485</v>
      </c>
      <c r="E776" s="6" t="n">
        <v>58</v>
      </c>
      <c r="F776" s="7" t="n">
        <v>64</v>
      </c>
      <c r="G776" s="6" t="n">
        <v>93.6028425000003</v>
      </c>
      <c r="H776" s="8" t="n">
        <v>47716.8570496502</v>
      </c>
      <c r="I776" s="9" t="n">
        <v>6.3785270014392</v>
      </c>
      <c r="J776" s="9" t="n">
        <v>18.631712913039</v>
      </c>
      <c r="K776" s="3" t="s">
        <v>300</v>
      </c>
      <c r="L776" s="3" t="s">
        <v>301</v>
      </c>
      <c r="M776" s="7" t="n">
        <v>2020</v>
      </c>
    </row>
    <row r="777" customFormat="false" ht="15" hidden="false" customHeight="false" outlineLevel="0" collapsed="false">
      <c r="A777" s="3" t="n">
        <v>1107</v>
      </c>
      <c r="B777" s="3" t="s">
        <v>299</v>
      </c>
      <c r="C777" s="4" t="s">
        <v>21</v>
      </c>
      <c r="D777" s="5" t="n">
        <v>4485</v>
      </c>
      <c r="E777" s="6" t="n">
        <v>58</v>
      </c>
      <c r="F777" s="7" t="n">
        <v>64</v>
      </c>
      <c r="G777" s="6" t="n">
        <v>115.251</v>
      </c>
      <c r="H777" s="8" t="n">
        <v>99321.0067799999</v>
      </c>
      <c r="I777" s="9" t="n">
        <v>6.66211755614109</v>
      </c>
      <c r="J777" s="9" t="n">
        <v>23.0038183450329</v>
      </c>
      <c r="K777" s="3" t="s">
        <v>300</v>
      </c>
      <c r="L777" s="3" t="s">
        <v>301</v>
      </c>
      <c r="M777" s="7" t="n">
        <v>2021</v>
      </c>
    </row>
    <row r="778" customFormat="false" ht="15" hidden="false" customHeight="false" outlineLevel="0" collapsed="false">
      <c r="A778" s="3" t="n">
        <v>1108</v>
      </c>
      <c r="B778" s="3" t="s">
        <v>299</v>
      </c>
      <c r="C778" s="4" t="s">
        <v>22</v>
      </c>
      <c r="D778" s="5" t="n">
        <v>4485</v>
      </c>
      <c r="E778" s="6" t="n">
        <v>58</v>
      </c>
      <c r="F778" s="7" t="n">
        <v>41</v>
      </c>
      <c r="G778" s="6" t="n">
        <v>67.1859349999998</v>
      </c>
      <c r="H778" s="8" t="n">
        <v>150428.23349004</v>
      </c>
      <c r="I778" s="9" t="n">
        <v>4.7372718837649</v>
      </c>
      <c r="J778" s="9" t="n">
        <v>13.4101486675273</v>
      </c>
      <c r="K778" s="3" t="s">
        <v>300</v>
      </c>
      <c r="L778" s="3" t="s">
        <v>301</v>
      </c>
      <c r="M778" s="7" t="n">
        <v>2022</v>
      </c>
    </row>
    <row r="779" customFormat="false" ht="15" hidden="false" customHeight="false" outlineLevel="0" collapsed="false">
      <c r="A779" s="3" t="n">
        <v>1109</v>
      </c>
      <c r="B779" s="3" t="s">
        <v>299</v>
      </c>
      <c r="C779" s="4" t="s">
        <v>23</v>
      </c>
      <c r="D779" s="5" t="n">
        <v>4485</v>
      </c>
      <c r="E779" s="6" t="n">
        <v>58</v>
      </c>
      <c r="F779" s="7" t="n">
        <v>42</v>
      </c>
      <c r="G779" s="6" t="n">
        <v>101.815215</v>
      </c>
      <c r="H779" s="8" t="n">
        <v>248807.469938941</v>
      </c>
      <c r="I779" s="9" t="n">
        <v>7.27249728653386</v>
      </c>
      <c r="J779" s="9" t="n">
        <v>20.322068447306</v>
      </c>
      <c r="K779" s="3" t="s">
        <v>300</v>
      </c>
      <c r="L779" s="3" t="s">
        <v>301</v>
      </c>
      <c r="M779" s="7" t="n">
        <v>2023</v>
      </c>
    </row>
    <row r="780" customFormat="false" ht="15" hidden="false" customHeight="false" outlineLevel="0" collapsed="false">
      <c r="A780" s="3" t="n">
        <v>1110</v>
      </c>
      <c r="B780" s="3" t="s">
        <v>299</v>
      </c>
      <c r="C780" s="4" t="s">
        <v>24</v>
      </c>
      <c r="D780" s="5" t="n">
        <v>4499</v>
      </c>
      <c r="E780" s="6" t="n">
        <v>58</v>
      </c>
      <c r="F780" s="7" t="n">
        <v>49</v>
      </c>
      <c r="G780" s="6" t="n">
        <v>178.11179</v>
      </c>
      <c r="H780" s="8" t="n">
        <v>437582.195883361</v>
      </c>
      <c r="I780" s="9" t="n">
        <v>10.2285695883292</v>
      </c>
      <c r="J780" s="9" t="n">
        <v>35.3429558978342</v>
      </c>
      <c r="K780" s="3" t="s">
        <v>300</v>
      </c>
      <c r="L780" s="3" t="s">
        <v>301</v>
      </c>
      <c r="M780" s="7" t="n">
        <v>2024</v>
      </c>
    </row>
    <row r="781" customFormat="false" ht="15" hidden="false" customHeight="false" outlineLevel="0" collapsed="false">
      <c r="A781" s="3" t="n">
        <v>1111</v>
      </c>
      <c r="B781" s="3" t="s">
        <v>302</v>
      </c>
      <c r="C781" s="4" t="s">
        <v>41</v>
      </c>
      <c r="D781" s="5" t="n">
        <v>93429</v>
      </c>
      <c r="E781" s="6" t="n">
        <v>922</v>
      </c>
      <c r="F781" s="7" t="n">
        <v>68</v>
      </c>
      <c r="G781" s="6" t="n">
        <v>1297.96796446175</v>
      </c>
      <c r="H781" s="8" t="n">
        <v>1270710.63720806</v>
      </c>
      <c r="I781" s="9" t="n">
        <v>4.54433199722892</v>
      </c>
      <c r="J781" s="9" t="n">
        <v>12.4365507846949</v>
      </c>
      <c r="K781" s="3" t="s">
        <v>303</v>
      </c>
      <c r="L781" s="3" t="s">
        <v>304</v>
      </c>
      <c r="M781" s="7" t="n">
        <v>2016</v>
      </c>
    </row>
    <row r="782" customFormat="false" ht="15" hidden="false" customHeight="false" outlineLevel="0" collapsed="false">
      <c r="A782" s="3" t="n">
        <v>1112</v>
      </c>
      <c r="B782" s="3" t="s">
        <v>302</v>
      </c>
      <c r="C782" s="4" t="s">
        <v>42</v>
      </c>
      <c r="D782" s="5" t="n">
        <v>94102</v>
      </c>
      <c r="E782" s="6" t="n">
        <v>923</v>
      </c>
      <c r="F782" s="7" t="n">
        <v>67</v>
      </c>
      <c r="G782" s="6" t="n">
        <v>789.027735914213</v>
      </c>
      <c r="H782" s="8" t="n">
        <v>800863.151952926</v>
      </c>
      <c r="I782" s="9" t="n">
        <v>3.44452650233164</v>
      </c>
      <c r="J782" s="9" t="n">
        <v>7.50604373344771</v>
      </c>
      <c r="K782" s="3" t="s">
        <v>303</v>
      </c>
      <c r="L782" s="3" t="s">
        <v>304</v>
      </c>
      <c r="M782" s="7" t="n">
        <v>2017</v>
      </c>
    </row>
    <row r="783" customFormat="false" ht="15" hidden="false" customHeight="false" outlineLevel="0" collapsed="false">
      <c r="A783" s="3" t="n">
        <v>1113</v>
      </c>
      <c r="B783" s="3" t="s">
        <v>302</v>
      </c>
      <c r="C783" s="4" t="s">
        <v>43</v>
      </c>
      <c r="D783" s="5" t="n">
        <v>94254</v>
      </c>
      <c r="E783" s="6" t="n">
        <v>924</v>
      </c>
      <c r="F783" s="7" t="n">
        <v>64</v>
      </c>
      <c r="G783" s="6" t="n">
        <v>124.775359522211</v>
      </c>
      <c r="H783" s="8" t="n">
        <v>131014.127498322</v>
      </c>
      <c r="I783" s="9" t="n">
        <v>2.22162622150365</v>
      </c>
      <c r="J783" s="9" t="n">
        <v>1.18507739537075</v>
      </c>
      <c r="K783" s="3" t="s">
        <v>303</v>
      </c>
      <c r="L783" s="3" t="s">
        <v>304</v>
      </c>
      <c r="M783" s="7" t="n">
        <v>2018</v>
      </c>
    </row>
    <row r="784" customFormat="false" ht="15" hidden="false" customHeight="false" outlineLevel="0" collapsed="false">
      <c r="A784" s="3" t="n">
        <v>1114</v>
      </c>
      <c r="B784" s="3" t="s">
        <v>302</v>
      </c>
      <c r="C784" s="4" t="s">
        <v>44</v>
      </c>
      <c r="D784" s="5" t="n">
        <v>93964</v>
      </c>
      <c r="E784" s="6" t="n">
        <v>925</v>
      </c>
      <c r="F784" s="7" t="n">
        <v>68</v>
      </c>
      <c r="G784" s="6" t="n">
        <v>1390.13733279283</v>
      </c>
      <c r="H784" s="8" t="n">
        <v>1498568.04475067</v>
      </c>
      <c r="I784" s="9" t="n">
        <v>5.24860686618622</v>
      </c>
      <c r="J784" s="9" t="n">
        <v>13.2075542783764</v>
      </c>
      <c r="K784" s="3" t="s">
        <v>303</v>
      </c>
      <c r="L784" s="3" t="s">
        <v>304</v>
      </c>
      <c r="M784" s="7" t="n">
        <v>2019</v>
      </c>
    </row>
    <row r="785" customFormat="false" ht="15" hidden="false" customHeight="false" outlineLevel="0" collapsed="false">
      <c r="A785" s="3" t="n">
        <v>1115</v>
      </c>
      <c r="B785" s="3" t="s">
        <v>302</v>
      </c>
      <c r="C785" s="4" t="s">
        <v>45</v>
      </c>
      <c r="D785" s="5" t="n">
        <v>93664</v>
      </c>
      <c r="E785" s="6" t="n">
        <v>926</v>
      </c>
      <c r="F785" s="7" t="n">
        <v>58</v>
      </c>
      <c r="G785" s="6" t="n">
        <v>263.047275385381</v>
      </c>
      <c r="H785" s="8" t="n">
        <v>290404.19202546</v>
      </c>
      <c r="I785" s="9" t="n">
        <v>3.08264158341139</v>
      </c>
      <c r="J785" s="9" t="n">
        <v>2.51407819591052</v>
      </c>
      <c r="K785" s="3" t="s">
        <v>303</v>
      </c>
      <c r="L785" s="3" t="s">
        <v>304</v>
      </c>
      <c r="M785" s="7" t="n">
        <v>2020</v>
      </c>
    </row>
    <row r="786" customFormat="false" ht="15" hidden="false" customHeight="false" outlineLevel="0" collapsed="false">
      <c r="A786" s="3" t="n">
        <v>1116</v>
      </c>
      <c r="B786" s="3" t="s">
        <v>302</v>
      </c>
      <c r="C786" s="4" t="s">
        <v>46</v>
      </c>
      <c r="D786" s="5" t="n">
        <v>94170</v>
      </c>
      <c r="E786" s="6" t="n">
        <v>926</v>
      </c>
      <c r="F786" s="7" t="n">
        <v>62</v>
      </c>
      <c r="G786" s="6" t="n">
        <v>251.508944708291</v>
      </c>
      <c r="H786" s="8" t="n">
        <v>287474.723801576</v>
      </c>
      <c r="I786" s="9" t="n">
        <v>2.3625581002135</v>
      </c>
      <c r="J786" s="9" t="n">
        <v>2.39088418368176</v>
      </c>
      <c r="K786" s="3" t="s">
        <v>303</v>
      </c>
      <c r="L786" s="3" t="s">
        <v>304</v>
      </c>
      <c r="M786" s="7" t="n">
        <v>2021</v>
      </c>
    </row>
    <row r="787" customFormat="false" ht="15" hidden="false" customHeight="false" outlineLevel="0" collapsed="false">
      <c r="A787" s="3" t="n">
        <v>1117</v>
      </c>
      <c r="B787" s="3" t="s">
        <v>302</v>
      </c>
      <c r="C787" s="4" t="s">
        <v>47</v>
      </c>
      <c r="D787" s="5" t="n">
        <v>94581</v>
      </c>
      <c r="E787" s="6" t="n">
        <v>918.1518</v>
      </c>
      <c r="F787" s="7" t="n">
        <v>65</v>
      </c>
      <c r="G787" s="6" t="n">
        <v>432.05013183399</v>
      </c>
      <c r="H787" s="8" t="n">
        <v>522348.609387294</v>
      </c>
      <c r="I787" s="9" t="n">
        <v>2.59304468217037</v>
      </c>
      <c r="J787" s="9" t="n">
        <v>4.08929004246251</v>
      </c>
      <c r="K787" s="3" t="s">
        <v>303</v>
      </c>
      <c r="L787" s="3" t="s">
        <v>304</v>
      </c>
      <c r="M787" s="7" t="n">
        <v>2022</v>
      </c>
    </row>
    <row r="788" customFormat="false" ht="15" hidden="false" customHeight="false" outlineLevel="0" collapsed="false">
      <c r="A788" s="3" t="n">
        <v>1118</v>
      </c>
      <c r="B788" s="3" t="s">
        <v>302</v>
      </c>
      <c r="C788" s="4" t="s">
        <v>48</v>
      </c>
      <c r="D788" s="5" t="n">
        <v>94898</v>
      </c>
      <c r="E788" s="6" t="n">
        <v>941.09</v>
      </c>
      <c r="F788" s="7" t="n">
        <v>66</v>
      </c>
      <c r="G788" s="6" t="n">
        <v>960.492678263985</v>
      </c>
      <c r="H788" s="8" t="n">
        <v>1206378.80389957</v>
      </c>
      <c r="I788" s="9" t="n">
        <v>3.22400882637987</v>
      </c>
      <c r="J788" s="9" t="n">
        <v>9.03572890821198</v>
      </c>
      <c r="K788" s="3" t="s">
        <v>303</v>
      </c>
      <c r="L788" s="3" t="s">
        <v>304</v>
      </c>
      <c r="M788" s="7" t="n">
        <v>2023</v>
      </c>
    </row>
    <row r="789" customFormat="false" ht="15" hidden="false" customHeight="false" outlineLevel="0" collapsed="false">
      <c r="A789" s="3" t="n">
        <v>1119</v>
      </c>
      <c r="B789" s="3" t="s">
        <v>302</v>
      </c>
      <c r="C789" s="4" t="s">
        <v>49</v>
      </c>
      <c r="D789" s="5" t="n">
        <v>92563</v>
      </c>
      <c r="E789" s="6" t="n">
        <v>918.2</v>
      </c>
      <c r="F789" s="7" t="n">
        <v>71</v>
      </c>
      <c r="G789" s="6" t="n">
        <v>186.720397458651</v>
      </c>
      <c r="H789" s="8" t="n">
        <v>247497.886831441</v>
      </c>
      <c r="I789" s="9" t="n">
        <v>1.59393240161178</v>
      </c>
      <c r="J789" s="9" t="n">
        <v>1.80580984261919</v>
      </c>
      <c r="K789" s="3" t="s">
        <v>303</v>
      </c>
      <c r="L789" s="3" t="s">
        <v>304</v>
      </c>
      <c r="M789" s="7" t="n">
        <v>2024</v>
      </c>
    </row>
    <row r="790" customFormat="false" ht="15" hidden="false" customHeight="false" outlineLevel="0" collapsed="false">
      <c r="A790" s="3" t="n">
        <v>1120</v>
      </c>
      <c r="B790" s="3" t="s">
        <v>305</v>
      </c>
      <c r="C790" s="4" t="s">
        <v>41</v>
      </c>
      <c r="D790" s="5" t="n">
        <v>737583</v>
      </c>
      <c r="E790" s="6" t="n">
        <v>7372.24166666667</v>
      </c>
      <c r="F790" s="7" t="n">
        <v>71</v>
      </c>
      <c r="G790" s="6" t="n">
        <v>30431.6632327804</v>
      </c>
      <c r="H790" s="8" t="n">
        <v>38936077.1403687</v>
      </c>
      <c r="I790" s="9" t="n">
        <v>8.7212982137861</v>
      </c>
      <c r="J790" s="9" t="n">
        <v>36.9345205078456</v>
      </c>
      <c r="K790" s="3" t="s">
        <v>306</v>
      </c>
      <c r="L790" s="3" t="s">
        <v>307</v>
      </c>
      <c r="M790" s="7" t="n">
        <v>2016</v>
      </c>
    </row>
    <row r="791" customFormat="false" ht="15" hidden="false" customHeight="false" outlineLevel="0" collapsed="false">
      <c r="A791" s="3" t="n">
        <v>1121</v>
      </c>
      <c r="B791" s="3" t="s">
        <v>305</v>
      </c>
      <c r="C791" s="4" t="s">
        <v>42</v>
      </c>
      <c r="D791" s="5" t="n">
        <v>740356</v>
      </c>
      <c r="E791" s="6" t="n">
        <v>7386.35814393939</v>
      </c>
      <c r="F791" s="7" t="n">
        <v>74</v>
      </c>
      <c r="G791" s="6" t="n">
        <v>33035.7113351026</v>
      </c>
      <c r="H791" s="8" t="n">
        <v>24299856.6795744</v>
      </c>
      <c r="I791" s="9" t="n">
        <v>9.72975591108879</v>
      </c>
      <c r="J791" s="9" t="n">
        <v>39.9448446744217</v>
      </c>
      <c r="K791" s="3" t="s">
        <v>306</v>
      </c>
      <c r="L791" s="3" t="s">
        <v>307</v>
      </c>
      <c r="M791" s="7" t="n">
        <v>2017</v>
      </c>
    </row>
    <row r="792" customFormat="false" ht="15" hidden="false" customHeight="false" outlineLevel="0" collapsed="false">
      <c r="A792" s="3" t="n">
        <v>1122</v>
      </c>
      <c r="B792" s="3" t="s">
        <v>305</v>
      </c>
      <c r="C792" s="4" t="s">
        <v>43</v>
      </c>
      <c r="D792" s="5" t="n">
        <v>743533</v>
      </c>
      <c r="E792" s="6" t="n">
        <v>7395.76</v>
      </c>
      <c r="F792" s="7" t="n">
        <v>77</v>
      </c>
      <c r="G792" s="6" t="n">
        <v>28341.0961799999</v>
      </c>
      <c r="H792" s="8" t="n">
        <v>22502830.3669199</v>
      </c>
      <c r="I792" s="9" t="n">
        <v>8.17110910844184</v>
      </c>
      <c r="J792" s="9" t="n">
        <v>34.1219678912141</v>
      </c>
      <c r="K792" s="3" t="s">
        <v>306</v>
      </c>
      <c r="L792" s="3" t="s">
        <v>307</v>
      </c>
      <c r="M792" s="7" t="n">
        <v>2018</v>
      </c>
    </row>
    <row r="793" customFormat="false" ht="15" hidden="false" customHeight="false" outlineLevel="0" collapsed="false">
      <c r="A793" s="3" t="n">
        <v>1123</v>
      </c>
      <c r="B793" s="3" t="s">
        <v>305</v>
      </c>
      <c r="C793" s="4" t="s">
        <v>44</v>
      </c>
      <c r="D793" s="5" t="n">
        <v>745489</v>
      </c>
      <c r="E793" s="6" t="n">
        <v>7400.14772727273</v>
      </c>
      <c r="F793" s="7" t="n">
        <v>80</v>
      </c>
      <c r="G793" s="6" t="n">
        <v>24215.6487413784</v>
      </c>
      <c r="H793" s="8" t="n">
        <v>19445165.9393268</v>
      </c>
      <c r="I793" s="9" t="n">
        <v>7.20080758191001</v>
      </c>
      <c r="J793" s="9" t="n">
        <v>28.9988691546045</v>
      </c>
      <c r="K793" s="3" t="s">
        <v>306</v>
      </c>
      <c r="L793" s="3" t="s">
        <v>307</v>
      </c>
      <c r="M793" s="7" t="n">
        <v>2019</v>
      </c>
    </row>
    <row r="794" customFormat="false" ht="15" hidden="false" customHeight="false" outlineLevel="0" collapsed="false">
      <c r="A794" s="3" t="n">
        <v>1124</v>
      </c>
      <c r="B794" s="3" t="s">
        <v>305</v>
      </c>
      <c r="C794" s="4" t="s">
        <v>45</v>
      </c>
      <c r="D794" s="5" t="n">
        <v>748092</v>
      </c>
      <c r="E794" s="6" t="n">
        <v>7400.23</v>
      </c>
      <c r="F794" s="7" t="n">
        <v>78</v>
      </c>
      <c r="G794" s="6" t="n">
        <v>26216.4326201002</v>
      </c>
      <c r="H794" s="8" t="n">
        <v>28654560.8537695</v>
      </c>
      <c r="I794" s="9" t="n">
        <v>7.06934777887052</v>
      </c>
      <c r="J794" s="9" t="n">
        <v>31.3715703948364</v>
      </c>
      <c r="K794" s="3" t="s">
        <v>306</v>
      </c>
      <c r="L794" s="3" t="s">
        <v>307</v>
      </c>
      <c r="M794" s="7" t="n">
        <v>2020</v>
      </c>
    </row>
    <row r="795" customFormat="false" ht="15" hidden="false" customHeight="false" outlineLevel="0" collapsed="false">
      <c r="A795" s="3" t="n">
        <v>1125</v>
      </c>
      <c r="B795" s="3" t="s">
        <v>305</v>
      </c>
      <c r="C795" s="4" t="s">
        <v>46</v>
      </c>
      <c r="D795" s="5" t="n">
        <v>749812</v>
      </c>
      <c r="E795" s="6" t="n">
        <v>7400.25189393939</v>
      </c>
      <c r="F795" s="7" t="n">
        <v>78</v>
      </c>
      <c r="G795" s="6" t="n">
        <v>30778.798171054</v>
      </c>
      <c r="H795" s="8" t="n">
        <v>39396861.6589492</v>
      </c>
      <c r="I795" s="9" t="n">
        <v>8.03757607413364</v>
      </c>
      <c r="J795" s="9" t="n">
        <v>36.7465817029861</v>
      </c>
      <c r="K795" s="3" t="s">
        <v>306</v>
      </c>
      <c r="L795" s="3" t="s">
        <v>307</v>
      </c>
      <c r="M795" s="7" t="n">
        <v>2021</v>
      </c>
    </row>
    <row r="796" customFormat="false" ht="15" hidden="false" customHeight="false" outlineLevel="0" collapsed="false">
      <c r="A796" s="3" t="n">
        <v>1126</v>
      </c>
      <c r="B796" s="3" t="s">
        <v>305</v>
      </c>
      <c r="C796" s="4" t="s">
        <v>47</v>
      </c>
      <c r="D796" s="5" t="n">
        <v>751947</v>
      </c>
      <c r="E796" s="6" t="n">
        <v>7400.31439393939</v>
      </c>
      <c r="F796" s="7" t="n">
        <v>68</v>
      </c>
      <c r="G796" s="6" t="n">
        <v>20483.7843858337</v>
      </c>
      <c r="H796" s="8" t="n">
        <v>25461220.7991533</v>
      </c>
      <c r="I796" s="9" t="n">
        <v>7.4021476396238</v>
      </c>
      <c r="J796" s="9" t="n">
        <v>24.3860039188388</v>
      </c>
      <c r="K796" s="3" t="s">
        <v>306</v>
      </c>
      <c r="L796" s="3" t="s">
        <v>307</v>
      </c>
      <c r="M796" s="7" t="n">
        <v>2022</v>
      </c>
    </row>
    <row r="797" customFormat="false" ht="15" hidden="false" customHeight="false" outlineLevel="0" collapsed="false">
      <c r="A797" s="3" t="n">
        <v>1127</v>
      </c>
      <c r="B797" s="3" t="s">
        <v>305</v>
      </c>
      <c r="C797" s="4" t="s">
        <v>48</v>
      </c>
      <c r="D797" s="5" t="n">
        <v>754001</v>
      </c>
      <c r="E797" s="6" t="n">
        <v>7400.36742424242</v>
      </c>
      <c r="F797" s="7" t="n">
        <v>76</v>
      </c>
      <c r="G797" s="6" t="n">
        <v>23735.1577690319</v>
      </c>
      <c r="H797" s="8" t="n">
        <v>22415720.3486514</v>
      </c>
      <c r="I797" s="9" t="n">
        <v>7.82393424220296</v>
      </c>
      <c r="J797" s="9" t="n">
        <v>28.1025930625717</v>
      </c>
      <c r="K797" s="3" t="s">
        <v>306</v>
      </c>
      <c r="L797" s="3" t="s">
        <v>307</v>
      </c>
      <c r="M797" s="7" t="n">
        <v>2023</v>
      </c>
    </row>
    <row r="798" customFormat="false" ht="15" hidden="false" customHeight="false" outlineLevel="0" collapsed="false">
      <c r="A798" s="3" t="n">
        <v>1128</v>
      </c>
      <c r="B798" s="3" t="s">
        <v>305</v>
      </c>
      <c r="C798" s="4" t="s">
        <v>49</v>
      </c>
      <c r="D798" s="5" t="n">
        <v>755768</v>
      </c>
      <c r="E798" s="6" t="n">
        <v>7400.375</v>
      </c>
      <c r="F798" s="7" t="n">
        <v>72</v>
      </c>
      <c r="G798" s="6" t="n">
        <v>22933.568567717</v>
      </c>
      <c r="H798" s="8" t="n">
        <v>30478630.4801451</v>
      </c>
      <c r="I798" s="9" t="n">
        <v>8.61802858772278</v>
      </c>
      <c r="J798" s="9" t="n">
        <v>27.1644435515444</v>
      </c>
      <c r="K798" s="3" t="s">
        <v>306</v>
      </c>
      <c r="L798" s="3" t="s">
        <v>307</v>
      </c>
      <c r="M798" s="7" t="n">
        <v>2024</v>
      </c>
    </row>
    <row r="799" customFormat="false" ht="15" hidden="false" customHeight="false" outlineLevel="0" collapsed="false">
      <c r="A799" s="3" t="n">
        <v>1129</v>
      </c>
      <c r="B799" s="3" t="s">
        <v>308</v>
      </c>
      <c r="C799" s="4" t="s">
        <v>18</v>
      </c>
      <c r="D799" s="5" t="n">
        <v>50615</v>
      </c>
      <c r="E799" s="6" t="n">
        <v>830.54</v>
      </c>
      <c r="F799" s="7" t="n">
        <v>70</v>
      </c>
      <c r="G799" s="6" t="n">
        <v>2782.69613948514</v>
      </c>
      <c r="H799" s="8" t="n">
        <v>1131499.90423745</v>
      </c>
      <c r="I799" s="9" t="n">
        <v>8.70929628963474</v>
      </c>
      <c r="J799" s="9" t="n">
        <v>49.2157625897815</v>
      </c>
      <c r="K799" s="3" t="s">
        <v>220</v>
      </c>
      <c r="L799" s="3" t="s">
        <v>309</v>
      </c>
      <c r="M799" s="7" t="n">
        <v>2018</v>
      </c>
    </row>
    <row r="800" customFormat="false" ht="15" hidden="false" customHeight="false" outlineLevel="0" collapsed="false">
      <c r="A800" s="3" t="n">
        <v>1130</v>
      </c>
      <c r="B800" s="3" t="s">
        <v>308</v>
      </c>
      <c r="C800" s="4" t="s">
        <v>19</v>
      </c>
      <c r="D800" s="5" t="n">
        <v>50920</v>
      </c>
      <c r="E800" s="6" t="n">
        <v>830.69</v>
      </c>
      <c r="F800" s="7" t="n">
        <v>70</v>
      </c>
      <c r="G800" s="6" t="n">
        <v>2182.19058418368</v>
      </c>
      <c r="H800" s="8" t="n">
        <v>1063359.64976687</v>
      </c>
      <c r="I800" s="9" t="n">
        <v>8.12389505871525</v>
      </c>
      <c r="J800" s="9" t="n">
        <v>38.3638299275116</v>
      </c>
      <c r="K800" s="3" t="s">
        <v>220</v>
      </c>
      <c r="L800" s="3" t="s">
        <v>309</v>
      </c>
      <c r="M800" s="7" t="n">
        <v>2019</v>
      </c>
    </row>
    <row r="801" customFormat="false" ht="15" hidden="false" customHeight="false" outlineLevel="0" collapsed="false">
      <c r="A801" s="3" t="n">
        <v>1131</v>
      </c>
      <c r="B801" s="3" t="s">
        <v>308</v>
      </c>
      <c r="C801" s="4" t="s">
        <v>20</v>
      </c>
      <c r="D801" s="5" t="n">
        <v>51516</v>
      </c>
      <c r="E801" s="6" t="n">
        <v>803.86</v>
      </c>
      <c r="F801" s="7" t="n">
        <v>70</v>
      </c>
      <c r="G801" s="6" t="n">
        <v>1481.62254489796</v>
      </c>
      <c r="H801" s="8" t="n">
        <v>430929.917183572</v>
      </c>
      <c r="I801" s="9" t="n">
        <v>6.20389461599651</v>
      </c>
      <c r="J801" s="9" t="n">
        <v>25.6756612323952</v>
      </c>
      <c r="K801" s="3" t="s">
        <v>220</v>
      </c>
      <c r="L801" s="3" t="s">
        <v>309</v>
      </c>
      <c r="M801" s="7" t="n">
        <v>2020</v>
      </c>
    </row>
    <row r="802" customFormat="false" ht="15" hidden="false" customHeight="false" outlineLevel="0" collapsed="false">
      <c r="A802" s="3" t="n">
        <v>1132</v>
      </c>
      <c r="B802" s="3" t="s">
        <v>308</v>
      </c>
      <c r="C802" s="4" t="s">
        <v>21</v>
      </c>
      <c r="D802" s="5" t="n">
        <v>51858</v>
      </c>
      <c r="E802" s="6" t="n">
        <v>805.95</v>
      </c>
      <c r="F802" s="7" t="n">
        <v>67</v>
      </c>
      <c r="G802" s="6" t="n">
        <v>982.522779081625</v>
      </c>
      <c r="H802" s="8" t="n">
        <v>458828.312603328</v>
      </c>
      <c r="I802" s="9" t="n">
        <v>4.72123294230775</v>
      </c>
      <c r="J802" s="9" t="n">
        <v>16.9607299395415</v>
      </c>
      <c r="K802" s="3" t="s">
        <v>220</v>
      </c>
      <c r="L802" s="3" t="s">
        <v>309</v>
      </c>
      <c r="M802" s="7" t="n">
        <v>2021</v>
      </c>
    </row>
    <row r="803" customFormat="false" ht="15" hidden="false" customHeight="false" outlineLevel="0" collapsed="false">
      <c r="A803" s="3" t="n">
        <v>1133</v>
      </c>
      <c r="B803" s="3" t="s">
        <v>308</v>
      </c>
      <c r="C803" s="4" t="s">
        <v>22</v>
      </c>
      <c r="D803" s="5" t="n">
        <v>52022</v>
      </c>
      <c r="E803" s="6" t="n">
        <v>809.74</v>
      </c>
      <c r="F803" s="7" t="n">
        <v>59</v>
      </c>
      <c r="G803" s="6" t="n">
        <v>1411.36574999999</v>
      </c>
      <c r="H803" s="8" t="n">
        <v>651669.907747496</v>
      </c>
      <c r="I803" s="9" t="n">
        <v>4.47024028788265</v>
      </c>
      <c r="J803" s="9" t="n">
        <v>24.286794819861</v>
      </c>
      <c r="K803" s="3" t="s">
        <v>220</v>
      </c>
      <c r="L803" s="3" t="s">
        <v>309</v>
      </c>
      <c r="M803" s="7" t="n">
        <v>2022</v>
      </c>
    </row>
    <row r="804" customFormat="false" ht="15" hidden="false" customHeight="false" outlineLevel="0" collapsed="false">
      <c r="A804" s="3" t="n">
        <v>1134</v>
      </c>
      <c r="B804" s="3" t="s">
        <v>308</v>
      </c>
      <c r="C804" s="4" t="s">
        <v>23</v>
      </c>
      <c r="D804" s="5" t="n">
        <v>52428</v>
      </c>
      <c r="E804" s="6" t="n">
        <v>811.1065</v>
      </c>
      <c r="F804" s="7" t="n">
        <v>60</v>
      </c>
      <c r="G804" s="6" t="n">
        <v>843.598353061229</v>
      </c>
      <c r="H804" s="8" t="n">
        <v>533086.671266452</v>
      </c>
      <c r="I804" s="9" t="n">
        <v>4.98481233421549</v>
      </c>
      <c r="J804" s="9" t="n">
        <v>14.4042319756658</v>
      </c>
      <c r="K804" s="3" t="s">
        <v>220</v>
      </c>
      <c r="L804" s="3" t="s">
        <v>309</v>
      </c>
      <c r="M804" s="7" t="n">
        <v>2023</v>
      </c>
    </row>
    <row r="805" customFormat="false" ht="15" hidden="false" customHeight="false" outlineLevel="0" collapsed="false">
      <c r="A805" s="3" t="n">
        <v>1135</v>
      </c>
      <c r="B805" s="3" t="s">
        <v>308</v>
      </c>
      <c r="C805" s="4" t="s">
        <v>24</v>
      </c>
      <c r="D805" s="5" t="n">
        <v>52963</v>
      </c>
      <c r="E805" s="6" t="n">
        <v>815.21</v>
      </c>
      <c r="F805" s="7" t="n">
        <v>61</v>
      </c>
      <c r="G805" s="6" t="n">
        <v>892.044243367343</v>
      </c>
      <c r="H805" s="8" t="n">
        <v>489045.415541278</v>
      </c>
      <c r="I805" s="9" t="n">
        <v>4.91969072832793</v>
      </c>
      <c r="J805" s="9" t="n">
        <v>15.0362664007875</v>
      </c>
      <c r="K805" s="3" t="s">
        <v>220</v>
      </c>
      <c r="L805" s="3" t="s">
        <v>309</v>
      </c>
      <c r="M805" s="7" t="n">
        <v>2024</v>
      </c>
    </row>
    <row r="806" customFormat="false" ht="15" hidden="false" customHeight="false" outlineLevel="0" collapsed="false">
      <c r="A806" s="3" t="n">
        <v>1145</v>
      </c>
      <c r="B806" s="3" t="s">
        <v>310</v>
      </c>
      <c r="C806" s="4" t="s">
        <v>14</v>
      </c>
      <c r="D806" s="5" t="n">
        <v>4305</v>
      </c>
      <c r="E806" s="6" t="n">
        <v>43</v>
      </c>
      <c r="F806" s="7" t="n">
        <v>55</v>
      </c>
      <c r="G806" s="6" t="n">
        <v>100.743514881313</v>
      </c>
      <c r="H806" s="8" t="n">
        <v>111608.702961263</v>
      </c>
      <c r="I806" s="9" t="n">
        <v>7.69623550543066</v>
      </c>
      <c r="J806" s="9" t="n">
        <v>20.8915247116865</v>
      </c>
      <c r="K806" s="3" t="s">
        <v>311</v>
      </c>
      <c r="L806" s="3" t="s">
        <v>312</v>
      </c>
      <c r="M806" s="7" t="n">
        <v>2016</v>
      </c>
    </row>
    <row r="807" customFormat="false" ht="15" hidden="false" customHeight="false" outlineLevel="0" collapsed="false">
      <c r="A807" s="3" t="n">
        <v>1146</v>
      </c>
      <c r="B807" s="3" t="s">
        <v>310</v>
      </c>
      <c r="C807" s="4" t="s">
        <v>17</v>
      </c>
      <c r="D807" s="5" t="n">
        <v>4321</v>
      </c>
      <c r="E807" s="6" t="n">
        <v>43</v>
      </c>
      <c r="F807" s="7" t="n">
        <v>58</v>
      </c>
      <c r="G807" s="6" t="n">
        <v>72.1611799927093</v>
      </c>
      <c r="H807" s="8" t="n">
        <v>79539.6606469638</v>
      </c>
      <c r="I807" s="9" t="n">
        <v>7.00992563934177</v>
      </c>
      <c r="J807" s="9" t="n">
        <v>14.94985685917</v>
      </c>
      <c r="K807" s="3" t="s">
        <v>311</v>
      </c>
      <c r="L807" s="3" t="s">
        <v>312</v>
      </c>
      <c r="M807" s="7" t="n">
        <v>2017</v>
      </c>
    </row>
    <row r="808" customFormat="false" ht="15" hidden="false" customHeight="false" outlineLevel="0" collapsed="false">
      <c r="A808" s="3" t="n">
        <v>1147</v>
      </c>
      <c r="B808" s="3" t="s">
        <v>310</v>
      </c>
      <c r="C808" s="4" t="s">
        <v>18</v>
      </c>
      <c r="D808" s="5" t="n">
        <v>4343</v>
      </c>
      <c r="E808" s="6" t="n">
        <v>43.712</v>
      </c>
      <c r="F808" s="7" t="n">
        <v>65</v>
      </c>
      <c r="G808" s="6" t="n">
        <v>83.7197613283052</v>
      </c>
      <c r="H808" s="8" t="n">
        <v>98737.4121153766</v>
      </c>
      <c r="I808" s="9" t="n">
        <v>5.96902009009192</v>
      </c>
      <c r="J808" s="9" t="n">
        <v>17.2566236109323</v>
      </c>
      <c r="K808" s="3" t="s">
        <v>311</v>
      </c>
      <c r="L808" s="3" t="s">
        <v>312</v>
      </c>
      <c r="M808" s="7" t="n">
        <v>2018</v>
      </c>
    </row>
    <row r="809" customFormat="false" ht="15" hidden="false" customHeight="false" outlineLevel="0" collapsed="false">
      <c r="A809" s="3" t="n">
        <v>1148</v>
      </c>
      <c r="B809" s="3" t="s">
        <v>310</v>
      </c>
      <c r="C809" s="4" t="s">
        <v>19</v>
      </c>
      <c r="D809" s="5" t="n">
        <v>4343</v>
      </c>
      <c r="E809" s="6" t="n">
        <v>44.1</v>
      </c>
      <c r="F809" s="7" t="n">
        <v>83</v>
      </c>
      <c r="G809" s="6" t="n">
        <v>75.092944985847</v>
      </c>
      <c r="H809" s="8" t="n">
        <v>208653.256937674</v>
      </c>
      <c r="I809" s="9" t="n">
        <v>6.50018316154713</v>
      </c>
      <c r="J809" s="9" t="n">
        <v>15.478432653141</v>
      </c>
      <c r="K809" s="3" t="s">
        <v>311</v>
      </c>
      <c r="L809" s="3" t="s">
        <v>312</v>
      </c>
      <c r="M809" s="7" t="n">
        <v>2019</v>
      </c>
    </row>
    <row r="810" customFormat="false" ht="15" hidden="false" customHeight="false" outlineLevel="0" collapsed="false">
      <c r="A810" s="3" t="n">
        <v>1149</v>
      </c>
      <c r="B810" s="3" t="s">
        <v>310</v>
      </c>
      <c r="C810" s="4" t="s">
        <v>20</v>
      </c>
      <c r="D810" s="5" t="n">
        <v>4391</v>
      </c>
      <c r="E810" s="6" t="n">
        <v>44.1</v>
      </c>
      <c r="F810" s="7" t="n">
        <v>78</v>
      </c>
      <c r="G810" s="6" t="n">
        <v>26.18704</v>
      </c>
      <c r="H810" s="8" t="n">
        <v>37681.0555968001</v>
      </c>
      <c r="I810" s="9" t="n">
        <v>4.05006040106306</v>
      </c>
      <c r="J810" s="9" t="n">
        <v>5.32413633805137</v>
      </c>
      <c r="K810" s="3" t="s">
        <v>311</v>
      </c>
      <c r="L810" s="3" t="s">
        <v>312</v>
      </c>
      <c r="M810" s="7" t="n">
        <v>2020</v>
      </c>
    </row>
    <row r="811" customFormat="false" ht="15" hidden="false" customHeight="false" outlineLevel="0" collapsed="false">
      <c r="A811" s="3" t="n">
        <v>1150</v>
      </c>
      <c r="B811" s="3" t="s">
        <v>310</v>
      </c>
      <c r="C811" s="4" t="s">
        <v>21</v>
      </c>
      <c r="D811" s="5" t="n">
        <v>4464</v>
      </c>
      <c r="E811" s="6" t="n">
        <v>44.1</v>
      </c>
      <c r="F811" s="7" t="n">
        <v>78</v>
      </c>
      <c r="G811" s="6" t="n">
        <v>17.0464525</v>
      </c>
      <c r="H811" s="8" t="n">
        <v>26117.722197875</v>
      </c>
      <c r="I811" s="9" t="n">
        <v>4.42645611963794</v>
      </c>
      <c r="J811" s="9" t="n">
        <v>3.41843637597576</v>
      </c>
      <c r="K811" s="3" t="s">
        <v>311</v>
      </c>
      <c r="L811" s="3" t="s">
        <v>312</v>
      </c>
      <c r="M811" s="7" t="n">
        <v>2021</v>
      </c>
    </row>
    <row r="812" customFormat="false" ht="15" hidden="false" customHeight="false" outlineLevel="0" collapsed="false">
      <c r="A812" s="3" t="n">
        <v>1151</v>
      </c>
      <c r="B812" s="3" t="s">
        <v>310</v>
      </c>
      <c r="C812" s="4" t="s">
        <v>22</v>
      </c>
      <c r="D812" s="5" t="n">
        <v>4414</v>
      </c>
      <c r="E812" s="6" t="n">
        <v>44.1</v>
      </c>
      <c r="F812" s="7" t="n">
        <v>46</v>
      </c>
      <c r="G812" s="6" t="n">
        <v>77.9167888233235</v>
      </c>
      <c r="H812" s="8" t="n">
        <v>121749.657543772</v>
      </c>
      <c r="I812" s="9" t="n">
        <v>5.51797867069959</v>
      </c>
      <c r="J812" s="9" t="n">
        <v>15.8021576918526</v>
      </c>
      <c r="K812" s="3" t="s">
        <v>311</v>
      </c>
      <c r="L812" s="3" t="s">
        <v>312</v>
      </c>
      <c r="M812" s="7" t="n">
        <v>2022</v>
      </c>
    </row>
    <row r="813" customFormat="false" ht="15" hidden="false" customHeight="false" outlineLevel="0" collapsed="false">
      <c r="A813" s="3" t="n">
        <v>1152</v>
      </c>
      <c r="B813" s="3" t="s">
        <v>310</v>
      </c>
      <c r="C813" s="4" t="s">
        <v>23</v>
      </c>
      <c r="D813" s="5" t="n">
        <v>4414</v>
      </c>
      <c r="E813" s="6" t="n">
        <v>44.1</v>
      </c>
      <c r="F813" s="7" t="n">
        <v>46</v>
      </c>
      <c r="G813" s="6" t="n">
        <v>85.9721888493276</v>
      </c>
      <c r="H813" s="8" t="n">
        <v>142929.623683896</v>
      </c>
      <c r="I813" s="9" t="n">
        <v>5.9090984298218</v>
      </c>
      <c r="J813" s="9" t="n">
        <v>17.4358582511827</v>
      </c>
      <c r="K813" s="3" t="s">
        <v>311</v>
      </c>
      <c r="L813" s="3" t="s">
        <v>312</v>
      </c>
      <c r="M813" s="7" t="n">
        <v>2023</v>
      </c>
    </row>
    <row r="814" customFormat="false" ht="15" hidden="false" customHeight="false" outlineLevel="0" collapsed="false">
      <c r="A814" s="3" t="n">
        <v>1153</v>
      </c>
      <c r="B814" s="3" t="s">
        <v>310</v>
      </c>
      <c r="C814" s="4" t="s">
        <v>24</v>
      </c>
      <c r="D814" s="5" t="n">
        <v>4452</v>
      </c>
      <c r="E814" s="6" t="n">
        <v>44.1</v>
      </c>
      <c r="F814" s="7" t="n">
        <v>46</v>
      </c>
      <c r="G814" s="6" t="n">
        <v>114.643633727559</v>
      </c>
      <c r="H814" s="8" t="n">
        <v>204971.352741503</v>
      </c>
      <c r="I814" s="9" t="n">
        <v>7.45847931320371</v>
      </c>
      <c r="J814" s="9" t="n">
        <v>22.9890476767461</v>
      </c>
      <c r="K814" s="3" t="s">
        <v>311</v>
      </c>
      <c r="L814" s="3" t="s">
        <v>312</v>
      </c>
      <c r="M814" s="7" t="n">
        <v>2024</v>
      </c>
    </row>
    <row r="815" customFormat="false" ht="15" hidden="false" customHeight="false" outlineLevel="0" collapsed="false">
      <c r="A815" s="3" t="n">
        <v>1154</v>
      </c>
      <c r="B815" s="3" t="s">
        <v>313</v>
      </c>
      <c r="C815" s="4" t="s">
        <v>14</v>
      </c>
      <c r="D815" s="5" t="n">
        <v>9762</v>
      </c>
      <c r="E815" s="6" t="n">
        <v>94</v>
      </c>
      <c r="F815" s="7" t="n">
        <v>79</v>
      </c>
      <c r="G815" s="6" t="n">
        <v>245.282516624366</v>
      </c>
      <c r="H815" s="8" t="n">
        <v>106636.574102443</v>
      </c>
      <c r="I815" s="9" t="n">
        <v>7.39654716162292</v>
      </c>
      <c r="J815" s="9" t="n">
        <v>22.43127624436</v>
      </c>
      <c r="K815" s="3" t="s">
        <v>314</v>
      </c>
      <c r="L815" s="3" t="s">
        <v>218</v>
      </c>
      <c r="M815" s="7" t="n">
        <v>2016</v>
      </c>
    </row>
    <row r="816" customFormat="false" ht="15" hidden="false" customHeight="false" outlineLevel="0" collapsed="false">
      <c r="A816" s="3" t="n">
        <v>1155</v>
      </c>
      <c r="B816" s="3" t="s">
        <v>313</v>
      </c>
      <c r="C816" s="4" t="s">
        <v>17</v>
      </c>
      <c r="D816" s="5" t="n">
        <v>9721</v>
      </c>
      <c r="E816" s="6" t="n">
        <v>94</v>
      </c>
      <c r="F816" s="7" t="n">
        <v>72</v>
      </c>
      <c r="G816" s="6" t="n">
        <v>312.750116928934</v>
      </c>
      <c r="H816" s="8" t="n">
        <v>153034.887215666</v>
      </c>
      <c r="I816" s="9" t="n">
        <v>8.8499119486244</v>
      </c>
      <c r="J816" s="9" t="n">
        <v>28.8007775031653</v>
      </c>
      <c r="K816" s="3" t="s">
        <v>314</v>
      </c>
      <c r="L816" s="3" t="s">
        <v>218</v>
      </c>
      <c r="M816" s="7" t="n">
        <v>2017</v>
      </c>
    </row>
    <row r="817" customFormat="false" ht="15" hidden="false" customHeight="false" outlineLevel="0" collapsed="false">
      <c r="A817" s="3" t="n">
        <v>1156</v>
      </c>
      <c r="B817" s="3" t="s">
        <v>313</v>
      </c>
      <c r="C817" s="4" t="s">
        <v>18</v>
      </c>
      <c r="D817" s="5" t="n">
        <v>9841</v>
      </c>
      <c r="E817" s="6" t="n">
        <v>94.3</v>
      </c>
      <c r="F817" s="7" t="n">
        <v>72</v>
      </c>
      <c r="G817" s="6" t="n">
        <v>269.21456609137</v>
      </c>
      <c r="H817" s="8" t="n">
        <v>124603.26976973</v>
      </c>
      <c r="I817" s="9" t="n">
        <v>7.80334755258579</v>
      </c>
      <c r="J817" s="9" t="n">
        <v>24.489335259036</v>
      </c>
      <c r="K817" s="3" t="s">
        <v>314</v>
      </c>
      <c r="L817" s="3" t="s">
        <v>218</v>
      </c>
      <c r="M817" s="7" t="n">
        <v>2018</v>
      </c>
    </row>
    <row r="818" customFormat="false" ht="15" hidden="false" customHeight="false" outlineLevel="0" collapsed="false">
      <c r="A818" s="3" t="n">
        <v>1157</v>
      </c>
      <c r="B818" s="3" t="s">
        <v>313</v>
      </c>
      <c r="C818" s="4" t="s">
        <v>19</v>
      </c>
      <c r="D818" s="5" t="n">
        <v>9876</v>
      </c>
      <c r="E818" s="6" t="n">
        <v>94.3</v>
      </c>
      <c r="F818" s="7" t="n">
        <v>72</v>
      </c>
      <c r="G818" s="6" t="n">
        <v>192.650266510152</v>
      </c>
      <c r="H818" s="8" t="n">
        <v>99839.0741162212</v>
      </c>
      <c r="I818" s="9" t="n">
        <v>6.54259115216756</v>
      </c>
      <c r="J818" s="9" t="n">
        <v>17.4624914857974</v>
      </c>
      <c r="K818" s="3" t="s">
        <v>314</v>
      </c>
      <c r="L818" s="3" t="s">
        <v>218</v>
      </c>
      <c r="M818" s="7" t="n">
        <v>2019</v>
      </c>
    </row>
    <row r="819" customFormat="false" ht="15" hidden="false" customHeight="false" outlineLevel="0" collapsed="false">
      <c r="A819" s="3" t="n">
        <v>1158</v>
      </c>
      <c r="B819" s="3" t="s">
        <v>313</v>
      </c>
      <c r="C819" s="4" t="s">
        <v>20</v>
      </c>
      <c r="D819" s="5" t="n">
        <v>9918</v>
      </c>
      <c r="E819" s="6" t="n">
        <v>88.4</v>
      </c>
      <c r="F819" s="7" t="n">
        <v>72</v>
      </c>
      <c r="G819" s="6" t="n">
        <v>202.63728788071</v>
      </c>
      <c r="H819" s="8" t="n">
        <v>110751.409691202</v>
      </c>
      <c r="I819" s="9" t="n">
        <v>6.46487353904828</v>
      </c>
      <c r="J819" s="9" t="n">
        <v>18.2398580395454</v>
      </c>
      <c r="K819" s="3" t="s">
        <v>314</v>
      </c>
      <c r="L819" s="3" t="s">
        <v>218</v>
      </c>
      <c r="M819" s="7" t="n">
        <v>2020</v>
      </c>
    </row>
    <row r="820" customFormat="false" ht="15" hidden="false" customHeight="false" outlineLevel="0" collapsed="false">
      <c r="A820" s="3" t="n">
        <v>1159</v>
      </c>
      <c r="B820" s="3" t="s">
        <v>313</v>
      </c>
      <c r="C820" s="4" t="s">
        <v>21</v>
      </c>
      <c r="D820" s="5" t="n">
        <v>9935</v>
      </c>
      <c r="E820" s="6" t="n">
        <v>88.5</v>
      </c>
      <c r="F820" s="7" t="n">
        <v>68</v>
      </c>
      <c r="G820" s="6" t="n">
        <v>118.55047573386</v>
      </c>
      <c r="H820" s="8" t="n">
        <v>68979.779810504</v>
      </c>
      <c r="I820" s="9" t="n">
        <v>4.87402209925584</v>
      </c>
      <c r="J820" s="9" t="n">
        <v>10.6820130486497</v>
      </c>
      <c r="K820" s="3" t="s">
        <v>314</v>
      </c>
      <c r="L820" s="3" t="s">
        <v>218</v>
      </c>
      <c r="M820" s="7" t="n">
        <v>2021</v>
      </c>
    </row>
    <row r="821" customFormat="false" ht="15" hidden="false" customHeight="false" outlineLevel="0" collapsed="false">
      <c r="A821" s="3" t="n">
        <v>1160</v>
      </c>
      <c r="B821" s="3" t="s">
        <v>313</v>
      </c>
      <c r="C821" s="4" t="s">
        <v>22</v>
      </c>
      <c r="D821" s="5" t="n">
        <v>9920</v>
      </c>
      <c r="E821" s="6" t="n">
        <v>88.5</v>
      </c>
      <c r="F821" s="7" t="n">
        <v>74</v>
      </c>
      <c r="G821" s="6" t="n">
        <v>173.418440141988</v>
      </c>
      <c r="H821" s="8" t="n">
        <v>108500.981259236</v>
      </c>
      <c r="I821" s="9" t="n">
        <v>6.14174504023827</v>
      </c>
      <c r="J821" s="9" t="n">
        <v>15.6495292390517</v>
      </c>
      <c r="K821" s="3" t="s">
        <v>314</v>
      </c>
      <c r="L821" s="3" t="s">
        <v>218</v>
      </c>
      <c r="M821" s="7" t="n">
        <v>2022</v>
      </c>
    </row>
    <row r="822" customFormat="false" ht="15" hidden="false" customHeight="false" outlineLevel="0" collapsed="false">
      <c r="A822" s="3" t="n">
        <v>1161</v>
      </c>
      <c r="B822" s="3" t="s">
        <v>313</v>
      </c>
      <c r="C822" s="4" t="s">
        <v>23</v>
      </c>
      <c r="D822" s="5" t="n">
        <v>9947</v>
      </c>
      <c r="E822" s="6" t="n">
        <v>88.5219678525549</v>
      </c>
      <c r="F822" s="7" t="n">
        <v>74</v>
      </c>
      <c r="G822" s="6" t="n">
        <v>263.780412764734</v>
      </c>
      <c r="H822" s="8" t="n">
        <v>242358.904039266</v>
      </c>
      <c r="I822" s="9" t="n">
        <v>8.41385245058971</v>
      </c>
      <c r="J822" s="9" t="n">
        <v>23.7393104552484</v>
      </c>
      <c r="K822" s="3" t="s">
        <v>314</v>
      </c>
      <c r="L822" s="3" t="s">
        <v>218</v>
      </c>
      <c r="M822" s="7" t="n">
        <v>2023</v>
      </c>
    </row>
    <row r="823" customFormat="false" ht="15" hidden="false" customHeight="false" outlineLevel="0" collapsed="false">
      <c r="A823" s="3" t="n">
        <v>1162</v>
      </c>
      <c r="B823" s="3" t="s">
        <v>313</v>
      </c>
      <c r="C823" s="4" t="s">
        <v>24</v>
      </c>
      <c r="D823" s="5" t="n">
        <v>10001</v>
      </c>
      <c r="E823" s="6" t="n">
        <v>101.236040706629</v>
      </c>
      <c r="F823" s="7" t="n">
        <v>75</v>
      </c>
      <c r="G823" s="6" t="n">
        <v>229.49915068579</v>
      </c>
      <c r="H823" s="8" t="n">
        <v>245201.116155406</v>
      </c>
      <c r="I823" s="9" t="n">
        <v>7.42556281483826</v>
      </c>
      <c r="J823" s="9" t="n">
        <v>20.4863151356413</v>
      </c>
      <c r="K823" s="3" t="s">
        <v>314</v>
      </c>
      <c r="L823" s="3" t="s">
        <v>218</v>
      </c>
      <c r="M823" s="7" t="n">
        <v>2024</v>
      </c>
    </row>
    <row r="824" customFormat="false" ht="15" hidden="false" customHeight="false" outlineLevel="0" collapsed="false">
      <c r="A824" s="3" t="n">
        <v>1163</v>
      </c>
      <c r="B824" s="3" t="s">
        <v>315</v>
      </c>
      <c r="C824" s="4" t="s">
        <v>14</v>
      </c>
      <c r="D824" s="5" t="n">
        <v>9021</v>
      </c>
      <c r="E824" s="6" t="n">
        <v>95</v>
      </c>
      <c r="F824" s="7" t="n">
        <v>57</v>
      </c>
      <c r="G824" s="6" t="n">
        <v>212.470426211339</v>
      </c>
      <c r="H824" s="8" t="n">
        <v>230179.836236054</v>
      </c>
      <c r="I824" s="9" t="n">
        <v>8.75439776797196</v>
      </c>
      <c r="J824" s="9" t="n">
        <v>21.0266458480869</v>
      </c>
      <c r="K824" s="3" t="s">
        <v>316</v>
      </c>
      <c r="L824" s="3" t="s">
        <v>317</v>
      </c>
      <c r="M824" s="7" t="n">
        <v>2016</v>
      </c>
    </row>
    <row r="825" customFormat="false" ht="15" hidden="false" customHeight="false" outlineLevel="0" collapsed="false">
      <c r="A825" s="3" t="n">
        <v>1164</v>
      </c>
      <c r="B825" s="3" t="s">
        <v>315</v>
      </c>
      <c r="C825" s="4" t="s">
        <v>17</v>
      </c>
      <c r="D825" s="5" t="n">
        <v>9089</v>
      </c>
      <c r="E825" s="6" t="n">
        <v>95</v>
      </c>
      <c r="F825" s="7" t="n">
        <v>57</v>
      </c>
      <c r="G825" s="6" t="n">
        <v>295.247354787657</v>
      </c>
      <c r="H825" s="8" t="n">
        <v>319856.221809209</v>
      </c>
      <c r="I825" s="9" t="n">
        <v>9.15250212720561</v>
      </c>
      <c r="J825" s="9" t="n">
        <v>29.0795436232279</v>
      </c>
      <c r="K825" s="3" t="s">
        <v>316</v>
      </c>
      <c r="L825" s="3" t="s">
        <v>317</v>
      </c>
      <c r="M825" s="7" t="n">
        <v>2017</v>
      </c>
    </row>
    <row r="826" customFormat="false" ht="15" hidden="false" customHeight="false" outlineLevel="0" collapsed="false">
      <c r="A826" s="3" t="n">
        <v>1165</v>
      </c>
      <c r="B826" s="3" t="s">
        <v>315</v>
      </c>
      <c r="C826" s="4" t="s">
        <v>18</v>
      </c>
      <c r="D826" s="5" t="n">
        <v>9182</v>
      </c>
      <c r="E826" s="6" t="n">
        <v>95</v>
      </c>
      <c r="F826" s="7" t="n">
        <v>49</v>
      </c>
      <c r="G826" s="6" t="n">
        <v>175.363071045623</v>
      </c>
      <c r="H826" s="8" t="n">
        <v>263039.787782782</v>
      </c>
      <c r="I826" s="9" t="n">
        <v>9.72568706473583</v>
      </c>
      <c r="J826" s="9" t="n">
        <v>17.0969455478131</v>
      </c>
      <c r="K826" s="3" t="s">
        <v>316</v>
      </c>
      <c r="L826" s="3" t="s">
        <v>317</v>
      </c>
      <c r="M826" s="7" t="n">
        <v>2018</v>
      </c>
    </row>
    <row r="827" customFormat="false" ht="15" hidden="false" customHeight="false" outlineLevel="0" collapsed="false">
      <c r="A827" s="3" t="n">
        <v>1166</v>
      </c>
      <c r="B827" s="3" t="s">
        <v>315</v>
      </c>
      <c r="C827" s="4" t="s">
        <v>19</v>
      </c>
      <c r="D827" s="5" t="n">
        <v>9201</v>
      </c>
      <c r="E827" s="6" t="n">
        <v>95</v>
      </c>
      <c r="F827" s="7" t="n">
        <v>56</v>
      </c>
      <c r="G827" s="6" t="n">
        <v>126.523821520964</v>
      </c>
      <c r="H827" s="8" t="n">
        <v>189782.255545026</v>
      </c>
      <c r="I827" s="9" t="n">
        <v>8.06031637564559</v>
      </c>
      <c r="J827" s="9" t="n">
        <v>12.3099118963502</v>
      </c>
      <c r="K827" s="3" t="s">
        <v>316</v>
      </c>
      <c r="L827" s="3" t="s">
        <v>317</v>
      </c>
      <c r="M827" s="7" t="n">
        <v>2019</v>
      </c>
    </row>
    <row r="828" customFormat="false" ht="15" hidden="false" customHeight="false" outlineLevel="0" collapsed="false">
      <c r="A828" s="3" t="n">
        <v>1167</v>
      </c>
      <c r="B828" s="3" t="s">
        <v>315</v>
      </c>
      <c r="C828" s="4" t="s">
        <v>20</v>
      </c>
      <c r="D828" s="5" t="n">
        <v>9112</v>
      </c>
      <c r="E828" s="6" t="n">
        <v>95</v>
      </c>
      <c r="F828" s="7" t="n">
        <v>54</v>
      </c>
      <c r="G828" s="6" t="n">
        <v>269.460508333333</v>
      </c>
      <c r="H828" s="8" t="n">
        <v>128554.219315667</v>
      </c>
      <c r="I828" s="9" t="n">
        <v>9.55721857547608</v>
      </c>
      <c r="J828" s="9" t="n">
        <v>26.400223730539</v>
      </c>
      <c r="K828" s="3" t="s">
        <v>316</v>
      </c>
      <c r="L828" s="3" t="s">
        <v>317</v>
      </c>
      <c r="M828" s="7" t="n">
        <v>2020</v>
      </c>
    </row>
    <row r="829" customFormat="false" ht="15" hidden="false" customHeight="false" outlineLevel="0" collapsed="false">
      <c r="A829" s="3" t="n">
        <v>1168</v>
      </c>
      <c r="B829" s="3" t="s">
        <v>315</v>
      </c>
      <c r="C829" s="4" t="s">
        <v>21</v>
      </c>
      <c r="D829" s="5" t="n">
        <v>9112</v>
      </c>
      <c r="E829" s="6" t="n">
        <v>95</v>
      </c>
      <c r="F829" s="7" t="n">
        <v>57</v>
      </c>
      <c r="G829" s="6" t="n">
        <v>18.5197825946277</v>
      </c>
      <c r="H829" s="8" t="n">
        <v>34124.3291714699</v>
      </c>
      <c r="I829" s="9" t="n">
        <v>2.23160976322311</v>
      </c>
      <c r="J829" s="9" t="n">
        <v>1.81944883641003</v>
      </c>
      <c r="K829" s="3" t="s">
        <v>316</v>
      </c>
      <c r="L829" s="3" t="s">
        <v>317</v>
      </c>
      <c r="M829" s="7" t="n">
        <v>2021</v>
      </c>
    </row>
    <row r="830" customFormat="false" ht="15" hidden="false" customHeight="false" outlineLevel="0" collapsed="false">
      <c r="A830" s="3" t="n">
        <v>1169</v>
      </c>
      <c r="B830" s="3" t="s">
        <v>315</v>
      </c>
      <c r="C830" s="4" t="s">
        <v>22</v>
      </c>
      <c r="D830" s="5" t="n">
        <v>9238</v>
      </c>
      <c r="E830" s="6" t="n">
        <v>95</v>
      </c>
      <c r="F830" s="7" t="n">
        <v>59</v>
      </c>
      <c r="G830" s="6" t="n">
        <v>316.554249500265</v>
      </c>
      <c r="H830" s="8" t="n">
        <v>166672.14344688</v>
      </c>
      <c r="I830" s="9" t="n">
        <v>8.10186216472687</v>
      </c>
      <c r="J830" s="9" t="n">
        <v>30.6752326016974</v>
      </c>
      <c r="K830" s="3" t="s">
        <v>316</v>
      </c>
      <c r="L830" s="3" t="s">
        <v>317</v>
      </c>
      <c r="M830" s="7" t="n">
        <v>2022</v>
      </c>
    </row>
    <row r="831" customFormat="false" ht="15" hidden="false" customHeight="false" outlineLevel="0" collapsed="false">
      <c r="A831" s="3" t="n">
        <v>1170</v>
      </c>
      <c r="B831" s="3" t="s">
        <v>318</v>
      </c>
      <c r="C831" s="4" t="s">
        <v>41</v>
      </c>
      <c r="D831" s="5" t="n">
        <v>13681</v>
      </c>
      <c r="E831" s="6" t="n">
        <v>105.9</v>
      </c>
      <c r="F831" s="7" t="n">
        <v>61</v>
      </c>
      <c r="G831" s="6" t="n">
        <v>119.355748726462</v>
      </c>
      <c r="H831" s="8" t="n">
        <v>206853.061002857</v>
      </c>
      <c r="I831" s="9" t="n">
        <v>5.25387664458685</v>
      </c>
      <c r="J831" s="9" t="n">
        <v>7.80985863892941</v>
      </c>
      <c r="K831" s="3" t="s">
        <v>319</v>
      </c>
      <c r="L831" s="3" t="s">
        <v>320</v>
      </c>
      <c r="M831" s="7" t="n">
        <v>2016</v>
      </c>
    </row>
    <row r="832" customFormat="false" ht="15" hidden="false" customHeight="false" outlineLevel="0" collapsed="false">
      <c r="A832" s="3" t="n">
        <v>1171</v>
      </c>
      <c r="B832" s="3" t="s">
        <v>318</v>
      </c>
      <c r="C832" s="4" t="s">
        <v>42</v>
      </c>
      <c r="D832" s="5" t="n">
        <v>13603</v>
      </c>
      <c r="E832" s="6" t="n">
        <v>105.9</v>
      </c>
      <c r="F832" s="7" t="n">
        <v>65</v>
      </c>
      <c r="G832" s="6" t="n">
        <v>34.0673005168579</v>
      </c>
      <c r="H832" s="8" t="n">
        <v>78056.9067130538</v>
      </c>
      <c r="I832" s="9" t="n">
        <v>3.46229890703674</v>
      </c>
      <c r="J832" s="9" t="n">
        <v>2.24192302859798</v>
      </c>
      <c r="K832" s="3" t="s">
        <v>319</v>
      </c>
      <c r="L832" s="3" t="s">
        <v>320</v>
      </c>
      <c r="M832" s="7" t="n">
        <v>2017</v>
      </c>
    </row>
    <row r="833" customFormat="false" ht="15" hidden="false" customHeight="false" outlineLevel="0" collapsed="false">
      <c r="A833" s="3" t="n">
        <v>1172</v>
      </c>
      <c r="B833" s="3" t="s">
        <v>318</v>
      </c>
      <c r="C833" s="4" t="s">
        <v>43</v>
      </c>
      <c r="D833" s="5" t="n">
        <v>13609</v>
      </c>
      <c r="E833" s="6" t="n">
        <v>106.5</v>
      </c>
      <c r="F833" s="7" t="n">
        <v>65</v>
      </c>
      <c r="G833" s="6" t="n">
        <v>12.7478843104873</v>
      </c>
      <c r="H833" s="8" t="n">
        <v>23766.7475761746</v>
      </c>
      <c r="I833" s="9" t="n">
        <v>3.02325511022568</v>
      </c>
      <c r="J833" s="9" t="n">
        <v>0.838551179055028</v>
      </c>
      <c r="K833" s="3" t="s">
        <v>319</v>
      </c>
      <c r="L833" s="3" t="s">
        <v>320</v>
      </c>
      <c r="M833" s="7" t="n">
        <v>2018</v>
      </c>
    </row>
    <row r="834" customFormat="false" ht="15" hidden="false" customHeight="false" outlineLevel="0" collapsed="false">
      <c r="A834" s="3" t="n">
        <v>1173</v>
      </c>
      <c r="B834" s="3" t="s">
        <v>318</v>
      </c>
      <c r="C834" s="4" t="s">
        <v>44</v>
      </c>
      <c r="D834" s="5" t="n">
        <v>13797</v>
      </c>
      <c r="E834" s="6" t="n">
        <v>106.5</v>
      </c>
      <c r="F834" s="7" t="n">
        <v>62</v>
      </c>
      <c r="G834" s="6" t="n">
        <v>64.9828968198656</v>
      </c>
      <c r="H834" s="8" t="n">
        <v>69141.802216337</v>
      </c>
      <c r="I834" s="9" t="n">
        <v>3.89974958369808</v>
      </c>
      <c r="J834" s="9" t="n">
        <v>4.20475404354332</v>
      </c>
      <c r="K834" s="3" t="s">
        <v>319</v>
      </c>
      <c r="L834" s="3" t="s">
        <v>320</v>
      </c>
      <c r="M834" s="7" t="n">
        <v>2019</v>
      </c>
    </row>
    <row r="835" customFormat="false" ht="15" hidden="false" customHeight="false" outlineLevel="0" collapsed="false">
      <c r="A835" s="3" t="n">
        <v>1174</v>
      </c>
      <c r="B835" s="3" t="s">
        <v>318</v>
      </c>
      <c r="C835" s="4" t="s">
        <v>45</v>
      </c>
      <c r="D835" s="5" t="n">
        <v>13733</v>
      </c>
      <c r="E835" s="6" t="n">
        <v>140</v>
      </c>
      <c r="F835" s="7" t="n">
        <v>65</v>
      </c>
      <c r="G835" s="6" t="n">
        <v>284.256970731941</v>
      </c>
      <c r="H835" s="8" t="n">
        <v>456965.821009253</v>
      </c>
      <c r="I835" s="9" t="n">
        <v>8.40303884238002</v>
      </c>
      <c r="J835" s="9" t="n">
        <v>18.5294862399254</v>
      </c>
      <c r="K835" s="3" t="s">
        <v>319</v>
      </c>
      <c r="L835" s="3" t="s">
        <v>320</v>
      </c>
      <c r="M835" s="7" t="n">
        <v>2020</v>
      </c>
    </row>
    <row r="836" customFormat="false" ht="15" hidden="false" customHeight="false" outlineLevel="0" collapsed="false">
      <c r="A836" s="3" t="n">
        <v>1175</v>
      </c>
      <c r="B836" s="3" t="s">
        <v>318</v>
      </c>
      <c r="C836" s="4" t="s">
        <v>46</v>
      </c>
      <c r="D836" s="5" t="n">
        <v>13666</v>
      </c>
      <c r="E836" s="6" t="n">
        <v>140</v>
      </c>
      <c r="F836" s="7" t="n">
        <v>67</v>
      </c>
      <c r="G836" s="6" t="n">
        <v>-57.673737373738</v>
      </c>
      <c r="H836" s="8" t="n">
        <v>-81667.5342150181</v>
      </c>
      <c r="I836" s="9" t="n">
        <v>0.530222693531275</v>
      </c>
      <c r="J836" s="9" t="n">
        <v>-3.7779338868118</v>
      </c>
      <c r="K836" s="3" t="s">
        <v>319</v>
      </c>
      <c r="L836" s="3" t="s">
        <v>320</v>
      </c>
      <c r="M836" s="7" t="n">
        <v>2021</v>
      </c>
    </row>
    <row r="837" customFormat="false" ht="15" hidden="false" customHeight="false" outlineLevel="0" collapsed="false">
      <c r="A837" s="3" t="n">
        <v>1176</v>
      </c>
      <c r="B837" s="3" t="s">
        <v>318</v>
      </c>
      <c r="C837" s="4" t="s">
        <v>47</v>
      </c>
      <c r="D837" s="5" t="n">
        <v>13681</v>
      </c>
      <c r="E837" s="6" t="n">
        <v>140</v>
      </c>
      <c r="F837" s="7" t="n">
        <v>67</v>
      </c>
      <c r="G837" s="6" t="n">
        <v>237.525646782332</v>
      </c>
      <c r="H837" s="8" t="n">
        <v>231334.539926615</v>
      </c>
      <c r="I837" s="9" t="n">
        <v>7.15653465079758</v>
      </c>
      <c r="J837" s="9" t="n">
        <v>15.5421229750873</v>
      </c>
      <c r="K837" s="3" t="s">
        <v>319</v>
      </c>
      <c r="L837" s="3" t="s">
        <v>320</v>
      </c>
      <c r="M837" s="7" t="n">
        <v>2022</v>
      </c>
    </row>
    <row r="838" customFormat="false" ht="15" hidden="false" customHeight="false" outlineLevel="0" collapsed="false">
      <c r="A838" s="3" t="n">
        <v>1177</v>
      </c>
      <c r="B838" s="3" t="s">
        <v>318</v>
      </c>
      <c r="C838" s="4" t="s">
        <v>48</v>
      </c>
      <c r="D838" s="5" t="n">
        <v>13715</v>
      </c>
      <c r="E838" s="6" t="n">
        <v>113</v>
      </c>
      <c r="F838" s="7" t="n">
        <v>67</v>
      </c>
      <c r="G838" s="6" t="n">
        <v>190.681102272727</v>
      </c>
      <c r="H838" s="8" t="n">
        <v>358051.630473715</v>
      </c>
      <c r="I838" s="9" t="n">
        <v>6.15090226131602</v>
      </c>
      <c r="J838" s="9" t="n">
        <v>12.4118933587703</v>
      </c>
      <c r="K838" s="3" t="s">
        <v>319</v>
      </c>
      <c r="L838" s="3" t="s">
        <v>320</v>
      </c>
      <c r="M838" s="7" t="n">
        <v>2023</v>
      </c>
    </row>
    <row r="839" customFormat="false" ht="15" hidden="false" customHeight="false" outlineLevel="0" collapsed="false">
      <c r="A839" s="3" t="n">
        <v>1178</v>
      </c>
      <c r="B839" s="3" t="s">
        <v>318</v>
      </c>
      <c r="C839" s="4" t="s">
        <v>49</v>
      </c>
      <c r="D839" s="5" t="n">
        <v>13715</v>
      </c>
      <c r="E839" s="6" t="n">
        <v>113</v>
      </c>
      <c r="F839" s="7" t="n">
        <v>55</v>
      </c>
      <c r="G839" s="6" t="n">
        <v>122.773807070708</v>
      </c>
      <c r="H839" s="8" t="n">
        <v>235357.388154546</v>
      </c>
      <c r="I839" s="9" t="n">
        <v>4.50139121749367</v>
      </c>
      <c r="J839" s="9" t="n">
        <v>8.01359861221116</v>
      </c>
      <c r="K839" s="3" t="s">
        <v>319</v>
      </c>
      <c r="L839" s="3" t="s">
        <v>320</v>
      </c>
      <c r="M839" s="7" t="n">
        <v>2024</v>
      </c>
    </row>
    <row r="840" customFormat="false" ht="15" hidden="false" customHeight="false" outlineLevel="0" collapsed="false">
      <c r="A840" s="3" t="n">
        <v>1179</v>
      </c>
      <c r="B840" s="3" t="s">
        <v>321</v>
      </c>
      <c r="C840" s="4" t="s">
        <v>14</v>
      </c>
      <c r="D840" s="5" t="n">
        <v>9746</v>
      </c>
      <c r="E840" s="6" t="n">
        <v>84.5</v>
      </c>
      <c r="F840" s="7" t="n">
        <v>57</v>
      </c>
      <c r="G840" s="6" t="n">
        <v>189.907138013194</v>
      </c>
      <c r="H840" s="8" t="n">
        <v>29226.6824768656</v>
      </c>
      <c r="I840" s="9" t="n">
        <v>5.6378213375182</v>
      </c>
      <c r="J840" s="9" t="n">
        <v>17.3956665969705</v>
      </c>
      <c r="K840" s="3" t="s">
        <v>322</v>
      </c>
      <c r="L840" s="3" t="s">
        <v>323</v>
      </c>
      <c r="M840" s="7" t="n">
        <v>2016</v>
      </c>
    </row>
    <row r="841" customFormat="false" ht="15" hidden="false" customHeight="false" outlineLevel="0" collapsed="false">
      <c r="A841" s="3" t="n">
        <v>1180</v>
      </c>
      <c r="B841" s="3" t="s">
        <v>321</v>
      </c>
      <c r="C841" s="4" t="s">
        <v>17</v>
      </c>
      <c r="D841" s="5" t="n">
        <v>9795</v>
      </c>
      <c r="E841" s="6" t="n">
        <v>84.5</v>
      </c>
      <c r="F841" s="7" t="n">
        <v>54</v>
      </c>
      <c r="G841" s="6" t="n">
        <v>174.477424742169</v>
      </c>
      <c r="H841" s="8" t="n">
        <v>24457.8645484989</v>
      </c>
      <c r="I841" s="9" t="n">
        <v>5.66841583481861</v>
      </c>
      <c r="J841" s="9" t="n">
        <v>15.9460263224847</v>
      </c>
      <c r="K841" s="3" t="s">
        <v>322</v>
      </c>
      <c r="L841" s="3" t="s">
        <v>323</v>
      </c>
      <c r="M841" s="7" t="n">
        <v>2017</v>
      </c>
    </row>
    <row r="842" customFormat="false" ht="15" hidden="false" customHeight="false" outlineLevel="0" collapsed="false">
      <c r="A842" s="3" t="n">
        <v>1181</v>
      </c>
      <c r="B842" s="3" t="s">
        <v>321</v>
      </c>
      <c r="C842" s="4" t="s">
        <v>18</v>
      </c>
      <c r="D842" s="5" t="n">
        <v>9495</v>
      </c>
      <c r="E842" s="6" t="n">
        <v>156.92</v>
      </c>
      <c r="F842" s="7" t="n">
        <v>64</v>
      </c>
      <c r="G842" s="6" t="n">
        <v>218.083698820116</v>
      </c>
      <c r="H842" s="8" t="n">
        <v>76436.3183305993</v>
      </c>
      <c r="I842" s="9" t="n">
        <v>5.69689120466789</v>
      </c>
      <c r="J842" s="9" t="n">
        <v>20.5610793836645</v>
      </c>
      <c r="K842" s="3" t="s">
        <v>322</v>
      </c>
      <c r="L842" s="3" t="s">
        <v>323</v>
      </c>
      <c r="M842" s="7" t="n">
        <v>2018</v>
      </c>
    </row>
    <row r="843" customFormat="false" ht="15" hidden="false" customHeight="false" outlineLevel="0" collapsed="false">
      <c r="A843" s="3" t="n">
        <v>1182</v>
      </c>
      <c r="B843" s="3" t="s">
        <v>321</v>
      </c>
      <c r="C843" s="4" t="s">
        <v>19</v>
      </c>
      <c r="D843" s="5" t="n">
        <v>10224</v>
      </c>
      <c r="E843" s="6" t="n">
        <v>159</v>
      </c>
      <c r="F843" s="7" t="n">
        <v>64</v>
      </c>
      <c r="G843" s="6" t="n">
        <v>208.888874019121</v>
      </c>
      <c r="H843" s="8" t="n">
        <v>74646.638348335</v>
      </c>
      <c r="I843" s="9" t="n">
        <v>5.7045215703504</v>
      </c>
      <c r="J843" s="9" t="n">
        <v>18.2899341798668</v>
      </c>
      <c r="K843" s="3" t="s">
        <v>322</v>
      </c>
      <c r="L843" s="3" t="s">
        <v>323</v>
      </c>
      <c r="M843" s="7" t="n">
        <v>2019</v>
      </c>
    </row>
    <row r="844" customFormat="false" ht="15" hidden="false" customHeight="false" outlineLevel="0" collapsed="false">
      <c r="A844" s="3" t="n">
        <v>1183</v>
      </c>
      <c r="B844" s="3" t="s">
        <v>321</v>
      </c>
      <c r="C844" s="4" t="s">
        <v>20</v>
      </c>
      <c r="D844" s="5" t="n">
        <v>10224</v>
      </c>
      <c r="E844" s="6" t="n">
        <v>113.9</v>
      </c>
      <c r="F844" s="7" t="n">
        <v>71</v>
      </c>
      <c r="G844" s="6" t="n">
        <v>22.4869602469588</v>
      </c>
      <c r="H844" s="8" t="n">
        <v>8035.73669009519</v>
      </c>
      <c r="I844" s="9" t="n">
        <v>2.79141700254543</v>
      </c>
      <c r="J844" s="9" t="n">
        <v>1.96352350725443</v>
      </c>
      <c r="K844" s="3" t="s">
        <v>322</v>
      </c>
      <c r="L844" s="3" t="s">
        <v>323</v>
      </c>
      <c r="M844" s="7" t="n">
        <v>2020</v>
      </c>
    </row>
    <row r="845" customFormat="false" ht="15" hidden="false" customHeight="false" outlineLevel="0" collapsed="false">
      <c r="A845" s="3" t="n">
        <v>1184</v>
      </c>
      <c r="B845" s="3" t="s">
        <v>321</v>
      </c>
      <c r="C845" s="4" t="s">
        <v>22</v>
      </c>
      <c r="D845" s="5" t="n">
        <v>10265</v>
      </c>
      <c r="E845" s="6" t="n">
        <v>113.9</v>
      </c>
      <c r="F845" s="7" t="n">
        <v>65</v>
      </c>
      <c r="G845" s="6" t="n">
        <v>13.9006137542439</v>
      </c>
      <c r="H845" s="8" t="n">
        <v>6154.49630672523</v>
      </c>
      <c r="I845" s="9" t="n">
        <v>0.916141641454462</v>
      </c>
      <c r="J845" s="9" t="n">
        <v>1.21225140706287</v>
      </c>
      <c r="K845" s="3" t="s">
        <v>322</v>
      </c>
      <c r="L845" s="3" t="s">
        <v>323</v>
      </c>
      <c r="M845" s="7" t="n">
        <v>2022</v>
      </c>
    </row>
    <row r="846" customFormat="false" ht="15" hidden="false" customHeight="false" outlineLevel="0" collapsed="false">
      <c r="A846" s="3" t="n">
        <v>1185</v>
      </c>
      <c r="B846" s="3" t="s">
        <v>321</v>
      </c>
      <c r="C846" s="4" t="s">
        <v>23</v>
      </c>
      <c r="D846" s="5" t="n">
        <v>10265</v>
      </c>
      <c r="E846" s="6" t="n">
        <v>113.9</v>
      </c>
      <c r="F846" s="7" t="n">
        <v>65</v>
      </c>
      <c r="G846" s="6" t="n">
        <v>80.2566666045127</v>
      </c>
      <c r="H846" s="8" t="n">
        <v>35533.6366393714</v>
      </c>
      <c r="I846" s="9" t="n">
        <v>2.09349518339405</v>
      </c>
      <c r="J846" s="9" t="n">
        <v>6.99906196500085</v>
      </c>
      <c r="K846" s="3" t="s">
        <v>322</v>
      </c>
      <c r="L846" s="3" t="s">
        <v>323</v>
      </c>
      <c r="M846" s="7" t="n">
        <v>2023</v>
      </c>
    </row>
    <row r="847" customFormat="false" ht="15" hidden="false" customHeight="false" outlineLevel="0" collapsed="false">
      <c r="A847" s="3" t="n">
        <v>1186</v>
      </c>
      <c r="B847" s="3" t="s">
        <v>321</v>
      </c>
      <c r="C847" s="4" t="s">
        <v>24</v>
      </c>
      <c r="D847" s="5" t="n">
        <v>9864</v>
      </c>
      <c r="E847" s="6" t="n">
        <v>113.9</v>
      </c>
      <c r="F847" s="7" t="n">
        <v>63</v>
      </c>
      <c r="G847" s="6" t="n">
        <v>160.697682110603</v>
      </c>
      <c r="H847" s="8" t="n">
        <v>81714.7990155648</v>
      </c>
      <c r="I847" s="9" t="n">
        <v>3.38066488145777</v>
      </c>
      <c r="J847" s="9" t="n">
        <v>14.5439623852676</v>
      </c>
      <c r="K847" s="3" t="s">
        <v>322</v>
      </c>
      <c r="L847" s="3" t="s">
        <v>323</v>
      </c>
      <c r="M847" s="7" t="n">
        <v>2024</v>
      </c>
    </row>
    <row r="848" customFormat="false" ht="15" hidden="false" customHeight="false" outlineLevel="0" collapsed="false">
      <c r="A848" s="3" t="n">
        <v>1187</v>
      </c>
      <c r="B848" s="3" t="s">
        <v>324</v>
      </c>
      <c r="C848" s="4" t="s">
        <v>41</v>
      </c>
      <c r="D848" s="5" t="n">
        <v>3888</v>
      </c>
      <c r="E848" s="6" t="n">
        <v>45.3</v>
      </c>
      <c r="F848" s="7" t="n">
        <v>54</v>
      </c>
      <c r="G848" s="6" t="n">
        <v>246.181742680413</v>
      </c>
      <c r="H848" s="8" t="n">
        <v>138846.502871753</v>
      </c>
      <c r="I848" s="9" t="n">
        <v>11.7359290814204</v>
      </c>
      <c r="J848" s="9" t="n">
        <v>56.6822733192546</v>
      </c>
      <c r="K848" s="3" t="s">
        <v>325</v>
      </c>
      <c r="L848" s="3" t="s">
        <v>326</v>
      </c>
      <c r="M848" s="7" t="n">
        <v>2016</v>
      </c>
    </row>
    <row r="849" customFormat="false" ht="15" hidden="false" customHeight="false" outlineLevel="0" collapsed="false">
      <c r="A849" s="3" t="n">
        <v>1188</v>
      </c>
      <c r="B849" s="3" t="s">
        <v>324</v>
      </c>
      <c r="C849" s="4" t="s">
        <v>42</v>
      </c>
      <c r="D849" s="5" t="n">
        <v>4017</v>
      </c>
      <c r="E849" s="6" t="n">
        <v>46.3</v>
      </c>
      <c r="F849" s="7" t="n">
        <v>63</v>
      </c>
      <c r="G849" s="6" t="n">
        <v>154.563568157895</v>
      </c>
      <c r="H849" s="8" t="n">
        <v>87334.5985519369</v>
      </c>
      <c r="I849" s="9" t="n">
        <v>11.2458892558612</v>
      </c>
      <c r="J849" s="9" t="n">
        <v>34.444745304857</v>
      </c>
      <c r="K849" s="3" t="s">
        <v>325</v>
      </c>
      <c r="L849" s="3" t="s">
        <v>326</v>
      </c>
      <c r="M849" s="7" t="n">
        <v>2017</v>
      </c>
    </row>
    <row r="850" customFormat="false" ht="15" hidden="false" customHeight="false" outlineLevel="0" collapsed="false">
      <c r="A850" s="3" t="n">
        <v>1189</v>
      </c>
      <c r="B850" s="3" t="s">
        <v>324</v>
      </c>
      <c r="C850" s="4" t="s">
        <v>43</v>
      </c>
      <c r="D850" s="5" t="n">
        <v>4060</v>
      </c>
      <c r="E850" s="6" t="n">
        <v>46.3</v>
      </c>
      <c r="F850" s="7" t="n">
        <v>57</v>
      </c>
      <c r="G850" s="6" t="n">
        <v>120.638696154848</v>
      </c>
      <c r="H850" s="8" t="n">
        <v>65996.1322944079</v>
      </c>
      <c r="I850" s="9" t="n">
        <v>10.2076247041054</v>
      </c>
      <c r="J850" s="9" t="n">
        <v>26.5997941460194</v>
      </c>
      <c r="K850" s="3" t="s">
        <v>325</v>
      </c>
      <c r="L850" s="3" t="s">
        <v>326</v>
      </c>
      <c r="M850" s="7" t="n">
        <v>2018</v>
      </c>
    </row>
    <row r="851" customFormat="false" ht="15" hidden="false" customHeight="false" outlineLevel="0" collapsed="false">
      <c r="A851" s="3" t="n">
        <v>1190</v>
      </c>
      <c r="B851" s="3" t="s">
        <v>324</v>
      </c>
      <c r="C851" s="4" t="s">
        <v>44</v>
      </c>
      <c r="D851" s="5" t="n">
        <v>4077</v>
      </c>
      <c r="E851" s="6" t="n">
        <v>46.3</v>
      </c>
      <c r="F851" s="7" t="n">
        <v>67</v>
      </c>
      <c r="G851" s="6" t="n">
        <v>143.975482631579</v>
      </c>
      <c r="H851" s="8" t="n">
        <v>127162.025769864</v>
      </c>
      <c r="I851" s="9" t="n">
        <v>10.9247898934381</v>
      </c>
      <c r="J851" s="9" t="n">
        <v>31.526374140926</v>
      </c>
      <c r="K851" s="3" t="s">
        <v>325</v>
      </c>
      <c r="L851" s="3" t="s">
        <v>326</v>
      </c>
      <c r="M851" s="7" t="n">
        <v>2019</v>
      </c>
    </row>
    <row r="852" customFormat="false" ht="15" hidden="false" customHeight="false" outlineLevel="0" collapsed="false">
      <c r="A852" s="3" t="n">
        <v>1191</v>
      </c>
      <c r="B852" s="3" t="s">
        <v>324</v>
      </c>
      <c r="C852" s="4" t="s">
        <v>45</v>
      </c>
      <c r="D852" s="5" t="n">
        <v>4099</v>
      </c>
      <c r="E852" s="6" t="n">
        <v>46.3</v>
      </c>
      <c r="F852" s="7" t="n">
        <v>68</v>
      </c>
      <c r="G852" s="6" t="n">
        <v>150.451168418206</v>
      </c>
      <c r="H852" s="8" t="n">
        <v>143665.820722545</v>
      </c>
      <c r="I852" s="9" t="n">
        <v>11.3285492888924</v>
      </c>
      <c r="J852" s="9" t="n">
        <v>32.8575608633041</v>
      </c>
      <c r="K852" s="3" t="s">
        <v>325</v>
      </c>
      <c r="L852" s="3" t="s">
        <v>326</v>
      </c>
      <c r="M852" s="7" t="n">
        <v>2020</v>
      </c>
    </row>
    <row r="853" customFormat="false" ht="15" hidden="false" customHeight="false" outlineLevel="0" collapsed="false">
      <c r="A853" s="3" t="n">
        <v>1192</v>
      </c>
      <c r="B853" s="3" t="s">
        <v>324</v>
      </c>
      <c r="C853" s="4" t="s">
        <v>46</v>
      </c>
      <c r="D853" s="5" t="n">
        <v>4110</v>
      </c>
      <c r="E853" s="6" t="n">
        <v>46.3</v>
      </c>
      <c r="F853" s="7" t="n">
        <v>68</v>
      </c>
      <c r="G853" s="6" t="n">
        <v>113.592083068783</v>
      </c>
      <c r="H853" s="8" t="n">
        <v>107960.187590233</v>
      </c>
      <c r="I853" s="9" t="n">
        <v>10.4416069697969</v>
      </c>
      <c r="J853" s="9" t="n">
        <v>24.7413798160785</v>
      </c>
      <c r="K853" s="3" t="s">
        <v>325</v>
      </c>
      <c r="L853" s="3" t="s">
        <v>326</v>
      </c>
      <c r="M853" s="7" t="n">
        <v>2021</v>
      </c>
    </row>
    <row r="854" customFormat="false" ht="15" hidden="false" customHeight="false" outlineLevel="0" collapsed="false">
      <c r="A854" s="3" t="n">
        <v>1193</v>
      </c>
      <c r="B854" s="3" t="s">
        <v>324</v>
      </c>
      <c r="C854" s="4" t="s">
        <v>47</v>
      </c>
      <c r="D854" s="5" t="n">
        <v>4032</v>
      </c>
      <c r="E854" s="6" t="n">
        <v>46.3</v>
      </c>
      <c r="F854" s="7" t="n">
        <v>61</v>
      </c>
      <c r="G854" s="6" t="n">
        <v>39.1873470092842</v>
      </c>
      <c r="H854" s="8" t="n">
        <v>41675.7435443737</v>
      </c>
      <c r="I854" s="9" t="n">
        <v>7.79670110640048</v>
      </c>
      <c r="J854" s="9" t="n">
        <v>8.70047600672795</v>
      </c>
      <c r="K854" s="3" t="s">
        <v>325</v>
      </c>
      <c r="L854" s="3" t="s">
        <v>326</v>
      </c>
      <c r="M854" s="7" t="n">
        <v>2022</v>
      </c>
    </row>
    <row r="855" customFormat="false" ht="15" hidden="false" customHeight="false" outlineLevel="0" collapsed="false">
      <c r="A855" s="3" t="n">
        <v>1194</v>
      </c>
      <c r="B855" s="3" t="s">
        <v>324</v>
      </c>
      <c r="C855" s="4" t="s">
        <v>48</v>
      </c>
      <c r="D855" s="5" t="n">
        <v>4013</v>
      </c>
      <c r="E855" s="6" t="n">
        <v>46.3</v>
      </c>
      <c r="F855" s="7" t="n">
        <v>64</v>
      </c>
      <c r="G855" s="6" t="n">
        <v>104.795410797872</v>
      </c>
      <c r="H855" s="8" t="n">
        <v>108764.013004787</v>
      </c>
      <c r="I855" s="9" t="n">
        <v>10.2131235064801</v>
      </c>
      <c r="J855" s="9" t="n">
        <v>23.3130609108735</v>
      </c>
      <c r="K855" s="3" t="s">
        <v>325</v>
      </c>
      <c r="L855" s="3" t="s">
        <v>326</v>
      </c>
      <c r="M855" s="7" t="n">
        <v>2023</v>
      </c>
    </row>
    <row r="856" customFormat="false" ht="15" hidden="false" customHeight="false" outlineLevel="0" collapsed="false">
      <c r="A856" s="3" t="n">
        <v>1195</v>
      </c>
      <c r="B856" s="3" t="s">
        <v>324</v>
      </c>
      <c r="C856" s="4" t="s">
        <v>49</v>
      </c>
      <c r="D856" s="5" t="n">
        <v>4027</v>
      </c>
      <c r="E856" s="6" t="n">
        <v>46.3</v>
      </c>
      <c r="F856" s="7" t="n">
        <v>65</v>
      </c>
      <c r="G856" s="6" t="n">
        <v>126.425795</v>
      </c>
      <c r="H856" s="8" t="n">
        <v>133157.96858375</v>
      </c>
      <c r="I856" s="9" t="n">
        <v>10.8517022028912</v>
      </c>
      <c r="J856" s="9" t="n">
        <v>28.1042330522715</v>
      </c>
      <c r="K856" s="3" t="s">
        <v>325</v>
      </c>
      <c r="L856" s="3" t="s">
        <v>326</v>
      </c>
      <c r="M856" s="7" t="n">
        <v>2024</v>
      </c>
    </row>
    <row r="857" customFormat="false" ht="15" hidden="false" customHeight="false" outlineLevel="0" collapsed="false">
      <c r="A857" s="3" t="n">
        <v>1196</v>
      </c>
      <c r="B857" s="3" t="s">
        <v>327</v>
      </c>
      <c r="C857" s="4" t="s">
        <v>14</v>
      </c>
      <c r="D857" s="5" t="n">
        <v>13491</v>
      </c>
      <c r="E857" s="6" t="n">
        <v>134</v>
      </c>
      <c r="F857" s="7" t="n">
        <v>66</v>
      </c>
      <c r="G857" s="6" t="n">
        <v>357.191978516329</v>
      </c>
      <c r="H857" s="8" t="n">
        <v>17924.2668289474</v>
      </c>
      <c r="I857" s="9" t="n">
        <v>5.72745361612414</v>
      </c>
      <c r="J857" s="9" t="n">
        <v>23.6365315875778</v>
      </c>
      <c r="K857" s="3" t="s">
        <v>328</v>
      </c>
      <c r="L857" s="3" t="s">
        <v>329</v>
      </c>
      <c r="M857" s="7" t="n">
        <v>2016</v>
      </c>
    </row>
    <row r="858" customFormat="false" ht="15" hidden="false" customHeight="false" outlineLevel="0" collapsed="false">
      <c r="A858" s="3" t="n">
        <v>1197</v>
      </c>
      <c r="B858" s="3" t="s">
        <v>327</v>
      </c>
      <c r="C858" s="4" t="s">
        <v>17</v>
      </c>
      <c r="D858" s="5" t="n">
        <v>13586</v>
      </c>
      <c r="E858" s="6" t="n">
        <v>136.6</v>
      </c>
      <c r="F858" s="7" t="n">
        <v>68</v>
      </c>
      <c r="G858" s="6" t="n">
        <v>528.872751648205</v>
      </c>
      <c r="H858" s="8" t="n">
        <v>190135.042945046</v>
      </c>
      <c r="I858" s="9" t="n">
        <v>8.02472300742977</v>
      </c>
      <c r="J858" s="9" t="n">
        <v>34.847951712841</v>
      </c>
      <c r="K858" s="3" t="s">
        <v>328</v>
      </c>
      <c r="L858" s="3" t="s">
        <v>329</v>
      </c>
      <c r="M858" s="7" t="n">
        <v>2017</v>
      </c>
    </row>
    <row r="859" customFormat="false" ht="15" hidden="false" customHeight="false" outlineLevel="0" collapsed="false">
      <c r="A859" s="3" t="n">
        <v>1198</v>
      </c>
      <c r="B859" s="3" t="s">
        <v>327</v>
      </c>
      <c r="C859" s="4" t="s">
        <v>18</v>
      </c>
      <c r="D859" s="5" t="n">
        <v>13630</v>
      </c>
      <c r="E859" s="6" t="n">
        <v>136.6</v>
      </c>
      <c r="F859" s="7" t="n">
        <v>68</v>
      </c>
      <c r="G859" s="6" t="n">
        <v>603.394367245814</v>
      </c>
      <c r="H859" s="8" t="n">
        <v>330599.773813982</v>
      </c>
      <c r="I859" s="9" t="n">
        <v>9.22033222041699</v>
      </c>
      <c r="J859" s="9" t="n">
        <v>39.6299085649415</v>
      </c>
      <c r="K859" s="3" t="s">
        <v>328</v>
      </c>
      <c r="L859" s="3" t="s">
        <v>329</v>
      </c>
      <c r="M859" s="7" t="n">
        <v>2018</v>
      </c>
    </row>
    <row r="860" customFormat="false" ht="15" hidden="false" customHeight="false" outlineLevel="0" collapsed="false">
      <c r="A860" s="3" t="n">
        <v>1199</v>
      </c>
      <c r="B860" s="3" t="s">
        <v>327</v>
      </c>
      <c r="C860" s="4" t="s">
        <v>19</v>
      </c>
      <c r="D860" s="5" t="n">
        <v>13636</v>
      </c>
      <c r="E860" s="6" t="n">
        <v>136.6</v>
      </c>
      <c r="F860" s="7" t="n">
        <v>68</v>
      </c>
      <c r="G860" s="6" t="n">
        <v>676.836623640841</v>
      </c>
      <c r="H860" s="8" t="n">
        <v>413262.905662624</v>
      </c>
      <c r="I860" s="9" t="n">
        <v>10.3831281007988</v>
      </c>
      <c r="J860" s="9" t="n">
        <v>44.4339101267959</v>
      </c>
      <c r="K860" s="3" t="s">
        <v>328</v>
      </c>
      <c r="L860" s="3" t="s">
        <v>329</v>
      </c>
      <c r="M860" s="7" t="n">
        <v>2019</v>
      </c>
    </row>
    <row r="861" customFormat="false" ht="15" hidden="false" customHeight="false" outlineLevel="0" collapsed="false">
      <c r="A861" s="3" t="n">
        <v>1200</v>
      </c>
      <c r="B861" s="3" t="s">
        <v>327</v>
      </c>
      <c r="C861" s="4" t="s">
        <v>20</v>
      </c>
      <c r="D861" s="5" t="n">
        <v>13666</v>
      </c>
      <c r="E861" s="6" t="n">
        <v>136.6</v>
      </c>
      <c r="F861" s="7" t="n">
        <v>68</v>
      </c>
      <c r="G861" s="6" t="n">
        <v>436.313760417537</v>
      </c>
      <c r="H861" s="8" t="n">
        <v>172278.656428238</v>
      </c>
      <c r="I861" s="9" t="n">
        <v>7.08037125605604</v>
      </c>
      <c r="J861" s="9" t="n">
        <v>28.5025480987342</v>
      </c>
      <c r="K861" s="3" t="s">
        <v>328</v>
      </c>
      <c r="L861" s="3" t="s">
        <v>329</v>
      </c>
      <c r="M861" s="7" t="n">
        <v>2020</v>
      </c>
    </row>
    <row r="862" customFormat="false" ht="15" hidden="false" customHeight="false" outlineLevel="0" collapsed="false">
      <c r="A862" s="3" t="n">
        <v>1201</v>
      </c>
      <c r="B862" s="3" t="s">
        <v>330</v>
      </c>
      <c r="C862" s="4" t="s">
        <v>41</v>
      </c>
      <c r="D862" s="5" t="n">
        <v>3824</v>
      </c>
      <c r="E862" s="6" t="n">
        <v>65.88</v>
      </c>
      <c r="F862" s="7" t="n">
        <v>65</v>
      </c>
      <c r="G862" s="6" t="n">
        <v>143.410061281803</v>
      </c>
      <c r="H862" s="8" t="n">
        <v>20926.3961422407</v>
      </c>
      <c r="I862" s="9" t="n">
        <v>5.35134510338707</v>
      </c>
      <c r="J862" s="9" t="n">
        <v>33.5721698977085</v>
      </c>
      <c r="K862" s="3" t="s">
        <v>234</v>
      </c>
      <c r="L862" s="3" t="s">
        <v>235</v>
      </c>
      <c r="M862" s="7" t="n">
        <v>2016</v>
      </c>
    </row>
    <row r="863" customFormat="false" ht="15" hidden="false" customHeight="false" outlineLevel="0" collapsed="false">
      <c r="A863" s="3" t="n">
        <v>1202</v>
      </c>
      <c r="B863" s="3" t="s">
        <v>330</v>
      </c>
      <c r="C863" s="4" t="s">
        <v>42</v>
      </c>
      <c r="D863" s="5" t="n">
        <v>3824</v>
      </c>
      <c r="E863" s="6" t="n">
        <v>65.88</v>
      </c>
      <c r="F863" s="7" t="n">
        <v>58</v>
      </c>
      <c r="G863" s="6" t="n">
        <v>190.162975102041</v>
      </c>
      <c r="H863" s="8" t="n">
        <v>31137.2855432081</v>
      </c>
      <c r="I863" s="9" t="n">
        <v>7.07166683143484</v>
      </c>
      <c r="J863" s="9" t="n">
        <v>44.5169861257811</v>
      </c>
      <c r="K863" s="3" t="s">
        <v>234</v>
      </c>
      <c r="L863" s="3" t="s">
        <v>235</v>
      </c>
      <c r="M863" s="7" t="n">
        <v>2017</v>
      </c>
    </row>
    <row r="864" customFormat="false" ht="15" hidden="false" customHeight="false" outlineLevel="0" collapsed="false">
      <c r="A864" s="3" t="n">
        <v>1203</v>
      </c>
      <c r="B864" s="3" t="s">
        <v>330</v>
      </c>
      <c r="C864" s="4" t="s">
        <v>43</v>
      </c>
      <c r="D864" s="5" t="n">
        <v>3950</v>
      </c>
      <c r="E864" s="6" t="n">
        <v>66</v>
      </c>
      <c r="F864" s="7" t="n">
        <v>54</v>
      </c>
      <c r="G864" s="6" t="n">
        <v>136.467847066712</v>
      </c>
      <c r="H864" s="8" t="n">
        <v>69796.4803822697</v>
      </c>
      <c r="I864" s="9" t="n">
        <v>6.10742582848534</v>
      </c>
      <c r="J864" s="9" t="n">
        <v>30.9279346463591</v>
      </c>
      <c r="K864" s="3" t="s">
        <v>234</v>
      </c>
      <c r="L864" s="3" t="s">
        <v>235</v>
      </c>
      <c r="M864" s="7" t="n">
        <v>2018</v>
      </c>
    </row>
    <row r="865" customFormat="false" ht="15" hidden="false" customHeight="false" outlineLevel="0" collapsed="false">
      <c r="A865" s="3" t="n">
        <v>1204</v>
      </c>
      <c r="B865" s="3" t="s">
        <v>330</v>
      </c>
      <c r="C865" s="4" t="s">
        <v>44</v>
      </c>
      <c r="D865" s="5" t="n">
        <v>3851</v>
      </c>
      <c r="E865" s="6" t="n">
        <v>62.44</v>
      </c>
      <c r="F865" s="7" t="n">
        <v>60</v>
      </c>
      <c r="G865" s="6" t="n">
        <v>140.049152039433</v>
      </c>
      <c r="H865" s="8" t="n">
        <v>31181.9437015798</v>
      </c>
      <c r="I865" s="9" t="n">
        <v>6.97188198936379</v>
      </c>
      <c r="J865" s="9" t="n">
        <v>32.46632701074</v>
      </c>
      <c r="K865" s="3" t="s">
        <v>234</v>
      </c>
      <c r="L865" s="3" t="s">
        <v>235</v>
      </c>
      <c r="M865" s="7" t="n">
        <v>2019</v>
      </c>
    </row>
    <row r="866" customFormat="false" ht="15" hidden="false" customHeight="false" outlineLevel="0" collapsed="false">
      <c r="A866" s="3" t="n">
        <v>1205</v>
      </c>
      <c r="B866" s="3" t="s">
        <v>330</v>
      </c>
      <c r="C866" s="4" t="s">
        <v>45</v>
      </c>
      <c r="D866" s="5" t="n">
        <v>3911</v>
      </c>
      <c r="E866" s="6" t="n">
        <v>62.47</v>
      </c>
      <c r="F866" s="7" t="n">
        <v>60</v>
      </c>
      <c r="G866" s="6" t="n">
        <v>130.557807395354</v>
      </c>
      <c r="H866" s="8" t="n">
        <v>55803.0180369222</v>
      </c>
      <c r="I866" s="9" t="n">
        <v>4.65118534786828</v>
      </c>
      <c r="J866" s="9" t="n">
        <v>29.8835856724085</v>
      </c>
      <c r="K866" s="3" t="s">
        <v>234</v>
      </c>
      <c r="L866" s="3" t="s">
        <v>235</v>
      </c>
      <c r="M866" s="7" t="n">
        <v>2020</v>
      </c>
    </row>
    <row r="867" customFormat="false" ht="15" hidden="false" customHeight="false" outlineLevel="0" collapsed="false">
      <c r="A867" s="3" t="n">
        <v>1206</v>
      </c>
      <c r="B867" s="3" t="s">
        <v>330</v>
      </c>
      <c r="C867" s="4" t="s">
        <v>46</v>
      </c>
      <c r="D867" s="5" t="n">
        <v>3925</v>
      </c>
      <c r="E867" s="6" t="n">
        <v>64.08</v>
      </c>
      <c r="F867" s="7" t="n">
        <v>61</v>
      </c>
      <c r="G867" s="6" t="n">
        <v>104.565263825071</v>
      </c>
      <c r="H867" s="8" t="n">
        <v>80681.5119147869</v>
      </c>
      <c r="I867" s="9" t="n">
        <v>4.50111664272572</v>
      </c>
      <c r="J867" s="9" t="n">
        <v>23.8487406612047</v>
      </c>
      <c r="K867" s="3" t="s">
        <v>234</v>
      </c>
      <c r="L867" s="3" t="s">
        <v>235</v>
      </c>
      <c r="M867" s="7" t="n">
        <v>2021</v>
      </c>
    </row>
    <row r="868" customFormat="false" ht="15" hidden="false" customHeight="false" outlineLevel="0" collapsed="false">
      <c r="A868" s="3" t="n">
        <v>1207</v>
      </c>
      <c r="B868" s="3" t="s">
        <v>330</v>
      </c>
      <c r="C868" s="4" t="s">
        <v>47</v>
      </c>
      <c r="D868" s="5" t="n">
        <v>3971</v>
      </c>
      <c r="E868" s="6" t="n">
        <v>64.08</v>
      </c>
      <c r="F868" s="7" t="n">
        <v>67</v>
      </c>
      <c r="G868" s="6" t="n">
        <v>82.1446137244453</v>
      </c>
      <c r="H868" s="8" t="n">
        <v>42113.0791181114</v>
      </c>
      <c r="I868" s="9" t="n">
        <v>3.77061156182251</v>
      </c>
      <c r="J868" s="9" t="n">
        <v>18.5181193645165</v>
      </c>
      <c r="K868" s="3" t="s">
        <v>234</v>
      </c>
      <c r="L868" s="3" t="s">
        <v>235</v>
      </c>
      <c r="M868" s="7" t="n">
        <v>2022</v>
      </c>
    </row>
    <row r="869" customFormat="false" ht="15" hidden="false" customHeight="false" outlineLevel="0" collapsed="false">
      <c r="A869" s="3" t="n">
        <v>1208</v>
      </c>
      <c r="B869" s="3" t="s">
        <v>330</v>
      </c>
      <c r="C869" s="4" t="s">
        <v>48</v>
      </c>
      <c r="D869" s="5" t="n">
        <v>4114</v>
      </c>
      <c r="E869" s="6" t="n">
        <v>64.08</v>
      </c>
      <c r="F869" s="7" t="n">
        <v>66</v>
      </c>
      <c r="G869" s="6" t="n">
        <v>263.099519160079</v>
      </c>
      <c r="H869" s="8" t="n">
        <v>275487.231188807</v>
      </c>
      <c r="I869" s="9" t="n">
        <v>7.61260772233465</v>
      </c>
      <c r="J869" s="9" t="n">
        <v>57.0928812526761</v>
      </c>
      <c r="K869" s="3" t="s">
        <v>234</v>
      </c>
      <c r="L869" s="3" t="s">
        <v>235</v>
      </c>
      <c r="M869" s="7" t="n">
        <v>2023</v>
      </c>
    </row>
    <row r="870" customFormat="false" ht="15" hidden="false" customHeight="false" outlineLevel="0" collapsed="false">
      <c r="A870" s="3" t="n">
        <v>1209</v>
      </c>
      <c r="B870" s="3" t="s">
        <v>331</v>
      </c>
      <c r="C870" s="4" t="s">
        <v>14</v>
      </c>
      <c r="D870" s="5" t="n">
        <v>9520</v>
      </c>
      <c r="E870" s="6" t="n">
        <v>91</v>
      </c>
      <c r="F870" s="7" t="n">
        <v>76</v>
      </c>
      <c r="G870" s="6" t="n">
        <v>133.853458375635</v>
      </c>
      <c r="H870" s="8" t="n">
        <v>82634.4325281981</v>
      </c>
      <c r="I870" s="9" t="n">
        <v>6.67218801332465</v>
      </c>
      <c r="J870" s="9" t="n">
        <v>12.5521708487277</v>
      </c>
      <c r="K870" s="3" t="s">
        <v>332</v>
      </c>
      <c r="L870" s="3" t="s">
        <v>218</v>
      </c>
      <c r="M870" s="7" t="n">
        <v>2016</v>
      </c>
    </row>
    <row r="871" customFormat="false" ht="15" hidden="false" customHeight="false" outlineLevel="0" collapsed="false">
      <c r="A871" s="3" t="n">
        <v>1210</v>
      </c>
      <c r="B871" s="3" t="s">
        <v>331</v>
      </c>
      <c r="C871" s="4" t="s">
        <v>17</v>
      </c>
      <c r="D871" s="5" t="n">
        <v>9484</v>
      </c>
      <c r="E871" s="6" t="n">
        <v>91</v>
      </c>
      <c r="F871" s="7" t="n">
        <v>72</v>
      </c>
      <c r="G871" s="6" t="n">
        <v>206.841124035533</v>
      </c>
      <c r="H871" s="8" t="n">
        <v>153107.936833582</v>
      </c>
      <c r="I871" s="9" t="n">
        <v>7.10215017091056</v>
      </c>
      <c r="J871" s="9" t="n">
        <v>19.5237401303127</v>
      </c>
      <c r="K871" s="3" t="s">
        <v>332</v>
      </c>
      <c r="L871" s="3" t="s">
        <v>218</v>
      </c>
      <c r="M871" s="7" t="n">
        <v>2017</v>
      </c>
    </row>
    <row r="872" customFormat="false" ht="15" hidden="false" customHeight="false" outlineLevel="0" collapsed="false">
      <c r="A872" s="3" t="n">
        <v>1211</v>
      </c>
      <c r="B872" s="3" t="s">
        <v>331</v>
      </c>
      <c r="C872" s="4" t="s">
        <v>18</v>
      </c>
      <c r="D872" s="5" t="n">
        <v>9518</v>
      </c>
      <c r="E872" s="6" t="n">
        <v>90.9</v>
      </c>
      <c r="F872" s="7" t="n">
        <v>72</v>
      </c>
      <c r="G872" s="6" t="n">
        <v>181.443997994925</v>
      </c>
      <c r="H872" s="8" t="n">
        <v>103145.469540175</v>
      </c>
      <c r="I872" s="9" t="n">
        <v>6.69348501735256</v>
      </c>
      <c r="J872" s="9" t="n">
        <v>17.0653256728848</v>
      </c>
      <c r="K872" s="3" t="s">
        <v>332</v>
      </c>
      <c r="L872" s="3" t="s">
        <v>218</v>
      </c>
      <c r="M872" s="7" t="n">
        <v>2018</v>
      </c>
    </row>
    <row r="873" customFormat="false" ht="15" hidden="false" customHeight="false" outlineLevel="0" collapsed="false">
      <c r="A873" s="3" t="n">
        <v>1212</v>
      </c>
      <c r="B873" s="3" t="s">
        <v>331</v>
      </c>
      <c r="C873" s="4" t="s">
        <v>19</v>
      </c>
      <c r="D873" s="5" t="n">
        <v>9524</v>
      </c>
      <c r="E873" s="6" t="n">
        <v>90.9</v>
      </c>
      <c r="F873" s="7" t="n">
        <v>72</v>
      </c>
      <c r="G873" s="6" t="n">
        <v>121.664728388325</v>
      </c>
      <c r="H873" s="8" t="n">
        <v>104103.641492754</v>
      </c>
      <c r="I873" s="9" t="n">
        <v>5.51701547458209</v>
      </c>
      <c r="J873" s="9" t="n">
        <v>11.4357059234</v>
      </c>
      <c r="K873" s="3" t="s">
        <v>332</v>
      </c>
      <c r="L873" s="3" t="s">
        <v>218</v>
      </c>
      <c r="M873" s="7" t="n">
        <v>2019</v>
      </c>
    </row>
    <row r="874" customFormat="false" ht="15" hidden="false" customHeight="false" outlineLevel="0" collapsed="false">
      <c r="A874" s="3" t="n">
        <v>1213</v>
      </c>
      <c r="B874" s="3" t="s">
        <v>331</v>
      </c>
      <c r="C874" s="4" t="s">
        <v>20</v>
      </c>
      <c r="D874" s="5" t="n">
        <v>9545</v>
      </c>
      <c r="E874" s="6" t="n">
        <v>85.9</v>
      </c>
      <c r="F874" s="7" t="n">
        <v>72</v>
      </c>
      <c r="G874" s="6" t="n">
        <v>101.467743362944</v>
      </c>
      <c r="H874" s="8" t="n">
        <v>83053.3772974365</v>
      </c>
      <c r="I874" s="9" t="n">
        <v>4.70159487870266</v>
      </c>
      <c r="J874" s="9" t="n">
        <v>9.49026332155792</v>
      </c>
      <c r="K874" s="3" t="s">
        <v>332</v>
      </c>
      <c r="L874" s="3" t="s">
        <v>218</v>
      </c>
      <c r="M874" s="7" t="n">
        <v>2020</v>
      </c>
    </row>
    <row r="875" customFormat="false" ht="15" hidden="false" customHeight="false" outlineLevel="0" collapsed="false">
      <c r="A875" s="3" t="n">
        <v>1214</v>
      </c>
      <c r="B875" s="3" t="s">
        <v>331</v>
      </c>
      <c r="C875" s="4" t="s">
        <v>21</v>
      </c>
      <c r="D875" s="5" t="n">
        <v>9579</v>
      </c>
      <c r="E875" s="6" t="n">
        <v>85.9</v>
      </c>
      <c r="F875" s="7" t="n">
        <v>71</v>
      </c>
      <c r="G875" s="6" t="n">
        <v>110.736733796007</v>
      </c>
      <c r="H875" s="8" t="n">
        <v>105232.010759007</v>
      </c>
      <c r="I875" s="9" t="n">
        <v>4.93619170471624</v>
      </c>
      <c r="J875" s="9" t="n">
        <v>10.3487813440811</v>
      </c>
      <c r="K875" s="3" t="s">
        <v>332</v>
      </c>
      <c r="L875" s="3" t="s">
        <v>218</v>
      </c>
      <c r="M875" s="7" t="n">
        <v>2021</v>
      </c>
    </row>
    <row r="876" customFormat="false" ht="15" hidden="false" customHeight="false" outlineLevel="0" collapsed="false">
      <c r="A876" s="3" t="n">
        <v>1215</v>
      </c>
      <c r="B876" s="3" t="s">
        <v>331</v>
      </c>
      <c r="C876" s="4" t="s">
        <v>22</v>
      </c>
      <c r="D876" s="5" t="n">
        <v>9572</v>
      </c>
      <c r="E876" s="6" t="n">
        <v>86.2</v>
      </c>
      <c r="F876" s="7" t="n">
        <v>75</v>
      </c>
      <c r="G876" s="6" t="n">
        <v>114.4792663025</v>
      </c>
      <c r="H876" s="8" t="n">
        <v>104797.900787587</v>
      </c>
      <c r="I876" s="9" t="n">
        <v>4.88449546026933</v>
      </c>
      <c r="J876" s="9" t="n">
        <v>10.7063594951667</v>
      </c>
      <c r="K876" s="3" t="s">
        <v>332</v>
      </c>
      <c r="L876" s="3" t="s">
        <v>218</v>
      </c>
      <c r="M876" s="7" t="n">
        <v>2022</v>
      </c>
    </row>
    <row r="877" customFormat="false" ht="15" hidden="false" customHeight="false" outlineLevel="0" collapsed="false">
      <c r="A877" s="3" t="n">
        <v>1216</v>
      </c>
      <c r="B877" s="3" t="s">
        <v>331</v>
      </c>
      <c r="C877" s="4" t="s">
        <v>23</v>
      </c>
      <c r="D877" s="5" t="n">
        <v>9577</v>
      </c>
      <c r="E877" s="6" t="n">
        <v>86.1195375148692</v>
      </c>
      <c r="F877" s="7" t="n">
        <v>75</v>
      </c>
      <c r="G877" s="6" t="n">
        <v>84.2973279238425</v>
      </c>
      <c r="H877" s="8" t="n">
        <v>74453.6908449781</v>
      </c>
      <c r="I877" s="9" t="n">
        <v>4.36808013561768</v>
      </c>
      <c r="J877" s="9" t="n">
        <v>7.87956052025744</v>
      </c>
      <c r="K877" s="3" t="s">
        <v>332</v>
      </c>
      <c r="L877" s="3" t="s">
        <v>218</v>
      </c>
      <c r="M877" s="7" t="n">
        <v>2023</v>
      </c>
    </row>
    <row r="878" customFormat="false" ht="15" hidden="false" customHeight="false" outlineLevel="0" collapsed="false">
      <c r="A878" s="3" t="n">
        <v>1217</v>
      </c>
      <c r="B878" s="3" t="s">
        <v>331</v>
      </c>
      <c r="C878" s="4" t="s">
        <v>24</v>
      </c>
      <c r="D878" s="5" t="n">
        <v>9592</v>
      </c>
      <c r="E878" s="6" t="n">
        <v>98.8265694056818</v>
      </c>
      <c r="F878" s="7" t="n">
        <v>74</v>
      </c>
      <c r="G878" s="6" t="n">
        <v>178.161121574223</v>
      </c>
      <c r="H878" s="8" t="n">
        <v>148012.156554156</v>
      </c>
      <c r="I878" s="9" t="n">
        <v>6.90638820850651</v>
      </c>
      <c r="J878" s="9" t="n">
        <v>16.5817346721818</v>
      </c>
      <c r="K878" s="3" t="s">
        <v>332</v>
      </c>
      <c r="L878" s="3" t="s">
        <v>218</v>
      </c>
      <c r="M878" s="7" t="n">
        <v>2024</v>
      </c>
    </row>
    <row r="879" customFormat="false" ht="15" hidden="false" customHeight="false" outlineLevel="0" collapsed="false">
      <c r="A879" s="3" t="n">
        <v>1218</v>
      </c>
      <c r="B879" s="3" t="s">
        <v>333</v>
      </c>
      <c r="C879" s="4" t="s">
        <v>334</v>
      </c>
      <c r="D879" s="5" t="n">
        <v>4252</v>
      </c>
      <c r="E879" s="6" t="n">
        <v>43</v>
      </c>
      <c r="F879" s="7" t="n">
        <v>58</v>
      </c>
      <c r="G879" s="6" t="n">
        <v>196.03121445886</v>
      </c>
      <c r="H879" s="8" t="n">
        <v>126048.070897047</v>
      </c>
      <c r="I879" s="9" t="n">
        <v>12.3209340060501</v>
      </c>
      <c r="J879" s="9" t="n">
        <v>38.1289469408448</v>
      </c>
      <c r="K879" s="3" t="s">
        <v>335</v>
      </c>
      <c r="L879" s="3" t="s">
        <v>336</v>
      </c>
      <c r="M879" s="7" t="n">
        <v>2016</v>
      </c>
    </row>
    <row r="880" customFormat="false" ht="15" hidden="false" customHeight="false" outlineLevel="0" collapsed="false">
      <c r="A880" s="3" t="n">
        <v>1219</v>
      </c>
      <c r="B880" s="3" t="s">
        <v>333</v>
      </c>
      <c r="C880" s="4" t="s">
        <v>337</v>
      </c>
      <c r="D880" s="5" t="n">
        <v>4267</v>
      </c>
      <c r="E880" s="6" t="n">
        <v>43</v>
      </c>
      <c r="F880" s="7" t="n">
        <v>73</v>
      </c>
      <c r="G880" s="6" t="n">
        <v>173.754269136725</v>
      </c>
      <c r="H880" s="8" t="n">
        <v>102468.105138001</v>
      </c>
      <c r="I880" s="9" t="n">
        <v>12.8004452629616</v>
      </c>
      <c r="J880" s="9" t="n">
        <v>33.6771768420323</v>
      </c>
      <c r="K880" s="3" t="s">
        <v>335</v>
      </c>
      <c r="L880" s="3" t="s">
        <v>336</v>
      </c>
      <c r="M880" s="7" t="n">
        <v>2018</v>
      </c>
    </row>
    <row r="881" customFormat="false" ht="15" hidden="false" customHeight="false" outlineLevel="0" collapsed="false">
      <c r="A881" s="3" t="n">
        <v>1220</v>
      </c>
      <c r="B881" s="3" t="s">
        <v>333</v>
      </c>
      <c r="C881" s="4" t="s">
        <v>43</v>
      </c>
      <c r="D881" s="5" t="n">
        <v>4267</v>
      </c>
      <c r="E881" s="6" t="n">
        <v>43</v>
      </c>
      <c r="F881" s="7" t="n">
        <v>73</v>
      </c>
      <c r="G881" s="6" t="n">
        <v>173.754269136725</v>
      </c>
      <c r="H881" s="8" t="n">
        <v>102468.105138001</v>
      </c>
      <c r="I881" s="9" t="n">
        <v>12.8004452629616</v>
      </c>
      <c r="J881" s="9" t="n">
        <v>36.452768340002</v>
      </c>
      <c r="K881" s="3" t="s">
        <v>335</v>
      </c>
      <c r="L881" s="3" t="s">
        <v>336</v>
      </c>
      <c r="M881" s="7" t="n">
        <v>2018</v>
      </c>
    </row>
    <row r="882" customFormat="false" ht="15" hidden="false" customHeight="false" outlineLevel="0" collapsed="false">
      <c r="A882" s="3" t="n">
        <v>1221</v>
      </c>
      <c r="B882" s="3" t="s">
        <v>333</v>
      </c>
      <c r="C882" s="4" t="s">
        <v>338</v>
      </c>
      <c r="D882" s="5" t="n">
        <v>4311</v>
      </c>
      <c r="E882" s="6" t="n">
        <v>43</v>
      </c>
      <c r="F882" s="7" t="n">
        <v>78</v>
      </c>
      <c r="G882" s="6" t="n">
        <v>62.2350606767668</v>
      </c>
      <c r="H882" s="8" t="n">
        <v>42670.2246518116</v>
      </c>
      <c r="I882" s="9" t="n">
        <v>7.16854236074783</v>
      </c>
      <c r="J882" s="9" t="n">
        <v>11.9091031518342</v>
      </c>
      <c r="K882" s="3" t="s">
        <v>335</v>
      </c>
      <c r="L882" s="3" t="s">
        <v>336</v>
      </c>
      <c r="M882" s="7" t="n">
        <v>2019</v>
      </c>
    </row>
    <row r="883" customFormat="false" ht="15" hidden="false" customHeight="false" outlineLevel="0" collapsed="false">
      <c r="A883" s="3" t="n">
        <v>1222</v>
      </c>
      <c r="B883" s="3" t="s">
        <v>333</v>
      </c>
      <c r="C883" s="4" t="s">
        <v>44</v>
      </c>
      <c r="D883" s="5" t="n">
        <v>4311</v>
      </c>
      <c r="E883" s="6" t="n">
        <v>43</v>
      </c>
      <c r="F883" s="7" t="n">
        <v>78</v>
      </c>
      <c r="G883" s="6" t="n">
        <v>62.2350606767668</v>
      </c>
      <c r="H883" s="8" t="n">
        <v>42670.2246518116</v>
      </c>
      <c r="I883" s="9" t="n">
        <v>7.16854236074783</v>
      </c>
      <c r="J883" s="9" t="n">
        <v>12.8879335478754</v>
      </c>
      <c r="K883" s="3" t="s">
        <v>335</v>
      </c>
      <c r="L883" s="3" t="s">
        <v>336</v>
      </c>
      <c r="M883" s="7" t="n">
        <v>2019</v>
      </c>
    </row>
    <row r="884" customFormat="false" ht="15" hidden="false" customHeight="false" outlineLevel="0" collapsed="false">
      <c r="A884" s="3" t="n">
        <v>1223</v>
      </c>
      <c r="B884" s="3" t="s">
        <v>333</v>
      </c>
      <c r="C884" s="4" t="s">
        <v>45</v>
      </c>
      <c r="D884" s="5" t="n">
        <v>4311</v>
      </c>
      <c r="E884" s="6" t="n">
        <v>43</v>
      </c>
      <c r="F884" s="7" t="n">
        <v>82</v>
      </c>
      <c r="G884" s="6" t="n">
        <v>64.2387571428571</v>
      </c>
      <c r="H884" s="8" t="n">
        <v>39927.5995021428</v>
      </c>
      <c r="I884" s="9" t="n">
        <v>5.05882522356465</v>
      </c>
      <c r="J884" s="9" t="n">
        <v>13.3394149223155</v>
      </c>
      <c r="K884" s="3" t="s">
        <v>335</v>
      </c>
      <c r="L884" s="3" t="s">
        <v>336</v>
      </c>
      <c r="M884" s="7" t="n">
        <v>2020</v>
      </c>
    </row>
    <row r="885" customFormat="false" ht="15" hidden="false" customHeight="false" outlineLevel="0" collapsed="false">
      <c r="A885" s="3" t="n">
        <v>1224</v>
      </c>
      <c r="B885" s="3" t="s">
        <v>333</v>
      </c>
      <c r="C885" s="4" t="s">
        <v>47</v>
      </c>
      <c r="D885" s="5" t="n">
        <v>4330</v>
      </c>
      <c r="E885" s="6" t="n">
        <v>43</v>
      </c>
      <c r="F885" s="7" t="n">
        <v>83</v>
      </c>
      <c r="G885" s="6" t="n">
        <v>10.314836716792</v>
      </c>
      <c r="H885" s="8" t="n">
        <v>6816.76614102633</v>
      </c>
      <c r="I885" s="9" t="n">
        <v>2.55546739545682</v>
      </c>
      <c r="J885" s="9" t="n">
        <v>2.13251520125586</v>
      </c>
      <c r="K885" s="3" t="s">
        <v>335</v>
      </c>
      <c r="L885" s="3" t="s">
        <v>336</v>
      </c>
      <c r="M885" s="7" t="n">
        <v>2022</v>
      </c>
    </row>
    <row r="886" customFormat="false" ht="15" hidden="false" customHeight="false" outlineLevel="0" collapsed="false">
      <c r="A886" s="3" t="n">
        <v>1225</v>
      </c>
      <c r="B886" s="3" t="s">
        <v>333</v>
      </c>
      <c r="C886" s="4" t="s">
        <v>48</v>
      </c>
      <c r="D886" s="5" t="n">
        <v>4330</v>
      </c>
      <c r="E886" s="6" t="n">
        <v>43</v>
      </c>
      <c r="F886" s="7" t="n">
        <v>83</v>
      </c>
      <c r="G886" s="6" t="n">
        <v>16.6603078947371</v>
      </c>
      <c r="H886" s="8" t="n">
        <v>11849.4773870528</v>
      </c>
      <c r="I886" s="9" t="n">
        <v>2.94679081171011</v>
      </c>
      <c r="J886" s="9" t="n">
        <v>3.434957124748</v>
      </c>
      <c r="K886" s="3" t="s">
        <v>335</v>
      </c>
      <c r="L886" s="3" t="s">
        <v>336</v>
      </c>
      <c r="M886" s="7" t="n">
        <v>2023</v>
      </c>
    </row>
    <row r="887" customFormat="false" ht="15" hidden="false" customHeight="false" outlineLevel="0" collapsed="false">
      <c r="A887" s="3" t="n">
        <v>1226</v>
      </c>
      <c r="B887" s="3" t="s">
        <v>333</v>
      </c>
      <c r="C887" s="4" t="s">
        <v>49</v>
      </c>
      <c r="D887" s="5" t="n">
        <v>4351</v>
      </c>
      <c r="E887" s="6" t="n">
        <v>43</v>
      </c>
      <c r="F887" s="7" t="n">
        <v>83</v>
      </c>
      <c r="G887" s="6" t="n">
        <v>0.722750000000035</v>
      </c>
      <c r="H887" s="8" t="n">
        <v>517.019212500025</v>
      </c>
      <c r="I887" s="9" t="n">
        <v>0.721001658617749</v>
      </c>
      <c r="J887" s="9" t="n">
        <v>0.148701959540696</v>
      </c>
      <c r="K887" s="3" t="s">
        <v>335</v>
      </c>
      <c r="L887" s="3" t="s">
        <v>336</v>
      </c>
      <c r="M887" s="7" t="n">
        <v>2024</v>
      </c>
    </row>
    <row r="888" customFormat="false" ht="15" hidden="false" customHeight="false" outlineLevel="0" collapsed="false">
      <c r="A888" s="3" t="n">
        <v>1227</v>
      </c>
      <c r="B888" s="3" t="s">
        <v>339</v>
      </c>
      <c r="C888" s="4" t="s">
        <v>14</v>
      </c>
      <c r="D888" s="5" t="n">
        <v>27420</v>
      </c>
      <c r="E888" s="6" t="n">
        <v>433</v>
      </c>
      <c r="F888" s="7" t="n">
        <v>66</v>
      </c>
      <c r="G888" s="6" t="n">
        <v>1145.01906025819</v>
      </c>
      <c r="H888" s="8" t="n">
        <v>306361.299762681</v>
      </c>
      <c r="I888" s="9" t="n">
        <v>11.3805779110446</v>
      </c>
      <c r="J888" s="9" t="n">
        <v>37.2796184970666</v>
      </c>
      <c r="K888" s="3" t="s">
        <v>340</v>
      </c>
      <c r="L888" s="3" t="s">
        <v>341</v>
      </c>
      <c r="M888" s="7" t="n">
        <v>2016</v>
      </c>
    </row>
    <row r="889" customFormat="false" ht="15" hidden="false" customHeight="false" outlineLevel="0" collapsed="false">
      <c r="A889" s="3" t="n">
        <v>1228</v>
      </c>
      <c r="B889" s="3" t="s">
        <v>339</v>
      </c>
      <c r="C889" s="4" t="s">
        <v>17</v>
      </c>
      <c r="D889" s="5" t="n">
        <v>27439</v>
      </c>
      <c r="E889" s="6" t="n">
        <v>433</v>
      </c>
      <c r="F889" s="7" t="n">
        <v>74</v>
      </c>
      <c r="G889" s="6" t="n">
        <v>1315.19430002691</v>
      </c>
      <c r="H889" s="8" t="n">
        <v>382419.046618825</v>
      </c>
      <c r="I889" s="9" t="n">
        <v>10.4889939683176</v>
      </c>
      <c r="J889" s="9" t="n">
        <v>42.9081028345061</v>
      </c>
      <c r="K889" s="3" t="s">
        <v>340</v>
      </c>
      <c r="L889" s="3" t="s">
        <v>341</v>
      </c>
      <c r="M889" s="7" t="n">
        <v>2017</v>
      </c>
    </row>
    <row r="890" customFormat="false" ht="15" hidden="false" customHeight="false" outlineLevel="0" collapsed="false">
      <c r="A890" s="3" t="n">
        <v>1229</v>
      </c>
      <c r="B890" s="3" t="s">
        <v>339</v>
      </c>
      <c r="C890" s="4" t="s">
        <v>18</v>
      </c>
      <c r="D890" s="5" t="n">
        <v>27458</v>
      </c>
      <c r="E890" s="6" t="n">
        <v>433</v>
      </c>
      <c r="F890" s="7" t="n">
        <v>74</v>
      </c>
      <c r="G890" s="6" t="n">
        <v>1660.91610196486</v>
      </c>
      <c r="H890" s="8" t="n">
        <v>461086.919066464</v>
      </c>
      <c r="I890" s="9" t="n">
        <v>12.0682305381007</v>
      </c>
      <c r="J890" s="9" t="n">
        <v>54.1497516628145</v>
      </c>
      <c r="K890" s="3" t="s">
        <v>340</v>
      </c>
      <c r="L890" s="3" t="s">
        <v>341</v>
      </c>
      <c r="M890" s="7" t="n">
        <v>2018</v>
      </c>
    </row>
    <row r="891" customFormat="false" ht="15" hidden="false" customHeight="false" outlineLevel="0" collapsed="false">
      <c r="A891" s="3" t="n">
        <v>1230</v>
      </c>
      <c r="B891" s="3" t="s">
        <v>339</v>
      </c>
      <c r="C891" s="4" t="s">
        <v>19</v>
      </c>
      <c r="D891" s="5" t="n">
        <v>27454</v>
      </c>
      <c r="E891" s="6" t="n">
        <v>433</v>
      </c>
      <c r="F891" s="7" t="n">
        <v>74</v>
      </c>
      <c r="G891" s="6" t="n">
        <v>1295.15776657576</v>
      </c>
      <c r="H891" s="8" t="n">
        <v>358797.556074483</v>
      </c>
      <c r="I891" s="9" t="n">
        <v>9.82830301596639</v>
      </c>
      <c r="J891" s="9" t="n">
        <v>42.2313261460007</v>
      </c>
      <c r="K891" s="3" t="s">
        <v>340</v>
      </c>
      <c r="L891" s="3" t="s">
        <v>341</v>
      </c>
      <c r="M891" s="7" t="n">
        <v>2019</v>
      </c>
    </row>
    <row r="892" customFormat="false" ht="15" hidden="false" customHeight="false" outlineLevel="0" collapsed="false">
      <c r="A892" s="3" t="n">
        <v>1231</v>
      </c>
      <c r="B892" s="3" t="s">
        <v>339</v>
      </c>
      <c r="C892" s="4" t="s">
        <v>20</v>
      </c>
      <c r="D892" s="5" t="n">
        <v>27465</v>
      </c>
      <c r="E892" s="6" t="n">
        <v>433</v>
      </c>
      <c r="F892" s="7" t="n">
        <v>74</v>
      </c>
      <c r="G892" s="6" t="n">
        <v>1204.06822504766</v>
      </c>
      <c r="H892" s="8" t="n">
        <v>336669.516405577</v>
      </c>
      <c r="I892" s="9" t="n">
        <v>9.49484824453775</v>
      </c>
      <c r="J892" s="9" t="n">
        <v>39.137915025101</v>
      </c>
      <c r="K892" s="3" t="s">
        <v>340</v>
      </c>
      <c r="L892" s="3" t="s">
        <v>341</v>
      </c>
      <c r="M892" s="7" t="n">
        <v>2020</v>
      </c>
    </row>
    <row r="893" customFormat="false" ht="15" hidden="false" customHeight="false" outlineLevel="0" collapsed="false">
      <c r="A893" s="3" t="n">
        <v>1232</v>
      </c>
      <c r="B893" s="3" t="s">
        <v>339</v>
      </c>
      <c r="C893" s="4" t="s">
        <v>21</v>
      </c>
      <c r="D893" s="5" t="n">
        <v>27511</v>
      </c>
      <c r="E893" s="6" t="n">
        <v>433</v>
      </c>
      <c r="F893" s="7" t="n">
        <v>74</v>
      </c>
      <c r="G893" s="6" t="n">
        <v>945.440121302826</v>
      </c>
      <c r="H893" s="8" t="n">
        <v>412410.435313506</v>
      </c>
      <c r="I893" s="9" t="n">
        <v>6.77986564367195</v>
      </c>
      <c r="J893" s="9" t="n">
        <v>30.7641787407562</v>
      </c>
      <c r="K893" s="3" t="s">
        <v>340</v>
      </c>
      <c r="L893" s="3" t="s">
        <v>341</v>
      </c>
      <c r="M893" s="7" t="n">
        <v>2021</v>
      </c>
    </row>
    <row r="894" customFormat="false" ht="15" hidden="false" customHeight="false" outlineLevel="0" collapsed="false">
      <c r="A894" s="3" t="n">
        <v>1233</v>
      </c>
      <c r="B894" s="3" t="s">
        <v>339</v>
      </c>
      <c r="C894" s="4" t="s">
        <v>22</v>
      </c>
      <c r="D894" s="5" t="n">
        <v>27632</v>
      </c>
      <c r="E894" s="6" t="n">
        <v>413.6</v>
      </c>
      <c r="F894" s="7" t="n">
        <v>79</v>
      </c>
      <c r="G894" s="6" t="n">
        <v>880.991159823753</v>
      </c>
      <c r="H894" s="8" t="n">
        <v>350572.812228666</v>
      </c>
      <c r="I894" s="9" t="n">
        <v>6.7774230386817</v>
      </c>
      <c r="J894" s="9" t="n">
        <v>28.5415073003956</v>
      </c>
      <c r="K894" s="3" t="s">
        <v>340</v>
      </c>
      <c r="L894" s="3" t="s">
        <v>341</v>
      </c>
      <c r="M894" s="7" t="n">
        <v>2022</v>
      </c>
    </row>
    <row r="895" customFormat="false" ht="15" hidden="false" customHeight="false" outlineLevel="0" collapsed="false">
      <c r="A895" s="3" t="n">
        <v>1234</v>
      </c>
      <c r="B895" s="3" t="s">
        <v>339</v>
      </c>
      <c r="C895" s="4" t="s">
        <v>23</v>
      </c>
      <c r="D895" s="5" t="n">
        <v>27632</v>
      </c>
      <c r="E895" s="6" t="n">
        <v>413.6</v>
      </c>
      <c r="F895" s="7" t="n">
        <v>80</v>
      </c>
      <c r="G895" s="6" t="n">
        <v>709.961742744424</v>
      </c>
      <c r="H895" s="8" t="n">
        <v>428248.923223437</v>
      </c>
      <c r="I895" s="9" t="n">
        <v>8.65348177978305</v>
      </c>
      <c r="J895" s="9" t="n">
        <v>23.0006601514542</v>
      </c>
      <c r="K895" s="3" t="s">
        <v>340</v>
      </c>
      <c r="L895" s="3" t="s">
        <v>341</v>
      </c>
      <c r="M895" s="7" t="n">
        <v>2023</v>
      </c>
    </row>
    <row r="896" customFormat="false" ht="15" hidden="false" customHeight="false" outlineLevel="0" collapsed="false">
      <c r="A896" s="3" t="n">
        <v>1235</v>
      </c>
      <c r="B896" s="3" t="s">
        <v>339</v>
      </c>
      <c r="C896" s="4" t="s">
        <v>24</v>
      </c>
      <c r="D896" s="5" t="n">
        <v>27708</v>
      </c>
      <c r="E896" s="6" t="n">
        <v>434.5</v>
      </c>
      <c r="F896" s="7" t="n">
        <v>79</v>
      </c>
      <c r="G896" s="6" t="n">
        <v>1015.85314008211</v>
      </c>
      <c r="H896" s="8" t="n">
        <v>450083.892244779</v>
      </c>
      <c r="I896" s="9" t="n">
        <v>9.65335317715861</v>
      </c>
      <c r="J896" s="9" t="n">
        <v>32.7304474202491</v>
      </c>
      <c r="K896" s="3" t="s">
        <v>340</v>
      </c>
      <c r="L896" s="3" t="s">
        <v>341</v>
      </c>
      <c r="M896" s="7" t="n">
        <v>2024</v>
      </c>
    </row>
    <row r="897" customFormat="false" ht="15" hidden="false" customHeight="false" outlineLevel="0" collapsed="false">
      <c r="A897" s="3" t="n">
        <v>1236</v>
      </c>
      <c r="B897" s="3" t="s">
        <v>342</v>
      </c>
      <c r="C897" s="4" t="s">
        <v>14</v>
      </c>
      <c r="D897" s="5" t="n">
        <v>24198</v>
      </c>
      <c r="E897" s="6" t="n">
        <v>346.95</v>
      </c>
      <c r="F897" s="7" t="n">
        <v>53</v>
      </c>
      <c r="G897" s="6" t="n">
        <v>739.501734693877</v>
      </c>
      <c r="H897" s="8" t="n">
        <v>857001.165319387</v>
      </c>
      <c r="I897" s="9" t="n">
        <v>7.2002969194606</v>
      </c>
      <c r="J897" s="9" t="n">
        <v>27.2826102181811</v>
      </c>
      <c r="K897" s="3" t="s">
        <v>343</v>
      </c>
      <c r="L897" s="3" t="s">
        <v>344</v>
      </c>
      <c r="M897" s="7" t="n">
        <v>2016</v>
      </c>
    </row>
    <row r="898" customFormat="false" ht="15" hidden="false" customHeight="false" outlineLevel="0" collapsed="false">
      <c r="A898" s="3" t="n">
        <v>1237</v>
      </c>
      <c r="B898" s="3" t="s">
        <v>342</v>
      </c>
      <c r="C898" s="4" t="s">
        <v>17</v>
      </c>
      <c r="D898" s="5" t="n">
        <v>24302</v>
      </c>
      <c r="E898" s="6" t="n">
        <v>347.5</v>
      </c>
      <c r="F898" s="7" t="n">
        <v>62</v>
      </c>
      <c r="G898" s="6" t="n">
        <v>1431.91158163265</v>
      </c>
      <c r="H898" s="8" t="n">
        <v>2165658.7081674</v>
      </c>
      <c r="I898" s="9" t="n">
        <v>10.6824251377919</v>
      </c>
      <c r="J898" s="9" t="n">
        <v>52.7462828983664</v>
      </c>
      <c r="K898" s="3" t="s">
        <v>343</v>
      </c>
      <c r="L898" s="3" t="s">
        <v>344</v>
      </c>
      <c r="M898" s="7" t="n">
        <v>2017</v>
      </c>
    </row>
    <row r="899" customFormat="false" ht="15" hidden="false" customHeight="false" outlineLevel="0" collapsed="false">
      <c r="A899" s="3" t="n">
        <v>1238</v>
      </c>
      <c r="B899" s="3" t="s">
        <v>342</v>
      </c>
      <c r="C899" s="4" t="s">
        <v>18</v>
      </c>
      <c r="D899" s="5" t="n">
        <v>24377</v>
      </c>
      <c r="E899" s="6" t="n">
        <v>347.421264148888</v>
      </c>
      <c r="F899" s="7" t="n">
        <v>70</v>
      </c>
      <c r="G899" s="6" t="n">
        <v>490.508102040819</v>
      </c>
      <c r="H899" s="8" t="n">
        <v>1057387.98970306</v>
      </c>
      <c r="I899" s="9" t="n">
        <v>5.34685040122539</v>
      </c>
      <c r="J899" s="9" t="n">
        <v>18.0128985255538</v>
      </c>
      <c r="K899" s="3" t="s">
        <v>343</v>
      </c>
      <c r="L899" s="3" t="s">
        <v>344</v>
      </c>
      <c r="M899" s="7" t="n">
        <v>2018</v>
      </c>
    </row>
    <row r="900" customFormat="false" ht="15" hidden="false" customHeight="false" outlineLevel="0" collapsed="false">
      <c r="A900" s="3" t="n">
        <v>1239</v>
      </c>
      <c r="B900" s="3" t="s">
        <v>342</v>
      </c>
      <c r="C900" s="4" t="s">
        <v>19</v>
      </c>
      <c r="D900" s="5" t="n">
        <v>24218</v>
      </c>
      <c r="E900" s="6" t="n">
        <v>347.401826425568</v>
      </c>
      <c r="F900" s="7" t="n">
        <v>70</v>
      </c>
      <c r="G900" s="6" t="n">
        <v>474.912665816327</v>
      </c>
      <c r="H900" s="8" t="n">
        <v>784548.688651893</v>
      </c>
      <c r="I900" s="9" t="n">
        <v>5.59348405003748</v>
      </c>
      <c r="J900" s="9" t="n">
        <v>17.554689485901</v>
      </c>
      <c r="K900" s="3" t="s">
        <v>343</v>
      </c>
      <c r="L900" s="3" t="s">
        <v>344</v>
      </c>
      <c r="M900" s="7" t="n">
        <v>2019</v>
      </c>
    </row>
    <row r="901" customFormat="false" ht="15" hidden="false" customHeight="false" outlineLevel="0" collapsed="false">
      <c r="A901" s="3" t="n">
        <v>1240</v>
      </c>
      <c r="B901" s="3" t="s">
        <v>342</v>
      </c>
      <c r="C901" s="4" t="s">
        <v>20</v>
      </c>
      <c r="D901" s="5" t="n">
        <v>24455.0833333333</v>
      </c>
      <c r="E901" s="6" t="n">
        <v>349.36358536</v>
      </c>
      <c r="F901" s="7" t="n">
        <v>70</v>
      </c>
      <c r="G901" s="6" t="n">
        <v>769.042955765566</v>
      </c>
      <c r="H901" s="8" t="n">
        <v>1286978.00561456</v>
      </c>
      <c r="I901" s="9" t="n">
        <v>6.88992072041516</v>
      </c>
      <c r="J901" s="9" t="n">
        <v>28.0742165235089</v>
      </c>
      <c r="K901" s="3" t="s">
        <v>343</v>
      </c>
      <c r="L901" s="3" t="s">
        <v>344</v>
      </c>
      <c r="M901" s="7" t="n">
        <v>2020</v>
      </c>
    </row>
    <row r="902" customFormat="false" ht="15" hidden="false" customHeight="false" outlineLevel="0" collapsed="false">
      <c r="A902" s="3" t="n">
        <v>1241</v>
      </c>
      <c r="B902" s="3" t="s">
        <v>342</v>
      </c>
      <c r="C902" s="4" t="s">
        <v>21</v>
      </c>
      <c r="D902" s="5" t="n">
        <v>24505.0833333333</v>
      </c>
      <c r="E902" s="6" t="n">
        <v>349.36358536</v>
      </c>
      <c r="F902" s="7" t="n">
        <v>63</v>
      </c>
      <c r="G902" s="6" t="n">
        <v>35.1162898461307</v>
      </c>
      <c r="H902" s="8" t="n">
        <v>59176.5285218565</v>
      </c>
      <c r="I902" s="9" t="n">
        <v>2.92247460538758</v>
      </c>
      <c r="J902" s="9" t="n">
        <v>1.28283297757704</v>
      </c>
      <c r="K902" s="3" t="s">
        <v>343</v>
      </c>
      <c r="L902" s="3" t="s">
        <v>344</v>
      </c>
      <c r="M902" s="7" t="n">
        <v>2021</v>
      </c>
    </row>
    <row r="903" customFormat="false" ht="15" hidden="false" customHeight="false" outlineLevel="0" collapsed="false">
      <c r="A903" s="3" t="n">
        <v>1242</v>
      </c>
      <c r="B903" s="3" t="s">
        <v>342</v>
      </c>
      <c r="C903" s="4" t="s">
        <v>22</v>
      </c>
      <c r="D903" s="5" t="n">
        <v>24648.1666666667</v>
      </c>
      <c r="E903" s="6" t="n">
        <v>354.68737687</v>
      </c>
      <c r="F903" s="7" t="n">
        <v>71</v>
      </c>
      <c r="G903" s="6" t="n">
        <v>317.228469135686</v>
      </c>
      <c r="H903" s="8" t="n">
        <v>581781.150971391</v>
      </c>
      <c r="I903" s="9" t="n">
        <v>4.64660474876847</v>
      </c>
      <c r="J903" s="9" t="n">
        <v>11.5213987595314</v>
      </c>
      <c r="K903" s="3" t="s">
        <v>343</v>
      </c>
      <c r="L903" s="3" t="s">
        <v>344</v>
      </c>
      <c r="M903" s="7" t="n">
        <v>2022</v>
      </c>
    </row>
    <row r="904" customFormat="false" ht="15" hidden="false" customHeight="false" outlineLevel="0" collapsed="false">
      <c r="A904" s="3" t="n">
        <v>1243</v>
      </c>
      <c r="B904" s="3" t="s">
        <v>342</v>
      </c>
      <c r="C904" s="4" t="s">
        <v>23</v>
      </c>
      <c r="D904" s="5" t="n">
        <v>24758.3333333333</v>
      </c>
      <c r="E904" s="6" t="n">
        <v>357.71537885</v>
      </c>
      <c r="F904" s="7" t="n">
        <v>67</v>
      </c>
      <c r="G904" s="6" t="n">
        <v>13.1214780573862</v>
      </c>
      <c r="H904" s="8" t="n">
        <v>27020.2724748919</v>
      </c>
      <c r="I904" s="9" t="n">
        <v>2.80984967591454</v>
      </c>
      <c r="J904" s="9" t="n">
        <v>0.474437520183461</v>
      </c>
      <c r="K904" s="3" t="s">
        <v>343</v>
      </c>
      <c r="L904" s="3" t="s">
        <v>344</v>
      </c>
      <c r="M904" s="7" t="n">
        <v>2023</v>
      </c>
    </row>
    <row r="905" customFormat="false" ht="15" hidden="false" customHeight="false" outlineLevel="0" collapsed="false">
      <c r="A905" s="3" t="n">
        <v>1244</v>
      </c>
      <c r="B905" s="3" t="s">
        <v>342</v>
      </c>
      <c r="C905" s="4" t="s">
        <v>24</v>
      </c>
      <c r="D905" s="5" t="n">
        <v>24902.25</v>
      </c>
      <c r="E905" s="6" t="n">
        <v>359.208330942676</v>
      </c>
      <c r="F905" s="7" t="n">
        <v>67</v>
      </c>
      <c r="G905" s="6" t="n">
        <v>212.471953614022</v>
      </c>
      <c r="H905" s="8" t="n">
        <v>455429.239235296</v>
      </c>
      <c r="I905" s="9" t="n">
        <v>4.1709242588075</v>
      </c>
      <c r="J905" s="9" t="n">
        <v>7.61709226165625</v>
      </c>
      <c r="K905" s="3" t="s">
        <v>343</v>
      </c>
      <c r="L905" s="3" t="s">
        <v>344</v>
      </c>
      <c r="M905" s="7" t="n">
        <v>2024</v>
      </c>
    </row>
    <row r="906" customFormat="false" ht="15" hidden="false" customHeight="false" outlineLevel="0" collapsed="false">
      <c r="A906" s="3" t="n">
        <v>1245</v>
      </c>
      <c r="B906" s="3" t="s">
        <v>345</v>
      </c>
      <c r="C906" s="4" t="s">
        <v>41</v>
      </c>
      <c r="D906" s="5" t="n">
        <v>7378</v>
      </c>
      <c r="E906" s="6" t="n">
        <v>130</v>
      </c>
      <c r="F906" s="7" t="n">
        <v>60</v>
      </c>
      <c r="G906" s="6" t="n">
        <v>763.581011224489</v>
      </c>
      <c r="H906" s="8" t="n">
        <v>305432.404489796</v>
      </c>
      <c r="I906" s="9" t="n">
        <v>14.2035283998234</v>
      </c>
      <c r="J906" s="9" t="n">
        <v>92.6475935616843</v>
      </c>
      <c r="K906" s="3" t="s">
        <v>346</v>
      </c>
      <c r="L906" s="3" t="s">
        <v>347</v>
      </c>
      <c r="M906" s="7" t="n">
        <v>2016</v>
      </c>
    </row>
    <row r="907" customFormat="false" ht="15" hidden="false" customHeight="false" outlineLevel="0" collapsed="false">
      <c r="A907" s="3" t="n">
        <v>1246</v>
      </c>
      <c r="B907" s="3" t="s">
        <v>345</v>
      </c>
      <c r="C907" s="4" t="s">
        <v>42</v>
      </c>
      <c r="D907" s="5" t="n">
        <v>7398</v>
      </c>
      <c r="E907" s="6" t="n">
        <v>177.592727272727</v>
      </c>
      <c r="F907" s="7" t="n">
        <v>70</v>
      </c>
      <c r="G907" s="6" t="n">
        <v>798.236745918368</v>
      </c>
      <c r="H907" s="8" t="n">
        <v>368434.152446082</v>
      </c>
      <c r="I907" s="9" t="n">
        <v>14.5920750173314</v>
      </c>
      <c r="J907" s="9" t="n">
        <v>96.5906444473581</v>
      </c>
      <c r="K907" s="3" t="s">
        <v>346</v>
      </c>
      <c r="L907" s="3" t="s">
        <v>347</v>
      </c>
      <c r="M907" s="7" t="n">
        <v>2017</v>
      </c>
    </row>
    <row r="908" customFormat="false" ht="15" hidden="false" customHeight="false" outlineLevel="0" collapsed="false">
      <c r="A908" s="3" t="n">
        <v>1247</v>
      </c>
      <c r="B908" s="3" t="s">
        <v>345</v>
      </c>
      <c r="C908" s="4" t="s">
        <v>43</v>
      </c>
      <c r="D908" s="5" t="n">
        <v>7398</v>
      </c>
      <c r="E908" s="6" t="n">
        <v>177.592727272727</v>
      </c>
      <c r="F908" s="7" t="n">
        <v>68</v>
      </c>
      <c r="G908" s="6" t="n">
        <v>139.615780353535</v>
      </c>
      <c r="H908" s="8" t="n">
        <v>64441.0595799777</v>
      </c>
      <c r="I908" s="9" t="n">
        <v>4.32080612490695</v>
      </c>
      <c r="J908" s="9" t="n">
        <v>16.8942087273289</v>
      </c>
      <c r="K908" s="3" t="s">
        <v>346</v>
      </c>
      <c r="L908" s="3" t="s">
        <v>347</v>
      </c>
      <c r="M908" s="7" t="n">
        <v>2018</v>
      </c>
    </row>
    <row r="909" customFormat="false" ht="15" hidden="false" customHeight="false" outlineLevel="0" collapsed="false">
      <c r="A909" s="3" t="n">
        <v>1248</v>
      </c>
      <c r="B909" s="3" t="s">
        <v>345</v>
      </c>
      <c r="C909" s="4" t="s">
        <v>44</v>
      </c>
      <c r="D909" s="5" t="n">
        <v>7604</v>
      </c>
      <c r="E909" s="6" t="n">
        <v>177.6</v>
      </c>
      <c r="F909" s="7" t="n">
        <v>70</v>
      </c>
      <c r="G909" s="6" t="n">
        <v>359.549386675127</v>
      </c>
      <c r="H909" s="8" t="n">
        <v>252295.804629936</v>
      </c>
      <c r="I909" s="9" t="n">
        <v>8.5691995910974</v>
      </c>
      <c r="J909" s="9" t="n">
        <v>42.2126520279438</v>
      </c>
      <c r="K909" s="3" t="s">
        <v>346</v>
      </c>
      <c r="L909" s="3" t="s">
        <v>347</v>
      </c>
      <c r="M909" s="7" t="n">
        <v>2019</v>
      </c>
    </row>
    <row r="910" customFormat="false" ht="15" hidden="false" customHeight="false" outlineLevel="0" collapsed="false">
      <c r="A910" s="3" t="n">
        <v>1249</v>
      </c>
      <c r="B910" s="3" t="s">
        <v>345</v>
      </c>
      <c r="C910" s="4" t="s">
        <v>46</v>
      </c>
      <c r="D910" s="5" t="n">
        <v>7400</v>
      </c>
      <c r="E910" s="6" t="n">
        <v>177.6</v>
      </c>
      <c r="F910" s="7" t="n">
        <v>65</v>
      </c>
      <c r="G910" s="6" t="n">
        <v>14.5227899795912</v>
      </c>
      <c r="H910" s="8" t="n">
        <v>28423.6158821884</v>
      </c>
      <c r="I910" s="9" t="n">
        <v>2.99560589344951</v>
      </c>
      <c r="J910" s="9" t="n">
        <v>1.75685537482914</v>
      </c>
      <c r="K910" s="3" t="s">
        <v>346</v>
      </c>
      <c r="L910" s="3" t="s">
        <v>347</v>
      </c>
      <c r="M910" s="7" t="n">
        <v>2021</v>
      </c>
    </row>
    <row r="911" customFormat="false" ht="15" hidden="false" customHeight="false" outlineLevel="0" collapsed="false">
      <c r="A911" s="3" t="n">
        <v>1250</v>
      </c>
      <c r="B911" s="3" t="s">
        <v>345</v>
      </c>
      <c r="C911" s="4" t="s">
        <v>48</v>
      </c>
      <c r="D911" s="5" t="n">
        <v>7556</v>
      </c>
      <c r="E911" s="6" t="n">
        <v>184.94</v>
      </c>
      <c r="F911" s="7" t="n">
        <v>62</v>
      </c>
      <c r="G911" s="6" t="n">
        <v>118.208134517767</v>
      </c>
      <c r="H911" s="8" t="n">
        <v>112121.597671447</v>
      </c>
      <c r="I911" s="9" t="n">
        <v>4.53599167267197</v>
      </c>
      <c r="J911" s="9" t="n">
        <v>13.9663077662128</v>
      </c>
      <c r="K911" s="3" t="s">
        <v>346</v>
      </c>
      <c r="L911" s="3" t="s">
        <v>347</v>
      </c>
      <c r="M911" s="7" t="n">
        <v>2023</v>
      </c>
    </row>
    <row r="912" customFormat="false" ht="15" hidden="false" customHeight="false" outlineLevel="0" collapsed="false">
      <c r="A912" s="3" t="n">
        <v>1251</v>
      </c>
      <c r="B912" s="3" t="s">
        <v>345</v>
      </c>
      <c r="C912" s="4" t="s">
        <v>49</v>
      </c>
      <c r="D912" s="5" t="n">
        <v>7556</v>
      </c>
      <c r="E912" s="6" t="n">
        <v>184.9</v>
      </c>
      <c r="F912" s="7" t="n">
        <v>62</v>
      </c>
      <c r="G912" s="6" t="n">
        <v>74.9316463203966</v>
      </c>
      <c r="H912" s="8" t="n">
        <v>68852.4418544228</v>
      </c>
      <c r="I912" s="9" t="n">
        <v>3.10906422539675</v>
      </c>
      <c r="J912" s="9" t="n">
        <v>8.87750651732542</v>
      </c>
      <c r="K912" s="3" t="s">
        <v>346</v>
      </c>
      <c r="L912" s="3" t="s">
        <v>347</v>
      </c>
      <c r="M912" s="7" t="n">
        <v>2024</v>
      </c>
    </row>
    <row r="913" customFormat="false" ht="15" hidden="false" customHeight="false" outlineLevel="0" collapsed="false">
      <c r="A913" s="3" t="n">
        <v>1252</v>
      </c>
      <c r="B913" s="3" t="s">
        <v>348</v>
      </c>
      <c r="C913" s="4" t="s">
        <v>14</v>
      </c>
      <c r="D913" s="5" t="n">
        <v>37555</v>
      </c>
      <c r="E913" s="6" t="n">
        <v>531.2</v>
      </c>
      <c r="F913" s="7" t="n">
        <v>64</v>
      </c>
      <c r="G913" s="6" t="n">
        <v>1654.34612770846</v>
      </c>
      <c r="H913" s="8" t="n">
        <v>1694960.32514371</v>
      </c>
      <c r="I913" s="9" t="n">
        <v>7.80590455456818</v>
      </c>
      <c r="J913" s="9" t="n">
        <v>39.3264556320085</v>
      </c>
      <c r="K913" s="3" t="s">
        <v>349</v>
      </c>
      <c r="L913" s="3" t="s">
        <v>350</v>
      </c>
      <c r="M913" s="7" t="n">
        <v>2016</v>
      </c>
    </row>
    <row r="914" customFormat="false" ht="15" hidden="false" customHeight="false" outlineLevel="0" collapsed="false">
      <c r="A914" s="3" t="n">
        <v>1253</v>
      </c>
      <c r="B914" s="3" t="s">
        <v>348</v>
      </c>
      <c r="C914" s="4" t="s">
        <v>17</v>
      </c>
      <c r="D914" s="5" t="n">
        <v>38292</v>
      </c>
      <c r="E914" s="6" t="n">
        <v>531.1</v>
      </c>
      <c r="F914" s="7" t="n">
        <v>65</v>
      </c>
      <c r="G914" s="6" t="n">
        <v>1845.99119290486</v>
      </c>
      <c r="H914" s="8" t="n">
        <v>1881932.64143072</v>
      </c>
      <c r="I914" s="9" t="n">
        <v>8.25202821767242</v>
      </c>
      <c r="J914" s="9" t="n">
        <v>43.1558076715908</v>
      </c>
      <c r="K914" s="3" t="s">
        <v>349</v>
      </c>
      <c r="L914" s="3" t="s">
        <v>350</v>
      </c>
      <c r="M914" s="7" t="n">
        <v>2017</v>
      </c>
    </row>
    <row r="915" customFormat="false" ht="15" hidden="false" customHeight="false" outlineLevel="0" collapsed="false">
      <c r="A915" s="3" t="n">
        <v>1254</v>
      </c>
      <c r="B915" s="3" t="s">
        <v>348</v>
      </c>
      <c r="C915" s="4" t="s">
        <v>18</v>
      </c>
      <c r="D915" s="5" t="n">
        <v>38298</v>
      </c>
      <c r="E915" s="6" t="n">
        <v>532.26</v>
      </c>
      <c r="F915" s="7" t="n">
        <v>67</v>
      </c>
      <c r="G915" s="6" t="n">
        <v>571.486342564102</v>
      </c>
      <c r="H915" s="8" t="n">
        <v>616624.048358842</v>
      </c>
      <c r="I915" s="9" t="n">
        <v>5.11337115046482</v>
      </c>
      <c r="J915" s="9" t="n">
        <v>13.3581844438879</v>
      </c>
      <c r="K915" s="3" t="s">
        <v>349</v>
      </c>
      <c r="L915" s="3" t="s">
        <v>350</v>
      </c>
      <c r="M915" s="7" t="n">
        <v>2018</v>
      </c>
    </row>
    <row r="916" customFormat="false" ht="15" hidden="false" customHeight="false" outlineLevel="0" collapsed="false">
      <c r="A916" s="3" t="n">
        <v>1255</v>
      </c>
      <c r="B916" s="3" t="s">
        <v>348</v>
      </c>
      <c r="C916" s="4" t="s">
        <v>19</v>
      </c>
      <c r="D916" s="5" t="n">
        <v>38382</v>
      </c>
      <c r="E916" s="6" t="n">
        <v>532.3</v>
      </c>
      <c r="F916" s="7" t="n">
        <v>68</v>
      </c>
      <c r="G916" s="6" t="n">
        <v>824.598724240248</v>
      </c>
      <c r="H916" s="8" t="n">
        <v>928819.756996974</v>
      </c>
      <c r="I916" s="9" t="n">
        <v>6.30329643138396</v>
      </c>
      <c r="J916" s="9" t="n">
        <v>19.2323667410211</v>
      </c>
      <c r="K916" s="3" t="s">
        <v>349</v>
      </c>
      <c r="L916" s="3" t="s">
        <v>350</v>
      </c>
      <c r="M916" s="7" t="n">
        <v>2019</v>
      </c>
    </row>
    <row r="917" customFormat="false" ht="15" hidden="false" customHeight="false" outlineLevel="0" collapsed="false">
      <c r="A917" s="3" t="n">
        <v>1256</v>
      </c>
      <c r="B917" s="3" t="s">
        <v>348</v>
      </c>
      <c r="C917" s="4" t="s">
        <v>20</v>
      </c>
      <c r="D917" s="5" t="n">
        <v>38447</v>
      </c>
      <c r="E917" s="6" t="n">
        <v>532.44</v>
      </c>
      <c r="F917" s="7" t="n">
        <v>67</v>
      </c>
      <c r="G917" s="6" t="n">
        <v>1646.62734636598</v>
      </c>
      <c r="H917" s="8" t="n">
        <v>1910713.44017616</v>
      </c>
      <c r="I917" s="9" t="n">
        <v>9.16541293834022</v>
      </c>
      <c r="J917" s="9" t="n">
        <v>38.2348208539492</v>
      </c>
      <c r="K917" s="3" t="s">
        <v>349</v>
      </c>
      <c r="L917" s="3" t="s">
        <v>350</v>
      </c>
      <c r="M917" s="7" t="n">
        <v>2020</v>
      </c>
    </row>
    <row r="918" customFormat="false" ht="15" hidden="false" customHeight="false" outlineLevel="0" collapsed="false">
      <c r="A918" s="3" t="n">
        <v>1257</v>
      </c>
      <c r="B918" s="3" t="s">
        <v>348</v>
      </c>
      <c r="C918" s="4" t="s">
        <v>21</v>
      </c>
      <c r="D918" s="5" t="n">
        <v>38358</v>
      </c>
      <c r="E918" s="6" t="n">
        <v>532.65</v>
      </c>
      <c r="F918" s="7" t="n">
        <v>68</v>
      </c>
      <c r="G918" s="6" t="n">
        <v>228.917181396297</v>
      </c>
      <c r="H918" s="8" t="n">
        <v>396944.681712993</v>
      </c>
      <c r="I918" s="9" t="n">
        <v>3.72442215263075</v>
      </c>
      <c r="J918" s="9" t="n">
        <v>5.34244561181306</v>
      </c>
      <c r="K918" s="3" t="s">
        <v>349</v>
      </c>
      <c r="L918" s="3" t="s">
        <v>350</v>
      </c>
      <c r="M918" s="7" t="n">
        <v>2021</v>
      </c>
    </row>
    <row r="919" customFormat="false" ht="15" hidden="false" customHeight="false" outlineLevel="0" collapsed="false">
      <c r="A919" s="3" t="n">
        <v>1258</v>
      </c>
      <c r="B919" s="3" t="s">
        <v>348</v>
      </c>
      <c r="C919" s="4" t="s">
        <v>22</v>
      </c>
      <c r="D919" s="5" t="n">
        <v>38338</v>
      </c>
      <c r="E919" s="6" t="n">
        <v>532.04</v>
      </c>
      <c r="F919" s="7" t="n">
        <v>66</v>
      </c>
      <c r="G919" s="6" t="n">
        <v>53.5460679964135</v>
      </c>
      <c r="H919" s="8" t="n">
        <v>97349.4289208796</v>
      </c>
      <c r="I919" s="9" t="n">
        <v>3.26851382724423</v>
      </c>
      <c r="J919" s="9" t="n">
        <v>1.25030453550371</v>
      </c>
      <c r="K919" s="3" t="s">
        <v>349</v>
      </c>
      <c r="L919" s="3" t="s">
        <v>350</v>
      </c>
      <c r="M919" s="7" t="n">
        <v>2022</v>
      </c>
    </row>
    <row r="920" customFormat="false" ht="15" hidden="false" customHeight="false" outlineLevel="0" collapsed="false">
      <c r="A920" s="3" t="n">
        <v>1259</v>
      </c>
      <c r="B920" s="3" t="s">
        <v>348</v>
      </c>
      <c r="C920" s="4" t="s">
        <v>47</v>
      </c>
      <c r="D920" s="5" t="n">
        <v>38637</v>
      </c>
      <c r="E920" s="6" t="n">
        <v>535.5</v>
      </c>
      <c r="F920" s="7" t="n">
        <v>64</v>
      </c>
      <c r="G920" s="6" t="n">
        <v>249.038363511869</v>
      </c>
      <c r="H920" s="8" t="n">
        <v>499097.784314136</v>
      </c>
      <c r="I920" s="9" t="n">
        <v>4.49855689460506</v>
      </c>
      <c r="J920" s="9" t="n">
        <v>5.77006267327779</v>
      </c>
      <c r="K920" s="3" t="s">
        <v>349</v>
      </c>
      <c r="L920" s="3" t="s">
        <v>350</v>
      </c>
      <c r="M920" s="7" t="n">
        <v>2022</v>
      </c>
    </row>
    <row r="921" customFormat="false" ht="15" hidden="false" customHeight="false" outlineLevel="0" collapsed="false">
      <c r="A921" s="3" t="n">
        <v>1260</v>
      </c>
      <c r="B921" s="3" t="s">
        <v>348</v>
      </c>
      <c r="C921" s="4" t="s">
        <v>48</v>
      </c>
      <c r="D921" s="5" t="n">
        <v>38517</v>
      </c>
      <c r="E921" s="6" t="n">
        <v>533.8</v>
      </c>
      <c r="F921" s="7" t="n">
        <v>65</v>
      </c>
      <c r="G921" s="6" t="n">
        <v>655.491339166665</v>
      </c>
      <c r="H921" s="8" t="n">
        <v>1492599.66367624</v>
      </c>
      <c r="I921" s="9" t="n">
        <v>7.27374381726406</v>
      </c>
      <c r="J921" s="9" t="n">
        <v>15.1929006518593</v>
      </c>
      <c r="K921" s="3" t="s">
        <v>349</v>
      </c>
      <c r="L921" s="3" t="s">
        <v>350</v>
      </c>
      <c r="M921" s="7" t="n">
        <v>2023</v>
      </c>
    </row>
    <row r="922" customFormat="false" ht="15" hidden="false" customHeight="false" outlineLevel="0" collapsed="false">
      <c r="A922" s="3" t="n">
        <v>1261</v>
      </c>
      <c r="B922" s="3" t="s">
        <v>348</v>
      </c>
      <c r="C922" s="4" t="s">
        <v>49</v>
      </c>
      <c r="D922" s="5" t="n">
        <v>38637</v>
      </c>
      <c r="E922" s="6" t="n">
        <v>535.5</v>
      </c>
      <c r="F922" s="7" t="n">
        <v>66</v>
      </c>
      <c r="G922" s="6" t="n">
        <v>763.667118922277</v>
      </c>
      <c r="H922" s="8" t="n">
        <v>1630780.58577376</v>
      </c>
      <c r="I922" s="9" t="n">
        <v>7.69988811463855</v>
      </c>
      <c r="J922" s="9" t="n">
        <v>17.6936881352941</v>
      </c>
      <c r="K922" s="3" t="s">
        <v>349</v>
      </c>
      <c r="L922" s="3" t="s">
        <v>350</v>
      </c>
      <c r="M922" s="7" t="n">
        <v>2024</v>
      </c>
    </row>
    <row r="923" customFormat="false" ht="15" hidden="false" customHeight="false" outlineLevel="0" collapsed="false">
      <c r="A923" s="3" t="n">
        <v>1262</v>
      </c>
      <c r="B923" s="3" t="s">
        <v>351</v>
      </c>
      <c r="C923" s="4" t="s">
        <v>41</v>
      </c>
      <c r="D923" s="5" t="n">
        <v>5404</v>
      </c>
      <c r="E923" s="6" t="n">
        <v>68</v>
      </c>
      <c r="F923" s="7" t="n">
        <v>64</v>
      </c>
      <c r="G923" s="6" t="n">
        <v>72.4720353989973</v>
      </c>
      <c r="H923" s="8" t="n">
        <v>24686.1494179604</v>
      </c>
      <c r="I923" s="9" t="n">
        <v>4.40031301532419</v>
      </c>
      <c r="J923" s="9" t="n">
        <v>12.0052938029211</v>
      </c>
      <c r="K923" s="3" t="s">
        <v>352</v>
      </c>
      <c r="L923" s="3" t="s">
        <v>275</v>
      </c>
      <c r="M923" s="7" t="n">
        <v>2016</v>
      </c>
    </row>
    <row r="924" customFormat="false" ht="15" hidden="false" customHeight="false" outlineLevel="0" collapsed="false">
      <c r="A924" s="3" t="n">
        <v>1263</v>
      </c>
      <c r="B924" s="3" t="s">
        <v>351</v>
      </c>
      <c r="C924" s="4" t="s">
        <v>42</v>
      </c>
      <c r="D924" s="5" t="n">
        <v>5404</v>
      </c>
      <c r="E924" s="6" t="n">
        <v>68</v>
      </c>
      <c r="F924" s="7" t="n">
        <v>65</v>
      </c>
      <c r="G924" s="6" t="n">
        <v>47.6461560606059</v>
      </c>
      <c r="H924" s="8" t="n">
        <v>14152.8141962424</v>
      </c>
      <c r="I924" s="9" t="n">
        <v>3.54669066795024</v>
      </c>
      <c r="J924" s="9" t="n">
        <v>7.89278373290058</v>
      </c>
      <c r="K924" s="3" t="s">
        <v>352</v>
      </c>
      <c r="L924" s="3" t="s">
        <v>275</v>
      </c>
      <c r="M924" s="7" t="n">
        <v>2017</v>
      </c>
    </row>
    <row r="925" customFormat="false" ht="15" hidden="false" customHeight="false" outlineLevel="0" collapsed="false">
      <c r="A925" s="3" t="n">
        <v>1264</v>
      </c>
      <c r="B925" s="3" t="s">
        <v>351</v>
      </c>
      <c r="C925" s="4" t="s">
        <v>43</v>
      </c>
      <c r="D925" s="5" t="n">
        <v>5478</v>
      </c>
      <c r="E925" s="6" t="n">
        <v>68</v>
      </c>
      <c r="F925" s="7" t="n">
        <v>71</v>
      </c>
      <c r="G925" s="6" t="n">
        <v>67.3308308079023</v>
      </c>
      <c r="H925" s="8" t="n">
        <v>25720.3773686187</v>
      </c>
      <c r="I925" s="9" t="n">
        <v>4.56890400733172</v>
      </c>
      <c r="J925" s="9" t="n">
        <v>11.0029621731611</v>
      </c>
      <c r="K925" s="3" t="s">
        <v>352</v>
      </c>
      <c r="L925" s="3" t="s">
        <v>275</v>
      </c>
      <c r="M925" s="7" t="n">
        <v>2018</v>
      </c>
    </row>
    <row r="926" customFormat="false" ht="15" hidden="false" customHeight="false" outlineLevel="0" collapsed="false">
      <c r="A926" s="3" t="n">
        <v>1265</v>
      </c>
      <c r="B926" s="3" t="s">
        <v>351</v>
      </c>
      <c r="C926" s="4" t="s">
        <v>44</v>
      </c>
      <c r="D926" s="5" t="n">
        <v>5478</v>
      </c>
      <c r="E926" s="6" t="n">
        <v>68</v>
      </c>
      <c r="F926" s="7" t="n">
        <v>76</v>
      </c>
      <c r="G926" s="6" t="n">
        <v>145.274118709243</v>
      </c>
      <c r="H926" s="8" t="n">
        <v>63630.0639946485</v>
      </c>
      <c r="I926" s="9" t="n">
        <v>7.16361968726424</v>
      </c>
      <c r="J926" s="9" t="n">
        <v>23.6751323378323</v>
      </c>
      <c r="K926" s="3" t="s">
        <v>352</v>
      </c>
      <c r="L926" s="3" t="s">
        <v>275</v>
      </c>
      <c r="M926" s="7" t="n">
        <v>2019</v>
      </c>
    </row>
    <row r="927" customFormat="false" ht="15" hidden="false" customHeight="false" outlineLevel="0" collapsed="false">
      <c r="A927" s="3" t="n">
        <v>1266</v>
      </c>
      <c r="B927" s="3" t="s">
        <v>351</v>
      </c>
      <c r="C927" s="4" t="s">
        <v>45</v>
      </c>
      <c r="D927" s="5" t="n">
        <v>5619</v>
      </c>
      <c r="E927" s="6" t="n">
        <v>68</v>
      </c>
      <c r="F927" s="7" t="n">
        <v>78</v>
      </c>
      <c r="G927" s="6" t="n">
        <v>29.4394621058457</v>
      </c>
      <c r="H927" s="8" t="n">
        <v>4717.96819708284</v>
      </c>
      <c r="I927" s="9" t="n">
        <v>2.69533167490111</v>
      </c>
      <c r="J927" s="9" t="n">
        <v>4.69016922893672</v>
      </c>
      <c r="K927" s="3" t="s">
        <v>352</v>
      </c>
      <c r="L927" s="3" t="s">
        <v>275</v>
      </c>
      <c r="M927" s="7" t="n">
        <v>2020</v>
      </c>
    </row>
    <row r="928" customFormat="false" ht="15" hidden="false" customHeight="false" outlineLevel="0" collapsed="false">
      <c r="A928" s="3" t="n">
        <v>1267</v>
      </c>
      <c r="B928" s="3" t="s">
        <v>351</v>
      </c>
      <c r="C928" s="4" t="s">
        <v>46</v>
      </c>
      <c r="D928" s="5" t="n">
        <v>5619</v>
      </c>
      <c r="E928" s="6" t="n">
        <v>68</v>
      </c>
      <c r="F928" s="7" t="n">
        <v>79</v>
      </c>
      <c r="G928" s="6" t="n">
        <v>56.8442361498824</v>
      </c>
      <c r="H928" s="8" t="n">
        <v>9109.85728538015</v>
      </c>
      <c r="I928" s="9" t="n">
        <v>3.97630015129697</v>
      </c>
      <c r="J928" s="9" t="n">
        <v>9.05618065554434</v>
      </c>
      <c r="K928" s="3" t="s">
        <v>352</v>
      </c>
      <c r="L928" s="3" t="s">
        <v>275</v>
      </c>
      <c r="M928" s="7" t="n">
        <v>2021</v>
      </c>
    </row>
    <row r="929" customFormat="false" ht="15" hidden="false" customHeight="false" outlineLevel="0" collapsed="false">
      <c r="A929" s="3" t="n">
        <v>1268</v>
      </c>
      <c r="B929" s="3" t="s">
        <v>351</v>
      </c>
      <c r="C929" s="4" t="s">
        <v>47</v>
      </c>
      <c r="D929" s="5" t="n">
        <v>5619</v>
      </c>
      <c r="E929" s="6" t="n">
        <v>68</v>
      </c>
      <c r="F929" s="7" t="n">
        <v>72</v>
      </c>
      <c r="G929" s="6" t="n">
        <v>84.7648951179552</v>
      </c>
      <c r="H929" s="8" t="n">
        <v>56572.9386506745</v>
      </c>
      <c r="I929" s="9" t="n">
        <v>5.52690502766665</v>
      </c>
      <c r="J929" s="9" t="n">
        <v>13.5043806624897</v>
      </c>
      <c r="K929" s="3" t="s">
        <v>352</v>
      </c>
      <c r="L929" s="3" t="s">
        <v>275</v>
      </c>
      <c r="M929" s="7" t="n">
        <v>2022</v>
      </c>
    </row>
    <row r="930" customFormat="false" ht="15" hidden="false" customHeight="false" outlineLevel="0" collapsed="false">
      <c r="A930" s="3" t="n">
        <v>1269</v>
      </c>
      <c r="B930" s="3" t="s">
        <v>351</v>
      </c>
      <c r="C930" s="4" t="s">
        <v>48</v>
      </c>
      <c r="D930" s="5" t="n">
        <v>5468</v>
      </c>
      <c r="E930" s="6" t="n">
        <v>68</v>
      </c>
      <c r="F930" s="7" t="n">
        <v>72</v>
      </c>
      <c r="G930" s="6" t="n">
        <v>53.6420250000002</v>
      </c>
      <c r="H930" s="8" t="n">
        <v>40158.5655960002</v>
      </c>
      <c r="I930" s="9" t="n">
        <v>4.99895679527509</v>
      </c>
      <c r="J930" s="9" t="n">
        <v>8.75795787609858</v>
      </c>
      <c r="K930" s="3" t="s">
        <v>352</v>
      </c>
      <c r="L930" s="3" t="s">
        <v>275</v>
      </c>
      <c r="M930" s="7" t="n">
        <v>2023</v>
      </c>
    </row>
    <row r="931" customFormat="false" ht="15" hidden="false" customHeight="false" outlineLevel="0" collapsed="false">
      <c r="A931" s="3" t="n">
        <v>1270</v>
      </c>
      <c r="B931" s="3" t="s">
        <v>351</v>
      </c>
      <c r="C931" s="4" t="s">
        <v>49</v>
      </c>
      <c r="D931" s="5" t="n">
        <v>5470</v>
      </c>
      <c r="E931" s="6" t="n">
        <v>68</v>
      </c>
      <c r="F931" s="7" t="n">
        <v>72</v>
      </c>
      <c r="G931" s="6" t="n">
        <v>55.3180183320752</v>
      </c>
      <c r="H931" s="8" t="n">
        <v>41413.2812441248</v>
      </c>
      <c r="I931" s="9" t="n">
        <v>5.30848259703425</v>
      </c>
      <c r="J931" s="9" t="n">
        <v>9.05309258870816</v>
      </c>
      <c r="K931" s="3" t="s">
        <v>352</v>
      </c>
      <c r="L931" s="3" t="s">
        <v>275</v>
      </c>
      <c r="M931" s="7" t="n">
        <v>2024</v>
      </c>
    </row>
    <row r="932" customFormat="false" ht="15" hidden="false" customHeight="false" outlineLevel="0" collapsed="false">
      <c r="A932" s="3" t="n">
        <v>1271</v>
      </c>
      <c r="B932" s="3" t="s">
        <v>353</v>
      </c>
      <c r="C932" s="4" t="s">
        <v>14</v>
      </c>
      <c r="D932" s="5" t="n">
        <v>32924</v>
      </c>
      <c r="E932" s="6" t="n">
        <v>488</v>
      </c>
      <c r="F932" s="7" t="n">
        <v>50</v>
      </c>
      <c r="G932" s="6" t="n">
        <v>1106.55850335025</v>
      </c>
      <c r="H932" s="8" t="n">
        <v>1042378.11015594</v>
      </c>
      <c r="I932" s="9" t="n">
        <v>8.14385024191667</v>
      </c>
      <c r="J932" s="9" t="n">
        <v>30.0046096094436</v>
      </c>
      <c r="K932" s="3" t="s">
        <v>354</v>
      </c>
      <c r="L932" s="3" t="s">
        <v>355</v>
      </c>
      <c r="M932" s="7" t="n">
        <v>2016</v>
      </c>
    </row>
    <row r="933" customFormat="false" ht="15" hidden="false" customHeight="false" outlineLevel="0" collapsed="false">
      <c r="A933" s="3" t="n">
        <v>1272</v>
      </c>
      <c r="B933" s="3" t="s">
        <v>353</v>
      </c>
      <c r="C933" s="4" t="s">
        <v>17</v>
      </c>
      <c r="D933" s="5" t="n">
        <v>31695</v>
      </c>
      <c r="E933" s="6" t="n">
        <v>488</v>
      </c>
      <c r="F933" s="7" t="n">
        <v>53</v>
      </c>
      <c r="G933" s="6" t="n">
        <v>1416.63398974619</v>
      </c>
      <c r="H933" s="8" t="n">
        <v>1337302.48632041</v>
      </c>
      <c r="I933" s="9" t="n">
        <v>10.0754232307879</v>
      </c>
      <c r="J933" s="9" t="n">
        <v>40.0114763302689</v>
      </c>
      <c r="K933" s="3" t="s">
        <v>354</v>
      </c>
      <c r="L933" s="3" t="s">
        <v>355</v>
      </c>
      <c r="M933" s="7" t="n">
        <v>2017</v>
      </c>
    </row>
    <row r="934" customFormat="false" ht="15" hidden="false" customHeight="false" outlineLevel="0" collapsed="false">
      <c r="A934" s="3" t="n">
        <v>1273</v>
      </c>
      <c r="B934" s="3" t="s">
        <v>353</v>
      </c>
      <c r="C934" s="4" t="s">
        <v>18</v>
      </c>
      <c r="D934" s="5" t="n">
        <v>31711</v>
      </c>
      <c r="E934" s="6" t="n">
        <v>488</v>
      </c>
      <c r="F934" s="7" t="n">
        <v>53</v>
      </c>
      <c r="G934" s="6" t="n">
        <v>236.160123604065</v>
      </c>
      <c r="H934" s="8" t="n">
        <v>253635.972750766</v>
      </c>
      <c r="I934" s="9" t="n">
        <v>3.6855209681307</v>
      </c>
      <c r="J934" s="9" t="n">
        <v>6.66675206791246</v>
      </c>
      <c r="K934" s="3" t="s">
        <v>354</v>
      </c>
      <c r="L934" s="3" t="s">
        <v>355</v>
      </c>
      <c r="M934" s="7" t="n">
        <v>2018</v>
      </c>
    </row>
    <row r="935" customFormat="false" ht="15" hidden="false" customHeight="false" outlineLevel="0" collapsed="false">
      <c r="A935" s="3" t="n">
        <v>1274</v>
      </c>
      <c r="B935" s="3" t="s">
        <v>353</v>
      </c>
      <c r="C935" s="4" t="s">
        <v>19</v>
      </c>
      <c r="D935" s="5" t="n">
        <v>31534</v>
      </c>
      <c r="E935" s="6" t="n">
        <v>441.545</v>
      </c>
      <c r="F935" s="7" t="n">
        <v>54</v>
      </c>
      <c r="G935" s="6" t="n">
        <v>1442.47910483503</v>
      </c>
      <c r="H935" s="8" t="n">
        <v>1540567.68396381</v>
      </c>
      <c r="I935" s="9" t="n">
        <v>10.6422155784453</v>
      </c>
      <c r="J935" s="9" t="n">
        <v>40.9494565075756</v>
      </c>
      <c r="K935" s="3" t="s">
        <v>354</v>
      </c>
      <c r="L935" s="3" t="s">
        <v>355</v>
      </c>
      <c r="M935" s="7" t="n">
        <v>2019</v>
      </c>
    </row>
    <row r="936" customFormat="false" ht="15" hidden="false" customHeight="false" outlineLevel="0" collapsed="false">
      <c r="A936" s="3" t="n">
        <v>1275</v>
      </c>
      <c r="B936" s="3" t="s">
        <v>353</v>
      </c>
      <c r="C936" s="4" t="s">
        <v>20</v>
      </c>
      <c r="D936" s="5" t="n">
        <v>31278</v>
      </c>
      <c r="E936" s="6" t="n">
        <v>486</v>
      </c>
      <c r="F936" s="7" t="n">
        <v>54</v>
      </c>
      <c r="G936" s="6" t="n">
        <v>73.0581467219868</v>
      </c>
      <c r="H936" s="8" t="n">
        <v>80217.8451007415</v>
      </c>
      <c r="I936" s="9" t="n">
        <v>5.19772423677157</v>
      </c>
      <c r="J936" s="9" t="n">
        <v>2.08523914725884</v>
      </c>
      <c r="K936" s="3" t="s">
        <v>354</v>
      </c>
      <c r="L936" s="3" t="s">
        <v>355</v>
      </c>
      <c r="M936" s="7" t="n">
        <v>2020</v>
      </c>
    </row>
    <row r="937" customFormat="false" ht="15" hidden="false" customHeight="false" outlineLevel="0" collapsed="false">
      <c r="A937" s="3" t="n">
        <v>1276</v>
      </c>
      <c r="B937" s="3" t="s">
        <v>353</v>
      </c>
      <c r="C937" s="4" t="s">
        <v>21</v>
      </c>
      <c r="D937" s="5" t="n">
        <v>32277</v>
      </c>
      <c r="E937" s="6" t="n">
        <v>480.72</v>
      </c>
      <c r="F937" s="7" t="n">
        <v>54</v>
      </c>
      <c r="G937" s="6" t="n">
        <v>347.966205082987</v>
      </c>
      <c r="H937" s="8" t="n">
        <v>392157.913128526</v>
      </c>
      <c r="I937" s="9" t="n">
        <v>6.55744860920813</v>
      </c>
      <c r="J937" s="9" t="n">
        <v>9.65076141147836</v>
      </c>
      <c r="K937" s="3" t="s">
        <v>354</v>
      </c>
      <c r="L937" s="3" t="s">
        <v>355</v>
      </c>
      <c r="M937" s="7" t="n">
        <v>2021</v>
      </c>
    </row>
    <row r="938" customFormat="false" ht="15" hidden="false" customHeight="false" outlineLevel="0" collapsed="false">
      <c r="A938" s="3" t="n">
        <v>1277</v>
      </c>
      <c r="B938" s="3" t="s">
        <v>353</v>
      </c>
      <c r="C938" s="4" t="s">
        <v>22</v>
      </c>
      <c r="D938" s="5" t="n">
        <v>32850</v>
      </c>
      <c r="E938" s="6" t="n">
        <v>486.7</v>
      </c>
      <c r="F938" s="7" t="n">
        <v>57</v>
      </c>
      <c r="G938" s="6" t="n">
        <v>762.497080303025</v>
      </c>
      <c r="H938" s="8" t="n">
        <v>859334.209501509</v>
      </c>
      <c r="I938" s="9" t="n">
        <v>6.47282919135703</v>
      </c>
      <c r="J938" s="9" t="n">
        <v>20.7788010866761</v>
      </c>
      <c r="K938" s="3" t="s">
        <v>354</v>
      </c>
      <c r="L938" s="3" t="s">
        <v>355</v>
      </c>
      <c r="M938" s="7" t="n">
        <v>2022</v>
      </c>
    </row>
    <row r="939" customFormat="false" ht="15" hidden="false" customHeight="false" outlineLevel="0" collapsed="false">
      <c r="A939" s="3" t="n">
        <v>1278</v>
      </c>
      <c r="B939" s="3" t="s">
        <v>353</v>
      </c>
      <c r="C939" s="4" t="s">
        <v>23</v>
      </c>
      <c r="D939" s="5" t="n">
        <v>33241</v>
      </c>
      <c r="E939" s="6" t="n">
        <v>486.7</v>
      </c>
      <c r="F939" s="7" t="n">
        <v>57</v>
      </c>
      <c r="G939" s="6" t="n">
        <v>139.054231578945</v>
      </c>
      <c r="H939" s="8" t="n">
        <v>175764.548715787</v>
      </c>
      <c r="I939" s="9" t="n">
        <v>6.51010413547103</v>
      </c>
      <c r="J939" s="9" t="n">
        <v>3.74479289066683</v>
      </c>
      <c r="K939" s="3" t="s">
        <v>354</v>
      </c>
      <c r="L939" s="3" t="s">
        <v>355</v>
      </c>
      <c r="M939" s="7" t="n">
        <v>2023</v>
      </c>
    </row>
    <row r="940" customFormat="false" ht="15" hidden="false" customHeight="false" outlineLevel="0" collapsed="false">
      <c r="A940" s="3" t="n">
        <v>1279</v>
      </c>
      <c r="B940" s="3" t="s">
        <v>353</v>
      </c>
      <c r="C940" s="4" t="s">
        <v>24</v>
      </c>
      <c r="D940" s="5" t="n">
        <v>30796</v>
      </c>
      <c r="E940" s="6" t="n">
        <v>443.6</v>
      </c>
      <c r="F940" s="7" t="n">
        <v>60</v>
      </c>
      <c r="G940" s="6" t="n">
        <v>493.335571052631</v>
      </c>
      <c r="H940" s="8" t="n">
        <v>645302.660359683</v>
      </c>
      <c r="I940" s="9" t="n">
        <v>8.15199426365808</v>
      </c>
      <c r="J940" s="9" t="n">
        <v>14.3012603632095</v>
      </c>
      <c r="K940" s="3" t="s">
        <v>354</v>
      </c>
      <c r="L940" s="3" t="s">
        <v>355</v>
      </c>
      <c r="M940" s="7" t="n">
        <v>2024</v>
      </c>
    </row>
    <row r="941" customFormat="false" ht="15" hidden="false" customHeight="false" outlineLevel="0" collapsed="false">
      <c r="A941" s="3" t="n">
        <v>1280</v>
      </c>
      <c r="B941" s="3" t="s">
        <v>356</v>
      </c>
      <c r="C941" s="4" t="s">
        <v>14</v>
      </c>
      <c r="D941" s="5" t="n">
        <v>8639</v>
      </c>
      <c r="E941" s="6" t="n">
        <v>115.97</v>
      </c>
      <c r="F941" s="7" t="n">
        <v>61</v>
      </c>
      <c r="G941" s="6" t="n">
        <v>247.686053030303</v>
      </c>
      <c r="H941" s="8" t="n">
        <v>190718.260833333</v>
      </c>
      <c r="I941" s="9" t="n">
        <v>6.78555068115505</v>
      </c>
      <c r="J941" s="9" t="n">
        <v>25.5955385710159</v>
      </c>
      <c r="K941" s="3" t="s">
        <v>357</v>
      </c>
      <c r="L941" s="3" t="s">
        <v>358</v>
      </c>
      <c r="M941" s="7" t="n">
        <v>2016</v>
      </c>
    </row>
    <row r="942" customFormat="false" ht="15" hidden="false" customHeight="false" outlineLevel="0" collapsed="false">
      <c r="A942" s="3" t="n">
        <v>1281</v>
      </c>
      <c r="B942" s="3" t="s">
        <v>356</v>
      </c>
      <c r="C942" s="4" t="s">
        <v>17</v>
      </c>
      <c r="D942" s="5" t="n">
        <v>8647</v>
      </c>
      <c r="E942" s="6" t="n">
        <v>111</v>
      </c>
      <c r="F942" s="7" t="n">
        <v>53</v>
      </c>
      <c r="G942" s="6" t="n">
        <v>365.568557823827</v>
      </c>
      <c r="H942" s="8" t="n">
        <v>290261.434912119</v>
      </c>
      <c r="I942" s="9" t="n">
        <v>9.62927800778016</v>
      </c>
      <c r="J942" s="9" t="n">
        <v>37.8460928885493</v>
      </c>
      <c r="K942" s="3" t="s">
        <v>357</v>
      </c>
      <c r="L942" s="3" t="s">
        <v>358</v>
      </c>
      <c r="M942" s="7" t="n">
        <v>2017</v>
      </c>
    </row>
    <row r="943" customFormat="false" ht="15" hidden="false" customHeight="false" outlineLevel="0" collapsed="false">
      <c r="A943" s="3" t="n">
        <v>1282</v>
      </c>
      <c r="B943" s="3" t="s">
        <v>356</v>
      </c>
      <c r="C943" s="4" t="s">
        <v>18</v>
      </c>
      <c r="D943" s="5" t="n">
        <v>8665</v>
      </c>
      <c r="E943" s="6" t="n">
        <v>111</v>
      </c>
      <c r="F943" s="7" t="n">
        <v>54</v>
      </c>
      <c r="G943" s="6" t="n">
        <v>264.809342654486</v>
      </c>
      <c r="H943" s="8" t="n">
        <v>210258.618067662</v>
      </c>
      <c r="I943" s="9" t="n">
        <v>7.63258953806769</v>
      </c>
      <c r="J943" s="9" t="n">
        <v>27.3578781358969</v>
      </c>
      <c r="K943" s="3" t="s">
        <v>357</v>
      </c>
      <c r="L943" s="3" t="s">
        <v>358</v>
      </c>
      <c r="M943" s="7" t="n">
        <v>2018</v>
      </c>
    </row>
    <row r="944" customFormat="false" ht="15" hidden="false" customHeight="false" outlineLevel="0" collapsed="false">
      <c r="A944" s="3" t="n">
        <v>1283</v>
      </c>
      <c r="B944" s="3" t="s">
        <v>356</v>
      </c>
      <c r="C944" s="4" t="s">
        <v>19</v>
      </c>
      <c r="D944" s="5" t="n">
        <v>8504</v>
      </c>
      <c r="E944" s="6" t="n">
        <v>111</v>
      </c>
      <c r="F944" s="7" t="n">
        <v>60</v>
      </c>
      <c r="G944" s="6" t="n">
        <v>14.1834130295783</v>
      </c>
      <c r="H944" s="8" t="n">
        <v>17917.0546754844</v>
      </c>
      <c r="I944" s="9" t="n">
        <v>1.5349496987952</v>
      </c>
      <c r="J944" s="9" t="n">
        <v>1.4930528229447</v>
      </c>
      <c r="K944" s="3" t="s">
        <v>357</v>
      </c>
      <c r="L944" s="3" t="s">
        <v>358</v>
      </c>
      <c r="M944" s="7" t="n">
        <v>2019</v>
      </c>
    </row>
    <row r="945" customFormat="false" ht="15" hidden="false" customHeight="false" outlineLevel="0" collapsed="false">
      <c r="A945" s="3" t="n">
        <v>1284</v>
      </c>
      <c r="B945" s="3" t="s">
        <v>356</v>
      </c>
      <c r="C945" s="4" t="s">
        <v>20</v>
      </c>
      <c r="D945" s="5" t="n">
        <v>8684</v>
      </c>
      <c r="E945" s="6" t="n">
        <v>111</v>
      </c>
      <c r="F945" s="7" t="n">
        <v>60</v>
      </c>
      <c r="G945" s="6" t="n">
        <v>119.488578643216</v>
      </c>
      <c r="H945" s="8" t="n">
        <v>150942.752085256</v>
      </c>
      <c r="I945" s="9" t="n">
        <v>3.50582076886458</v>
      </c>
      <c r="J945" s="9" t="n">
        <v>12.2838010510498</v>
      </c>
      <c r="K945" s="3" t="s">
        <v>357</v>
      </c>
      <c r="L945" s="3" t="s">
        <v>358</v>
      </c>
      <c r="M945" s="7" t="n">
        <v>2020</v>
      </c>
    </row>
    <row r="946" customFormat="false" ht="15" hidden="false" customHeight="false" outlineLevel="0" collapsed="false">
      <c r="A946" s="3" t="n">
        <v>1285</v>
      </c>
      <c r="B946" s="3" t="s">
        <v>356</v>
      </c>
      <c r="C946" s="4" t="s">
        <v>21</v>
      </c>
      <c r="D946" s="5" t="n">
        <v>8851</v>
      </c>
      <c r="E946" s="6" t="n">
        <v>111</v>
      </c>
      <c r="F946" s="7" t="n">
        <v>83</v>
      </c>
      <c r="G946" s="6" t="n">
        <v>340.960066356783</v>
      </c>
      <c r="H946" s="8" t="n">
        <v>196195.24138302</v>
      </c>
      <c r="I946" s="9" t="n">
        <v>8.60407790277565</v>
      </c>
      <c r="J946" s="9" t="n">
        <v>34.4848904458626</v>
      </c>
      <c r="K946" s="3" t="s">
        <v>357</v>
      </c>
      <c r="L946" s="3" t="s">
        <v>358</v>
      </c>
      <c r="M946" s="7" t="n">
        <v>2021</v>
      </c>
    </row>
    <row r="947" customFormat="false" ht="15" hidden="false" customHeight="false" outlineLevel="0" collapsed="false">
      <c r="A947" s="3" t="n">
        <v>1286</v>
      </c>
      <c r="B947" s="3" t="s">
        <v>356</v>
      </c>
      <c r="C947" s="4" t="s">
        <v>22</v>
      </c>
      <c r="D947" s="5" t="n">
        <v>8660</v>
      </c>
      <c r="E947" s="6" t="n">
        <v>111</v>
      </c>
      <c r="F947" s="7" t="n">
        <v>77</v>
      </c>
      <c r="G947" s="6" t="n">
        <v>350.072586420374</v>
      </c>
      <c r="H947" s="8" t="n">
        <v>225964.79432144</v>
      </c>
      <c r="I947" s="9" t="n">
        <v>8.26768681864516</v>
      </c>
      <c r="J947" s="9" t="n">
        <v>36.1874420595086</v>
      </c>
      <c r="K947" s="3" t="s">
        <v>357</v>
      </c>
      <c r="L947" s="3" t="s">
        <v>358</v>
      </c>
      <c r="M947" s="7" t="n">
        <v>2022</v>
      </c>
    </row>
    <row r="948" customFormat="false" ht="15" hidden="false" customHeight="false" outlineLevel="0" collapsed="false">
      <c r="A948" s="3" t="n">
        <v>1287</v>
      </c>
      <c r="B948" s="3" t="s">
        <v>356</v>
      </c>
      <c r="C948" s="4" t="s">
        <v>23</v>
      </c>
      <c r="D948" s="5" t="n">
        <v>8789</v>
      </c>
      <c r="E948" s="6" t="n">
        <v>111</v>
      </c>
      <c r="F948" s="7" t="n">
        <v>77</v>
      </c>
      <c r="G948" s="6" t="n">
        <v>328.3899</v>
      </c>
      <c r="H948" s="8" t="n">
        <v>215932.778745</v>
      </c>
      <c r="I948" s="9" t="n">
        <v>8.59941816117645</v>
      </c>
      <c r="J948" s="9" t="n">
        <v>33.447834176118</v>
      </c>
      <c r="K948" s="3" t="s">
        <v>357</v>
      </c>
      <c r="L948" s="3" t="s">
        <v>358</v>
      </c>
      <c r="M948" s="7" t="n">
        <v>2023</v>
      </c>
    </row>
    <row r="949" customFormat="false" ht="15" hidden="false" customHeight="false" outlineLevel="0" collapsed="false">
      <c r="A949" s="3" t="n">
        <v>1288</v>
      </c>
      <c r="B949" s="3" t="s">
        <v>356</v>
      </c>
      <c r="C949" s="4" t="s">
        <v>24</v>
      </c>
      <c r="D949" s="5" t="n">
        <v>8557</v>
      </c>
      <c r="E949" s="6" t="n">
        <v>109</v>
      </c>
      <c r="F949" s="7" t="n">
        <v>62</v>
      </c>
      <c r="G949" s="6" t="n">
        <v>18.5271935600011</v>
      </c>
      <c r="H949" s="8" t="n">
        <v>12212.7554508815</v>
      </c>
      <c r="I949" s="9" t="n">
        <v>4.98498512818723</v>
      </c>
      <c r="J949" s="9" t="n">
        <v>1.93292187241397</v>
      </c>
      <c r="K949" s="3" t="s">
        <v>357</v>
      </c>
      <c r="L949" s="3" t="s">
        <v>358</v>
      </c>
      <c r="M949" s="7" t="n">
        <v>2024</v>
      </c>
    </row>
    <row r="950" customFormat="false" ht="15" hidden="false" customHeight="false" outlineLevel="0" collapsed="false">
      <c r="A950" s="3" t="n">
        <v>1289</v>
      </c>
      <c r="B950" s="3" t="s">
        <v>359</v>
      </c>
      <c r="C950" s="4" t="s">
        <v>41</v>
      </c>
      <c r="D950" s="5" t="n">
        <v>5809</v>
      </c>
      <c r="E950" s="6" t="n">
        <v>97.6416666666667</v>
      </c>
      <c r="F950" s="7" t="n">
        <v>68</v>
      </c>
      <c r="G950" s="6" t="n">
        <v>144.553575</v>
      </c>
      <c r="H950" s="8" t="n">
        <v>75312.4125749999</v>
      </c>
      <c r="I950" s="9" t="n">
        <v>4.06665914860222</v>
      </c>
      <c r="J950" s="9" t="n">
        <v>22.2764065268771</v>
      </c>
      <c r="K950" s="3" t="s">
        <v>360</v>
      </c>
      <c r="L950" s="3" t="s">
        <v>361</v>
      </c>
      <c r="M950" s="7" t="n">
        <v>2016</v>
      </c>
    </row>
    <row r="951" customFormat="false" ht="15" hidden="false" customHeight="false" outlineLevel="0" collapsed="false">
      <c r="A951" s="3" t="n">
        <v>1290</v>
      </c>
      <c r="B951" s="3" t="s">
        <v>359</v>
      </c>
      <c r="C951" s="4" t="s">
        <v>42</v>
      </c>
      <c r="D951" s="5" t="n">
        <v>5832</v>
      </c>
      <c r="E951" s="6" t="n">
        <v>96.6</v>
      </c>
      <c r="F951" s="7" t="n">
        <v>74</v>
      </c>
      <c r="G951" s="6" t="n">
        <v>163.386365829145</v>
      </c>
      <c r="H951" s="8" t="n">
        <v>58002.1598693465</v>
      </c>
      <c r="I951" s="9" t="n">
        <v>5.7952245698908</v>
      </c>
      <c r="J951" s="9" t="n">
        <v>25.0793324306746</v>
      </c>
      <c r="K951" s="3" t="s">
        <v>360</v>
      </c>
      <c r="L951" s="3" t="s">
        <v>361</v>
      </c>
      <c r="M951" s="7" t="n">
        <v>2017</v>
      </c>
    </row>
    <row r="952" customFormat="false" ht="15" hidden="false" customHeight="false" outlineLevel="0" collapsed="false">
      <c r="A952" s="3" t="n">
        <v>1291</v>
      </c>
      <c r="B952" s="3" t="s">
        <v>359</v>
      </c>
      <c r="C952" s="4" t="s">
        <v>43</v>
      </c>
      <c r="D952" s="5" t="n">
        <v>5832</v>
      </c>
      <c r="E952" s="6" t="n">
        <v>96.6</v>
      </c>
      <c r="F952" s="7" t="n">
        <v>74</v>
      </c>
      <c r="G952" s="6" t="n">
        <v>70.7602824120595</v>
      </c>
      <c r="H952" s="8" t="n">
        <v>25119.9002562811</v>
      </c>
      <c r="I952" s="9" t="n">
        <v>3.83629265491143</v>
      </c>
      <c r="J952" s="9" t="n">
        <v>10.8614977540794</v>
      </c>
      <c r="K952" s="3" t="s">
        <v>360</v>
      </c>
      <c r="L952" s="3" t="s">
        <v>361</v>
      </c>
      <c r="M952" s="7" t="n">
        <v>2018</v>
      </c>
    </row>
    <row r="953" customFormat="false" ht="15" hidden="false" customHeight="false" outlineLevel="0" collapsed="false">
      <c r="A953" s="3" t="n">
        <v>1292</v>
      </c>
      <c r="B953" s="3" t="s">
        <v>359</v>
      </c>
      <c r="C953" s="4" t="s">
        <v>44</v>
      </c>
      <c r="D953" s="5" t="n">
        <v>5832</v>
      </c>
      <c r="E953" s="6" t="n">
        <v>96.6</v>
      </c>
      <c r="F953" s="7" t="n">
        <v>73</v>
      </c>
      <c r="G953" s="6" t="n">
        <v>139.602130904522</v>
      </c>
      <c r="H953" s="8" t="n">
        <v>49558.7564711055</v>
      </c>
      <c r="I953" s="9" t="n">
        <v>5.26645041198486</v>
      </c>
      <c r="J953" s="9" t="n">
        <v>21.3698131975541</v>
      </c>
      <c r="K953" s="3" t="s">
        <v>360</v>
      </c>
      <c r="L953" s="3" t="s">
        <v>361</v>
      </c>
      <c r="M953" s="7" t="n">
        <v>2019</v>
      </c>
    </row>
    <row r="954" customFormat="false" ht="15" hidden="false" customHeight="false" outlineLevel="0" collapsed="false">
      <c r="A954" s="3" t="n">
        <v>1293</v>
      </c>
      <c r="B954" s="3" t="s">
        <v>359</v>
      </c>
      <c r="C954" s="4" t="s">
        <v>45</v>
      </c>
      <c r="D954" s="5" t="n">
        <v>5827</v>
      </c>
      <c r="E954" s="6" t="n">
        <v>98.9</v>
      </c>
      <c r="F954" s="7" t="n">
        <v>73</v>
      </c>
      <c r="G954" s="6" t="n">
        <v>149.499999246232</v>
      </c>
      <c r="H954" s="8" t="n">
        <v>63835.0046781486</v>
      </c>
      <c r="I954" s="9" t="n">
        <v>4.20998984722687</v>
      </c>
      <c r="J954" s="9" t="n">
        <v>22.9675064423402</v>
      </c>
      <c r="K954" s="3" t="s">
        <v>360</v>
      </c>
      <c r="L954" s="3" t="s">
        <v>361</v>
      </c>
      <c r="M954" s="7" t="n">
        <v>2020</v>
      </c>
    </row>
    <row r="955" customFormat="false" ht="15" hidden="false" customHeight="false" outlineLevel="0" collapsed="false">
      <c r="A955" s="3" t="n">
        <v>1294</v>
      </c>
      <c r="B955" s="3" t="s">
        <v>359</v>
      </c>
      <c r="C955" s="4" t="s">
        <v>46</v>
      </c>
      <c r="D955" s="5" t="n">
        <v>5880</v>
      </c>
      <c r="E955" s="6" t="n">
        <v>98.9</v>
      </c>
      <c r="F955" s="7" t="n">
        <v>70</v>
      </c>
      <c r="G955" s="6" t="n">
        <v>92.8141369346733</v>
      </c>
      <c r="H955" s="8" t="n">
        <v>49217.4805337185</v>
      </c>
      <c r="I955" s="9" t="n">
        <v>3.21993364071185</v>
      </c>
      <c r="J955" s="9" t="n">
        <v>14.1304007504954</v>
      </c>
      <c r="K955" s="3" t="s">
        <v>360</v>
      </c>
      <c r="L955" s="3" t="s">
        <v>361</v>
      </c>
      <c r="M955" s="7" t="n">
        <v>2021</v>
      </c>
    </row>
    <row r="956" customFormat="false" ht="15" hidden="false" customHeight="false" outlineLevel="0" collapsed="false">
      <c r="A956" s="3" t="n">
        <v>1295</v>
      </c>
      <c r="B956" s="3" t="s">
        <v>359</v>
      </c>
      <c r="C956" s="4" t="s">
        <v>47</v>
      </c>
      <c r="D956" s="5" t="n">
        <v>5892</v>
      </c>
      <c r="E956" s="6" t="n">
        <v>98.9</v>
      </c>
      <c r="F956" s="7" t="n">
        <v>71</v>
      </c>
      <c r="G956" s="6" t="n">
        <v>59.3559189698488</v>
      </c>
      <c r="H956" s="8" t="n">
        <v>41489.7873599243</v>
      </c>
      <c r="I956" s="9" t="n">
        <v>2.73009291332163</v>
      </c>
      <c r="J956" s="9" t="n">
        <v>9.0181814568106</v>
      </c>
      <c r="K956" s="3" t="s">
        <v>360</v>
      </c>
      <c r="L956" s="3" t="s">
        <v>361</v>
      </c>
      <c r="M956" s="7" t="n">
        <v>2022</v>
      </c>
    </row>
    <row r="957" customFormat="false" ht="15" hidden="false" customHeight="false" outlineLevel="0" collapsed="false">
      <c r="A957" s="3" t="n">
        <v>1296</v>
      </c>
      <c r="B957" s="3" t="s">
        <v>359</v>
      </c>
      <c r="C957" s="4" t="s">
        <v>48</v>
      </c>
      <c r="D957" s="5" t="n">
        <v>5896</v>
      </c>
      <c r="E957" s="6" t="n">
        <v>98.9</v>
      </c>
      <c r="F957" s="7" t="n">
        <v>72</v>
      </c>
      <c r="G957" s="6" t="n">
        <v>38.8363415829149</v>
      </c>
      <c r="H957" s="8" t="n">
        <v>29204.928870352</v>
      </c>
      <c r="I957" s="9" t="n">
        <v>2.16111770984165</v>
      </c>
      <c r="J957" s="9" t="n">
        <v>5.88040219565361</v>
      </c>
      <c r="K957" s="3" t="s">
        <v>360</v>
      </c>
      <c r="L957" s="3" t="s">
        <v>361</v>
      </c>
      <c r="M957" s="7" t="n">
        <v>2023</v>
      </c>
    </row>
    <row r="958" customFormat="false" ht="15" hidden="false" customHeight="false" outlineLevel="0" collapsed="false">
      <c r="A958" s="3" t="n">
        <v>1297</v>
      </c>
      <c r="B958" s="3" t="s">
        <v>359</v>
      </c>
      <c r="C958" s="4" t="s">
        <v>49</v>
      </c>
      <c r="D958" s="5" t="n">
        <v>5901</v>
      </c>
      <c r="E958" s="6" t="n">
        <v>98.9</v>
      </c>
      <c r="F958" s="7" t="n">
        <v>70</v>
      </c>
      <c r="G958" s="6" t="n">
        <v>77.7538066582907</v>
      </c>
      <c r="H958" s="8" t="n">
        <v>61425.5072600497</v>
      </c>
      <c r="I958" s="9" t="n">
        <v>2.86227674177921</v>
      </c>
      <c r="J958" s="9" t="n">
        <v>11.7954284398671</v>
      </c>
      <c r="K958" s="3" t="s">
        <v>360</v>
      </c>
      <c r="L958" s="3" t="s">
        <v>361</v>
      </c>
      <c r="M958" s="7" t="n">
        <v>2024</v>
      </c>
    </row>
    <row r="959" customFormat="false" ht="15" hidden="false" customHeight="false" outlineLevel="0" collapsed="false">
      <c r="A959" s="3" t="n">
        <v>1298</v>
      </c>
      <c r="B959" s="3" t="s">
        <v>362</v>
      </c>
      <c r="C959" s="4" t="s">
        <v>14</v>
      </c>
      <c r="D959" s="5" t="n">
        <v>27261</v>
      </c>
      <c r="E959" s="6" t="n">
        <v>217.89</v>
      </c>
      <c r="F959" s="7" t="n">
        <v>54</v>
      </c>
      <c r="G959" s="6" t="n">
        <v>220.185763265305</v>
      </c>
      <c r="H959" s="8" t="n">
        <v>228218.139909223</v>
      </c>
      <c r="I959" s="9" t="n">
        <v>4.81290879897114</v>
      </c>
      <c r="J959" s="9" t="n">
        <v>7.21063721878391</v>
      </c>
      <c r="K959" s="3" t="s">
        <v>363</v>
      </c>
      <c r="L959" s="3" t="s">
        <v>364</v>
      </c>
      <c r="M959" s="7" t="n">
        <v>2016</v>
      </c>
    </row>
    <row r="960" customFormat="false" ht="15" hidden="false" customHeight="false" outlineLevel="0" collapsed="false">
      <c r="A960" s="3" t="n">
        <v>1299</v>
      </c>
      <c r="B960" s="3" t="s">
        <v>362</v>
      </c>
      <c r="C960" s="4" t="s">
        <v>17</v>
      </c>
      <c r="D960" s="5" t="n">
        <v>27156</v>
      </c>
      <c r="E960" s="6" t="n">
        <v>217.4</v>
      </c>
      <c r="F960" s="7" t="n">
        <v>56</v>
      </c>
      <c r="G960" s="6" t="n">
        <v>632.736336734692</v>
      </c>
      <c r="H960" s="8" t="n">
        <v>815900.851492651</v>
      </c>
      <c r="I960" s="9" t="n">
        <v>8.43880687955243</v>
      </c>
      <c r="J960" s="9" t="n">
        <v>20.8580954385383</v>
      </c>
      <c r="K960" s="3" t="s">
        <v>363</v>
      </c>
      <c r="L960" s="3" t="s">
        <v>364</v>
      </c>
      <c r="M960" s="7" t="n">
        <v>2017</v>
      </c>
    </row>
    <row r="961" customFormat="false" ht="15" hidden="false" customHeight="false" outlineLevel="0" collapsed="false">
      <c r="A961" s="3" t="n">
        <v>1300</v>
      </c>
      <c r="B961" s="3" t="s">
        <v>362</v>
      </c>
      <c r="C961" s="4" t="s">
        <v>18</v>
      </c>
      <c r="D961" s="5" t="n">
        <v>27311</v>
      </c>
      <c r="E961" s="6" t="n">
        <v>217.931309598256</v>
      </c>
      <c r="F961" s="7" t="n">
        <v>69</v>
      </c>
      <c r="G961" s="6" t="n">
        <v>278.414802437074</v>
      </c>
      <c r="H961" s="8" t="n">
        <v>383663.950202362</v>
      </c>
      <c r="I961" s="9" t="n">
        <v>5.24291151369996</v>
      </c>
      <c r="J961" s="9" t="n">
        <v>9.12583041137904</v>
      </c>
      <c r="K961" s="3" t="s">
        <v>363</v>
      </c>
      <c r="L961" s="3" t="s">
        <v>364</v>
      </c>
      <c r="M961" s="7" t="n">
        <v>2018</v>
      </c>
    </row>
    <row r="962" customFormat="false" ht="15" hidden="false" customHeight="false" outlineLevel="0" collapsed="false">
      <c r="A962" s="3" t="n">
        <v>1301</v>
      </c>
      <c r="B962" s="3" t="s">
        <v>362</v>
      </c>
      <c r="C962" s="4" t="s">
        <v>19</v>
      </c>
      <c r="D962" s="5" t="n">
        <v>26966</v>
      </c>
      <c r="E962" s="6" t="n">
        <v>218.36758609189</v>
      </c>
      <c r="F962" s="7" t="n">
        <v>70</v>
      </c>
      <c r="G962" s="6" t="n">
        <v>398.680092997439</v>
      </c>
      <c r="H962" s="8" t="n">
        <v>590357.508108747</v>
      </c>
      <c r="I962" s="9" t="n">
        <v>6.45927099515512</v>
      </c>
      <c r="J962" s="9" t="n">
        <v>13.2350533173753</v>
      </c>
      <c r="K962" s="3" t="s">
        <v>363</v>
      </c>
      <c r="L962" s="3" t="s">
        <v>364</v>
      </c>
      <c r="M962" s="7" t="n">
        <v>2019</v>
      </c>
    </row>
    <row r="963" customFormat="false" ht="15" hidden="false" customHeight="false" outlineLevel="0" collapsed="false">
      <c r="A963" s="3" t="n">
        <v>1302</v>
      </c>
      <c r="B963" s="3" t="s">
        <v>362</v>
      </c>
      <c r="C963" s="4" t="s">
        <v>20</v>
      </c>
      <c r="D963" s="5" t="n">
        <v>27467.4166666667</v>
      </c>
      <c r="E963" s="6" t="n">
        <v>220.01036332</v>
      </c>
      <c r="F963" s="7" t="n">
        <v>70</v>
      </c>
      <c r="G963" s="6" t="n">
        <v>305.022080324959</v>
      </c>
      <c r="H963" s="8" t="n">
        <v>454821.47419335</v>
      </c>
      <c r="I963" s="9" t="n">
        <v>5.45940702295907</v>
      </c>
      <c r="J963" s="9" t="n">
        <v>9.91378866833889</v>
      </c>
      <c r="K963" s="3" t="s">
        <v>363</v>
      </c>
      <c r="L963" s="3" t="s">
        <v>364</v>
      </c>
      <c r="M963" s="7" t="n">
        <v>2020</v>
      </c>
    </row>
    <row r="964" customFormat="false" ht="15" hidden="false" customHeight="false" outlineLevel="0" collapsed="false">
      <c r="A964" s="3" t="n">
        <v>1303</v>
      </c>
      <c r="B964" s="3" t="s">
        <v>362</v>
      </c>
      <c r="C964" s="4" t="s">
        <v>21</v>
      </c>
      <c r="D964" s="5" t="n">
        <v>27530.25</v>
      </c>
      <c r="E964" s="6" t="n">
        <v>220.01036332</v>
      </c>
      <c r="F964" s="7" t="n">
        <v>64</v>
      </c>
      <c r="G964" s="6" t="n">
        <v>132.803237625529</v>
      </c>
      <c r="H964" s="8" t="n">
        <v>186932.373746763</v>
      </c>
      <c r="I964" s="9" t="n">
        <v>3.96171398404127</v>
      </c>
      <c r="J964" s="9" t="n">
        <v>4.31833352777641</v>
      </c>
      <c r="K964" s="3" t="s">
        <v>363</v>
      </c>
      <c r="L964" s="3" t="s">
        <v>364</v>
      </c>
      <c r="M964" s="7" t="n">
        <v>2021</v>
      </c>
    </row>
    <row r="965" customFormat="false" ht="15" hidden="false" customHeight="false" outlineLevel="0" collapsed="false">
      <c r="A965" s="3" t="n">
        <v>1304</v>
      </c>
      <c r="B965" s="3" t="s">
        <v>362</v>
      </c>
      <c r="C965" s="4" t="s">
        <v>22</v>
      </c>
      <c r="D965" s="5" t="n">
        <v>27569.0833333333</v>
      </c>
      <c r="E965" s="6" t="n">
        <v>220.06714518</v>
      </c>
      <c r="F965" s="7" t="n">
        <v>73</v>
      </c>
      <c r="G965" s="6" t="n">
        <v>426.051342168806</v>
      </c>
      <c r="H965" s="8" t="n">
        <v>647287.022616802</v>
      </c>
      <c r="I965" s="9" t="n">
        <v>6.78145878580296</v>
      </c>
      <c r="J965" s="9" t="n">
        <v>13.834303086932</v>
      </c>
      <c r="K965" s="3" t="s">
        <v>363</v>
      </c>
      <c r="L965" s="3" t="s">
        <v>364</v>
      </c>
      <c r="M965" s="7" t="n">
        <v>2022</v>
      </c>
    </row>
    <row r="966" customFormat="false" ht="15" hidden="false" customHeight="false" outlineLevel="0" collapsed="false">
      <c r="A966" s="3" t="n">
        <v>1305</v>
      </c>
      <c r="B966" s="3" t="s">
        <v>362</v>
      </c>
      <c r="C966" s="4" t="s">
        <v>23</v>
      </c>
      <c r="D966" s="5" t="n">
        <v>27591.3333333333</v>
      </c>
      <c r="E966" s="6" t="n">
        <v>220.20618274</v>
      </c>
      <c r="F966" s="7" t="n">
        <v>73</v>
      </c>
      <c r="G966" s="6" t="n">
        <v>262.154305831673</v>
      </c>
      <c r="H966" s="8" t="n">
        <v>422430.205331041</v>
      </c>
      <c r="I966" s="9" t="n">
        <v>5.39598140338711</v>
      </c>
      <c r="J966" s="9" t="n">
        <v>8.5055417720444</v>
      </c>
      <c r="K966" s="3" t="s">
        <v>363</v>
      </c>
      <c r="L966" s="3" t="s">
        <v>364</v>
      </c>
      <c r="M966" s="7" t="n">
        <v>2023</v>
      </c>
    </row>
    <row r="967" customFormat="false" ht="15" hidden="false" customHeight="false" outlineLevel="0" collapsed="false">
      <c r="A967" s="3" t="n">
        <v>1306</v>
      </c>
      <c r="B967" s="3" t="s">
        <v>362</v>
      </c>
      <c r="C967" s="4" t="s">
        <v>24</v>
      </c>
      <c r="D967" s="5" t="n">
        <v>27773.5833333333</v>
      </c>
      <c r="E967" s="6" t="n">
        <v>220.184522159346</v>
      </c>
      <c r="F967" s="7" t="n">
        <v>73</v>
      </c>
      <c r="G967" s="6" t="n">
        <v>147.958105095515</v>
      </c>
      <c r="H967" s="8" t="n">
        <v>257500.989933916</v>
      </c>
      <c r="I967" s="9" t="n">
        <v>4.24792410808587</v>
      </c>
      <c r="J967" s="9" t="n">
        <v>4.75590354999833</v>
      </c>
      <c r="K967" s="3" t="s">
        <v>363</v>
      </c>
      <c r="L967" s="3" t="s">
        <v>364</v>
      </c>
      <c r="M967" s="7" t="n">
        <v>2024</v>
      </c>
    </row>
    <row r="968" customFormat="false" ht="15" hidden="false" customHeight="false" outlineLevel="0" collapsed="false">
      <c r="A968" s="3" t="n">
        <v>1307</v>
      </c>
      <c r="B968" s="3" t="s">
        <v>365</v>
      </c>
      <c r="C968" s="4" t="s">
        <v>14</v>
      </c>
      <c r="D968" s="5" t="n">
        <v>15271</v>
      </c>
      <c r="E968" s="6" t="n">
        <v>178.92</v>
      </c>
      <c r="F968" s="7" t="n">
        <v>71</v>
      </c>
      <c r="G968" s="6" t="n">
        <v>620.730749201746</v>
      </c>
      <c r="H968" s="8" t="n">
        <v>189781.860996</v>
      </c>
      <c r="I968" s="9" t="n">
        <v>8.87515494334749</v>
      </c>
      <c r="J968" s="9" t="n">
        <v>36.2879117026611</v>
      </c>
      <c r="K968" s="3" t="s">
        <v>240</v>
      </c>
      <c r="L968" s="3" t="s">
        <v>366</v>
      </c>
      <c r="M968" s="7" t="n">
        <v>2016</v>
      </c>
    </row>
    <row r="969" customFormat="false" ht="15" hidden="false" customHeight="false" outlineLevel="0" collapsed="false">
      <c r="A969" s="3" t="n">
        <v>1308</v>
      </c>
      <c r="B969" s="3" t="s">
        <v>365</v>
      </c>
      <c r="C969" s="4" t="s">
        <v>17</v>
      </c>
      <c r="D969" s="5" t="n">
        <v>15045</v>
      </c>
      <c r="E969" s="6" t="n">
        <v>179.57</v>
      </c>
      <c r="F969" s="7" t="n">
        <v>65</v>
      </c>
      <c r="G969" s="6" t="n">
        <v>384.808461289072</v>
      </c>
      <c r="H969" s="8" t="n">
        <v>148233.786636001</v>
      </c>
      <c r="I969" s="9" t="n">
        <v>5.56171970128093</v>
      </c>
      <c r="J969" s="9" t="n">
        <v>22.8965524524422</v>
      </c>
      <c r="K969" s="3" t="s">
        <v>240</v>
      </c>
      <c r="L969" s="3" t="s">
        <v>366</v>
      </c>
      <c r="M969" s="7" t="n">
        <v>2017</v>
      </c>
    </row>
    <row r="970" customFormat="false" ht="15" hidden="false" customHeight="false" outlineLevel="0" collapsed="false">
      <c r="A970" s="3" t="n">
        <v>1309</v>
      </c>
      <c r="B970" s="3" t="s">
        <v>365</v>
      </c>
      <c r="C970" s="4" t="s">
        <v>18</v>
      </c>
      <c r="D970" s="5" t="n">
        <v>14940</v>
      </c>
      <c r="E970" s="6" t="n">
        <v>184.55</v>
      </c>
      <c r="F970" s="7" t="n">
        <v>65</v>
      </c>
      <c r="G970" s="6" t="n">
        <v>381.437134541452</v>
      </c>
      <c r="H970" s="8" t="n">
        <v>156160.02906</v>
      </c>
      <c r="I970" s="9" t="n">
        <v>5.55392220750524</v>
      </c>
      <c r="J970" s="9" t="n">
        <v>22.8554642981205</v>
      </c>
      <c r="K970" s="3" t="s">
        <v>240</v>
      </c>
      <c r="L970" s="3" t="s">
        <v>366</v>
      </c>
      <c r="M970" s="7" t="n">
        <v>2018</v>
      </c>
    </row>
    <row r="971" customFormat="false" ht="15" hidden="false" customHeight="false" outlineLevel="0" collapsed="false">
      <c r="A971" s="3" t="n">
        <v>1310</v>
      </c>
      <c r="B971" s="3" t="s">
        <v>365</v>
      </c>
      <c r="C971" s="4" t="s">
        <v>19</v>
      </c>
      <c r="D971" s="5" t="n">
        <v>15366</v>
      </c>
      <c r="E971" s="6" t="n">
        <v>181.27</v>
      </c>
      <c r="F971" s="7" t="n">
        <v>66</v>
      </c>
      <c r="G971" s="6" t="n">
        <v>1023.68454695931</v>
      </c>
      <c r="H971" s="8" t="n">
        <v>432011.332853999</v>
      </c>
      <c r="I971" s="9" t="n">
        <v>12.9714832214331</v>
      </c>
      <c r="J971" s="9" t="n">
        <v>59.6379893441132</v>
      </c>
      <c r="K971" s="3" t="s">
        <v>240</v>
      </c>
      <c r="L971" s="3" t="s">
        <v>366</v>
      </c>
      <c r="M971" s="7" t="n">
        <v>2019</v>
      </c>
    </row>
    <row r="972" customFormat="false" ht="15" hidden="false" customHeight="false" outlineLevel="0" collapsed="false">
      <c r="A972" s="3" t="n">
        <v>1311</v>
      </c>
      <c r="B972" s="3" t="s">
        <v>365</v>
      </c>
      <c r="C972" s="4" t="s">
        <v>20</v>
      </c>
      <c r="D972" s="5" t="n">
        <v>16329</v>
      </c>
      <c r="E972" s="6" t="n">
        <v>181.27</v>
      </c>
      <c r="F972" s="7" t="n">
        <v>66</v>
      </c>
      <c r="G972" s="6" t="n">
        <v>501.497689494168</v>
      </c>
      <c r="H972" s="8" t="n">
        <v>265468.49098349</v>
      </c>
      <c r="I972" s="9" t="n">
        <v>10.8469412584491</v>
      </c>
      <c r="J972" s="9" t="n">
        <v>27.4179854178865</v>
      </c>
      <c r="K972" s="3" t="s">
        <v>240</v>
      </c>
      <c r="L972" s="3" t="s">
        <v>366</v>
      </c>
      <c r="M972" s="7" t="n">
        <v>2020</v>
      </c>
    </row>
    <row r="973" customFormat="false" ht="15" hidden="false" customHeight="false" outlineLevel="0" collapsed="false">
      <c r="A973" s="3" t="n">
        <v>1312</v>
      </c>
      <c r="B973" s="3" t="s">
        <v>365</v>
      </c>
      <c r="C973" s="4" t="s">
        <v>21</v>
      </c>
      <c r="D973" s="5" t="n">
        <v>15044.004347963</v>
      </c>
      <c r="E973" s="6" t="n">
        <v>181.351718299102</v>
      </c>
      <c r="F973" s="7" t="n">
        <v>66</v>
      </c>
      <c r="G973" s="6" t="n">
        <v>1010.82053839269</v>
      </c>
      <c r="H973" s="8" t="n">
        <v>569922.7854037</v>
      </c>
      <c r="I973" s="9" t="n">
        <v>11.5243566439416</v>
      </c>
      <c r="J973" s="9" t="n">
        <v>60.1489820447013</v>
      </c>
      <c r="K973" s="3" t="s">
        <v>240</v>
      </c>
      <c r="L973" s="3" t="s">
        <v>366</v>
      </c>
      <c r="M973" s="7" t="n">
        <v>2021</v>
      </c>
    </row>
    <row r="974" customFormat="false" ht="15" hidden="false" customHeight="false" outlineLevel="0" collapsed="false">
      <c r="A974" s="3" t="n">
        <v>1313</v>
      </c>
      <c r="B974" s="3" t="s">
        <v>365</v>
      </c>
      <c r="C974" s="4" t="s">
        <v>22</v>
      </c>
      <c r="D974" s="5" t="n">
        <v>15050</v>
      </c>
      <c r="E974" s="6" t="n">
        <v>182</v>
      </c>
      <c r="F974" s="7" t="n">
        <v>56</v>
      </c>
      <c r="G974" s="6" t="n">
        <v>744.081251505884</v>
      </c>
      <c r="H974" s="8" t="n">
        <v>372944.048323175</v>
      </c>
      <c r="I974" s="9" t="n">
        <v>9.6574253047367</v>
      </c>
      <c r="J974" s="9" t="n">
        <v>44.2589938089963</v>
      </c>
      <c r="K974" s="3" t="s">
        <v>240</v>
      </c>
      <c r="L974" s="3" t="s">
        <v>366</v>
      </c>
      <c r="M974" s="7" t="n">
        <v>2022</v>
      </c>
    </row>
    <row r="975" customFormat="false" ht="15" hidden="false" customHeight="false" outlineLevel="0" collapsed="false">
      <c r="A975" s="3" t="n">
        <v>1314</v>
      </c>
      <c r="B975" s="3" t="s">
        <v>365</v>
      </c>
      <c r="C975" s="4" t="s">
        <v>23</v>
      </c>
      <c r="D975" s="5" t="n">
        <v>14325</v>
      </c>
      <c r="E975" s="6" t="n">
        <v>181.23</v>
      </c>
      <c r="F975" s="7" t="n">
        <v>55</v>
      </c>
      <c r="G975" s="6" t="n">
        <v>692.773313452576</v>
      </c>
      <c r="H975" s="8" t="n">
        <v>323035.138462501</v>
      </c>
      <c r="I975" s="9" t="n">
        <v>10.2260340323475</v>
      </c>
      <c r="J975" s="9" t="n">
        <v>43.2926523141813</v>
      </c>
      <c r="K975" s="3" t="s">
        <v>240</v>
      </c>
      <c r="L975" s="3" t="s">
        <v>366</v>
      </c>
      <c r="M975" s="7" t="n">
        <v>2023</v>
      </c>
    </row>
    <row r="976" customFormat="false" ht="15" hidden="false" customHeight="false" outlineLevel="0" collapsed="false">
      <c r="A976" s="3" t="n">
        <v>1315</v>
      </c>
      <c r="B976" s="3" t="s">
        <v>365</v>
      </c>
      <c r="C976" s="4" t="s">
        <v>24</v>
      </c>
      <c r="D976" s="5" t="n">
        <v>14767</v>
      </c>
      <c r="E976" s="6" t="n">
        <v>181.66</v>
      </c>
      <c r="F976" s="7" t="n">
        <v>53</v>
      </c>
      <c r="G976" s="6" t="n">
        <v>725.959384357217</v>
      </c>
      <c r="H976" s="8" t="n">
        <v>600221.687442499</v>
      </c>
      <c r="I976" s="9" t="n">
        <v>9.94655664457476</v>
      </c>
      <c r="J976" s="9" t="n">
        <v>43.8880456983748</v>
      </c>
      <c r="K976" s="3" t="s">
        <v>240</v>
      </c>
      <c r="L976" s="3" t="s">
        <v>366</v>
      </c>
      <c r="M976" s="7" t="n">
        <v>2024</v>
      </c>
    </row>
    <row r="977" customFormat="false" ht="15" hidden="false" customHeight="false" outlineLevel="0" collapsed="false">
      <c r="A977" s="3" t="n">
        <v>1316</v>
      </c>
      <c r="B977" s="3" t="s">
        <v>367</v>
      </c>
      <c r="C977" s="4" t="s">
        <v>14</v>
      </c>
      <c r="D977" s="5" t="n">
        <v>3131</v>
      </c>
      <c r="E977" s="6" t="n">
        <v>70</v>
      </c>
      <c r="F977" s="7" t="n">
        <v>71</v>
      </c>
      <c r="G977" s="6" t="n">
        <v>74.6465330653271</v>
      </c>
      <c r="H977" s="8" t="n">
        <v>10409.0820967654</v>
      </c>
      <c r="I977" s="9" t="n">
        <v>5.73370980784103</v>
      </c>
      <c r="J977" s="9" t="n">
        <v>21.2839763617645</v>
      </c>
      <c r="K977" s="3" t="s">
        <v>368</v>
      </c>
      <c r="L977" s="3" t="s">
        <v>301</v>
      </c>
      <c r="M977" s="7" t="n">
        <v>2016</v>
      </c>
    </row>
    <row r="978" customFormat="false" ht="15" hidden="false" customHeight="false" outlineLevel="0" collapsed="false">
      <c r="A978" s="3" t="n">
        <v>1317</v>
      </c>
      <c r="B978" s="3" t="s">
        <v>367</v>
      </c>
      <c r="C978" s="4" t="s">
        <v>17</v>
      </c>
      <c r="D978" s="5" t="n">
        <v>3128</v>
      </c>
      <c r="E978" s="6" t="n">
        <v>55</v>
      </c>
      <c r="F978" s="7" t="n">
        <v>67</v>
      </c>
      <c r="G978" s="6" t="n">
        <v>86.065809772727</v>
      </c>
      <c r="H978" s="8" t="n">
        <v>47035.825698893</v>
      </c>
      <c r="I978" s="9" t="n">
        <v>6.18787410211644</v>
      </c>
      <c r="J978" s="9" t="n">
        <v>24.6309742034485</v>
      </c>
      <c r="K978" s="3" t="s">
        <v>368</v>
      </c>
      <c r="L978" s="3" t="s">
        <v>301</v>
      </c>
      <c r="M978" s="7" t="n">
        <v>2017</v>
      </c>
    </row>
    <row r="979" customFormat="false" ht="15" hidden="false" customHeight="false" outlineLevel="0" collapsed="false">
      <c r="A979" s="3" t="n">
        <v>1318</v>
      </c>
      <c r="B979" s="3" t="s">
        <v>367</v>
      </c>
      <c r="C979" s="4" t="s">
        <v>18</v>
      </c>
      <c r="D979" s="5" t="n">
        <v>3129</v>
      </c>
      <c r="E979" s="6" t="n">
        <v>55</v>
      </c>
      <c r="F979" s="7" t="n">
        <v>68</v>
      </c>
      <c r="G979" s="6" t="n">
        <v>75.0415423417724</v>
      </c>
      <c r="H979" s="8" t="n">
        <v>33640.3730163932</v>
      </c>
      <c r="I979" s="9" t="n">
        <v>5.71650265561493</v>
      </c>
      <c r="J979" s="9" t="n">
        <v>21.4691011888158</v>
      </c>
      <c r="K979" s="3" t="s">
        <v>368</v>
      </c>
      <c r="L979" s="3" t="s">
        <v>301</v>
      </c>
      <c r="M979" s="7" t="n">
        <v>2018</v>
      </c>
    </row>
    <row r="980" customFormat="false" ht="15" hidden="false" customHeight="false" outlineLevel="0" collapsed="false">
      <c r="A980" s="3" t="n">
        <v>1319</v>
      </c>
      <c r="B980" s="3" t="s">
        <v>367</v>
      </c>
      <c r="C980" s="4" t="s">
        <v>19</v>
      </c>
      <c r="D980" s="5" t="n">
        <v>3129</v>
      </c>
      <c r="E980" s="6" t="n">
        <v>55</v>
      </c>
      <c r="F980" s="7" t="n">
        <v>74</v>
      </c>
      <c r="G980" s="6" t="n">
        <v>3.07920174506842</v>
      </c>
      <c r="H980" s="8" t="n">
        <v>2876.22076603351</v>
      </c>
      <c r="I980" s="9" t="n">
        <v>1.93424969267337</v>
      </c>
      <c r="J980" s="9" t="n">
        <v>0.880947962724012</v>
      </c>
      <c r="K980" s="3" t="s">
        <v>368</v>
      </c>
      <c r="L980" s="3" t="s">
        <v>301</v>
      </c>
      <c r="M980" s="7" t="n">
        <v>2019</v>
      </c>
    </row>
    <row r="981" customFormat="false" ht="15" hidden="false" customHeight="false" outlineLevel="0" collapsed="false">
      <c r="A981" s="3" t="n">
        <v>1320</v>
      </c>
      <c r="B981" s="3" t="s">
        <v>367</v>
      </c>
      <c r="C981" s="4" t="s">
        <v>20</v>
      </c>
      <c r="D981" s="5" t="n">
        <v>3129</v>
      </c>
      <c r="E981" s="6" t="n">
        <v>55</v>
      </c>
      <c r="F981" s="7" t="n">
        <v>74</v>
      </c>
      <c r="G981" s="6" t="n">
        <v>65.2178184584181</v>
      </c>
      <c r="H981" s="8" t="n">
        <v>50197.5026892598</v>
      </c>
      <c r="I981" s="9" t="n">
        <v>4.97846452417723</v>
      </c>
      <c r="J981" s="9" t="n">
        <v>18.6074516016706</v>
      </c>
      <c r="K981" s="3" t="s">
        <v>368</v>
      </c>
      <c r="L981" s="3" t="s">
        <v>301</v>
      </c>
      <c r="M981" s="7" t="n">
        <v>2020</v>
      </c>
    </row>
    <row r="982" customFormat="false" ht="15" hidden="false" customHeight="false" outlineLevel="0" collapsed="false">
      <c r="A982" s="3" t="n">
        <v>1321</v>
      </c>
      <c r="B982" s="3" t="s">
        <v>367</v>
      </c>
      <c r="C982" s="4" t="s">
        <v>21</v>
      </c>
      <c r="D982" s="5" t="n">
        <v>3130</v>
      </c>
      <c r="E982" s="6" t="n">
        <v>55</v>
      </c>
      <c r="F982" s="7" t="n">
        <v>69</v>
      </c>
      <c r="G982" s="6" t="n">
        <v>101.465578207739</v>
      </c>
      <c r="H982" s="8" t="n">
        <v>146955.640885615</v>
      </c>
      <c r="I982" s="9" t="n">
        <v>7.04681468931342</v>
      </c>
      <c r="J982" s="9" t="n">
        <v>29.0196434053382</v>
      </c>
      <c r="K982" s="3" t="s">
        <v>368</v>
      </c>
      <c r="L982" s="3" t="s">
        <v>301</v>
      </c>
      <c r="M982" s="7" t="n">
        <v>2021</v>
      </c>
    </row>
    <row r="983" customFormat="false" ht="15" hidden="false" customHeight="false" outlineLevel="0" collapsed="false">
      <c r="A983" s="3" t="n">
        <v>1322</v>
      </c>
      <c r="B983" s="3" t="s">
        <v>367</v>
      </c>
      <c r="C983" s="4" t="s">
        <v>22</v>
      </c>
      <c r="D983" s="5" t="n">
        <v>3130</v>
      </c>
      <c r="E983" s="6" t="n">
        <v>55</v>
      </c>
      <c r="F983" s="7" t="n">
        <v>54</v>
      </c>
      <c r="G983" s="6" t="n">
        <v>138.129690219837</v>
      </c>
      <c r="H983" s="8" t="n">
        <v>121139.738322797</v>
      </c>
      <c r="I983" s="9" t="n">
        <v>9.98600862582656</v>
      </c>
      <c r="J983" s="9" t="n">
        <v>39.5057557910193</v>
      </c>
      <c r="K983" s="3" t="s">
        <v>368</v>
      </c>
      <c r="L983" s="3" t="s">
        <v>301</v>
      </c>
      <c r="M983" s="7" t="n">
        <v>2022</v>
      </c>
    </row>
    <row r="984" customFormat="false" ht="15" hidden="false" customHeight="false" outlineLevel="0" collapsed="false">
      <c r="A984" s="3" t="n">
        <v>1323</v>
      </c>
      <c r="B984" s="3" t="s">
        <v>367</v>
      </c>
      <c r="C984" s="4" t="s">
        <v>23</v>
      </c>
      <c r="D984" s="5" t="n">
        <v>3140</v>
      </c>
      <c r="E984" s="6" t="n">
        <v>55</v>
      </c>
      <c r="F984" s="7" t="n">
        <v>52</v>
      </c>
      <c r="G984" s="6" t="n">
        <v>351.564772757732</v>
      </c>
      <c r="H984" s="8" t="n">
        <v>254606.724078877</v>
      </c>
      <c r="I984" s="9" t="n">
        <v>21.445538512279</v>
      </c>
      <c r="J984" s="9" t="n">
        <v>100.228995562294</v>
      </c>
      <c r="K984" s="3" t="s">
        <v>368</v>
      </c>
      <c r="L984" s="3" t="s">
        <v>301</v>
      </c>
      <c r="M984" s="7" t="n">
        <v>2023</v>
      </c>
    </row>
    <row r="985" customFormat="false" ht="15" hidden="false" customHeight="false" outlineLevel="0" collapsed="false">
      <c r="A985" s="3" t="n">
        <v>1324</v>
      </c>
      <c r="B985" s="3" t="s">
        <v>367</v>
      </c>
      <c r="C985" s="4" t="s">
        <v>24</v>
      </c>
      <c r="D985" s="5" t="n">
        <v>3159</v>
      </c>
      <c r="E985" s="6" t="n">
        <v>55</v>
      </c>
      <c r="F985" s="7" t="n">
        <v>52</v>
      </c>
      <c r="G985" s="6" t="n">
        <v>63.1582649160033</v>
      </c>
      <c r="H985" s="8" t="n">
        <v>53886.631626334</v>
      </c>
      <c r="I985" s="9" t="n">
        <v>7.26734080395165</v>
      </c>
      <c r="J985" s="9" t="n">
        <v>17.8487069179553</v>
      </c>
      <c r="K985" s="3" t="s">
        <v>368</v>
      </c>
      <c r="L985" s="3" t="s">
        <v>301</v>
      </c>
      <c r="M985" s="7" t="n">
        <v>2024</v>
      </c>
    </row>
    <row r="986" customFormat="false" ht="15" hidden="false" customHeight="false" outlineLevel="0" collapsed="false">
      <c r="A986" s="3" t="n">
        <v>1325</v>
      </c>
      <c r="B986" s="3" t="s">
        <v>369</v>
      </c>
      <c r="C986" s="4" t="s">
        <v>14</v>
      </c>
      <c r="D986" s="5" t="n">
        <v>16145</v>
      </c>
      <c r="E986" s="6" t="n">
        <v>190.738</v>
      </c>
      <c r="F986" s="7" t="n">
        <v>71</v>
      </c>
      <c r="G986" s="6" t="n">
        <v>275.596536691918</v>
      </c>
      <c r="H986" s="8" t="n">
        <v>230528.235046689</v>
      </c>
      <c r="I986" s="9" t="n">
        <v>4.96308713781762</v>
      </c>
      <c r="J986" s="9" t="n">
        <v>15.2391905679435</v>
      </c>
      <c r="K986" s="3" t="s">
        <v>370</v>
      </c>
      <c r="L986" s="3" t="s">
        <v>371</v>
      </c>
      <c r="M986" s="7" t="n">
        <v>2016</v>
      </c>
    </row>
    <row r="987" customFormat="false" ht="15" hidden="false" customHeight="false" outlineLevel="0" collapsed="false">
      <c r="A987" s="3" t="n">
        <v>1326</v>
      </c>
      <c r="B987" s="3" t="s">
        <v>369</v>
      </c>
      <c r="C987" s="4" t="s">
        <v>17</v>
      </c>
      <c r="D987" s="5" t="n">
        <v>16240</v>
      </c>
      <c r="E987" s="6" t="n">
        <v>215.3</v>
      </c>
      <c r="F987" s="7" t="n">
        <v>68</v>
      </c>
      <c r="G987" s="6" t="n">
        <v>486.652877297981</v>
      </c>
      <c r="H987" s="8" t="n">
        <v>411095.151568697</v>
      </c>
      <c r="I987" s="9" t="n">
        <v>6.10204726659143</v>
      </c>
      <c r="J987" s="9" t="n">
        <v>26.8256926866955</v>
      </c>
      <c r="K987" s="3" t="s">
        <v>370</v>
      </c>
      <c r="L987" s="3" t="s">
        <v>371</v>
      </c>
      <c r="M987" s="7" t="n">
        <v>2017</v>
      </c>
    </row>
    <row r="988" customFormat="false" ht="15" hidden="false" customHeight="false" outlineLevel="0" collapsed="false">
      <c r="A988" s="3" t="n">
        <v>1327</v>
      </c>
      <c r="B988" s="3" t="s">
        <v>369</v>
      </c>
      <c r="C988" s="4" t="s">
        <v>18</v>
      </c>
      <c r="D988" s="5" t="n">
        <v>16274</v>
      </c>
      <c r="E988" s="6" t="n">
        <v>208.12</v>
      </c>
      <c r="F988" s="7" t="n">
        <v>68</v>
      </c>
      <c r="G988" s="6" t="n">
        <v>146.235957040815</v>
      </c>
      <c r="H988" s="8" t="n">
        <v>134294.328788862</v>
      </c>
      <c r="I988" s="9" t="n">
        <v>4.03313057667472</v>
      </c>
      <c r="J988" s="9" t="n">
        <v>8.04410136402207</v>
      </c>
      <c r="K988" s="3" t="s">
        <v>370</v>
      </c>
      <c r="L988" s="3" t="s">
        <v>371</v>
      </c>
      <c r="M988" s="7" t="n">
        <v>2018</v>
      </c>
    </row>
    <row r="989" customFormat="false" ht="15" hidden="false" customHeight="false" outlineLevel="0" collapsed="false">
      <c r="A989" s="3" t="n">
        <v>1328</v>
      </c>
      <c r="B989" s="3" t="s">
        <v>369</v>
      </c>
      <c r="C989" s="4" t="s">
        <v>19</v>
      </c>
      <c r="D989" s="5" t="n">
        <v>16275</v>
      </c>
      <c r="E989" s="6" t="n">
        <v>208.1</v>
      </c>
      <c r="F989" s="7" t="n">
        <v>68</v>
      </c>
      <c r="G989" s="6" t="n">
        <v>348.634558620902</v>
      </c>
      <c r="H989" s="8" t="n">
        <v>351737.406192628</v>
      </c>
      <c r="I989" s="9" t="n">
        <v>6.26103762294654</v>
      </c>
      <c r="J989" s="9" t="n">
        <v>19.1764014046319</v>
      </c>
      <c r="K989" s="3" t="s">
        <v>370</v>
      </c>
      <c r="L989" s="3" t="s">
        <v>371</v>
      </c>
      <c r="M989" s="7" t="n">
        <v>2019</v>
      </c>
    </row>
    <row r="990" customFormat="false" ht="15" hidden="false" customHeight="false" outlineLevel="0" collapsed="false">
      <c r="A990" s="3" t="n">
        <v>1329</v>
      </c>
      <c r="B990" s="3" t="s">
        <v>369</v>
      </c>
      <c r="C990" s="4" t="s">
        <v>20</v>
      </c>
      <c r="D990" s="5" t="n">
        <v>16361</v>
      </c>
      <c r="E990" s="6" t="n">
        <v>200.2</v>
      </c>
      <c r="F990" s="7" t="n">
        <v>72</v>
      </c>
      <c r="G990" s="6" t="n">
        <v>361.408707715735</v>
      </c>
      <c r="H990" s="8" t="n">
        <v>374441.105715964</v>
      </c>
      <c r="I990" s="9" t="n">
        <v>5.47343598415333</v>
      </c>
      <c r="J990" s="9" t="n">
        <v>19.7203655565616</v>
      </c>
      <c r="K990" s="3" t="s">
        <v>370</v>
      </c>
      <c r="L990" s="3" t="s">
        <v>371</v>
      </c>
      <c r="M990" s="7" t="n">
        <v>2020</v>
      </c>
    </row>
    <row r="991" customFormat="false" ht="15" hidden="false" customHeight="false" outlineLevel="0" collapsed="false">
      <c r="A991" s="3" t="n">
        <v>1330</v>
      </c>
      <c r="B991" s="3" t="s">
        <v>369</v>
      </c>
      <c r="C991" s="4" t="s">
        <v>21</v>
      </c>
      <c r="D991" s="5" t="n">
        <v>16353</v>
      </c>
      <c r="E991" s="6" t="n">
        <v>200.8</v>
      </c>
      <c r="F991" s="7" t="n">
        <v>75</v>
      </c>
      <c r="G991" s="6" t="n">
        <v>182.811257496044</v>
      </c>
      <c r="H991" s="8" t="n">
        <v>181719.874288793</v>
      </c>
      <c r="I991" s="9" t="n">
        <v>3.85296372890812</v>
      </c>
      <c r="J991" s="9" t="n">
        <v>10.0074441202682</v>
      </c>
      <c r="K991" s="3" t="s">
        <v>370</v>
      </c>
      <c r="L991" s="3" t="s">
        <v>371</v>
      </c>
      <c r="M991" s="7" t="n">
        <v>2021</v>
      </c>
    </row>
    <row r="992" customFormat="false" ht="15" hidden="false" customHeight="false" outlineLevel="0" collapsed="false">
      <c r="A992" s="3" t="n">
        <v>1331</v>
      </c>
      <c r="B992" s="3" t="s">
        <v>369</v>
      </c>
      <c r="C992" s="4" t="s">
        <v>22</v>
      </c>
      <c r="D992" s="5" t="n">
        <v>16374</v>
      </c>
      <c r="E992" s="6" t="n">
        <v>202.4</v>
      </c>
      <c r="F992" s="7" t="n">
        <v>74</v>
      </c>
      <c r="G992" s="6" t="n">
        <v>268.255601205213</v>
      </c>
      <c r="H992" s="8" t="n">
        <v>275847.23471932</v>
      </c>
      <c r="I992" s="9" t="n">
        <v>5.0809155853623</v>
      </c>
      <c r="J992" s="9" t="n">
        <v>14.6660002235385</v>
      </c>
      <c r="K992" s="3" t="s">
        <v>370</v>
      </c>
      <c r="L992" s="3" t="s">
        <v>371</v>
      </c>
      <c r="M992" s="7" t="n">
        <v>2022</v>
      </c>
    </row>
    <row r="993" customFormat="false" ht="15" hidden="false" customHeight="false" outlineLevel="0" collapsed="false">
      <c r="A993" s="3" t="n">
        <v>1332</v>
      </c>
      <c r="B993" s="3" t="s">
        <v>369</v>
      </c>
      <c r="C993" s="4" t="s">
        <v>23</v>
      </c>
      <c r="D993" s="5" t="n">
        <v>16391</v>
      </c>
      <c r="E993" s="6" t="n">
        <v>202.380807715577</v>
      </c>
      <c r="F993" s="7" t="n">
        <v>65</v>
      </c>
      <c r="G993" s="6" t="n">
        <v>676.749627948291</v>
      </c>
      <c r="H993" s="8" t="n">
        <v>766286.516747623</v>
      </c>
      <c r="I993" s="9" t="n">
        <v>9.40153631168725</v>
      </c>
      <c r="J993" s="9" t="n">
        <v>36.9607052879761</v>
      </c>
      <c r="K993" s="3" t="s">
        <v>370</v>
      </c>
      <c r="L993" s="3" t="s">
        <v>371</v>
      </c>
      <c r="M993" s="7" t="n">
        <v>2023</v>
      </c>
    </row>
    <row r="994" customFormat="false" ht="15" hidden="false" customHeight="false" outlineLevel="0" collapsed="false">
      <c r="A994" s="3" t="n">
        <v>1333</v>
      </c>
      <c r="B994" s="3" t="s">
        <v>369</v>
      </c>
      <c r="C994" s="4" t="s">
        <v>24</v>
      </c>
      <c r="D994" s="5" t="n">
        <v>16392</v>
      </c>
      <c r="E994" s="6" t="n">
        <v>228.968620335227</v>
      </c>
      <c r="F994" s="7" t="n">
        <v>65</v>
      </c>
      <c r="G994" s="6" t="n">
        <v>562.10970533717</v>
      </c>
      <c r="H994" s="8" t="n">
        <v>629123.652125525</v>
      </c>
      <c r="I994" s="9" t="n">
        <v>8.03075069710255</v>
      </c>
      <c r="J994" s="9" t="n">
        <v>30.6136654689261</v>
      </c>
      <c r="K994" s="3" t="s">
        <v>370</v>
      </c>
      <c r="L994" s="3" t="s">
        <v>371</v>
      </c>
      <c r="M994" s="7" t="n">
        <v>2024</v>
      </c>
    </row>
    <row r="995" customFormat="false" ht="15" hidden="false" customHeight="false" outlineLevel="0" collapsed="false">
      <c r="A995" s="3" t="n">
        <v>1334</v>
      </c>
      <c r="B995" s="3" t="s">
        <v>372</v>
      </c>
      <c r="C995" s="4" t="s">
        <v>14</v>
      </c>
      <c r="D995" s="5" t="n">
        <v>5112</v>
      </c>
      <c r="E995" s="6" t="n">
        <v>63.4</v>
      </c>
      <c r="F995" s="7" t="n">
        <v>45</v>
      </c>
      <c r="G995" s="6" t="n">
        <v>106.312182731959</v>
      </c>
      <c r="H995" s="8" t="n">
        <v>25915.7207845696</v>
      </c>
      <c r="I995" s="9" t="n">
        <v>9.40022922097408</v>
      </c>
      <c r="J995" s="9" t="n">
        <v>18.5660015946318</v>
      </c>
      <c r="K995" s="3" t="s">
        <v>373</v>
      </c>
      <c r="L995" s="3" t="s">
        <v>374</v>
      </c>
      <c r="M995" s="7" t="n">
        <v>2016</v>
      </c>
    </row>
    <row r="996" customFormat="false" ht="15" hidden="false" customHeight="false" outlineLevel="0" collapsed="false">
      <c r="A996" s="3" t="n">
        <v>1335</v>
      </c>
      <c r="B996" s="3" t="s">
        <v>372</v>
      </c>
      <c r="C996" s="4" t="s">
        <v>17</v>
      </c>
      <c r="D996" s="5" t="n">
        <v>5129</v>
      </c>
      <c r="E996" s="6" t="n">
        <v>68.9</v>
      </c>
      <c r="F996" s="7" t="n">
        <v>48</v>
      </c>
      <c r="G996" s="6" t="n">
        <v>195.608164175258</v>
      </c>
      <c r="H996" s="8" t="n">
        <v>20487.9991157165</v>
      </c>
      <c r="I996" s="9" t="n">
        <v>11.5452418233959</v>
      </c>
      <c r="J996" s="9" t="n">
        <v>34.1406631461438</v>
      </c>
      <c r="K996" s="3" t="s">
        <v>373</v>
      </c>
      <c r="L996" s="3" t="s">
        <v>374</v>
      </c>
      <c r="M996" s="7" t="n">
        <v>2017</v>
      </c>
    </row>
    <row r="997" customFormat="false" ht="15" hidden="false" customHeight="false" outlineLevel="0" collapsed="false">
      <c r="A997" s="3" t="n">
        <v>1336</v>
      </c>
      <c r="B997" s="3" t="s">
        <v>372</v>
      </c>
      <c r="C997" s="4" t="s">
        <v>18</v>
      </c>
      <c r="D997" s="5" t="n">
        <v>5157</v>
      </c>
      <c r="E997" s="6" t="n">
        <v>68.9</v>
      </c>
      <c r="F997" s="7" t="n">
        <v>48</v>
      </c>
      <c r="G997" s="6" t="n">
        <v>193.138201546392</v>
      </c>
      <c r="H997" s="8" t="n">
        <v>27898.8132133764</v>
      </c>
      <c r="I997" s="9" t="n">
        <v>11.5079798574233</v>
      </c>
      <c r="J997" s="9" t="n">
        <v>33.526539256411</v>
      </c>
      <c r="K997" s="3" t="s">
        <v>373</v>
      </c>
      <c r="L997" s="3" t="s">
        <v>374</v>
      </c>
      <c r="M997" s="7" t="n">
        <v>2018</v>
      </c>
    </row>
    <row r="998" customFormat="false" ht="15" hidden="false" customHeight="false" outlineLevel="0" collapsed="false">
      <c r="A998" s="3" t="n">
        <v>1337</v>
      </c>
      <c r="B998" s="3" t="s">
        <v>372</v>
      </c>
      <c r="C998" s="4" t="s">
        <v>19</v>
      </c>
      <c r="D998" s="5" t="n">
        <v>5258</v>
      </c>
      <c r="E998" s="6" t="n">
        <v>68.9</v>
      </c>
      <c r="F998" s="7" t="n">
        <v>50</v>
      </c>
      <c r="G998" s="6" t="n">
        <v>67.7289479381438</v>
      </c>
      <c r="H998" s="8" t="n">
        <v>14160.0911454277</v>
      </c>
      <c r="I998" s="9" t="n">
        <v>7.57456627010662</v>
      </c>
      <c r="J998" s="9" t="n">
        <v>11.531118157257</v>
      </c>
      <c r="K998" s="3" t="s">
        <v>373</v>
      </c>
      <c r="L998" s="3" t="s">
        <v>374</v>
      </c>
      <c r="M998" s="7" t="n">
        <v>2019</v>
      </c>
    </row>
    <row r="999" customFormat="false" ht="15" hidden="false" customHeight="false" outlineLevel="0" collapsed="false">
      <c r="A999" s="3" t="n">
        <v>1338</v>
      </c>
      <c r="B999" s="3" t="s">
        <v>372</v>
      </c>
      <c r="C999" s="4" t="s">
        <v>20</v>
      </c>
      <c r="D999" s="5" t="n">
        <v>5336</v>
      </c>
      <c r="E999" s="6" t="n">
        <v>68.9</v>
      </c>
      <c r="F999" s="7" t="n">
        <v>51</v>
      </c>
      <c r="G999" s="6" t="n">
        <v>174.130507653061</v>
      </c>
      <c r="H999" s="8" t="n">
        <v>40720.4192146684</v>
      </c>
      <c r="I999" s="9" t="n">
        <v>8.70823127373869</v>
      </c>
      <c r="J999" s="9" t="n">
        <v>29.1330020174455</v>
      </c>
      <c r="K999" s="3" t="s">
        <v>373</v>
      </c>
      <c r="L999" s="3" t="s">
        <v>374</v>
      </c>
      <c r="M999" s="7" t="n">
        <v>2020</v>
      </c>
    </row>
    <row r="1000" customFormat="false" ht="15" hidden="false" customHeight="false" outlineLevel="0" collapsed="false">
      <c r="A1000" s="3" t="n">
        <v>1339</v>
      </c>
      <c r="B1000" s="3" t="s">
        <v>372</v>
      </c>
      <c r="C1000" s="4" t="s">
        <v>21</v>
      </c>
      <c r="D1000" s="5" t="n">
        <v>5367</v>
      </c>
      <c r="E1000" s="6" t="n">
        <v>68.9</v>
      </c>
      <c r="F1000" s="7" t="n">
        <v>71</v>
      </c>
      <c r="G1000" s="6" t="n">
        <v>121.859750926327</v>
      </c>
      <c r="H1000" s="8" t="n">
        <v>28025.3055180368</v>
      </c>
      <c r="I1000" s="9" t="n">
        <v>6.77430242809013</v>
      </c>
      <c r="J1000" s="9" t="n">
        <v>20.3257399713218</v>
      </c>
      <c r="K1000" s="3" t="s">
        <v>373</v>
      </c>
      <c r="L1000" s="3" t="s">
        <v>374</v>
      </c>
      <c r="M1000" s="7" t="n">
        <v>2021</v>
      </c>
    </row>
    <row r="1001" customFormat="false" ht="15" hidden="false" customHeight="false" outlineLevel="0" collapsed="false">
      <c r="A1001" s="3" t="n">
        <v>1340</v>
      </c>
      <c r="B1001" s="3" t="s">
        <v>372</v>
      </c>
      <c r="C1001" s="4" t="s">
        <v>22</v>
      </c>
      <c r="D1001" s="5" t="n">
        <v>5412</v>
      </c>
      <c r="E1001" s="6" t="n">
        <v>68.9</v>
      </c>
      <c r="F1001" s="7" t="n">
        <v>73</v>
      </c>
      <c r="G1001" s="6" t="n">
        <v>80.7704168367351</v>
      </c>
      <c r="H1001" s="8" t="n">
        <v>69982.1475642423</v>
      </c>
      <c r="I1001" s="9" t="n">
        <v>5.68179691506125</v>
      </c>
      <c r="J1001" s="9" t="n">
        <v>13.3601769656497</v>
      </c>
      <c r="K1001" s="3" t="s">
        <v>373</v>
      </c>
      <c r="L1001" s="3" t="s">
        <v>374</v>
      </c>
      <c r="M1001" s="7" t="n">
        <v>2022</v>
      </c>
    </row>
    <row r="1002" customFormat="false" ht="15" hidden="false" customHeight="false" outlineLevel="0" collapsed="false">
      <c r="A1002" s="3" t="n">
        <v>1341</v>
      </c>
      <c r="B1002" s="3" t="s">
        <v>372</v>
      </c>
      <c r="C1002" s="4" t="s">
        <v>23</v>
      </c>
      <c r="D1002" s="5" t="n">
        <v>5445</v>
      </c>
      <c r="E1002" s="6" t="n">
        <v>68.9</v>
      </c>
      <c r="F1002" s="7" t="n">
        <v>71</v>
      </c>
      <c r="G1002" s="6" t="n">
        <v>73.1715693877549</v>
      </c>
      <c r="H1002" s="8" t="n">
        <v>97114.7638169578</v>
      </c>
      <c r="I1002" s="9" t="n">
        <v>5.76310775617719</v>
      </c>
      <c r="J1002" s="9" t="n">
        <v>12.0299039629912</v>
      </c>
      <c r="K1002" s="3" t="s">
        <v>373</v>
      </c>
      <c r="L1002" s="3" t="s">
        <v>374</v>
      </c>
      <c r="M1002" s="7" t="n">
        <v>2023</v>
      </c>
    </row>
    <row r="1003" customFormat="false" ht="15" hidden="false" customHeight="false" outlineLevel="0" collapsed="false">
      <c r="A1003" s="3" t="n">
        <v>1342</v>
      </c>
      <c r="B1003" s="3" t="s">
        <v>372</v>
      </c>
      <c r="C1003" s="4" t="s">
        <v>24</v>
      </c>
      <c r="D1003" s="5" t="n">
        <v>5478</v>
      </c>
      <c r="E1003" s="6" t="n">
        <v>68.9</v>
      </c>
      <c r="F1003" s="7" t="n">
        <v>64</v>
      </c>
      <c r="G1003" s="6" t="n">
        <v>115.25141632653</v>
      </c>
      <c r="H1003" s="8" t="n">
        <v>55369.0854315916</v>
      </c>
      <c r="I1003" s="9" t="n">
        <v>15.8737645295517</v>
      </c>
      <c r="J1003" s="9" t="n">
        <v>18.7823719592773</v>
      </c>
      <c r="K1003" s="3" t="s">
        <v>373</v>
      </c>
      <c r="L1003" s="3" t="s">
        <v>374</v>
      </c>
      <c r="M1003" s="7" t="n">
        <v>2024</v>
      </c>
    </row>
    <row r="1004" customFormat="false" ht="15" hidden="false" customHeight="false" outlineLevel="0" collapsed="false">
      <c r="A1004" s="3" t="n">
        <v>1343</v>
      </c>
      <c r="B1004" s="3" t="s">
        <v>372</v>
      </c>
      <c r="C1004" s="4" t="s">
        <v>37</v>
      </c>
      <c r="D1004" s="5" t="n">
        <v>5498</v>
      </c>
      <c r="E1004" s="6" t="n">
        <v>68.9</v>
      </c>
      <c r="F1004" s="7" t="n">
        <v>56</v>
      </c>
      <c r="G1004" s="6" t="n">
        <v>34.8454336734697</v>
      </c>
      <c r="H1004" s="8" t="n">
        <v>12607.7748117348</v>
      </c>
      <c r="I1004" s="9" t="n">
        <v>4.07856757327576</v>
      </c>
      <c r="J1004" s="9" t="n">
        <v>5.67360129354419</v>
      </c>
      <c r="K1004" s="3" t="s">
        <v>373</v>
      </c>
      <c r="L1004" s="3" t="s">
        <v>374</v>
      </c>
      <c r="M1004" s="7" t="n">
        <v>2025</v>
      </c>
    </row>
    <row r="1005" customFormat="false" ht="15" hidden="false" customHeight="false" outlineLevel="0" collapsed="false">
      <c r="A1005" s="3" t="n">
        <v>1344</v>
      </c>
      <c r="B1005" s="3" t="s">
        <v>375</v>
      </c>
      <c r="C1005" s="4" t="s">
        <v>14</v>
      </c>
      <c r="D1005" s="5" t="n">
        <v>9174</v>
      </c>
      <c r="E1005" s="6" t="n">
        <v>82</v>
      </c>
      <c r="F1005" s="7" t="n">
        <v>58</v>
      </c>
      <c r="G1005" s="6" t="n">
        <v>260.240962055838</v>
      </c>
      <c r="H1005" s="8" t="n">
        <v>19866.7950433427</v>
      </c>
      <c r="I1005" s="9" t="n">
        <v>7.08332701090997</v>
      </c>
      <c r="J1005" s="9" t="n">
        <v>25.3246302764086</v>
      </c>
      <c r="K1005" s="3" t="s">
        <v>376</v>
      </c>
      <c r="L1005" s="3" t="s">
        <v>377</v>
      </c>
      <c r="M1005" s="7" t="n">
        <v>2016</v>
      </c>
    </row>
    <row r="1006" customFormat="false" ht="15" hidden="false" customHeight="false" outlineLevel="0" collapsed="false">
      <c r="A1006" s="3" t="n">
        <v>1345</v>
      </c>
      <c r="B1006" s="3" t="s">
        <v>375</v>
      </c>
      <c r="C1006" s="4" t="s">
        <v>17</v>
      </c>
      <c r="D1006" s="5" t="n">
        <v>9223</v>
      </c>
      <c r="E1006" s="6" t="n">
        <v>82</v>
      </c>
      <c r="F1006" s="7" t="n">
        <v>55</v>
      </c>
      <c r="G1006" s="6" t="n">
        <v>320.85542099069</v>
      </c>
      <c r="H1006" s="8" t="n">
        <v>27744.368253065</v>
      </c>
      <c r="I1006" s="9" t="n">
        <v>8.72191956051656</v>
      </c>
      <c r="J1006" s="9" t="n">
        <v>31.1425985279388</v>
      </c>
      <c r="K1006" s="3" t="s">
        <v>376</v>
      </c>
      <c r="L1006" s="3" t="s">
        <v>377</v>
      </c>
      <c r="M1006" s="7" t="n">
        <v>2017</v>
      </c>
    </row>
    <row r="1007" customFormat="false" ht="15" hidden="false" customHeight="false" outlineLevel="0" collapsed="false">
      <c r="A1007" s="3" t="n">
        <v>1346</v>
      </c>
      <c r="B1007" s="3" t="s">
        <v>375</v>
      </c>
      <c r="C1007" s="4" t="s">
        <v>18</v>
      </c>
      <c r="D1007" s="5" t="n">
        <v>9250</v>
      </c>
      <c r="E1007" s="6" t="n">
        <v>82</v>
      </c>
      <c r="F1007" s="7" t="n">
        <v>62</v>
      </c>
      <c r="G1007" s="6" t="n">
        <v>178.616058326355</v>
      </c>
      <c r="H1007" s="8" t="n">
        <v>16421.960402525</v>
      </c>
      <c r="I1007" s="9" t="n">
        <v>5.55063678215746</v>
      </c>
      <c r="J1007" s="9" t="n">
        <v>17.2860769889222</v>
      </c>
      <c r="K1007" s="3" t="s">
        <v>376</v>
      </c>
      <c r="L1007" s="3" t="s">
        <v>377</v>
      </c>
      <c r="M1007" s="7" t="n">
        <v>2018</v>
      </c>
    </row>
    <row r="1008" customFormat="false" ht="15" hidden="false" customHeight="false" outlineLevel="0" collapsed="false">
      <c r="A1008" s="3" t="n">
        <v>1347</v>
      </c>
      <c r="B1008" s="3" t="s">
        <v>375</v>
      </c>
      <c r="C1008" s="4" t="s">
        <v>19</v>
      </c>
      <c r="D1008" s="5" t="n">
        <v>9264</v>
      </c>
      <c r="E1008" s="6" t="n">
        <v>82</v>
      </c>
      <c r="F1008" s="7" t="n">
        <v>62</v>
      </c>
      <c r="G1008" s="6" t="n">
        <v>72.2473567950633</v>
      </c>
      <c r="H1008" s="8" t="n">
        <v>6396.78097063491</v>
      </c>
      <c r="I1008" s="9" t="n">
        <v>5.07830761088839</v>
      </c>
      <c r="J1008" s="9" t="n">
        <v>6.98137700084107</v>
      </c>
      <c r="K1008" s="3" t="s">
        <v>376</v>
      </c>
      <c r="L1008" s="3" t="s">
        <v>377</v>
      </c>
      <c r="M1008" s="7" t="n">
        <v>2019</v>
      </c>
    </row>
    <row r="1009" customFormat="false" ht="15" hidden="false" customHeight="false" outlineLevel="0" collapsed="false">
      <c r="A1009" s="3" t="n">
        <v>1348</v>
      </c>
      <c r="B1009" s="3" t="s">
        <v>375</v>
      </c>
      <c r="C1009" s="4" t="s">
        <v>20</v>
      </c>
      <c r="D1009" s="5" t="n">
        <v>9287</v>
      </c>
      <c r="E1009" s="6" t="n">
        <v>82</v>
      </c>
      <c r="F1009" s="7" t="n">
        <v>62</v>
      </c>
      <c r="G1009" s="6" t="n">
        <v>283.201058464668</v>
      </c>
      <c r="H1009" s="8" t="n">
        <v>26969.2367975903</v>
      </c>
      <c r="I1009" s="9" t="n">
        <v>8.71870000192766</v>
      </c>
      <c r="J1009" s="9" t="n">
        <v>27.2236040958035</v>
      </c>
      <c r="K1009" s="3" t="s">
        <v>376</v>
      </c>
      <c r="L1009" s="3" t="s">
        <v>377</v>
      </c>
      <c r="M1009" s="7" t="n">
        <v>2020</v>
      </c>
    </row>
    <row r="1010" customFormat="false" ht="15" hidden="false" customHeight="false" outlineLevel="0" collapsed="false">
      <c r="A1010" s="3" t="n">
        <v>1349</v>
      </c>
      <c r="B1010" s="3" t="s">
        <v>375</v>
      </c>
      <c r="C1010" s="4" t="s">
        <v>21</v>
      </c>
      <c r="D1010" s="5" t="n">
        <v>9309</v>
      </c>
      <c r="E1010" s="6" t="n">
        <v>82</v>
      </c>
      <c r="F1010" s="7" t="n">
        <v>63</v>
      </c>
      <c r="G1010" s="6" t="n">
        <v>49.5993075873536</v>
      </c>
      <c r="H1010" s="8" t="n">
        <v>5077.97711079326</v>
      </c>
      <c r="I1010" s="9" t="n">
        <v>5.48417678660104</v>
      </c>
      <c r="J1010" s="9" t="n">
        <v>4.76969114629903</v>
      </c>
      <c r="K1010" s="3" t="s">
        <v>376</v>
      </c>
      <c r="L1010" s="3" t="s">
        <v>377</v>
      </c>
      <c r="M1010" s="7" t="n">
        <v>2021</v>
      </c>
    </row>
    <row r="1011" customFormat="false" ht="15" hidden="false" customHeight="false" outlineLevel="0" collapsed="false">
      <c r="A1011" s="3" t="n">
        <v>1350</v>
      </c>
      <c r="B1011" s="3" t="s">
        <v>375</v>
      </c>
      <c r="C1011" s="4" t="s">
        <v>22</v>
      </c>
      <c r="D1011" s="5" t="n">
        <v>9376</v>
      </c>
      <c r="E1011" s="6" t="n">
        <v>82</v>
      </c>
      <c r="F1011" s="7" t="n">
        <v>60</v>
      </c>
      <c r="G1011" s="6" t="n">
        <v>37.4499561906204</v>
      </c>
      <c r="H1011" s="8" t="n">
        <v>5286.06131630607</v>
      </c>
      <c r="I1011" s="9" t="n">
        <v>2.55403232836958</v>
      </c>
      <c r="J1011" s="9" t="n">
        <v>3.57562026341215</v>
      </c>
      <c r="K1011" s="3" t="s">
        <v>376</v>
      </c>
      <c r="L1011" s="3" t="s">
        <v>377</v>
      </c>
      <c r="M1011" s="7" t="n">
        <v>2022</v>
      </c>
    </row>
    <row r="1012" customFormat="false" ht="15" hidden="false" customHeight="false" outlineLevel="0" collapsed="false">
      <c r="A1012" s="3" t="n">
        <v>1351</v>
      </c>
      <c r="B1012" s="3" t="s">
        <v>375</v>
      </c>
      <c r="C1012" s="4" t="s">
        <v>23</v>
      </c>
      <c r="D1012" s="5" t="n">
        <v>9376</v>
      </c>
      <c r="E1012" s="6" t="n">
        <v>82</v>
      </c>
      <c r="F1012" s="7" t="n">
        <v>67</v>
      </c>
      <c r="G1012" s="6" t="n">
        <v>276.741203026878</v>
      </c>
      <c r="H1012" s="8" t="n">
        <v>44569.1707474787</v>
      </c>
      <c r="I1012" s="9" t="n">
        <v>7.84474410921262</v>
      </c>
      <c r="J1012" s="9" t="n">
        <v>26.4224996212891</v>
      </c>
      <c r="K1012" s="3" t="s">
        <v>376</v>
      </c>
      <c r="L1012" s="3" t="s">
        <v>377</v>
      </c>
      <c r="M1012" s="7" t="n">
        <v>2023</v>
      </c>
    </row>
    <row r="1013" customFormat="false" ht="15" hidden="false" customHeight="false" outlineLevel="0" collapsed="false">
      <c r="A1013" s="3" t="n">
        <v>1352</v>
      </c>
      <c r="B1013" s="3" t="s">
        <v>375</v>
      </c>
      <c r="C1013" s="4" t="s">
        <v>24</v>
      </c>
      <c r="D1013" s="5" t="n">
        <v>9693</v>
      </c>
      <c r="E1013" s="6" t="n">
        <v>82</v>
      </c>
      <c r="F1013" s="7" t="n">
        <v>67</v>
      </c>
      <c r="G1013" s="6" t="n">
        <v>280.510993739251</v>
      </c>
      <c r="H1013" s="8" t="n">
        <v>45504.4934043812</v>
      </c>
      <c r="I1013" s="9" t="n">
        <v>7.32665968476951</v>
      </c>
      <c r="J1013" s="9" t="n">
        <v>25.8355592924505</v>
      </c>
      <c r="K1013" s="3" t="s">
        <v>376</v>
      </c>
      <c r="L1013" s="3" t="s">
        <v>377</v>
      </c>
      <c r="M1013" s="7" t="n">
        <v>2024</v>
      </c>
    </row>
    <row r="1014" customFormat="false" ht="15" hidden="false" customHeight="false" outlineLevel="0" collapsed="false">
      <c r="A1014" s="3" t="n">
        <v>1353</v>
      </c>
      <c r="B1014" s="3" t="s">
        <v>378</v>
      </c>
      <c r="C1014" s="4" t="s">
        <v>14</v>
      </c>
      <c r="D1014" s="5" t="n">
        <v>17957</v>
      </c>
      <c r="E1014" s="6" t="n">
        <v>205</v>
      </c>
      <c r="F1014" s="7" t="n">
        <v>58</v>
      </c>
      <c r="G1014" s="6" t="n">
        <v>43.641250692697</v>
      </c>
      <c r="H1014" s="8" t="n">
        <v>42583.8231884129</v>
      </c>
      <c r="I1014" s="9" t="n">
        <v>1.7807024457779</v>
      </c>
      <c r="J1014" s="9" t="n">
        <v>2.16964959358254</v>
      </c>
      <c r="K1014" s="3" t="s">
        <v>379</v>
      </c>
      <c r="L1014" s="3" t="s">
        <v>380</v>
      </c>
      <c r="M1014" s="7" t="n">
        <v>2016</v>
      </c>
    </row>
    <row r="1015" customFormat="false" ht="15" hidden="false" customHeight="false" outlineLevel="0" collapsed="false">
      <c r="A1015" s="3" t="n">
        <v>1354</v>
      </c>
      <c r="B1015" s="3" t="s">
        <v>378</v>
      </c>
      <c r="C1015" s="4" t="s">
        <v>17</v>
      </c>
      <c r="D1015" s="5" t="n">
        <v>17981</v>
      </c>
      <c r="E1015" s="6" t="n">
        <v>207.7</v>
      </c>
      <c r="F1015" s="7" t="n">
        <v>72</v>
      </c>
      <c r="G1015" s="6" t="n">
        <v>214.583300259096</v>
      </c>
      <c r="H1015" s="8" t="n">
        <v>210546.988381222</v>
      </c>
      <c r="I1015" s="9" t="n">
        <v>2.43670473196744</v>
      </c>
      <c r="J1015" s="9" t="n">
        <v>10.6831605175314</v>
      </c>
      <c r="K1015" s="3" t="s">
        <v>379</v>
      </c>
      <c r="L1015" s="3" t="s">
        <v>380</v>
      </c>
      <c r="M1015" s="7" t="n">
        <v>2017</v>
      </c>
    </row>
    <row r="1016" customFormat="false" ht="15" hidden="false" customHeight="false" outlineLevel="0" collapsed="false">
      <c r="A1016" s="3" t="n">
        <v>1355</v>
      </c>
      <c r="B1016" s="3" t="s">
        <v>378</v>
      </c>
      <c r="C1016" s="4" t="s">
        <v>18</v>
      </c>
      <c r="D1016" s="5" t="n">
        <v>18126</v>
      </c>
      <c r="E1016" s="6" t="n">
        <v>207.7</v>
      </c>
      <c r="F1016" s="7" t="n">
        <v>72</v>
      </c>
      <c r="G1016" s="6" t="n">
        <v>49.4747206949905</v>
      </c>
      <c r="H1016" s="8" t="n">
        <v>38479.4587677358</v>
      </c>
      <c r="I1016" s="9" t="n">
        <v>1.08943162533943</v>
      </c>
      <c r="J1016" s="9" t="n">
        <v>2.44342520748887</v>
      </c>
      <c r="K1016" s="3" t="s">
        <v>379</v>
      </c>
      <c r="L1016" s="3" t="s">
        <v>380</v>
      </c>
      <c r="M1016" s="7" t="n">
        <v>2018</v>
      </c>
    </row>
    <row r="1017" customFormat="false" ht="15" hidden="false" customHeight="false" outlineLevel="0" collapsed="false">
      <c r="A1017" s="3" t="n">
        <v>1356</v>
      </c>
      <c r="B1017" s="3" t="s">
        <v>378</v>
      </c>
      <c r="C1017" s="4" t="s">
        <v>19</v>
      </c>
      <c r="D1017" s="5" t="n">
        <v>18192</v>
      </c>
      <c r="E1017" s="6" t="n">
        <v>207.7</v>
      </c>
      <c r="F1017" s="7" t="n">
        <v>71</v>
      </c>
      <c r="G1017" s="6" t="n">
        <v>12.9032395675549</v>
      </c>
      <c r="H1017" s="8" t="n">
        <v>19736.2791129493</v>
      </c>
      <c r="I1017" s="9" t="n">
        <v>0.314724802857315</v>
      </c>
      <c r="J1017" s="9" t="n">
        <v>0.634944824848643</v>
      </c>
      <c r="K1017" s="3" t="s">
        <v>379</v>
      </c>
      <c r="L1017" s="3" t="s">
        <v>380</v>
      </c>
      <c r="M1017" s="7" t="n">
        <v>2019</v>
      </c>
    </row>
    <row r="1018" customFormat="false" ht="15" hidden="false" customHeight="false" outlineLevel="0" collapsed="false">
      <c r="A1018" s="3" t="n">
        <v>1357</v>
      </c>
      <c r="B1018" s="3" t="s">
        <v>378</v>
      </c>
      <c r="C1018" s="4" t="s">
        <v>20</v>
      </c>
      <c r="D1018" s="5" t="n">
        <v>18205</v>
      </c>
      <c r="E1018" s="6" t="n">
        <v>207.7</v>
      </c>
      <c r="F1018" s="7" t="n">
        <v>72</v>
      </c>
      <c r="G1018" s="6" t="n">
        <v>299.50697635455</v>
      </c>
      <c r="H1018" s="8" t="n">
        <v>531523.050657365</v>
      </c>
      <c r="I1018" s="9" t="n">
        <v>3.48814411823209</v>
      </c>
      <c r="J1018" s="9" t="n">
        <v>14.6873164834449</v>
      </c>
      <c r="K1018" s="3" t="s">
        <v>379</v>
      </c>
      <c r="L1018" s="3" t="s">
        <v>380</v>
      </c>
      <c r="M1018" s="7" t="n">
        <v>2020</v>
      </c>
    </row>
    <row r="1019" customFormat="false" ht="15" hidden="false" customHeight="false" outlineLevel="0" collapsed="false">
      <c r="A1019" s="3" t="n">
        <v>1358</v>
      </c>
      <c r="B1019" s="3" t="s">
        <v>378</v>
      </c>
      <c r="C1019" s="4" t="s">
        <v>21</v>
      </c>
      <c r="D1019" s="5" t="n">
        <v>18273</v>
      </c>
      <c r="E1019" s="6" t="n">
        <v>207.7</v>
      </c>
      <c r="F1019" s="7" t="n">
        <v>72</v>
      </c>
      <c r="G1019" s="6" t="n">
        <v>133.814272146286</v>
      </c>
      <c r="H1019" s="8" t="n">
        <v>222294.945174853</v>
      </c>
      <c r="I1019" s="9" t="n">
        <v>1.86050513936598</v>
      </c>
      <c r="J1019" s="9" t="n">
        <v>6.55556694064615</v>
      </c>
      <c r="K1019" s="3" t="s">
        <v>379</v>
      </c>
      <c r="L1019" s="3" t="s">
        <v>380</v>
      </c>
      <c r="M1019" s="7" t="n">
        <v>2021</v>
      </c>
    </row>
    <row r="1020" customFormat="false" ht="15" hidden="false" customHeight="false" outlineLevel="0" collapsed="false">
      <c r="A1020" s="3" t="n">
        <v>1359</v>
      </c>
      <c r="B1020" s="3" t="s">
        <v>378</v>
      </c>
      <c r="C1020" s="4" t="s">
        <v>22</v>
      </c>
      <c r="D1020" s="5" t="n">
        <v>18293</v>
      </c>
      <c r="E1020" s="6" t="n">
        <v>207.7</v>
      </c>
      <c r="F1020" s="7" t="n">
        <v>70</v>
      </c>
      <c r="G1020" s="6" t="n">
        <v>139.531664761843</v>
      </c>
      <c r="H1020" s="8" t="n">
        <v>320790.273870716</v>
      </c>
      <c r="I1020" s="9" t="n">
        <v>2.04529986268455</v>
      </c>
      <c r="J1020" s="9" t="n">
        <v>6.82818872262904</v>
      </c>
      <c r="K1020" s="3" t="s">
        <v>379</v>
      </c>
      <c r="L1020" s="3" t="s">
        <v>380</v>
      </c>
      <c r="M1020" s="7" t="n">
        <v>2022</v>
      </c>
    </row>
    <row r="1021" customFormat="false" ht="15" hidden="false" customHeight="false" outlineLevel="0" collapsed="false">
      <c r="A1021" s="3" t="n">
        <v>1360</v>
      </c>
      <c r="B1021" s="3" t="s">
        <v>378</v>
      </c>
      <c r="C1021" s="4" t="s">
        <v>23</v>
      </c>
      <c r="D1021" s="5" t="n">
        <v>18456</v>
      </c>
      <c r="E1021" s="6" t="n">
        <v>207.7</v>
      </c>
      <c r="F1021" s="7" t="n">
        <v>70</v>
      </c>
      <c r="G1021" s="6" t="n">
        <v>952.609909839157</v>
      </c>
      <c r="H1021" s="8" t="n">
        <v>3860556.44671327</v>
      </c>
      <c r="I1021" s="9" t="n">
        <v>9.61421056920283</v>
      </c>
      <c r="J1021" s="9" t="n">
        <v>46.2056610630509</v>
      </c>
      <c r="K1021" s="3" t="s">
        <v>379</v>
      </c>
      <c r="L1021" s="3" t="s">
        <v>380</v>
      </c>
      <c r="M1021" s="7" t="n">
        <v>2023</v>
      </c>
    </row>
    <row r="1022" customFormat="false" ht="15" hidden="false" customHeight="false" outlineLevel="0" collapsed="false">
      <c r="A1022" s="3" t="n">
        <v>1361</v>
      </c>
      <c r="B1022" s="3" t="s">
        <v>378</v>
      </c>
      <c r="C1022" s="4" t="s">
        <v>24</v>
      </c>
      <c r="D1022" s="5" t="n">
        <v>18456</v>
      </c>
      <c r="E1022" s="6" t="n">
        <v>207.7</v>
      </c>
      <c r="F1022" s="7" t="n">
        <v>71</v>
      </c>
      <c r="G1022" s="6" t="n">
        <v>965.937299277224</v>
      </c>
      <c r="H1022" s="8" t="n">
        <v>2432191.48208808</v>
      </c>
      <c r="I1022" s="9" t="n">
        <v>9.54897563205874</v>
      </c>
      <c r="J1022" s="9" t="n">
        <v>46.7237346293863</v>
      </c>
      <c r="K1022" s="3" t="s">
        <v>379</v>
      </c>
      <c r="L1022" s="3" t="s">
        <v>380</v>
      </c>
      <c r="M1022" s="7" t="n">
        <v>2024</v>
      </c>
    </row>
    <row r="1023" customFormat="false" ht="15" hidden="false" customHeight="false" outlineLevel="0" collapsed="false">
      <c r="A1023" s="3" t="n">
        <v>1365</v>
      </c>
      <c r="B1023" s="3" t="s">
        <v>381</v>
      </c>
      <c r="C1023" s="4" t="s">
        <v>41</v>
      </c>
      <c r="D1023" s="5" t="n">
        <v>3788</v>
      </c>
      <c r="E1023" s="6" t="n">
        <v>47.58</v>
      </c>
      <c r="F1023" s="7" t="n">
        <v>70</v>
      </c>
      <c r="G1023" s="6" t="n">
        <v>384.841479983191</v>
      </c>
      <c r="H1023" s="8" t="n">
        <v>61574.6367973105</v>
      </c>
      <c r="I1023" s="9" t="n">
        <v>23.7119443563805</v>
      </c>
      <c r="J1023" s="9" t="n">
        <v>90.9472518000763</v>
      </c>
      <c r="K1023" s="3" t="s">
        <v>382</v>
      </c>
      <c r="L1023" s="3" t="s">
        <v>383</v>
      </c>
      <c r="M1023" s="7" t="n">
        <v>2016</v>
      </c>
    </row>
    <row r="1024" customFormat="false" ht="15" hidden="false" customHeight="false" outlineLevel="0" collapsed="false">
      <c r="A1024" s="3" t="n">
        <v>1366</v>
      </c>
      <c r="B1024" s="3" t="s">
        <v>381</v>
      </c>
      <c r="C1024" s="4" t="s">
        <v>42</v>
      </c>
      <c r="D1024" s="5" t="n">
        <v>3643</v>
      </c>
      <c r="E1024" s="6" t="n">
        <v>47.58</v>
      </c>
      <c r="F1024" s="7" t="n">
        <v>66</v>
      </c>
      <c r="G1024" s="6" t="n">
        <v>250.1991175</v>
      </c>
      <c r="H1024" s="8" t="n">
        <v>40031.8588</v>
      </c>
      <c r="I1024" s="9" t="n">
        <v>24.5665846674309</v>
      </c>
      <c r="J1024" s="9" t="n">
        <v>61.481474811314</v>
      </c>
      <c r="K1024" s="3" t="s">
        <v>382</v>
      </c>
      <c r="L1024" s="3" t="s">
        <v>383</v>
      </c>
      <c r="M1024" s="7" t="n">
        <v>2017</v>
      </c>
    </row>
    <row r="1025" customFormat="false" ht="15" hidden="false" customHeight="false" outlineLevel="0" collapsed="false">
      <c r="A1025" s="3" t="n">
        <v>1367</v>
      </c>
      <c r="B1025" s="3" t="s">
        <v>381</v>
      </c>
      <c r="C1025" s="4" t="s">
        <v>43</v>
      </c>
      <c r="D1025" s="5" t="n">
        <v>3788</v>
      </c>
      <c r="E1025" s="6" t="n">
        <v>47.6</v>
      </c>
      <c r="F1025" s="7" t="n">
        <v>63</v>
      </c>
      <c r="G1025" s="6" t="n">
        <v>282.974480290055</v>
      </c>
      <c r="H1025" s="8" t="n">
        <v>164974.122009102</v>
      </c>
      <c r="I1025" s="9" t="n">
        <v>23.2874369473729</v>
      </c>
      <c r="J1025" s="9" t="n">
        <v>66.8736418773242</v>
      </c>
      <c r="K1025" s="3" t="s">
        <v>382</v>
      </c>
      <c r="L1025" s="3" t="s">
        <v>383</v>
      </c>
      <c r="M1025" s="7" t="n">
        <v>2018</v>
      </c>
    </row>
    <row r="1026" customFormat="false" ht="15" hidden="false" customHeight="false" outlineLevel="0" collapsed="false">
      <c r="A1026" s="3" t="n">
        <v>1368</v>
      </c>
      <c r="B1026" s="3" t="s">
        <v>381</v>
      </c>
      <c r="C1026" s="4" t="s">
        <v>44</v>
      </c>
      <c r="D1026" s="5" t="n">
        <v>3810</v>
      </c>
      <c r="E1026" s="6" t="n">
        <v>47.58</v>
      </c>
      <c r="F1026" s="7" t="n">
        <v>64</v>
      </c>
      <c r="G1026" s="6" t="n">
        <v>385.233643026316</v>
      </c>
      <c r="H1026" s="8" t="n">
        <v>212949.453192087</v>
      </c>
      <c r="I1026" s="9" t="n">
        <v>22.5909772386534</v>
      </c>
      <c r="J1026" s="9" t="n">
        <v>90.2662552143013</v>
      </c>
      <c r="K1026" s="3" t="s">
        <v>382</v>
      </c>
      <c r="L1026" s="3" t="s">
        <v>383</v>
      </c>
      <c r="M1026" s="7" t="n">
        <v>2019</v>
      </c>
    </row>
    <row r="1027" customFormat="false" ht="15" hidden="false" customHeight="false" outlineLevel="0" collapsed="false">
      <c r="A1027" s="3" t="n">
        <v>1369</v>
      </c>
      <c r="B1027" s="3" t="s">
        <v>381</v>
      </c>
      <c r="C1027" s="4" t="s">
        <v>45</v>
      </c>
      <c r="D1027" s="5" t="n">
        <v>3822</v>
      </c>
      <c r="E1027" s="6" t="n">
        <v>47.58</v>
      </c>
      <c r="F1027" s="7" t="n">
        <v>64</v>
      </c>
      <c r="G1027" s="6" t="n">
        <v>215.507568432642</v>
      </c>
      <c r="H1027" s="8" t="n">
        <v>127289.54529474</v>
      </c>
      <c r="I1027" s="9" t="n">
        <v>13.8812641957185</v>
      </c>
      <c r="J1027" s="9" t="n">
        <v>50.4765331146348</v>
      </c>
      <c r="K1027" s="3" t="s">
        <v>382</v>
      </c>
      <c r="L1027" s="3" t="s">
        <v>383</v>
      </c>
      <c r="M1027" s="7" t="n">
        <v>2020</v>
      </c>
    </row>
    <row r="1028" customFormat="false" ht="15" hidden="false" customHeight="false" outlineLevel="0" collapsed="false">
      <c r="A1028" s="3" t="n">
        <v>1370</v>
      </c>
      <c r="B1028" s="3" t="s">
        <v>381</v>
      </c>
      <c r="C1028" s="4" t="s">
        <v>46</v>
      </c>
      <c r="D1028" s="5" t="n">
        <v>3824</v>
      </c>
      <c r="E1028" s="6" t="n">
        <v>47.58</v>
      </c>
      <c r="F1028" s="7" t="n">
        <v>63</v>
      </c>
      <c r="G1028" s="6" t="n">
        <v>252.910840639535</v>
      </c>
      <c r="H1028" s="8" t="n">
        <v>168855.922752985</v>
      </c>
      <c r="I1028" s="9" t="n">
        <v>15.539588103369</v>
      </c>
      <c r="J1028" s="9" t="n">
        <v>59.2062065592334</v>
      </c>
      <c r="K1028" s="3" t="s">
        <v>382</v>
      </c>
      <c r="L1028" s="3" t="s">
        <v>383</v>
      </c>
      <c r="M1028" s="7" t="n">
        <v>2021</v>
      </c>
    </row>
    <row r="1029" customFormat="false" ht="15" hidden="false" customHeight="false" outlineLevel="0" collapsed="false">
      <c r="A1029" s="3" t="n">
        <v>1371</v>
      </c>
      <c r="B1029" s="3" t="s">
        <v>381</v>
      </c>
      <c r="C1029" s="4" t="s">
        <v>47</v>
      </c>
      <c r="D1029" s="5" t="n">
        <v>3818</v>
      </c>
      <c r="E1029" s="6" t="n">
        <v>47.6</v>
      </c>
      <c r="F1029" s="7" t="n">
        <v>68</v>
      </c>
      <c r="G1029" s="6" t="n">
        <v>203.551583056116</v>
      </c>
      <c r="H1029" s="8" t="n">
        <v>147192.220739538</v>
      </c>
      <c r="I1029" s="9" t="n">
        <v>17.7340053429722</v>
      </c>
      <c r="J1029" s="9" t="n">
        <v>47.7261316338587</v>
      </c>
      <c r="K1029" s="3" t="s">
        <v>382</v>
      </c>
      <c r="L1029" s="3" t="s">
        <v>383</v>
      </c>
      <c r="M1029" s="7" t="n">
        <v>2022</v>
      </c>
    </row>
    <row r="1030" customFormat="false" ht="15" hidden="false" customHeight="false" outlineLevel="0" collapsed="false">
      <c r="A1030" s="3" t="n">
        <v>1372</v>
      </c>
      <c r="B1030" s="3" t="s">
        <v>381</v>
      </c>
      <c r="C1030" s="4" t="s">
        <v>48</v>
      </c>
      <c r="D1030" s="5" t="n">
        <v>3818</v>
      </c>
      <c r="E1030" s="6" t="n">
        <v>47.6</v>
      </c>
      <c r="F1030" s="7" t="n">
        <v>68</v>
      </c>
      <c r="G1030" s="6" t="n">
        <v>305.116798321346</v>
      </c>
      <c r="H1030" s="8" t="n">
        <v>234103.914680036</v>
      </c>
      <c r="I1030" s="9" t="n">
        <v>21.0672439795706</v>
      </c>
      <c r="J1030" s="9" t="n">
        <v>71.3438247449421</v>
      </c>
      <c r="K1030" s="3" t="s">
        <v>382</v>
      </c>
      <c r="L1030" s="3" t="s">
        <v>383</v>
      </c>
      <c r="M1030" s="7" t="n">
        <v>2023</v>
      </c>
    </row>
    <row r="1031" customFormat="false" ht="15" hidden="false" customHeight="false" outlineLevel="0" collapsed="false">
      <c r="A1031" s="3" t="n">
        <v>1373</v>
      </c>
      <c r="B1031" s="3" t="s">
        <v>381</v>
      </c>
      <c r="C1031" s="4" t="s">
        <v>49</v>
      </c>
      <c r="D1031" s="5" t="n">
        <v>3824</v>
      </c>
      <c r="E1031" s="6" t="n">
        <v>47.6</v>
      </c>
      <c r="F1031" s="7" t="n">
        <v>67</v>
      </c>
      <c r="G1031" s="6" t="n">
        <v>411.665783165113</v>
      </c>
      <c r="H1031" s="8" t="n">
        <v>163344.256015235</v>
      </c>
      <c r="I1031" s="9" t="n">
        <v>23.021747246543</v>
      </c>
      <c r="J1031" s="9" t="n">
        <v>96.3705997331309</v>
      </c>
      <c r="K1031" s="3" t="s">
        <v>382</v>
      </c>
      <c r="L1031" s="3" t="s">
        <v>383</v>
      </c>
      <c r="M1031" s="7" t="n">
        <v>2024</v>
      </c>
    </row>
    <row r="1032" customFormat="false" ht="15" hidden="false" customHeight="false" outlineLevel="0" collapsed="false">
      <c r="A1032" s="3" t="n">
        <v>1374</v>
      </c>
      <c r="B1032" s="3" t="s">
        <v>384</v>
      </c>
      <c r="C1032" s="4" t="s">
        <v>42</v>
      </c>
      <c r="D1032" s="5" t="n">
        <v>3203</v>
      </c>
      <c r="E1032" s="6" t="n">
        <v>50</v>
      </c>
      <c r="F1032" s="7" t="n">
        <v>57</v>
      </c>
      <c r="G1032" s="6" t="n">
        <v>117.13748989899</v>
      </c>
      <c r="H1032" s="8" t="n">
        <v>86330.3300555556</v>
      </c>
      <c r="I1032" s="9" t="n">
        <v>8.44624666205123</v>
      </c>
      <c r="J1032" s="9" t="n">
        <v>32.7383395898383</v>
      </c>
      <c r="K1032" s="3" t="s">
        <v>385</v>
      </c>
      <c r="L1032" s="3" t="s">
        <v>386</v>
      </c>
      <c r="M1032" s="7" t="n">
        <v>2017</v>
      </c>
    </row>
    <row r="1033" customFormat="false" ht="15" hidden="false" customHeight="false" outlineLevel="0" collapsed="false">
      <c r="A1033" s="3" t="n">
        <v>1375</v>
      </c>
      <c r="B1033" s="3" t="s">
        <v>384</v>
      </c>
      <c r="C1033" s="4" t="s">
        <v>43</v>
      </c>
      <c r="D1033" s="5" t="n">
        <v>3459</v>
      </c>
      <c r="E1033" s="6" t="n">
        <v>50</v>
      </c>
      <c r="F1033" s="7" t="n">
        <v>55</v>
      </c>
      <c r="G1033" s="6" t="n">
        <v>21.9992929292928</v>
      </c>
      <c r="H1033" s="8" t="n">
        <v>24309.2186868686</v>
      </c>
      <c r="I1033" s="9" t="n">
        <v>3.93245945345478</v>
      </c>
      <c r="J1033" s="9" t="n">
        <v>5.69345424764112</v>
      </c>
      <c r="K1033" s="3" t="s">
        <v>385</v>
      </c>
      <c r="L1033" s="3" t="s">
        <v>386</v>
      </c>
      <c r="M1033" s="7" t="n">
        <v>2018</v>
      </c>
    </row>
    <row r="1034" customFormat="false" ht="15" hidden="false" customHeight="false" outlineLevel="0" collapsed="false">
      <c r="A1034" s="3" t="n">
        <v>1376</v>
      </c>
      <c r="B1034" s="3" t="s">
        <v>384</v>
      </c>
      <c r="C1034" s="4" t="s">
        <v>44</v>
      </c>
      <c r="D1034" s="5" t="n">
        <v>3139</v>
      </c>
      <c r="E1034" s="6" t="n">
        <v>50</v>
      </c>
      <c r="F1034" s="7" t="n">
        <v>61</v>
      </c>
      <c r="G1034" s="6" t="n">
        <v>36.5061489898989</v>
      </c>
      <c r="H1034" s="8" t="n">
        <v>40339.2946338383</v>
      </c>
      <c r="I1034" s="9" t="n">
        <v>10.1866251944012</v>
      </c>
      <c r="J1034" s="9" t="n">
        <v>10.3824751399822</v>
      </c>
      <c r="K1034" s="3" t="s">
        <v>385</v>
      </c>
      <c r="L1034" s="3" t="s">
        <v>386</v>
      </c>
      <c r="M1034" s="7" t="n">
        <v>2019</v>
      </c>
    </row>
    <row r="1035" customFormat="false" ht="15" hidden="false" customHeight="false" outlineLevel="0" collapsed="false">
      <c r="A1035" s="3" t="n">
        <v>1377</v>
      </c>
      <c r="B1035" s="3" t="s">
        <v>384</v>
      </c>
      <c r="C1035" s="4" t="s">
        <v>45</v>
      </c>
      <c r="D1035" s="5" t="n">
        <v>3153</v>
      </c>
      <c r="E1035" s="6" t="n">
        <v>50</v>
      </c>
      <c r="F1035" s="7" t="n">
        <v>63</v>
      </c>
      <c r="G1035" s="6" t="n">
        <v>72.6324073737373</v>
      </c>
      <c r="H1035" s="8" t="n">
        <v>84108.3277387878</v>
      </c>
      <c r="I1035" s="9" t="n">
        <v>6.59734770433772</v>
      </c>
      <c r="J1035" s="9" t="n">
        <v>20.6216847160559</v>
      </c>
      <c r="K1035" s="3" t="s">
        <v>385</v>
      </c>
      <c r="L1035" s="3" t="s">
        <v>386</v>
      </c>
      <c r="M1035" s="7" t="n">
        <v>2020</v>
      </c>
    </row>
    <row r="1036" customFormat="false" ht="15" hidden="false" customHeight="false" outlineLevel="0" collapsed="false">
      <c r="A1036" s="3" t="n">
        <v>1378</v>
      </c>
      <c r="B1036" s="3" t="s">
        <v>384</v>
      </c>
      <c r="C1036" s="4" t="s">
        <v>46</v>
      </c>
      <c r="D1036" s="5" t="n">
        <v>3146</v>
      </c>
      <c r="E1036" s="6" t="n">
        <v>50</v>
      </c>
      <c r="F1036" s="7" t="n">
        <v>69</v>
      </c>
      <c r="G1036" s="6" t="n">
        <v>233.403967171717</v>
      </c>
      <c r="H1036" s="8" t="n">
        <v>276817.105065656</v>
      </c>
      <c r="I1036" s="9" t="n">
        <v>14.188921859545</v>
      </c>
      <c r="J1036" s="9" t="n">
        <v>66.4151548686202</v>
      </c>
      <c r="K1036" s="3" t="s">
        <v>385</v>
      </c>
      <c r="L1036" s="3" t="s">
        <v>386</v>
      </c>
      <c r="M1036" s="7" t="n">
        <v>2021</v>
      </c>
    </row>
    <row r="1037" customFormat="false" ht="15" hidden="false" customHeight="false" outlineLevel="0" collapsed="false">
      <c r="A1037" s="3" t="n">
        <v>1379</v>
      </c>
      <c r="B1037" s="3" t="s">
        <v>384</v>
      </c>
      <c r="C1037" s="4" t="s">
        <v>47</v>
      </c>
      <c r="D1037" s="5" t="n">
        <v>3146</v>
      </c>
      <c r="E1037" s="6" t="n">
        <v>50</v>
      </c>
      <c r="F1037" s="7" t="n">
        <v>39</v>
      </c>
      <c r="G1037" s="6" t="n">
        <v>192.813954949495</v>
      </c>
      <c r="H1037" s="8" t="n">
        <v>235040.211083434</v>
      </c>
      <c r="I1037" s="9" t="n">
        <v>13.2962406015038</v>
      </c>
      <c r="J1037" s="9" t="n">
        <v>54.8652571504089</v>
      </c>
      <c r="K1037" s="3" t="s">
        <v>385</v>
      </c>
      <c r="L1037" s="3" t="s">
        <v>386</v>
      </c>
      <c r="M1037" s="7" t="n">
        <v>2022</v>
      </c>
    </row>
    <row r="1038" customFormat="false" ht="15" hidden="false" customHeight="false" outlineLevel="0" collapsed="false">
      <c r="A1038" s="3" t="n">
        <v>1380</v>
      </c>
      <c r="B1038" s="3" t="s">
        <v>384</v>
      </c>
      <c r="C1038" s="4" t="s">
        <v>48</v>
      </c>
      <c r="D1038" s="5" t="n">
        <v>3146</v>
      </c>
      <c r="E1038" s="6" t="n">
        <v>50</v>
      </c>
      <c r="F1038" s="7" t="n">
        <v>39</v>
      </c>
      <c r="G1038" s="6" t="n">
        <v>48.7585621969697</v>
      </c>
      <c r="H1038" s="8" t="n">
        <v>61219.7879376492</v>
      </c>
      <c r="I1038" s="9" t="n">
        <v>6.68618453255017</v>
      </c>
      <c r="J1038" s="9" t="n">
        <v>13.8362489009264</v>
      </c>
      <c r="K1038" s="3" t="s">
        <v>385</v>
      </c>
      <c r="L1038" s="3" t="s">
        <v>386</v>
      </c>
      <c r="M1038" s="7" t="n">
        <v>2023</v>
      </c>
    </row>
    <row r="1039" customFormat="false" ht="15" hidden="false" customHeight="false" outlineLevel="0" collapsed="false">
      <c r="A1039" s="3" t="n">
        <v>1381</v>
      </c>
      <c r="B1039" s="3" t="s">
        <v>384</v>
      </c>
      <c r="C1039" s="4" t="s">
        <v>49</v>
      </c>
      <c r="D1039" s="5" t="n">
        <v>3131</v>
      </c>
      <c r="E1039" s="6" t="n">
        <v>50</v>
      </c>
      <c r="F1039" s="7" t="n">
        <v>36</v>
      </c>
      <c r="G1039" s="6" t="n">
        <v>50.9976719949493</v>
      </c>
      <c r="H1039" s="8" t="n">
        <v>111961.309051152</v>
      </c>
      <c r="I1039" s="9" t="n">
        <v>4.70964911698596</v>
      </c>
      <c r="J1039" s="9" t="n">
        <v>14.580921042347</v>
      </c>
      <c r="K1039" s="3" t="s">
        <v>385</v>
      </c>
      <c r="L1039" s="3" t="s">
        <v>386</v>
      </c>
      <c r="M1039" s="7" t="n">
        <v>2024</v>
      </c>
    </row>
    <row r="1040" customFormat="false" ht="15" hidden="false" customHeight="false" outlineLevel="0" collapsed="false">
      <c r="A1040" s="3" t="n">
        <v>1382</v>
      </c>
      <c r="B1040" s="3" t="s">
        <v>387</v>
      </c>
      <c r="C1040" s="4" t="s">
        <v>14</v>
      </c>
      <c r="D1040" s="5" t="n">
        <v>14218</v>
      </c>
      <c r="E1040" s="6" t="n">
        <v>169</v>
      </c>
      <c r="F1040" s="7" t="n">
        <v>72</v>
      </c>
      <c r="G1040" s="6" t="n">
        <v>97.3379925194903</v>
      </c>
      <c r="H1040" s="8" t="n">
        <v>35033.8902676149</v>
      </c>
      <c r="I1040" s="9" t="n">
        <v>6.62133014540924</v>
      </c>
      <c r="J1040" s="9" t="n">
        <v>6.11181315609356</v>
      </c>
      <c r="K1040" s="3" t="s">
        <v>388</v>
      </c>
      <c r="L1040" s="3" t="s">
        <v>389</v>
      </c>
      <c r="M1040" s="7" t="n">
        <v>2016</v>
      </c>
    </row>
    <row r="1041" customFormat="false" ht="15" hidden="false" customHeight="false" outlineLevel="0" collapsed="false">
      <c r="A1041" s="3" t="n">
        <v>1383</v>
      </c>
      <c r="B1041" s="3" t="s">
        <v>387</v>
      </c>
      <c r="C1041" s="4" t="s">
        <v>17</v>
      </c>
      <c r="D1041" s="5" t="n">
        <v>14395</v>
      </c>
      <c r="E1041" s="6" t="n">
        <v>169</v>
      </c>
      <c r="F1041" s="7" t="n">
        <v>70</v>
      </c>
      <c r="G1041" s="6" t="n">
        <v>184.909208232084</v>
      </c>
      <c r="H1041" s="8" t="n">
        <v>74499.9199967065</v>
      </c>
      <c r="I1041" s="9" t="n">
        <v>7.96594907814549</v>
      </c>
      <c r="J1041" s="9" t="n">
        <v>11.4991183621512</v>
      </c>
      <c r="K1041" s="3" t="s">
        <v>388</v>
      </c>
      <c r="L1041" s="3" t="s">
        <v>389</v>
      </c>
      <c r="M1041" s="7" t="n">
        <v>2017</v>
      </c>
    </row>
    <row r="1042" customFormat="false" ht="15" hidden="false" customHeight="false" outlineLevel="0" collapsed="false">
      <c r="A1042" s="3" t="n">
        <v>1384</v>
      </c>
      <c r="B1042" s="3" t="s">
        <v>387</v>
      </c>
      <c r="C1042" s="4" t="s">
        <v>18</v>
      </c>
      <c r="D1042" s="5" t="n">
        <v>14422</v>
      </c>
      <c r="E1042" s="6" t="n">
        <v>169</v>
      </c>
      <c r="F1042" s="7" t="n">
        <v>72</v>
      </c>
      <c r="G1042" s="6" t="n">
        <v>176.946786235545</v>
      </c>
      <c r="H1042" s="8" t="n">
        <v>76802.9733481889</v>
      </c>
      <c r="I1042" s="9" t="n">
        <v>11.4603428917203</v>
      </c>
      <c r="J1042" s="9" t="n">
        <v>10.9833509933768</v>
      </c>
      <c r="K1042" s="3" t="s">
        <v>388</v>
      </c>
      <c r="L1042" s="3" t="s">
        <v>389</v>
      </c>
      <c r="M1042" s="7" t="n">
        <v>2018</v>
      </c>
    </row>
    <row r="1043" customFormat="false" ht="15" hidden="false" customHeight="false" outlineLevel="0" collapsed="false">
      <c r="A1043" s="3" t="n">
        <v>1385</v>
      </c>
      <c r="B1043" s="3" t="s">
        <v>387</v>
      </c>
      <c r="C1043" s="4" t="s">
        <v>19</v>
      </c>
      <c r="D1043" s="5" t="n">
        <v>14422</v>
      </c>
      <c r="E1043" s="6" t="n">
        <v>169</v>
      </c>
      <c r="F1043" s="7" t="n">
        <v>64</v>
      </c>
      <c r="G1043" s="6" t="n">
        <v>721.982814182169</v>
      </c>
      <c r="H1043" s="8" t="n">
        <v>404292.25854081</v>
      </c>
      <c r="I1043" s="9" t="n">
        <v>16.8636419752889</v>
      </c>
      <c r="J1043" s="9" t="n">
        <v>44.8145503405348</v>
      </c>
      <c r="K1043" s="3" t="s">
        <v>388</v>
      </c>
      <c r="L1043" s="3" t="s">
        <v>389</v>
      </c>
      <c r="M1043" s="7" t="n">
        <v>2019</v>
      </c>
    </row>
    <row r="1044" customFormat="false" ht="15" hidden="false" customHeight="false" outlineLevel="0" collapsed="false">
      <c r="A1044" s="3" t="n">
        <v>1386</v>
      </c>
      <c r="B1044" s="3" t="s">
        <v>387</v>
      </c>
      <c r="C1044" s="4" t="s">
        <v>20</v>
      </c>
      <c r="D1044" s="5" t="n">
        <v>14422</v>
      </c>
      <c r="E1044" s="6" t="n">
        <v>169</v>
      </c>
      <c r="F1044" s="7" t="n">
        <v>72</v>
      </c>
      <c r="G1044" s="6" t="n">
        <v>645.121204478966</v>
      </c>
      <c r="H1044" s="8" t="n">
        <v>1705759.8157932</v>
      </c>
      <c r="I1044" s="9" t="n">
        <v>12.6440614435573</v>
      </c>
      <c r="J1044" s="9" t="n">
        <v>39.933926972429</v>
      </c>
      <c r="K1044" s="3" t="s">
        <v>388</v>
      </c>
      <c r="L1044" s="3" t="s">
        <v>389</v>
      </c>
      <c r="M1044" s="7" t="n">
        <v>2020</v>
      </c>
    </row>
    <row r="1045" customFormat="false" ht="15" hidden="false" customHeight="false" outlineLevel="0" collapsed="false">
      <c r="A1045" s="3" t="n">
        <v>1387</v>
      </c>
      <c r="B1045" s="3" t="s">
        <v>387</v>
      </c>
      <c r="C1045" s="4" t="s">
        <v>21</v>
      </c>
      <c r="D1045" s="5" t="n">
        <v>5619</v>
      </c>
      <c r="E1045" s="6" t="n">
        <v>169</v>
      </c>
      <c r="F1045" s="7" t="n">
        <v>78</v>
      </c>
      <c r="G1045" s="6" t="n">
        <v>7.05965073145947</v>
      </c>
      <c r="H1045" s="8" t="n">
        <v>17454.0686789384</v>
      </c>
      <c r="I1045" s="9" t="n">
        <v>9.1879527917536</v>
      </c>
      <c r="J1045" s="9" t="n">
        <v>1.12471336971735</v>
      </c>
      <c r="K1045" s="3" t="s">
        <v>388</v>
      </c>
      <c r="L1045" s="3" t="s">
        <v>389</v>
      </c>
      <c r="M1045" s="7" t="n">
        <v>2021</v>
      </c>
    </row>
    <row r="1046" customFormat="false" ht="15" hidden="false" customHeight="false" outlineLevel="0" collapsed="false">
      <c r="A1046" s="3" t="n">
        <v>1388</v>
      </c>
      <c r="B1046" s="3" t="s">
        <v>387</v>
      </c>
      <c r="C1046" s="4" t="s">
        <v>22</v>
      </c>
      <c r="D1046" s="5" t="n">
        <v>14372</v>
      </c>
      <c r="E1046" s="6" t="n">
        <v>178</v>
      </c>
      <c r="F1046" s="7" t="n">
        <v>73</v>
      </c>
      <c r="G1046" s="6" t="n">
        <v>798.807222502778</v>
      </c>
      <c r="H1046" s="8" t="n">
        <v>404995.261808908</v>
      </c>
      <c r="I1046" s="9" t="n">
        <v>14.6290102811842</v>
      </c>
      <c r="J1046" s="9" t="n">
        <v>49.7556551237741</v>
      </c>
      <c r="K1046" s="3" t="s">
        <v>388</v>
      </c>
      <c r="L1046" s="3" t="s">
        <v>389</v>
      </c>
      <c r="M1046" s="7" t="n">
        <v>2022</v>
      </c>
    </row>
    <row r="1047" customFormat="false" ht="15" hidden="false" customHeight="false" outlineLevel="0" collapsed="false">
      <c r="A1047" s="3" t="n">
        <v>1389</v>
      </c>
      <c r="B1047" s="3" t="s">
        <v>387</v>
      </c>
      <c r="C1047" s="4" t="s">
        <v>23</v>
      </c>
      <c r="D1047" s="5" t="n">
        <v>14372</v>
      </c>
      <c r="E1047" s="6" t="n">
        <v>178</v>
      </c>
      <c r="F1047" s="7" t="n">
        <v>78</v>
      </c>
      <c r="G1047" s="6" t="n">
        <v>321.300027582131</v>
      </c>
      <c r="H1047" s="8" t="n">
        <v>520506.044683052</v>
      </c>
      <c r="I1047" s="9" t="n">
        <v>10.0372139303483</v>
      </c>
      <c r="J1047" s="9" t="n">
        <v>20.0129554581988</v>
      </c>
      <c r="K1047" s="3" t="s">
        <v>388</v>
      </c>
      <c r="L1047" s="3" t="s">
        <v>389</v>
      </c>
      <c r="M1047" s="7" t="n">
        <v>2023</v>
      </c>
    </row>
    <row r="1048" customFormat="false" ht="15" hidden="false" customHeight="false" outlineLevel="0" collapsed="false">
      <c r="A1048" s="3" t="n">
        <v>1390</v>
      </c>
      <c r="B1048" s="3" t="s">
        <v>387</v>
      </c>
      <c r="C1048" s="4" t="s">
        <v>24</v>
      </c>
      <c r="D1048" s="5" t="n">
        <v>14399</v>
      </c>
      <c r="E1048" s="6" t="n">
        <v>178</v>
      </c>
      <c r="F1048" s="7" t="n">
        <v>86</v>
      </c>
      <c r="G1048" s="6" t="n">
        <v>911.062372405039</v>
      </c>
      <c r="H1048" s="8" t="n">
        <v>1846723.42886501</v>
      </c>
      <c r="I1048" s="9" t="n">
        <v>15.4709018930364</v>
      </c>
      <c r="J1048" s="9" t="n">
        <v>56.4861496490061</v>
      </c>
      <c r="K1048" s="3" t="s">
        <v>388</v>
      </c>
      <c r="L1048" s="3" t="s">
        <v>389</v>
      </c>
      <c r="M1048" s="7" t="n">
        <v>2024</v>
      </c>
    </row>
    <row r="1049" customFormat="false" ht="15" hidden="false" customHeight="false" outlineLevel="0" collapsed="false">
      <c r="A1049" s="3" t="n">
        <v>1391</v>
      </c>
      <c r="B1049" s="3" t="s">
        <v>390</v>
      </c>
      <c r="C1049" s="4" t="s">
        <v>14</v>
      </c>
      <c r="D1049" s="5" t="n">
        <v>6239</v>
      </c>
      <c r="E1049" s="6" t="n">
        <v>67.77</v>
      </c>
      <c r="F1049" s="7" t="n">
        <v>53</v>
      </c>
      <c r="G1049" s="6" t="n">
        <v>210.506718131313</v>
      </c>
      <c r="H1049" s="8" t="n">
        <v>219769.013729091</v>
      </c>
      <c r="I1049" s="9" t="n">
        <v>7.78124052536738</v>
      </c>
      <c r="J1049" s="9" t="n">
        <v>30.1215397663423</v>
      </c>
      <c r="K1049" s="3" t="s">
        <v>391</v>
      </c>
      <c r="L1049" s="3" t="s">
        <v>392</v>
      </c>
      <c r="M1049" s="7" t="n">
        <v>2016</v>
      </c>
    </row>
    <row r="1050" customFormat="false" ht="15" hidden="false" customHeight="false" outlineLevel="0" collapsed="false">
      <c r="A1050" s="3" t="n">
        <v>1392</v>
      </c>
      <c r="B1050" s="3" t="s">
        <v>393</v>
      </c>
      <c r="C1050" s="4" t="s">
        <v>14</v>
      </c>
      <c r="D1050" s="5" t="n">
        <v>52738</v>
      </c>
      <c r="E1050" s="6" t="n">
        <v>520</v>
      </c>
      <c r="F1050" s="7" t="n">
        <v>74</v>
      </c>
      <c r="G1050" s="6" t="n">
        <v>973.761416939546</v>
      </c>
      <c r="H1050" s="8" t="n">
        <v>1112493.20601092</v>
      </c>
      <c r="I1050" s="9" t="n">
        <v>5.97016333558993</v>
      </c>
      <c r="J1050" s="9" t="n">
        <v>16.4837151278805</v>
      </c>
      <c r="K1050" s="3" t="s">
        <v>394</v>
      </c>
      <c r="L1050" s="3" t="s">
        <v>395</v>
      </c>
      <c r="M1050" s="7" t="n">
        <v>2016</v>
      </c>
    </row>
    <row r="1051" customFormat="false" ht="15" hidden="false" customHeight="false" outlineLevel="0" collapsed="false">
      <c r="A1051" s="3" t="n">
        <v>1393</v>
      </c>
      <c r="B1051" s="3" t="s">
        <v>393</v>
      </c>
      <c r="C1051" s="4" t="s">
        <v>17</v>
      </c>
      <c r="D1051" s="5" t="n">
        <v>52959</v>
      </c>
      <c r="E1051" s="6" t="n">
        <v>518</v>
      </c>
      <c r="F1051" s="7" t="n">
        <v>72</v>
      </c>
      <c r="G1051" s="6" t="n">
        <v>928.061103766254</v>
      </c>
      <c r="H1051" s="8" t="n">
        <v>1037145.40590294</v>
      </c>
      <c r="I1051" s="9" t="n">
        <v>5.31574576740688</v>
      </c>
      <c r="J1051" s="9" t="n">
        <v>15.6875264030363</v>
      </c>
      <c r="K1051" s="3" t="s">
        <v>394</v>
      </c>
      <c r="L1051" s="3" t="s">
        <v>395</v>
      </c>
      <c r="M1051" s="7" t="n">
        <v>2017</v>
      </c>
    </row>
    <row r="1052" customFormat="false" ht="15" hidden="false" customHeight="false" outlineLevel="0" collapsed="false">
      <c r="A1052" s="3" t="n">
        <v>1394</v>
      </c>
      <c r="B1052" s="3" t="s">
        <v>393</v>
      </c>
      <c r="C1052" s="4" t="s">
        <v>18</v>
      </c>
      <c r="D1052" s="5" t="n">
        <v>53180</v>
      </c>
      <c r="E1052" s="6" t="n">
        <v>518.9</v>
      </c>
      <c r="F1052" s="7" t="n">
        <v>72</v>
      </c>
      <c r="G1052" s="6" t="n">
        <v>722.157845340056</v>
      </c>
      <c r="H1052" s="8" t="n">
        <v>793803.125176243</v>
      </c>
      <c r="I1052" s="9" t="n">
        <v>5.61631752518268</v>
      </c>
      <c r="J1052" s="9" t="n">
        <v>12.1563018435163</v>
      </c>
      <c r="K1052" s="3" t="s">
        <v>394</v>
      </c>
      <c r="L1052" s="3" t="s">
        <v>395</v>
      </c>
      <c r="M1052" s="7" t="n">
        <v>2018</v>
      </c>
    </row>
    <row r="1053" customFormat="false" ht="15" hidden="false" customHeight="false" outlineLevel="0" collapsed="false">
      <c r="A1053" s="3" t="n">
        <v>1395</v>
      </c>
      <c r="B1053" s="3" t="s">
        <v>393</v>
      </c>
      <c r="C1053" s="4" t="s">
        <v>19</v>
      </c>
      <c r="D1053" s="5" t="n">
        <v>56046</v>
      </c>
      <c r="E1053" s="6" t="n">
        <v>517.5</v>
      </c>
      <c r="F1053" s="7" t="n">
        <v>72</v>
      </c>
      <c r="G1053" s="6" t="n">
        <v>1007.17749698363</v>
      </c>
      <c r="H1053" s="8" t="n">
        <v>1224173.88870875</v>
      </c>
      <c r="I1053" s="9" t="n">
        <v>6.60662955201773</v>
      </c>
      <c r="J1053" s="9" t="n">
        <v>16.0871483201599</v>
      </c>
      <c r="K1053" s="3" t="s">
        <v>394</v>
      </c>
      <c r="L1053" s="3" t="s">
        <v>395</v>
      </c>
      <c r="M1053" s="7" t="n">
        <v>2019</v>
      </c>
    </row>
    <row r="1054" customFormat="false" ht="15" hidden="false" customHeight="false" outlineLevel="0" collapsed="false">
      <c r="A1054" s="3" t="n">
        <v>1396</v>
      </c>
      <c r="B1054" s="3" t="s">
        <v>393</v>
      </c>
      <c r="C1054" s="4" t="s">
        <v>20</v>
      </c>
      <c r="D1054" s="5" t="n">
        <v>53426</v>
      </c>
      <c r="E1054" s="6" t="n">
        <v>482.6</v>
      </c>
      <c r="F1054" s="7" t="n">
        <v>73</v>
      </c>
      <c r="G1054" s="6" t="n">
        <v>930.697311554565</v>
      </c>
      <c r="H1054" s="8" t="n">
        <v>1125361.96123932</v>
      </c>
      <c r="I1054" s="9" t="n">
        <v>6.04740451820828</v>
      </c>
      <c r="J1054" s="9" t="n">
        <v>15.5518476544624</v>
      </c>
      <c r="K1054" s="3" t="s">
        <v>394</v>
      </c>
      <c r="L1054" s="3" t="s">
        <v>395</v>
      </c>
      <c r="M1054" s="7" t="n">
        <v>2020</v>
      </c>
    </row>
    <row r="1055" customFormat="false" ht="15" hidden="false" customHeight="false" outlineLevel="0" collapsed="false">
      <c r="A1055" s="3" t="n">
        <v>1397</v>
      </c>
      <c r="B1055" s="3" t="s">
        <v>393</v>
      </c>
      <c r="C1055" s="4" t="s">
        <v>21</v>
      </c>
      <c r="D1055" s="5" t="n">
        <v>53743</v>
      </c>
      <c r="E1055" s="6" t="n">
        <v>482.6</v>
      </c>
      <c r="F1055" s="7" t="n">
        <v>75</v>
      </c>
      <c r="G1055" s="6" t="n">
        <v>755.800838309721</v>
      </c>
      <c r="H1055" s="8" t="n">
        <v>915720.737687674</v>
      </c>
      <c r="I1055" s="9" t="n">
        <v>5.56121590875829</v>
      </c>
      <c r="J1055" s="9" t="n">
        <v>12.5893450863962</v>
      </c>
      <c r="K1055" s="3" t="s">
        <v>394</v>
      </c>
      <c r="L1055" s="3" t="s">
        <v>395</v>
      </c>
      <c r="M1055" s="7" t="n">
        <v>2021</v>
      </c>
    </row>
    <row r="1056" customFormat="false" ht="15" hidden="false" customHeight="false" outlineLevel="0" collapsed="false">
      <c r="A1056" s="3" t="n">
        <v>1398</v>
      </c>
      <c r="B1056" s="3" t="s">
        <v>393</v>
      </c>
      <c r="C1056" s="4" t="s">
        <v>22</v>
      </c>
      <c r="D1056" s="5" t="n">
        <v>54007</v>
      </c>
      <c r="E1056" s="6" t="n">
        <v>482.8</v>
      </c>
      <c r="F1056" s="7" t="n">
        <v>76</v>
      </c>
      <c r="G1056" s="6" t="n">
        <v>860.425924343803</v>
      </c>
      <c r="H1056" s="8" t="n">
        <v>1103636.62369849</v>
      </c>
      <c r="I1056" s="9" t="n">
        <v>6.66531115776553</v>
      </c>
      <c r="J1056" s="9" t="n">
        <v>14.262022193773</v>
      </c>
      <c r="K1056" s="3" t="s">
        <v>394</v>
      </c>
      <c r="L1056" s="3" t="s">
        <v>395</v>
      </c>
      <c r="M1056" s="7" t="n">
        <v>2022</v>
      </c>
    </row>
    <row r="1057" customFormat="false" ht="15" hidden="false" customHeight="false" outlineLevel="0" collapsed="false">
      <c r="A1057" s="3" t="n">
        <v>1399</v>
      </c>
      <c r="B1057" s="3" t="s">
        <v>393</v>
      </c>
      <c r="C1057" s="4" t="s">
        <v>23</v>
      </c>
      <c r="D1057" s="5" t="n">
        <v>54208</v>
      </c>
      <c r="E1057" s="6" t="n">
        <v>482.885504794124</v>
      </c>
      <c r="F1057" s="7" t="n">
        <v>77</v>
      </c>
      <c r="G1057" s="6" t="n">
        <v>918.937496800276</v>
      </c>
      <c r="H1057" s="8" t="n">
        <v>1095648.64706208</v>
      </c>
      <c r="I1057" s="9" t="n">
        <v>6.1354317509956</v>
      </c>
      <c r="J1057" s="9" t="n">
        <v>15.1754040536304</v>
      </c>
      <c r="K1057" s="3" t="s">
        <v>394</v>
      </c>
      <c r="L1057" s="3" t="s">
        <v>395</v>
      </c>
      <c r="M1057" s="7" t="n">
        <v>2023</v>
      </c>
    </row>
    <row r="1058" customFormat="false" ht="15" hidden="false" customHeight="false" outlineLevel="0" collapsed="false">
      <c r="A1058" s="3" t="n">
        <v>1400</v>
      </c>
      <c r="B1058" s="3" t="s">
        <v>393</v>
      </c>
      <c r="C1058" s="4" t="s">
        <v>24</v>
      </c>
      <c r="D1058" s="5" t="n">
        <v>54249</v>
      </c>
      <c r="E1058" s="6" t="n">
        <v>541.149861081439</v>
      </c>
      <c r="F1058" s="7" t="n">
        <v>76</v>
      </c>
      <c r="G1058" s="6" t="n">
        <v>1060.68510002495</v>
      </c>
      <c r="H1058" s="8" t="n">
        <v>1246543.32355237</v>
      </c>
      <c r="I1058" s="9" t="n">
        <v>6.54480371021282</v>
      </c>
      <c r="J1058" s="9" t="n">
        <v>17.4550430714703</v>
      </c>
      <c r="K1058" s="3" t="s">
        <v>394</v>
      </c>
      <c r="L1058" s="3" t="s">
        <v>395</v>
      </c>
      <c r="M1058" s="7" t="n">
        <v>2024</v>
      </c>
    </row>
    <row r="1059" customFormat="false" ht="15" hidden="false" customHeight="false" outlineLevel="0" collapsed="false">
      <c r="A1059" s="3" t="n">
        <v>1401</v>
      </c>
      <c r="B1059" s="3" t="s">
        <v>396</v>
      </c>
      <c r="C1059" s="4" t="s">
        <v>14</v>
      </c>
      <c r="D1059" s="5" t="n">
        <v>11006</v>
      </c>
      <c r="E1059" s="6" t="n">
        <v>171</v>
      </c>
      <c r="F1059" s="7" t="n">
        <v>68</v>
      </c>
      <c r="G1059" s="6" t="n">
        <v>414.562762626263</v>
      </c>
      <c r="H1059" s="8" t="n">
        <v>494822.113470708</v>
      </c>
      <c r="I1059" s="9" t="n">
        <v>5.79716241941083</v>
      </c>
      <c r="J1059" s="9" t="n">
        <v>33.6269110409342</v>
      </c>
      <c r="K1059" s="3" t="s">
        <v>397</v>
      </c>
      <c r="L1059" s="3" t="s">
        <v>398</v>
      </c>
      <c r="M1059" s="7" t="n">
        <v>2016</v>
      </c>
    </row>
    <row r="1060" customFormat="false" ht="15" hidden="false" customHeight="false" outlineLevel="0" collapsed="false">
      <c r="A1060" s="3" t="n">
        <v>1402</v>
      </c>
      <c r="B1060" s="3" t="s">
        <v>396</v>
      </c>
      <c r="C1060" s="4" t="s">
        <v>17</v>
      </c>
      <c r="D1060" s="5" t="n">
        <v>11290</v>
      </c>
      <c r="E1060" s="6" t="n">
        <v>171</v>
      </c>
      <c r="F1060" s="7" t="n">
        <v>66</v>
      </c>
      <c r="G1060" s="6" t="n">
        <v>521.626900242923</v>
      </c>
      <c r="H1060" s="8" t="n">
        <v>606130.458082276</v>
      </c>
      <c r="I1060" s="9" t="n">
        <v>7.64915873866909</v>
      </c>
      <c r="J1060" s="9" t="n">
        <v>41.3603030667655</v>
      </c>
      <c r="K1060" s="3" t="s">
        <v>397</v>
      </c>
      <c r="L1060" s="3" t="s">
        <v>398</v>
      </c>
      <c r="M1060" s="7" t="n">
        <v>2017</v>
      </c>
    </row>
    <row r="1061" customFormat="false" ht="15" hidden="false" customHeight="false" outlineLevel="0" collapsed="false">
      <c r="A1061" s="3" t="n">
        <v>1403</v>
      </c>
      <c r="B1061" s="3" t="s">
        <v>396</v>
      </c>
      <c r="C1061" s="4" t="s">
        <v>18</v>
      </c>
      <c r="D1061" s="5" t="n">
        <v>11127</v>
      </c>
      <c r="E1061" s="6" t="n">
        <v>171</v>
      </c>
      <c r="F1061" s="7" t="n">
        <v>67</v>
      </c>
      <c r="G1061" s="6" t="n">
        <v>187.236308443607</v>
      </c>
      <c r="H1061" s="8" t="n">
        <v>236247.284541806</v>
      </c>
      <c r="I1061" s="9" t="n">
        <v>4.43934862720093</v>
      </c>
      <c r="J1061" s="9" t="n">
        <v>15.0636305765151</v>
      </c>
      <c r="K1061" s="3" t="s">
        <v>397</v>
      </c>
      <c r="L1061" s="3" t="s">
        <v>398</v>
      </c>
      <c r="M1061" s="7" t="n">
        <v>2018</v>
      </c>
    </row>
    <row r="1062" customFormat="false" ht="15" hidden="false" customHeight="false" outlineLevel="0" collapsed="false">
      <c r="A1062" s="3" t="n">
        <v>1404</v>
      </c>
      <c r="B1062" s="3" t="s">
        <v>396</v>
      </c>
      <c r="C1062" s="4" t="s">
        <v>19</v>
      </c>
      <c r="D1062" s="5" t="n">
        <v>10913</v>
      </c>
      <c r="E1062" s="6" t="n">
        <v>171</v>
      </c>
      <c r="F1062" s="7" t="n">
        <v>69</v>
      </c>
      <c r="G1062" s="6" t="n">
        <v>94.7054475693231</v>
      </c>
      <c r="H1062" s="8" t="n">
        <v>120302.43593836</v>
      </c>
      <c r="I1062" s="9" t="n">
        <v>2.61878782860985</v>
      </c>
      <c r="J1062" s="9" t="n">
        <v>7.76870231287604</v>
      </c>
      <c r="K1062" s="3" t="s">
        <v>397</v>
      </c>
      <c r="L1062" s="3" t="s">
        <v>398</v>
      </c>
      <c r="M1062" s="7" t="n">
        <v>2019</v>
      </c>
    </row>
    <row r="1063" customFormat="false" ht="15" hidden="false" customHeight="false" outlineLevel="0" collapsed="false">
      <c r="A1063" s="3" t="n">
        <v>1405</v>
      </c>
      <c r="B1063" s="3" t="s">
        <v>396</v>
      </c>
      <c r="C1063" s="4" t="s">
        <v>20</v>
      </c>
      <c r="D1063" s="5" t="n">
        <v>10913</v>
      </c>
      <c r="E1063" s="6" t="n">
        <v>171</v>
      </c>
      <c r="F1063" s="7" t="n">
        <v>69</v>
      </c>
      <c r="G1063" s="6" t="n">
        <v>475.493805048493</v>
      </c>
      <c r="H1063" s="8" t="n">
        <v>645278.378017158</v>
      </c>
      <c r="I1063" s="9" t="n">
        <v>6.48253568442791</v>
      </c>
      <c r="J1063" s="9" t="n">
        <v>38.8979668257555</v>
      </c>
      <c r="K1063" s="3" t="s">
        <v>397</v>
      </c>
      <c r="L1063" s="3" t="s">
        <v>398</v>
      </c>
      <c r="M1063" s="7" t="n">
        <v>2020</v>
      </c>
    </row>
    <row r="1064" customFormat="false" ht="15" hidden="false" customHeight="false" outlineLevel="0" collapsed="false">
      <c r="A1064" s="3" t="n">
        <v>1406</v>
      </c>
      <c r="B1064" s="3" t="s">
        <v>396</v>
      </c>
      <c r="C1064" s="4" t="s">
        <v>21</v>
      </c>
      <c r="D1064" s="5" t="n">
        <v>10913</v>
      </c>
      <c r="E1064" s="6" t="n">
        <v>171</v>
      </c>
      <c r="F1064" s="7" t="n">
        <v>69</v>
      </c>
      <c r="G1064" s="6" t="n">
        <v>441.797850665857</v>
      </c>
      <c r="H1064" s="8" t="n">
        <v>613639.542660849</v>
      </c>
      <c r="I1064" s="9" t="n">
        <v>6.11985426673429</v>
      </c>
      <c r="J1064" s="9" t="n">
        <v>36.2407450931393</v>
      </c>
      <c r="K1064" s="3" t="s">
        <v>397</v>
      </c>
      <c r="L1064" s="3" t="s">
        <v>398</v>
      </c>
      <c r="M1064" s="7" t="n">
        <v>2021</v>
      </c>
    </row>
    <row r="1065" customFormat="false" ht="15" hidden="false" customHeight="false" outlineLevel="0" collapsed="false">
      <c r="A1065" s="3" t="n">
        <v>1407</v>
      </c>
      <c r="B1065" s="3" t="s">
        <v>396</v>
      </c>
      <c r="C1065" s="4" t="s">
        <v>22</v>
      </c>
      <c r="D1065" s="5" t="n">
        <v>10637</v>
      </c>
      <c r="E1065" s="6" t="n">
        <v>171</v>
      </c>
      <c r="F1065" s="7" t="n">
        <v>73</v>
      </c>
      <c r="G1065" s="6" t="n">
        <v>483.59894082477</v>
      </c>
      <c r="H1065" s="8" t="n">
        <v>700860.600979706</v>
      </c>
      <c r="I1065" s="9" t="n">
        <v>6.84485594494152</v>
      </c>
      <c r="J1065" s="9" t="n">
        <v>40.6990110372286</v>
      </c>
      <c r="K1065" s="3" t="s">
        <v>397</v>
      </c>
      <c r="L1065" s="3" t="s">
        <v>398</v>
      </c>
      <c r="M1065" s="7" t="n">
        <v>2022</v>
      </c>
    </row>
    <row r="1066" customFormat="false" ht="15" hidden="false" customHeight="false" outlineLevel="0" collapsed="false">
      <c r="A1066" s="3" t="n">
        <v>1408</v>
      </c>
      <c r="B1066" s="3" t="s">
        <v>396</v>
      </c>
      <c r="C1066" s="4" t="s">
        <v>23</v>
      </c>
      <c r="D1066" s="5" t="n">
        <v>10455</v>
      </c>
      <c r="E1066" s="6" t="n">
        <v>171.2</v>
      </c>
      <c r="F1066" s="7" t="n">
        <v>73</v>
      </c>
      <c r="G1066" s="6" t="n">
        <v>399.077986867192</v>
      </c>
      <c r="H1066" s="8" t="n">
        <v>572453.427481775</v>
      </c>
      <c r="I1066" s="9" t="n">
        <v>6.22778162423246</v>
      </c>
      <c r="J1066" s="9" t="n">
        <v>34.1705060144369</v>
      </c>
      <c r="K1066" s="3" t="s">
        <v>397</v>
      </c>
      <c r="L1066" s="3" t="s">
        <v>398</v>
      </c>
      <c r="M1066" s="7" t="n">
        <v>2023</v>
      </c>
    </row>
    <row r="1067" customFormat="false" ht="15" hidden="false" customHeight="false" outlineLevel="0" collapsed="false">
      <c r="A1067" s="3" t="n">
        <v>1409</v>
      </c>
      <c r="B1067" s="3" t="s">
        <v>396</v>
      </c>
      <c r="C1067" s="4" t="s">
        <v>24</v>
      </c>
      <c r="D1067" s="5" t="n">
        <v>10455</v>
      </c>
      <c r="E1067" s="6" t="n">
        <v>171.2</v>
      </c>
      <c r="F1067" s="7" t="n">
        <v>73</v>
      </c>
      <c r="G1067" s="6" t="n">
        <v>480.111697769301</v>
      </c>
      <c r="H1067" s="8" t="n">
        <v>697784.739303947</v>
      </c>
      <c r="I1067" s="9" t="n">
        <v>6.80292854069974</v>
      </c>
      <c r="J1067" s="9" t="n">
        <v>40.996279378635</v>
      </c>
      <c r="K1067" s="3" t="s">
        <v>397</v>
      </c>
      <c r="L1067" s="3" t="s">
        <v>398</v>
      </c>
      <c r="M1067" s="7" t="n">
        <v>2024</v>
      </c>
    </row>
    <row r="1068" customFormat="false" ht="15" hidden="false" customHeight="false" outlineLevel="0" collapsed="false">
      <c r="A1068" s="3" t="n">
        <v>1410</v>
      </c>
      <c r="B1068" s="3" t="s">
        <v>399</v>
      </c>
      <c r="C1068" s="4" t="s">
        <v>14</v>
      </c>
      <c r="D1068" s="5" t="n">
        <v>6278</v>
      </c>
      <c r="E1068" s="6" t="n">
        <v>60</v>
      </c>
      <c r="F1068" s="7" t="n">
        <v>66</v>
      </c>
      <c r="G1068" s="6" t="n">
        <v>170.934384898477</v>
      </c>
      <c r="H1068" s="8" t="n">
        <v>90106.3516553829</v>
      </c>
      <c r="I1068" s="9" t="n">
        <v>7.51444685444475</v>
      </c>
      <c r="J1068" s="9" t="n">
        <v>24.3071653801069</v>
      </c>
      <c r="K1068" s="3" t="s">
        <v>400</v>
      </c>
      <c r="L1068" s="3" t="s">
        <v>350</v>
      </c>
      <c r="M1068" s="7" t="n">
        <v>2016</v>
      </c>
    </row>
    <row r="1069" customFormat="false" ht="15" hidden="false" customHeight="false" outlineLevel="0" collapsed="false">
      <c r="A1069" s="3" t="n">
        <v>1411</v>
      </c>
      <c r="B1069" s="3" t="s">
        <v>399</v>
      </c>
      <c r="C1069" s="4" t="s">
        <v>17</v>
      </c>
      <c r="D1069" s="5" t="n">
        <v>6292</v>
      </c>
      <c r="E1069" s="6" t="n">
        <v>60.4</v>
      </c>
      <c r="F1069" s="7" t="n">
        <v>59</v>
      </c>
      <c r="G1069" s="6" t="n">
        <v>244.6546535533</v>
      </c>
      <c r="H1069" s="8" t="n">
        <v>38082.9433721066</v>
      </c>
      <c r="I1069" s="9" t="n">
        <v>9.68562696790348</v>
      </c>
      <c r="J1069" s="9" t="n">
        <v>34.8082701891624</v>
      </c>
      <c r="K1069" s="3" t="s">
        <v>400</v>
      </c>
      <c r="L1069" s="3" t="s">
        <v>350</v>
      </c>
      <c r="M1069" s="7" t="n">
        <v>2017</v>
      </c>
    </row>
    <row r="1070" customFormat="false" ht="15" hidden="false" customHeight="false" outlineLevel="0" collapsed="false">
      <c r="A1070" s="3" t="n">
        <v>1412</v>
      </c>
      <c r="B1070" s="3" t="s">
        <v>399</v>
      </c>
      <c r="C1070" s="4" t="s">
        <v>18</v>
      </c>
      <c r="D1070" s="5" t="n">
        <v>6308</v>
      </c>
      <c r="E1070" s="6" t="n">
        <v>60</v>
      </c>
      <c r="F1070" s="7" t="n">
        <v>62</v>
      </c>
      <c r="G1070" s="6" t="n">
        <v>139.561430612245</v>
      </c>
      <c r="H1070" s="8" t="n">
        <v>24472.0968578572</v>
      </c>
      <c r="I1070" s="9" t="n">
        <v>6.58715321282812</v>
      </c>
      <c r="J1070" s="9" t="n">
        <v>19.8057550008147</v>
      </c>
      <c r="K1070" s="3" t="s">
        <v>400</v>
      </c>
      <c r="L1070" s="3" t="s">
        <v>350</v>
      </c>
      <c r="M1070" s="7" t="n">
        <v>2018</v>
      </c>
    </row>
    <row r="1071" customFormat="false" ht="15" hidden="false" customHeight="false" outlineLevel="0" collapsed="false">
      <c r="A1071" s="3" t="n">
        <v>1413</v>
      </c>
      <c r="B1071" s="3" t="s">
        <v>399</v>
      </c>
      <c r="C1071" s="4" t="s">
        <v>19</v>
      </c>
      <c r="D1071" s="5" t="n">
        <v>6322</v>
      </c>
      <c r="E1071" s="6" t="n">
        <v>60</v>
      </c>
      <c r="F1071" s="7" t="n">
        <v>69</v>
      </c>
      <c r="G1071" s="6" t="n">
        <v>240.614441700715</v>
      </c>
      <c r="H1071" s="8" t="n">
        <v>144883.579925669</v>
      </c>
      <c r="I1071" s="9" t="n">
        <v>9.9421928870721</v>
      </c>
      <c r="J1071" s="9" t="n">
        <v>34.0709994240502</v>
      </c>
      <c r="K1071" s="3" t="s">
        <v>400</v>
      </c>
      <c r="L1071" s="3" t="s">
        <v>350</v>
      </c>
      <c r="M1071" s="7" t="n">
        <v>2019</v>
      </c>
    </row>
    <row r="1072" customFormat="false" ht="15" hidden="false" customHeight="false" outlineLevel="0" collapsed="false">
      <c r="A1072" s="3" t="n">
        <v>1414</v>
      </c>
      <c r="B1072" s="3" t="s">
        <v>399</v>
      </c>
      <c r="C1072" s="4" t="s">
        <v>20</v>
      </c>
      <c r="D1072" s="5" t="n">
        <v>6332</v>
      </c>
      <c r="E1072" s="6" t="n">
        <v>60</v>
      </c>
      <c r="F1072" s="7" t="n">
        <v>66</v>
      </c>
      <c r="G1072" s="6" t="n">
        <v>190.890614106138</v>
      </c>
      <c r="H1072" s="8" t="n">
        <v>140797.099152406</v>
      </c>
      <c r="I1072" s="9" t="n">
        <v>8.1819665847693</v>
      </c>
      <c r="J1072" s="9" t="n">
        <v>26.9134803421193</v>
      </c>
      <c r="K1072" s="3" t="s">
        <v>400</v>
      </c>
      <c r="L1072" s="3" t="s">
        <v>350</v>
      </c>
      <c r="M1072" s="7" t="n">
        <v>2020</v>
      </c>
    </row>
    <row r="1073" customFormat="false" ht="15" hidden="false" customHeight="false" outlineLevel="0" collapsed="false">
      <c r="A1073" s="3" t="n">
        <v>1415</v>
      </c>
      <c r="B1073" s="3" t="s">
        <v>399</v>
      </c>
      <c r="C1073" s="4" t="s">
        <v>21</v>
      </c>
      <c r="D1073" s="5" t="n">
        <v>6343</v>
      </c>
      <c r="E1073" s="6" t="n">
        <v>60</v>
      </c>
      <c r="F1073" s="7" t="n">
        <v>66</v>
      </c>
      <c r="G1073" s="6" t="n">
        <v>227.203649673914</v>
      </c>
      <c r="H1073" s="8" t="n">
        <v>202065.837873992</v>
      </c>
      <c r="I1073" s="9" t="n">
        <v>9.16931361560624</v>
      </c>
      <c r="J1073" s="9" t="n">
        <v>32.0655184697393</v>
      </c>
      <c r="K1073" s="3" t="s">
        <v>400</v>
      </c>
      <c r="L1073" s="3" t="s">
        <v>350</v>
      </c>
      <c r="M1073" s="7" t="n">
        <v>2021</v>
      </c>
    </row>
    <row r="1074" customFormat="false" ht="15" hidden="false" customHeight="false" outlineLevel="0" collapsed="false">
      <c r="A1074" s="3" t="n">
        <v>1416</v>
      </c>
      <c r="B1074" s="3" t="s">
        <v>399</v>
      </c>
      <c r="C1074" s="4" t="s">
        <v>22</v>
      </c>
      <c r="D1074" s="5" t="n">
        <v>6355</v>
      </c>
      <c r="E1074" s="6" t="n">
        <v>60</v>
      </c>
      <c r="F1074" s="7" t="n">
        <v>64</v>
      </c>
      <c r="G1074" s="6" t="n">
        <v>276.861168004623</v>
      </c>
      <c r="H1074" s="8" t="n">
        <v>229714.479705115</v>
      </c>
      <c r="I1074" s="9" t="n">
        <v>11.5562691700311</v>
      </c>
      <c r="J1074" s="9" t="n">
        <v>38.9999604254997</v>
      </c>
      <c r="K1074" s="3" t="s">
        <v>400</v>
      </c>
      <c r="L1074" s="3" t="s">
        <v>350</v>
      </c>
      <c r="M1074" s="7" t="n">
        <v>2022</v>
      </c>
    </row>
    <row r="1075" customFormat="false" ht="15" hidden="false" customHeight="false" outlineLevel="0" collapsed="false">
      <c r="A1075" s="3" t="n">
        <v>1417</v>
      </c>
      <c r="B1075" s="3" t="s">
        <v>399</v>
      </c>
      <c r="C1075" s="4" t="s">
        <v>23</v>
      </c>
      <c r="D1075" s="5" t="n">
        <v>6370</v>
      </c>
      <c r="E1075" s="6" t="n">
        <v>60</v>
      </c>
      <c r="F1075" s="7" t="n">
        <v>64</v>
      </c>
      <c r="G1075" s="6" t="n">
        <v>327.347385813594</v>
      </c>
      <c r="H1075" s="8" t="n">
        <v>289823.554977782</v>
      </c>
      <c r="I1075" s="9" t="n">
        <v>14.1913148215002</v>
      </c>
      <c r="J1075" s="9" t="n">
        <v>46.0031022024365</v>
      </c>
      <c r="K1075" s="3" t="s">
        <v>400</v>
      </c>
      <c r="L1075" s="3" t="s">
        <v>350</v>
      </c>
      <c r="M1075" s="7" t="n">
        <v>2023</v>
      </c>
    </row>
    <row r="1076" customFormat="false" ht="15" hidden="false" customHeight="false" outlineLevel="0" collapsed="false">
      <c r="A1076" s="3" t="n">
        <v>1418</v>
      </c>
      <c r="B1076" s="3" t="s">
        <v>401</v>
      </c>
      <c r="C1076" s="4" t="s">
        <v>14</v>
      </c>
      <c r="D1076" s="5" t="n">
        <v>28311</v>
      </c>
      <c r="E1076" s="6" t="n">
        <v>254.9</v>
      </c>
      <c r="F1076" s="7" t="n">
        <v>71</v>
      </c>
      <c r="G1076" s="6" t="n">
        <v>177.097974357683</v>
      </c>
      <c r="H1076" s="8" t="n">
        <v>199061.665137523</v>
      </c>
      <c r="I1076" s="9" t="n">
        <v>3.3641420606444</v>
      </c>
      <c r="J1076" s="9" t="n">
        <v>5.58450363138055</v>
      </c>
      <c r="K1076" s="3" t="s">
        <v>243</v>
      </c>
      <c r="L1076" s="3" t="s">
        <v>402</v>
      </c>
      <c r="M1076" s="7" t="n">
        <v>2016</v>
      </c>
    </row>
    <row r="1077" customFormat="false" ht="15" hidden="false" customHeight="false" outlineLevel="0" collapsed="false">
      <c r="A1077" s="3" t="n">
        <v>1420</v>
      </c>
      <c r="B1077" s="3" t="s">
        <v>401</v>
      </c>
      <c r="C1077" s="4" t="s">
        <v>18</v>
      </c>
      <c r="D1077" s="5" t="n">
        <v>4520</v>
      </c>
      <c r="E1077" s="6" t="n">
        <v>69.738446969697</v>
      </c>
      <c r="F1077" s="7" t="n">
        <v>68</v>
      </c>
      <c r="G1077" s="6" t="n">
        <v>-0.960034130982248</v>
      </c>
      <c r="H1077" s="8" t="n">
        <v>-719.737587997391</v>
      </c>
      <c r="I1077" s="9" t="n">
        <v>1.429527265241</v>
      </c>
      <c r="J1077" s="9" t="n">
        <v>-0.19013668288358</v>
      </c>
      <c r="K1077" s="3" t="s">
        <v>243</v>
      </c>
      <c r="L1077" s="3" t="s">
        <v>402</v>
      </c>
      <c r="M1077" s="7" t="n">
        <v>2018</v>
      </c>
    </row>
    <row r="1078" customFormat="false" ht="15" hidden="false" customHeight="false" outlineLevel="0" collapsed="false">
      <c r="A1078" s="3" t="n">
        <v>1421</v>
      </c>
      <c r="B1078" s="3" t="s">
        <v>401</v>
      </c>
      <c r="C1078" s="4" t="s">
        <v>19</v>
      </c>
      <c r="D1078" s="5" t="n">
        <v>4535</v>
      </c>
      <c r="E1078" s="6" t="n">
        <v>41</v>
      </c>
      <c r="F1078" s="7" t="n">
        <v>78</v>
      </c>
      <c r="G1078" s="6" t="n">
        <v>-7.60075065740299</v>
      </c>
      <c r="H1078" s="8" t="n">
        <v>-5089.61465521019</v>
      </c>
      <c r="I1078" s="9" t="n">
        <v>-0.371420567516424</v>
      </c>
      <c r="J1078" s="9" t="n">
        <v>-1.50036480758049</v>
      </c>
      <c r="K1078" s="3" t="s">
        <v>243</v>
      </c>
      <c r="L1078" s="3" t="s">
        <v>402</v>
      </c>
      <c r="M1078" s="7" t="n">
        <v>2019</v>
      </c>
    </row>
    <row r="1079" customFormat="false" ht="15" hidden="false" customHeight="false" outlineLevel="0" collapsed="false">
      <c r="A1079" s="3" t="n">
        <v>1422</v>
      </c>
      <c r="B1079" s="3" t="s">
        <v>401</v>
      </c>
      <c r="C1079" s="4" t="s">
        <v>20</v>
      </c>
      <c r="D1079" s="5" t="n">
        <v>4535</v>
      </c>
      <c r="E1079" s="6" t="n">
        <v>41</v>
      </c>
      <c r="F1079" s="7" t="n">
        <v>83</v>
      </c>
      <c r="G1079" s="6" t="n">
        <v>50.7610581752557</v>
      </c>
      <c r="H1079" s="8" t="n">
        <v>47850.4190994866</v>
      </c>
      <c r="I1079" s="9" t="n">
        <v>3.97985478139967</v>
      </c>
      <c r="J1079" s="9" t="n">
        <v>9.99262452913579</v>
      </c>
      <c r="K1079" s="3" t="s">
        <v>243</v>
      </c>
      <c r="L1079" s="3" t="s">
        <v>402</v>
      </c>
      <c r="M1079" s="7" t="n">
        <v>2020</v>
      </c>
    </row>
    <row r="1080" customFormat="false" ht="15" hidden="false" customHeight="false" outlineLevel="0" collapsed="false">
      <c r="A1080" s="3" t="n">
        <v>1423</v>
      </c>
      <c r="B1080" s="3" t="s">
        <v>401</v>
      </c>
      <c r="C1080" s="4" t="s">
        <v>21</v>
      </c>
      <c r="D1080" s="5" t="n">
        <v>4505</v>
      </c>
      <c r="E1080" s="6" t="n">
        <v>41</v>
      </c>
      <c r="F1080" s="7" t="n">
        <v>82</v>
      </c>
      <c r="G1080" s="6" t="n">
        <v>12.7743411503713</v>
      </c>
      <c r="H1080" s="8" t="n">
        <v>12917.286027844</v>
      </c>
      <c r="I1080" s="9" t="n">
        <v>1.68845487478343</v>
      </c>
      <c r="J1080" s="9" t="n">
        <v>2.53840777535927</v>
      </c>
      <c r="K1080" s="3" t="s">
        <v>243</v>
      </c>
      <c r="L1080" s="3" t="s">
        <v>402</v>
      </c>
      <c r="M1080" s="7" t="n">
        <v>2021</v>
      </c>
    </row>
    <row r="1081" customFormat="false" ht="15" hidden="false" customHeight="false" outlineLevel="0" collapsed="false">
      <c r="A1081" s="3" t="n">
        <v>1424</v>
      </c>
      <c r="B1081" s="3" t="s">
        <v>401</v>
      </c>
      <c r="C1081" s="4" t="s">
        <v>22</v>
      </c>
      <c r="D1081" s="5" t="n">
        <v>4508</v>
      </c>
      <c r="E1081" s="6" t="n">
        <v>41</v>
      </c>
      <c r="F1081" s="7" t="n">
        <v>76</v>
      </c>
      <c r="G1081" s="6" t="n">
        <v>22.9121971652278</v>
      </c>
      <c r="H1081" s="8" t="n">
        <v>24146.0189825753</v>
      </c>
      <c r="I1081" s="9" t="n">
        <v>2.64314453729495</v>
      </c>
      <c r="J1081" s="9" t="n">
        <v>4.54988589180081</v>
      </c>
      <c r="K1081" s="3" t="s">
        <v>243</v>
      </c>
      <c r="L1081" s="3" t="s">
        <v>402</v>
      </c>
      <c r="M1081" s="7" t="n">
        <v>2022</v>
      </c>
    </row>
    <row r="1082" customFormat="false" ht="15" hidden="false" customHeight="false" outlineLevel="0" collapsed="false">
      <c r="A1082" s="3" t="n">
        <v>1425</v>
      </c>
      <c r="B1082" s="3" t="s">
        <v>401</v>
      </c>
      <c r="C1082" s="4" t="s">
        <v>23</v>
      </c>
      <c r="D1082" s="5" t="n">
        <v>4456</v>
      </c>
      <c r="E1082" s="6" t="n">
        <v>41.17</v>
      </c>
      <c r="F1082" s="7" t="n">
        <v>76</v>
      </c>
      <c r="G1082" s="6" t="n">
        <v>25.4923726008835</v>
      </c>
      <c r="H1082" s="8" t="n">
        <v>27560.0589425411</v>
      </c>
      <c r="I1082" s="9" t="n">
        <v>2.87777816545131</v>
      </c>
      <c r="J1082" s="9" t="n">
        <v>5.12132986784733</v>
      </c>
      <c r="K1082" s="3" t="s">
        <v>243</v>
      </c>
      <c r="L1082" s="3" t="s">
        <v>402</v>
      </c>
      <c r="M1082" s="7" t="n">
        <v>2023</v>
      </c>
    </row>
    <row r="1083" customFormat="false" ht="15" hidden="false" customHeight="false" outlineLevel="0" collapsed="false">
      <c r="A1083" s="3" t="n">
        <v>1426</v>
      </c>
      <c r="B1083" s="3" t="s">
        <v>401</v>
      </c>
      <c r="C1083" s="4" t="s">
        <v>24</v>
      </c>
      <c r="D1083" s="5" t="n">
        <v>4464</v>
      </c>
      <c r="E1083" s="6" t="n">
        <v>40.83</v>
      </c>
      <c r="F1083" s="7" t="n">
        <v>79</v>
      </c>
      <c r="G1083" s="6" t="n">
        <v>37.9461148112828</v>
      </c>
      <c r="H1083" s="8" t="n">
        <v>42947.0332822618</v>
      </c>
      <c r="I1083" s="9" t="n">
        <v>3.65397998689215</v>
      </c>
      <c r="J1083" s="9" t="n">
        <v>7.58873389390393</v>
      </c>
      <c r="K1083" s="3" t="s">
        <v>243</v>
      </c>
      <c r="L1083" s="3" t="s">
        <v>402</v>
      </c>
      <c r="M1083" s="7" t="n">
        <v>2024</v>
      </c>
    </row>
    <row r="1084" customFormat="false" ht="15" hidden="false" customHeight="false" outlineLevel="0" collapsed="false">
      <c r="A1084" s="3" t="n">
        <v>1427</v>
      </c>
      <c r="B1084" s="3" t="s">
        <v>403</v>
      </c>
      <c r="C1084" s="4" t="s">
        <v>17</v>
      </c>
      <c r="D1084" s="5" t="n">
        <v>3657</v>
      </c>
      <c r="E1084" s="6" t="n">
        <v>53</v>
      </c>
      <c r="F1084" s="7" t="n">
        <v>64</v>
      </c>
      <c r="G1084" s="6" t="n">
        <v>97.4440103092784</v>
      </c>
      <c r="H1084" s="8" t="n">
        <v>204168.198384371</v>
      </c>
      <c r="I1084" s="9" t="n">
        <v>6.05242451009335</v>
      </c>
      <c r="J1084" s="9" t="n">
        <v>23.8532666565165</v>
      </c>
      <c r="K1084" s="3" t="s">
        <v>404</v>
      </c>
      <c r="L1084" s="3" t="s">
        <v>405</v>
      </c>
      <c r="M1084" s="7" t="n">
        <v>2017</v>
      </c>
    </row>
    <row r="1085" customFormat="false" ht="15" hidden="false" customHeight="false" outlineLevel="0" collapsed="false">
      <c r="A1085" s="3" t="n">
        <v>1428</v>
      </c>
      <c r="B1085" s="3" t="s">
        <v>403</v>
      </c>
      <c r="C1085" s="4" t="s">
        <v>18</v>
      </c>
      <c r="D1085" s="5" t="n">
        <v>3657</v>
      </c>
      <c r="E1085" s="6" t="n">
        <v>57</v>
      </c>
      <c r="F1085" s="7" t="n">
        <v>66</v>
      </c>
      <c r="G1085" s="6" t="n">
        <v>12.4022916666663</v>
      </c>
      <c r="H1085" s="8" t="n">
        <v>25985.7279824993</v>
      </c>
      <c r="I1085" s="9" t="n">
        <v>4.60183003156516</v>
      </c>
      <c r="J1085" s="9" t="n">
        <v>3.0359502789133</v>
      </c>
      <c r="K1085" s="3" t="s">
        <v>404</v>
      </c>
      <c r="L1085" s="3" t="s">
        <v>405</v>
      </c>
      <c r="M1085" s="7" t="n">
        <v>2018</v>
      </c>
    </row>
    <row r="1086" customFormat="false" ht="15" hidden="false" customHeight="false" outlineLevel="0" collapsed="false">
      <c r="A1086" s="3" t="n">
        <v>1429</v>
      </c>
      <c r="B1086" s="3" t="s">
        <v>403</v>
      </c>
      <c r="C1086" s="4" t="s">
        <v>19</v>
      </c>
      <c r="D1086" s="5" t="n">
        <v>3657</v>
      </c>
      <c r="E1086" s="6" t="n">
        <v>57</v>
      </c>
      <c r="F1086" s="7" t="n">
        <v>70</v>
      </c>
      <c r="G1086" s="6" t="n">
        <v>15.0677435897437</v>
      </c>
      <c r="H1086" s="8" t="n">
        <v>30651.5875329233</v>
      </c>
      <c r="I1086" s="9" t="n">
        <v>3.24492637338872</v>
      </c>
      <c r="J1086" s="9" t="n">
        <v>3.68842481561898</v>
      </c>
      <c r="K1086" s="3" t="s">
        <v>404</v>
      </c>
      <c r="L1086" s="3" t="s">
        <v>405</v>
      </c>
      <c r="M1086" s="7" t="n">
        <v>2019</v>
      </c>
    </row>
    <row r="1087" customFormat="false" ht="15" hidden="false" customHeight="false" outlineLevel="0" collapsed="false">
      <c r="A1087" s="3" t="n">
        <v>1430</v>
      </c>
      <c r="B1087" s="3" t="s">
        <v>403</v>
      </c>
      <c r="C1087" s="4" t="s">
        <v>20</v>
      </c>
      <c r="D1087" s="5" t="n">
        <v>3657</v>
      </c>
      <c r="E1087" s="6" t="n">
        <v>57</v>
      </c>
      <c r="F1087" s="7" t="n">
        <v>65</v>
      </c>
      <c r="G1087" s="6" t="n">
        <v>126.318667142858</v>
      </c>
      <c r="H1087" s="8" t="n">
        <v>245959.118991207</v>
      </c>
      <c r="I1087" s="9" t="n">
        <v>5.88343065466228</v>
      </c>
      <c r="J1087" s="9" t="n">
        <v>30.836761929396</v>
      </c>
      <c r="K1087" s="3" t="s">
        <v>404</v>
      </c>
      <c r="L1087" s="3" t="s">
        <v>405</v>
      </c>
      <c r="M1087" s="7" t="n">
        <v>2020</v>
      </c>
    </row>
    <row r="1088" customFormat="false" ht="15" hidden="false" customHeight="false" outlineLevel="0" collapsed="false">
      <c r="A1088" s="3" t="n">
        <v>1431</v>
      </c>
      <c r="B1088" s="3" t="s">
        <v>403</v>
      </c>
      <c r="C1088" s="4" t="s">
        <v>21</v>
      </c>
      <c r="D1088" s="5" t="n">
        <v>3657</v>
      </c>
      <c r="E1088" s="6" t="n">
        <v>57</v>
      </c>
      <c r="F1088" s="7" t="n">
        <v>65</v>
      </c>
      <c r="G1088" s="6" t="n">
        <v>133.278949132654</v>
      </c>
      <c r="H1088" s="8" t="n">
        <v>260672.832987406</v>
      </c>
      <c r="I1088" s="9" t="n">
        <v>6.11950454166463</v>
      </c>
      <c r="J1088" s="9" t="n">
        <v>32.6252819775295</v>
      </c>
      <c r="K1088" s="3" t="s">
        <v>404</v>
      </c>
      <c r="L1088" s="3" t="s">
        <v>405</v>
      </c>
      <c r="M1088" s="7" t="n">
        <v>2021</v>
      </c>
    </row>
    <row r="1089" customFormat="false" ht="15" hidden="false" customHeight="false" outlineLevel="0" collapsed="false">
      <c r="A1089" s="3" t="n">
        <v>1432</v>
      </c>
      <c r="B1089" s="3" t="s">
        <v>403</v>
      </c>
      <c r="C1089" s="4" t="s">
        <v>22</v>
      </c>
      <c r="D1089" s="5" t="n">
        <v>3611</v>
      </c>
      <c r="E1089" s="6" t="n">
        <v>57</v>
      </c>
      <c r="F1089" s="7" t="n">
        <v>61</v>
      </c>
      <c r="G1089" s="6" t="n">
        <v>105.206909358974</v>
      </c>
      <c r="H1089" s="8" t="n">
        <v>165206.409766397</v>
      </c>
      <c r="I1089" s="9" t="n">
        <v>6.19822468072966</v>
      </c>
      <c r="J1089" s="9" t="n">
        <v>26.0816131277226</v>
      </c>
      <c r="K1089" s="3" t="s">
        <v>404</v>
      </c>
      <c r="L1089" s="3" t="s">
        <v>405</v>
      </c>
      <c r="M1089" s="7" t="n">
        <v>2022</v>
      </c>
    </row>
    <row r="1090" customFormat="false" ht="15" hidden="false" customHeight="false" outlineLevel="0" collapsed="false">
      <c r="A1090" s="3" t="n">
        <v>1433</v>
      </c>
      <c r="B1090" s="3" t="s">
        <v>403</v>
      </c>
      <c r="C1090" s="4" t="s">
        <v>23</v>
      </c>
      <c r="D1090" s="5" t="n">
        <v>3610</v>
      </c>
      <c r="E1090" s="6" t="n">
        <v>57</v>
      </c>
      <c r="F1090" s="7" t="n">
        <v>61</v>
      </c>
      <c r="G1090" s="6" t="n">
        <v>78.1590072493577</v>
      </c>
      <c r="H1090" s="8" t="n">
        <v>129792.410618428</v>
      </c>
      <c r="I1090" s="9" t="n">
        <v>6.09803508895008</v>
      </c>
      <c r="J1090" s="9" t="n">
        <v>19.3815946784044</v>
      </c>
      <c r="K1090" s="3" t="s">
        <v>404</v>
      </c>
      <c r="L1090" s="3" t="s">
        <v>405</v>
      </c>
      <c r="M1090" s="7" t="n">
        <v>2023</v>
      </c>
    </row>
    <row r="1091" customFormat="false" ht="15" hidden="false" customHeight="false" outlineLevel="0" collapsed="false">
      <c r="A1091" s="3" t="n">
        <v>1434</v>
      </c>
      <c r="B1091" s="3" t="s">
        <v>403</v>
      </c>
      <c r="C1091" s="4" t="s">
        <v>24</v>
      </c>
      <c r="D1091" s="5" t="n">
        <v>3610</v>
      </c>
      <c r="E1091" s="6" t="n">
        <v>57</v>
      </c>
      <c r="F1091" s="7" t="n">
        <v>61</v>
      </c>
      <c r="G1091" s="6" t="n">
        <v>72.8290408762885</v>
      </c>
      <c r="H1091" s="8" t="n">
        <v>137350.473059819</v>
      </c>
      <c r="I1091" s="9" t="n">
        <v>5.88882544433068</v>
      </c>
      <c r="J1091" s="9" t="n">
        <v>18.0104092881869</v>
      </c>
      <c r="K1091" s="3" t="s">
        <v>404</v>
      </c>
      <c r="L1091" s="3" t="s">
        <v>405</v>
      </c>
      <c r="M1091" s="7" t="n">
        <v>2024</v>
      </c>
    </row>
    <row r="1092" customFormat="false" ht="15" hidden="false" customHeight="false" outlineLevel="0" collapsed="false">
      <c r="A1092" s="3" t="n">
        <v>1444</v>
      </c>
      <c r="B1092" s="3" t="s">
        <v>406</v>
      </c>
      <c r="C1092" s="4" t="s">
        <v>41</v>
      </c>
      <c r="D1092" s="5" t="n">
        <v>11505</v>
      </c>
      <c r="E1092" s="6" t="n">
        <v>143</v>
      </c>
      <c r="F1092" s="7" t="n">
        <v>67</v>
      </c>
      <c r="G1092" s="6" t="n">
        <v>165.801627681542</v>
      </c>
      <c r="H1092" s="8" t="n">
        <v>288224.575512762</v>
      </c>
      <c r="I1092" s="9" t="n">
        <v>6.59346937417626</v>
      </c>
      <c r="J1092" s="9" t="n">
        <v>12.9008950197616</v>
      </c>
      <c r="K1092" s="3" t="s">
        <v>407</v>
      </c>
      <c r="L1092" s="3" t="s">
        <v>336</v>
      </c>
      <c r="M1092" s="7" t="n">
        <v>2016</v>
      </c>
    </row>
    <row r="1093" customFormat="false" ht="15" hidden="false" customHeight="false" outlineLevel="0" collapsed="false">
      <c r="A1093" s="3" t="n">
        <v>1445</v>
      </c>
      <c r="B1093" s="3" t="s">
        <v>406</v>
      </c>
      <c r="C1093" s="4" t="s">
        <v>42</v>
      </c>
      <c r="D1093" s="5" t="n">
        <v>11516</v>
      </c>
      <c r="E1093" s="6" t="n">
        <v>143</v>
      </c>
      <c r="F1093" s="7" t="n">
        <v>59</v>
      </c>
      <c r="G1093" s="6" t="n">
        <v>258.212995883838</v>
      </c>
      <c r="H1093" s="8" t="n">
        <v>111971.483535068</v>
      </c>
      <c r="I1093" s="9" t="n">
        <v>6.22341432368893</v>
      </c>
      <c r="J1093" s="9" t="n">
        <v>20.072160215158</v>
      </c>
      <c r="K1093" s="3" t="s">
        <v>407</v>
      </c>
      <c r="L1093" s="3" t="s">
        <v>336</v>
      </c>
      <c r="M1093" s="7" t="n">
        <v>2017</v>
      </c>
    </row>
    <row r="1094" customFormat="false" ht="15" hidden="false" customHeight="false" outlineLevel="0" collapsed="false">
      <c r="A1094" s="3" t="n">
        <v>1446</v>
      </c>
      <c r="B1094" s="3" t="s">
        <v>406</v>
      </c>
      <c r="C1094" s="4" t="s">
        <v>43</v>
      </c>
      <c r="D1094" s="5" t="n">
        <v>11517</v>
      </c>
      <c r="E1094" s="6" t="n">
        <v>143</v>
      </c>
      <c r="F1094" s="7" t="n">
        <v>67</v>
      </c>
      <c r="G1094" s="6" t="n">
        <v>5.40493536523444</v>
      </c>
      <c r="H1094" s="8" t="n">
        <v>2720.03372255423</v>
      </c>
      <c r="I1094" s="9" t="n">
        <v>1.63180100302757</v>
      </c>
      <c r="J1094" s="9" t="n">
        <v>0.420115603998916</v>
      </c>
      <c r="K1094" s="3" t="s">
        <v>407</v>
      </c>
      <c r="L1094" s="3" t="s">
        <v>336</v>
      </c>
      <c r="M1094" s="7" t="n">
        <v>2018</v>
      </c>
    </row>
    <row r="1095" customFormat="false" ht="15" hidden="false" customHeight="false" outlineLevel="0" collapsed="false">
      <c r="A1095" s="3" t="n">
        <v>1447</v>
      </c>
      <c r="B1095" s="3" t="s">
        <v>406</v>
      </c>
      <c r="C1095" s="4" t="s">
        <v>44</v>
      </c>
      <c r="D1095" s="5" t="n">
        <v>12066</v>
      </c>
      <c r="E1095" s="6" t="n">
        <v>143</v>
      </c>
      <c r="F1095" s="7" t="n">
        <v>71</v>
      </c>
      <c r="G1095" s="6" t="n">
        <v>341.648844411284</v>
      </c>
      <c r="H1095" s="8" t="n">
        <v>665805.26798871</v>
      </c>
      <c r="I1095" s="9" t="n">
        <v>8.17209293176727</v>
      </c>
      <c r="J1095" s="9" t="n">
        <v>25.278006943605</v>
      </c>
      <c r="K1095" s="3" t="s">
        <v>407</v>
      </c>
      <c r="L1095" s="3" t="s">
        <v>336</v>
      </c>
      <c r="M1095" s="7" t="n">
        <v>2019</v>
      </c>
    </row>
    <row r="1096" customFormat="false" ht="15" hidden="false" customHeight="false" outlineLevel="0" collapsed="false">
      <c r="A1096" s="3" t="n">
        <v>1448</v>
      </c>
      <c r="B1096" s="3" t="s">
        <v>406</v>
      </c>
      <c r="C1096" s="4" t="s">
        <v>45</v>
      </c>
      <c r="D1096" s="5" t="n">
        <v>11856</v>
      </c>
      <c r="E1096" s="6" t="n">
        <v>155.4</v>
      </c>
      <c r="F1096" s="7" t="n">
        <v>70</v>
      </c>
      <c r="G1096" s="6" t="n">
        <v>68.3365519029062</v>
      </c>
      <c r="H1096" s="8" t="n">
        <v>129447.196807599</v>
      </c>
      <c r="I1096" s="9" t="n">
        <v>4.15918501839193</v>
      </c>
      <c r="J1096" s="9" t="n">
        <v>5.15979616527309</v>
      </c>
      <c r="K1096" s="3" t="s">
        <v>407</v>
      </c>
      <c r="L1096" s="3" t="s">
        <v>336</v>
      </c>
      <c r="M1096" s="7" t="n">
        <v>2020</v>
      </c>
    </row>
    <row r="1097" customFormat="false" ht="15" hidden="false" customHeight="false" outlineLevel="0" collapsed="false">
      <c r="A1097" s="3" t="n">
        <v>1449</v>
      </c>
      <c r="B1097" s="3" t="s">
        <v>406</v>
      </c>
      <c r="C1097" s="4" t="s">
        <v>46</v>
      </c>
      <c r="D1097" s="5" t="n">
        <v>12143</v>
      </c>
      <c r="E1097" s="6" t="n">
        <v>155</v>
      </c>
      <c r="F1097" s="7" t="n">
        <v>70</v>
      </c>
      <c r="G1097" s="6" t="n">
        <v>22.7445601087129</v>
      </c>
      <c r="H1097" s="8" t="n">
        <v>43014.0571863957</v>
      </c>
      <c r="I1097" s="9" t="n">
        <v>3.70108081237271</v>
      </c>
      <c r="J1097" s="9" t="n">
        <v>1.67675349882404</v>
      </c>
      <c r="K1097" s="3" t="s">
        <v>407</v>
      </c>
      <c r="L1097" s="3" t="s">
        <v>336</v>
      </c>
      <c r="M1097" s="7" t="n">
        <v>2021</v>
      </c>
    </row>
    <row r="1098" customFormat="false" ht="15" hidden="false" customHeight="false" outlineLevel="0" collapsed="false">
      <c r="A1098" s="3" t="n">
        <v>1450</v>
      </c>
      <c r="B1098" s="3" t="s">
        <v>406</v>
      </c>
      <c r="C1098" s="4" t="s">
        <v>47</v>
      </c>
      <c r="D1098" s="5" t="n">
        <v>12170</v>
      </c>
      <c r="E1098" s="6" t="n">
        <v>155.38</v>
      </c>
      <c r="F1098" s="7" t="n">
        <v>70</v>
      </c>
      <c r="G1098" s="6" t="n">
        <v>239.166575170331</v>
      </c>
      <c r="H1098" s="8" t="n">
        <v>577254.837496863</v>
      </c>
      <c r="I1098" s="9" t="n">
        <v>7.09236877909117</v>
      </c>
      <c r="J1098" s="9" t="n">
        <v>17.5925008546118</v>
      </c>
      <c r="K1098" s="3" t="s">
        <v>407</v>
      </c>
      <c r="L1098" s="3" t="s">
        <v>336</v>
      </c>
      <c r="M1098" s="7" t="n">
        <v>2022</v>
      </c>
    </row>
    <row r="1099" customFormat="false" ht="15" hidden="false" customHeight="false" outlineLevel="0" collapsed="false">
      <c r="A1099" s="3" t="n">
        <v>1451</v>
      </c>
      <c r="B1099" s="3" t="s">
        <v>406</v>
      </c>
      <c r="C1099" s="4" t="s">
        <v>48</v>
      </c>
      <c r="D1099" s="5" t="n">
        <v>12218</v>
      </c>
      <c r="E1099" s="6" t="n">
        <v>155.4</v>
      </c>
      <c r="F1099" s="7" t="n">
        <v>70</v>
      </c>
      <c r="G1099" s="6" t="n">
        <v>30.3741480131601</v>
      </c>
      <c r="H1099" s="8" t="n">
        <v>9798.70014904545</v>
      </c>
      <c r="I1099" s="9" t="n">
        <v>4.39666681520969</v>
      </c>
      <c r="J1099" s="9" t="n">
        <v>2.21937238438599</v>
      </c>
      <c r="K1099" s="3" t="s">
        <v>407</v>
      </c>
      <c r="L1099" s="3" t="s">
        <v>336</v>
      </c>
      <c r="M1099" s="7" t="n">
        <v>2023</v>
      </c>
    </row>
    <row r="1100" customFormat="false" ht="15" hidden="false" customHeight="false" outlineLevel="0" collapsed="false">
      <c r="A1100" s="3" t="n">
        <v>1452</v>
      </c>
      <c r="B1100" s="3" t="s">
        <v>406</v>
      </c>
      <c r="C1100" s="4" t="s">
        <v>49</v>
      </c>
      <c r="D1100" s="5" t="n">
        <v>12244</v>
      </c>
      <c r="E1100" s="6" t="n">
        <v>155.4</v>
      </c>
      <c r="F1100" s="7" t="n">
        <v>72</v>
      </c>
      <c r="G1100" s="6" t="n">
        <v>292.111835706281</v>
      </c>
      <c r="H1100" s="8" t="n">
        <v>114940.165113708</v>
      </c>
      <c r="I1100" s="9" t="n">
        <v>7.87996520749092</v>
      </c>
      <c r="J1100" s="9" t="n">
        <v>21.3571603083294</v>
      </c>
      <c r="K1100" s="3" t="s">
        <v>407</v>
      </c>
      <c r="L1100" s="3" t="s">
        <v>336</v>
      </c>
      <c r="M1100" s="7" t="n">
        <v>2024</v>
      </c>
    </row>
    <row r="1101" customFormat="false" ht="15" hidden="false" customHeight="false" outlineLevel="0" collapsed="false">
      <c r="A1101" s="3" t="n">
        <v>1453</v>
      </c>
      <c r="B1101" s="3" t="s">
        <v>408</v>
      </c>
      <c r="C1101" s="4" t="s">
        <v>14</v>
      </c>
      <c r="D1101" s="5" t="n">
        <v>33551</v>
      </c>
      <c r="E1101" s="6" t="n">
        <v>373.21</v>
      </c>
      <c r="F1101" s="7" t="n">
        <v>50</v>
      </c>
      <c r="G1101" s="6" t="n">
        <v>1006.0592277941</v>
      </c>
      <c r="H1101" s="8" t="n">
        <v>430238.804878447</v>
      </c>
      <c r="I1101" s="9" t="n">
        <v>7.96051786905806</v>
      </c>
      <c r="J1101" s="9" t="n">
        <v>26.769747420789</v>
      </c>
      <c r="K1101" s="3" t="s">
        <v>294</v>
      </c>
      <c r="L1101" s="3" t="s">
        <v>409</v>
      </c>
      <c r="M1101" s="7" t="n">
        <v>2016</v>
      </c>
    </row>
    <row r="1102" customFormat="false" ht="15" hidden="false" customHeight="false" outlineLevel="0" collapsed="false">
      <c r="A1102" s="3" t="n">
        <v>1454</v>
      </c>
      <c r="B1102" s="3" t="s">
        <v>408</v>
      </c>
      <c r="C1102" s="4" t="s">
        <v>17</v>
      </c>
      <c r="D1102" s="5" t="n">
        <v>34010</v>
      </c>
      <c r="E1102" s="6" t="n">
        <v>382.89</v>
      </c>
      <c r="F1102" s="7" t="n">
        <v>75</v>
      </c>
      <c r="G1102" s="6" t="n">
        <v>947.15842123797</v>
      </c>
      <c r="H1102" s="8" t="n">
        <v>468929.05993734</v>
      </c>
      <c r="I1102" s="9" t="n">
        <v>8.46170882990635</v>
      </c>
      <c r="J1102" s="9" t="n">
        <v>24.9306537765891</v>
      </c>
      <c r="K1102" s="3" t="s">
        <v>294</v>
      </c>
      <c r="L1102" s="3" t="s">
        <v>409</v>
      </c>
      <c r="M1102" s="7" t="n">
        <v>2017</v>
      </c>
    </row>
    <row r="1103" customFormat="false" ht="15" hidden="false" customHeight="false" outlineLevel="0" collapsed="false">
      <c r="A1103" s="3" t="n">
        <v>1455</v>
      </c>
      <c r="B1103" s="3" t="s">
        <v>408</v>
      </c>
      <c r="C1103" s="4" t="s">
        <v>18</v>
      </c>
      <c r="D1103" s="5" t="n">
        <v>34063</v>
      </c>
      <c r="E1103" s="6" t="n">
        <v>373.9</v>
      </c>
      <c r="F1103" s="7" t="n">
        <v>77</v>
      </c>
      <c r="G1103" s="6" t="n">
        <v>632.353155845899</v>
      </c>
      <c r="H1103" s="8" t="n">
        <v>310528.783178805</v>
      </c>
      <c r="I1103" s="9" t="n">
        <v>6.76600426306258</v>
      </c>
      <c r="J1103" s="9" t="n">
        <v>16.6186013590156</v>
      </c>
      <c r="K1103" s="3" t="s">
        <v>294</v>
      </c>
      <c r="L1103" s="3" t="s">
        <v>409</v>
      </c>
      <c r="M1103" s="7" t="n">
        <v>2018</v>
      </c>
    </row>
    <row r="1104" customFormat="false" ht="15" hidden="false" customHeight="false" outlineLevel="0" collapsed="false">
      <c r="A1104" s="3" t="n">
        <v>1456</v>
      </c>
      <c r="B1104" s="3" t="s">
        <v>408</v>
      </c>
      <c r="C1104" s="4" t="s">
        <v>19</v>
      </c>
      <c r="D1104" s="5" t="n">
        <v>34094</v>
      </c>
      <c r="E1104" s="6" t="n">
        <v>374.3</v>
      </c>
      <c r="F1104" s="7" t="n">
        <v>81</v>
      </c>
      <c r="G1104" s="6" t="n">
        <v>911.582034466741</v>
      </c>
      <c r="H1104" s="8" t="n">
        <v>223292.462787733</v>
      </c>
      <c r="I1104" s="9" t="n">
        <v>7.54647506686323</v>
      </c>
      <c r="J1104" s="9" t="n">
        <v>23.9351126131102</v>
      </c>
      <c r="K1104" s="3" t="s">
        <v>294</v>
      </c>
      <c r="L1104" s="3" t="s">
        <v>409</v>
      </c>
      <c r="M1104" s="7" t="n">
        <v>2019</v>
      </c>
    </row>
    <row r="1105" customFormat="false" ht="15" hidden="false" customHeight="false" outlineLevel="0" collapsed="false">
      <c r="A1105" s="3" t="n">
        <v>1457</v>
      </c>
      <c r="B1105" s="3" t="s">
        <v>408</v>
      </c>
      <c r="C1105" s="4" t="s">
        <v>20</v>
      </c>
      <c r="D1105" s="5" t="n">
        <v>35788</v>
      </c>
      <c r="E1105" s="6" t="n">
        <v>373.7</v>
      </c>
      <c r="F1105" s="7" t="n">
        <v>79</v>
      </c>
      <c r="G1105" s="6" t="n">
        <v>1508.67707103476</v>
      </c>
      <c r="H1105" s="8" t="n">
        <v>687429.575000194</v>
      </c>
      <c r="I1105" s="9" t="n">
        <v>10.8447479975259</v>
      </c>
      <c r="J1105" s="9" t="n">
        <v>37.6344050637428</v>
      </c>
      <c r="K1105" s="3" t="s">
        <v>294</v>
      </c>
      <c r="L1105" s="3" t="s">
        <v>409</v>
      </c>
      <c r="M1105" s="7" t="n">
        <v>2020</v>
      </c>
    </row>
    <row r="1106" customFormat="false" ht="15" hidden="false" customHeight="false" outlineLevel="0" collapsed="false">
      <c r="A1106" s="3" t="n">
        <v>1458</v>
      </c>
      <c r="B1106" s="3" t="s">
        <v>408</v>
      </c>
      <c r="C1106" s="4" t="s">
        <v>21</v>
      </c>
      <c r="D1106" s="5" t="n">
        <v>18364</v>
      </c>
      <c r="E1106" s="6" t="n">
        <v>210.02</v>
      </c>
      <c r="F1106" s="7" t="n">
        <v>77</v>
      </c>
      <c r="G1106" s="6" t="n">
        <v>394.477812463537</v>
      </c>
      <c r="H1106" s="8" t="n">
        <v>223708.254597666</v>
      </c>
      <c r="I1106" s="9" t="n">
        <v>7.33516175255976</v>
      </c>
      <c r="J1106" s="9" t="n">
        <v>19.2297204858909</v>
      </c>
      <c r="K1106" s="3" t="s">
        <v>294</v>
      </c>
      <c r="L1106" s="3" t="s">
        <v>409</v>
      </c>
      <c r="M1106" s="7" t="n">
        <v>2021</v>
      </c>
    </row>
    <row r="1107" customFormat="false" ht="15" hidden="false" customHeight="false" outlineLevel="0" collapsed="false">
      <c r="A1107" s="3" t="n">
        <v>1459</v>
      </c>
      <c r="B1107" s="3" t="s">
        <v>408</v>
      </c>
      <c r="C1107" s="4" t="s">
        <v>22</v>
      </c>
      <c r="D1107" s="5" t="n">
        <v>18190</v>
      </c>
      <c r="E1107" s="6" t="n">
        <v>209.51</v>
      </c>
      <c r="F1107" s="7" t="n">
        <v>63</v>
      </c>
      <c r="G1107" s="6" t="n">
        <v>807.025584585822</v>
      </c>
      <c r="H1107" s="8" t="n">
        <v>517303.399719512</v>
      </c>
      <c r="I1107" s="9" t="n">
        <v>8.59339407920839</v>
      </c>
      <c r="J1107" s="9" t="n">
        <v>39.7166197105756</v>
      </c>
      <c r="K1107" s="3" t="s">
        <v>294</v>
      </c>
      <c r="L1107" s="3" t="s">
        <v>409</v>
      </c>
      <c r="M1107" s="7" t="n">
        <v>2022</v>
      </c>
    </row>
    <row r="1108" customFormat="false" ht="15" hidden="false" customHeight="false" outlineLevel="0" collapsed="false">
      <c r="A1108" s="3" t="n">
        <v>1460</v>
      </c>
      <c r="B1108" s="3" t="s">
        <v>408</v>
      </c>
      <c r="C1108" s="4" t="s">
        <v>23</v>
      </c>
      <c r="D1108" s="5" t="n">
        <v>15428</v>
      </c>
      <c r="E1108" s="6" t="n">
        <v>210.29</v>
      </c>
      <c r="F1108" s="7" t="n">
        <v>59</v>
      </c>
      <c r="G1108" s="6" t="n">
        <v>819.744691064502</v>
      </c>
      <c r="H1108" s="8" t="n">
        <v>436186.150115422</v>
      </c>
      <c r="I1108" s="9" t="n">
        <v>9.99456678013644</v>
      </c>
      <c r="J1108" s="9" t="n">
        <v>47.5649075549912</v>
      </c>
      <c r="K1108" s="3" t="s">
        <v>294</v>
      </c>
      <c r="L1108" s="3" t="s">
        <v>409</v>
      </c>
      <c r="M1108" s="7" t="n">
        <v>2023</v>
      </c>
    </row>
    <row r="1109" customFormat="false" ht="15" hidden="false" customHeight="false" outlineLevel="0" collapsed="false">
      <c r="A1109" s="3" t="n">
        <v>1461</v>
      </c>
      <c r="B1109" s="3" t="s">
        <v>408</v>
      </c>
      <c r="C1109" s="4" t="s">
        <v>24</v>
      </c>
      <c r="D1109" s="5" t="n">
        <v>18452</v>
      </c>
      <c r="E1109" s="6" t="n">
        <v>210.29</v>
      </c>
      <c r="F1109" s="7" t="n">
        <v>60</v>
      </c>
      <c r="G1109" s="6" t="n">
        <v>692.541278006258</v>
      </c>
      <c r="H1109" s="8" t="n">
        <v>452949.697467213</v>
      </c>
      <c r="I1109" s="9" t="n">
        <v>8.12879303671283</v>
      </c>
      <c r="J1109" s="9" t="n">
        <v>33.5064496078113</v>
      </c>
      <c r="K1109" s="3" t="s">
        <v>294</v>
      </c>
      <c r="L1109" s="3" t="s">
        <v>409</v>
      </c>
      <c r="M1109" s="7" t="n">
        <v>2024</v>
      </c>
    </row>
    <row r="1110" customFormat="false" ht="15" hidden="false" customHeight="false" outlineLevel="0" collapsed="false">
      <c r="A1110" s="3" t="n">
        <v>1462</v>
      </c>
      <c r="B1110" s="3" t="s">
        <v>410</v>
      </c>
      <c r="C1110" s="4" t="s">
        <v>14</v>
      </c>
      <c r="D1110" s="5" t="n">
        <v>26661</v>
      </c>
      <c r="E1110" s="6" t="n">
        <v>286</v>
      </c>
      <c r="F1110" s="7" t="n">
        <v>72</v>
      </c>
      <c r="G1110" s="6" t="n">
        <v>350.758499999999</v>
      </c>
      <c r="H1110" s="8" t="n">
        <v>551573.353385999</v>
      </c>
      <c r="I1110" s="9" t="n">
        <v>3.60620242149332</v>
      </c>
      <c r="J1110" s="9" t="n">
        <v>11.745133647424</v>
      </c>
      <c r="K1110" s="3" t="s">
        <v>411</v>
      </c>
      <c r="L1110" s="3" t="s">
        <v>412</v>
      </c>
      <c r="M1110" s="7" t="n">
        <v>2016</v>
      </c>
    </row>
    <row r="1111" customFormat="false" ht="15" hidden="false" customHeight="false" outlineLevel="0" collapsed="false">
      <c r="A1111" s="3" t="n">
        <v>1463</v>
      </c>
      <c r="B1111" s="3" t="s">
        <v>410</v>
      </c>
      <c r="C1111" s="4" t="s">
        <v>17</v>
      </c>
      <c r="D1111" s="5" t="n">
        <v>26661</v>
      </c>
      <c r="E1111" s="6" t="n">
        <v>286</v>
      </c>
      <c r="F1111" s="7" t="n">
        <v>73</v>
      </c>
      <c r="G1111" s="6" t="n">
        <v>435.192749999998</v>
      </c>
      <c r="H1111" s="8" t="n">
        <v>703304.558648997</v>
      </c>
      <c r="I1111" s="9" t="n">
        <v>4.33106909863825</v>
      </c>
      <c r="J1111" s="9" t="n">
        <v>14.6124450601229</v>
      </c>
      <c r="K1111" s="3" t="s">
        <v>411</v>
      </c>
      <c r="L1111" s="3" t="s">
        <v>412</v>
      </c>
      <c r="M1111" s="7" t="n">
        <v>2017</v>
      </c>
    </row>
    <row r="1112" customFormat="false" ht="15" hidden="false" customHeight="false" outlineLevel="0" collapsed="false">
      <c r="A1112" s="3" t="n">
        <v>1464</v>
      </c>
      <c r="B1112" s="3" t="s">
        <v>410</v>
      </c>
      <c r="C1112" s="4" t="s">
        <v>18</v>
      </c>
      <c r="D1112" s="5" t="n">
        <v>26661</v>
      </c>
      <c r="E1112" s="6" t="n">
        <v>286</v>
      </c>
      <c r="F1112" s="7" t="n">
        <v>73</v>
      </c>
      <c r="G1112" s="6" t="n">
        <v>417.6525</v>
      </c>
      <c r="H1112" s="8" t="n">
        <v>674958.18159</v>
      </c>
      <c r="I1112" s="9" t="n">
        <v>3.73351495263451</v>
      </c>
      <c r="J1112" s="9" t="n">
        <v>14.0234969688099</v>
      </c>
      <c r="K1112" s="3" t="s">
        <v>411</v>
      </c>
      <c r="L1112" s="3" t="s">
        <v>412</v>
      </c>
      <c r="M1112" s="7" t="n">
        <v>2018</v>
      </c>
    </row>
    <row r="1113" customFormat="false" ht="15" hidden="false" customHeight="false" outlineLevel="0" collapsed="false">
      <c r="A1113" s="3" t="n">
        <v>1465</v>
      </c>
      <c r="B1113" s="3" t="s">
        <v>410</v>
      </c>
      <c r="C1113" s="4" t="s">
        <v>19</v>
      </c>
      <c r="D1113" s="5" t="n">
        <v>27646</v>
      </c>
      <c r="E1113" s="6" t="n">
        <v>286</v>
      </c>
      <c r="F1113" s="7" t="n">
        <v>74</v>
      </c>
      <c r="G1113" s="6" t="n">
        <v>654.835049999998</v>
      </c>
      <c r="H1113" s="8" t="n">
        <v>1140984.59112</v>
      </c>
      <c r="I1113" s="9" t="n">
        <v>5.54527915604106</v>
      </c>
      <c r="J1113" s="9" t="n">
        <v>21.2039752067097</v>
      </c>
      <c r="K1113" s="3" t="s">
        <v>411</v>
      </c>
      <c r="L1113" s="3" t="s">
        <v>412</v>
      </c>
      <c r="M1113" s="7" t="n">
        <v>2019</v>
      </c>
    </row>
    <row r="1114" customFormat="false" ht="15" hidden="false" customHeight="false" outlineLevel="0" collapsed="false">
      <c r="A1114" s="3" t="n">
        <v>1466</v>
      </c>
      <c r="B1114" s="3" t="s">
        <v>410</v>
      </c>
      <c r="C1114" s="4" t="s">
        <v>20</v>
      </c>
      <c r="D1114" s="5" t="n">
        <v>27646</v>
      </c>
      <c r="E1114" s="6" t="n">
        <v>286</v>
      </c>
      <c r="F1114" s="7" t="n">
        <v>74</v>
      </c>
      <c r="G1114" s="6" t="n">
        <v>604.846010647206</v>
      </c>
      <c r="H1114" s="8" t="n">
        <v>1053883.68895169</v>
      </c>
      <c r="I1114" s="9" t="n">
        <v>5.92437760270292</v>
      </c>
      <c r="J1114" s="9" t="n">
        <v>19.5316399821424</v>
      </c>
      <c r="K1114" s="3" t="s">
        <v>411</v>
      </c>
      <c r="L1114" s="3" t="s">
        <v>412</v>
      </c>
      <c r="M1114" s="7" t="n">
        <v>2020</v>
      </c>
    </row>
    <row r="1115" customFormat="false" ht="15" hidden="false" customHeight="false" outlineLevel="0" collapsed="false">
      <c r="A1115" s="3" t="n">
        <v>1467</v>
      </c>
      <c r="B1115" s="3" t="s">
        <v>410</v>
      </c>
      <c r="C1115" s="4" t="s">
        <v>21</v>
      </c>
      <c r="D1115" s="5" t="n">
        <v>27774</v>
      </c>
      <c r="E1115" s="6" t="n">
        <v>286</v>
      </c>
      <c r="F1115" s="7" t="n">
        <v>73</v>
      </c>
      <c r="G1115" s="6" t="n">
        <v>417.853411057637</v>
      </c>
      <c r="H1115" s="8" t="n">
        <v>728067.783426826</v>
      </c>
      <c r="I1115" s="9" t="n">
        <v>4.33086323421932</v>
      </c>
      <c r="J1115" s="9" t="n">
        <v>13.4680027101145</v>
      </c>
      <c r="K1115" s="3" t="s">
        <v>411</v>
      </c>
      <c r="L1115" s="3" t="s">
        <v>412</v>
      </c>
      <c r="M1115" s="7" t="n">
        <v>2021</v>
      </c>
    </row>
    <row r="1116" customFormat="false" ht="15" hidden="false" customHeight="false" outlineLevel="0" collapsed="false">
      <c r="A1116" s="3" t="n">
        <v>1468</v>
      </c>
      <c r="B1116" s="3" t="s">
        <v>410</v>
      </c>
      <c r="C1116" s="4" t="s">
        <v>22</v>
      </c>
      <c r="D1116" s="5" t="n">
        <v>27810</v>
      </c>
      <c r="E1116" s="6" t="n">
        <v>286</v>
      </c>
      <c r="F1116" s="7" t="n">
        <v>75</v>
      </c>
      <c r="G1116" s="6" t="n">
        <v>377.706794414737</v>
      </c>
      <c r="H1116" s="8" t="n">
        <v>322561.602430185</v>
      </c>
      <c r="I1116" s="9" t="n">
        <v>4.29452102087146</v>
      </c>
      <c r="J1116" s="9" t="n">
        <v>12.1582615814175</v>
      </c>
      <c r="K1116" s="3" t="s">
        <v>411</v>
      </c>
      <c r="L1116" s="3" t="s">
        <v>412</v>
      </c>
      <c r="M1116" s="7" t="n">
        <v>2022</v>
      </c>
    </row>
    <row r="1117" customFormat="false" ht="15" hidden="false" customHeight="false" outlineLevel="0" collapsed="false">
      <c r="A1117" s="3" t="n">
        <v>1469</v>
      </c>
      <c r="B1117" s="3" t="s">
        <v>410</v>
      </c>
      <c r="C1117" s="4" t="s">
        <v>23</v>
      </c>
      <c r="D1117" s="5" t="n">
        <v>27810</v>
      </c>
      <c r="E1117" s="6" t="n">
        <v>286</v>
      </c>
      <c r="F1117" s="7" t="n">
        <v>75</v>
      </c>
      <c r="G1117" s="6" t="n">
        <v>511.19013888889</v>
      </c>
      <c r="H1117" s="8" t="n">
        <v>435533.998333334</v>
      </c>
      <c r="I1117" s="9" t="n">
        <v>5.5163040815419</v>
      </c>
      <c r="J1117" s="9" t="n">
        <v>16.4550479852575</v>
      </c>
      <c r="K1117" s="3" t="s">
        <v>411</v>
      </c>
      <c r="L1117" s="3" t="s">
        <v>412</v>
      </c>
      <c r="M1117" s="7" t="n">
        <v>2023</v>
      </c>
    </row>
    <row r="1118" customFormat="false" ht="15" hidden="false" customHeight="false" outlineLevel="0" collapsed="false">
      <c r="A1118" s="3" t="n">
        <v>1470</v>
      </c>
      <c r="B1118" s="3" t="s">
        <v>410</v>
      </c>
      <c r="C1118" s="4" t="s">
        <v>24</v>
      </c>
      <c r="D1118" s="5" t="n">
        <v>27810</v>
      </c>
      <c r="E1118" s="6" t="n">
        <v>286</v>
      </c>
      <c r="F1118" s="7" t="n">
        <v>73</v>
      </c>
      <c r="G1118" s="6" t="n">
        <v>525.206740296669</v>
      </c>
      <c r="H1118" s="8" t="n">
        <v>452728.210135728</v>
      </c>
      <c r="I1118" s="9" t="n">
        <v>5.39478108376829</v>
      </c>
      <c r="J1118" s="9" t="n">
        <v>16.8599194664785</v>
      </c>
      <c r="K1118" s="3" t="s">
        <v>411</v>
      </c>
      <c r="L1118" s="3" t="s">
        <v>412</v>
      </c>
      <c r="M1118" s="7" t="n">
        <v>2024</v>
      </c>
    </row>
    <row r="1119" customFormat="false" ht="15" hidden="false" customHeight="false" outlineLevel="0" collapsed="false">
      <c r="A1119" s="3" t="n">
        <v>1471</v>
      </c>
      <c r="B1119" s="3" t="s">
        <v>410</v>
      </c>
      <c r="C1119" s="4" t="s">
        <v>37</v>
      </c>
      <c r="D1119" s="5" t="n">
        <v>27810</v>
      </c>
      <c r="E1119" s="6" t="n">
        <v>286</v>
      </c>
      <c r="F1119" s="7" t="n">
        <v>73</v>
      </c>
      <c r="G1119" s="6" t="n">
        <v>581.845257022501</v>
      </c>
      <c r="H1119" s="8" t="n">
        <v>576201.358029383</v>
      </c>
      <c r="I1119" s="9" t="n">
        <v>5.71569790687194</v>
      </c>
      <c r="J1119" s="9" t="n">
        <v>18.7294137659035</v>
      </c>
      <c r="K1119" s="3" t="s">
        <v>411</v>
      </c>
      <c r="L1119" s="3" t="s">
        <v>412</v>
      </c>
      <c r="M1119" s="7" t="n">
        <v>2025</v>
      </c>
    </row>
    <row r="1120" customFormat="false" ht="15" hidden="false" customHeight="false" outlineLevel="0" collapsed="false">
      <c r="A1120" s="3" t="n">
        <v>1472</v>
      </c>
      <c r="B1120" s="3" t="s">
        <v>413</v>
      </c>
      <c r="C1120" s="4" t="s">
        <v>14</v>
      </c>
      <c r="D1120" s="5" t="n">
        <v>7915</v>
      </c>
      <c r="E1120" s="6" t="n">
        <v>97.3</v>
      </c>
      <c r="F1120" s="7" t="n">
        <v>72</v>
      </c>
      <c r="G1120" s="6" t="n">
        <v>475.424970557749</v>
      </c>
      <c r="H1120" s="8" t="n">
        <v>148308.8869845</v>
      </c>
      <c r="I1120" s="9" t="n">
        <v>11.3528512581879</v>
      </c>
      <c r="J1120" s="9" t="n">
        <v>53.6237600121888</v>
      </c>
      <c r="K1120" s="3" t="s">
        <v>240</v>
      </c>
      <c r="L1120" s="3" t="s">
        <v>414</v>
      </c>
      <c r="M1120" s="7" t="n">
        <v>2016</v>
      </c>
    </row>
    <row r="1121" customFormat="false" ht="15" hidden="false" customHeight="false" outlineLevel="0" collapsed="false">
      <c r="A1121" s="3" t="n">
        <v>1473</v>
      </c>
      <c r="B1121" s="3" t="s">
        <v>413</v>
      </c>
      <c r="C1121" s="4" t="s">
        <v>17</v>
      </c>
      <c r="D1121" s="5" t="n">
        <v>7809</v>
      </c>
      <c r="E1121" s="6" t="n">
        <v>95.56</v>
      </c>
      <c r="F1121" s="7" t="n">
        <v>65</v>
      </c>
      <c r="G1121" s="6" t="n">
        <v>780.872529101192</v>
      </c>
      <c r="H1121" s="8" t="n">
        <v>110921.639507981</v>
      </c>
      <c r="I1121" s="9" t="n">
        <v>15.7014001002827</v>
      </c>
      <c r="J1121" s="9" t="n">
        <v>89.5163563316462</v>
      </c>
      <c r="K1121" s="3" t="s">
        <v>240</v>
      </c>
      <c r="L1121" s="3" t="s">
        <v>414</v>
      </c>
      <c r="M1121" s="7" t="n">
        <v>2017</v>
      </c>
    </row>
    <row r="1122" customFormat="false" ht="15" hidden="false" customHeight="false" outlineLevel="0" collapsed="false">
      <c r="A1122" s="3" t="n">
        <v>1474</v>
      </c>
      <c r="B1122" s="3" t="s">
        <v>413</v>
      </c>
      <c r="C1122" s="4" t="s">
        <v>18</v>
      </c>
      <c r="D1122" s="5" t="n">
        <v>7772</v>
      </c>
      <c r="E1122" s="6" t="n">
        <v>103.6</v>
      </c>
      <c r="F1122" s="7" t="n">
        <v>65</v>
      </c>
      <c r="G1122" s="6" t="n">
        <v>1004.81142373719</v>
      </c>
      <c r="H1122" s="8" t="n">
        <v>495106.2628125</v>
      </c>
      <c r="I1122" s="9" t="n">
        <v>18.2851657235247</v>
      </c>
      <c r="J1122" s="9" t="n">
        <v>115.736260638424</v>
      </c>
      <c r="K1122" s="3" t="s">
        <v>240</v>
      </c>
      <c r="L1122" s="3" t="s">
        <v>414</v>
      </c>
      <c r="M1122" s="7" t="n">
        <v>2018</v>
      </c>
    </row>
    <row r="1123" customFormat="false" ht="15" hidden="false" customHeight="false" outlineLevel="0" collapsed="false">
      <c r="A1123" s="3" t="n">
        <v>1475</v>
      </c>
      <c r="B1123" s="3" t="s">
        <v>413</v>
      </c>
      <c r="C1123" s="4" t="s">
        <v>19</v>
      </c>
      <c r="D1123" s="5" t="n">
        <v>7996</v>
      </c>
      <c r="E1123" s="6" t="n">
        <v>100.96</v>
      </c>
      <c r="F1123" s="7" t="n">
        <v>66</v>
      </c>
      <c r="G1123" s="6" t="n">
        <v>999.610042442419</v>
      </c>
      <c r="H1123" s="8" t="n">
        <v>488481.58086</v>
      </c>
      <c r="I1123" s="9" t="n">
        <v>19.8454312086952</v>
      </c>
      <c r="J1123" s="9" t="n">
        <v>111.911701709338</v>
      </c>
      <c r="K1123" s="3" t="s">
        <v>240</v>
      </c>
      <c r="L1123" s="3" t="s">
        <v>414</v>
      </c>
      <c r="M1123" s="7" t="n">
        <v>2019</v>
      </c>
    </row>
    <row r="1124" customFormat="false" ht="15" hidden="false" customHeight="false" outlineLevel="0" collapsed="false">
      <c r="A1124" s="3" t="n">
        <v>1476</v>
      </c>
      <c r="B1124" s="3" t="s">
        <v>413</v>
      </c>
      <c r="C1124" s="4" t="s">
        <v>20</v>
      </c>
      <c r="D1124" s="5" t="n">
        <v>8481</v>
      </c>
      <c r="E1124" s="6" t="n">
        <v>100.96</v>
      </c>
      <c r="F1124" s="7" t="n">
        <v>75</v>
      </c>
      <c r="G1124" s="6" t="n">
        <v>1072.22595899173</v>
      </c>
      <c r="H1124" s="8" t="n">
        <v>610020.688726172</v>
      </c>
      <c r="I1124" s="9" t="n">
        <v>22.5490122554361</v>
      </c>
      <c r="J1124" s="9" t="n">
        <v>112.866601400201</v>
      </c>
      <c r="K1124" s="3" t="s">
        <v>240</v>
      </c>
      <c r="L1124" s="3" t="s">
        <v>414</v>
      </c>
      <c r="M1124" s="7" t="n">
        <v>2020</v>
      </c>
    </row>
    <row r="1125" customFormat="false" ht="15" hidden="false" customHeight="false" outlineLevel="0" collapsed="false">
      <c r="A1125" s="3" t="n">
        <v>1477</v>
      </c>
      <c r="B1125" s="3" t="s">
        <v>413</v>
      </c>
      <c r="C1125" s="4" t="s">
        <v>21</v>
      </c>
      <c r="D1125" s="5" t="n">
        <v>7821.34131510129</v>
      </c>
      <c r="E1125" s="6" t="n">
        <v>99.3596823849884</v>
      </c>
      <c r="F1125" s="7" t="n">
        <v>66</v>
      </c>
      <c r="G1125" s="6" t="n">
        <v>1039.43667715901</v>
      </c>
      <c r="H1125" s="8" t="n">
        <v>627590.179273583</v>
      </c>
      <c r="I1125" s="9" t="n">
        <v>19.4001202742621</v>
      </c>
      <c r="J1125" s="9" t="n">
        <v>118.969181350605</v>
      </c>
      <c r="K1125" s="3" t="s">
        <v>240</v>
      </c>
      <c r="L1125" s="3" t="s">
        <v>414</v>
      </c>
      <c r="M1125" s="7" t="n">
        <v>2021</v>
      </c>
    </row>
    <row r="1126" customFormat="false" ht="15" hidden="false" customHeight="false" outlineLevel="0" collapsed="false">
      <c r="A1126" s="3" t="n">
        <v>1478</v>
      </c>
      <c r="B1126" s="3" t="s">
        <v>413</v>
      </c>
      <c r="C1126" s="4" t="s">
        <v>22</v>
      </c>
      <c r="D1126" s="5" t="n">
        <v>7794</v>
      </c>
      <c r="E1126" s="6" t="n">
        <v>103</v>
      </c>
      <c r="F1126" s="7" t="n">
        <v>54</v>
      </c>
      <c r="G1126" s="6" t="n">
        <v>927.180545139242</v>
      </c>
      <c r="H1126" s="8" t="n">
        <v>538288.91318695</v>
      </c>
      <c r="I1126" s="9" t="n">
        <v>18.8345098607905</v>
      </c>
      <c r="J1126" s="9" t="n">
        <v>106.493127925316</v>
      </c>
      <c r="K1126" s="3" t="s">
        <v>240</v>
      </c>
      <c r="L1126" s="3" t="s">
        <v>414</v>
      </c>
      <c r="M1126" s="7" t="n">
        <v>2022</v>
      </c>
    </row>
    <row r="1127" customFormat="false" ht="15" hidden="false" customHeight="false" outlineLevel="0" collapsed="false">
      <c r="A1127" s="3" t="n">
        <v>1479</v>
      </c>
      <c r="B1127" s="3" t="s">
        <v>413</v>
      </c>
      <c r="C1127" s="4" t="s">
        <v>23</v>
      </c>
      <c r="D1127" s="5" t="n">
        <v>7419</v>
      </c>
      <c r="E1127" s="6" t="n">
        <v>102.75</v>
      </c>
      <c r="F1127" s="7" t="n">
        <v>53</v>
      </c>
      <c r="G1127" s="6" t="n">
        <v>894.935111377281</v>
      </c>
      <c r="H1127" s="8" t="n">
        <v>437568.982724999</v>
      </c>
      <c r="I1127" s="9" t="n">
        <v>20.5484502942578</v>
      </c>
      <c r="J1127" s="9" t="n">
        <v>107.985103949541</v>
      </c>
      <c r="K1127" s="3" t="s">
        <v>240</v>
      </c>
      <c r="L1127" s="3" t="s">
        <v>414</v>
      </c>
      <c r="M1127" s="7" t="n">
        <v>2023</v>
      </c>
    </row>
    <row r="1128" customFormat="false" ht="15" hidden="false" customHeight="false" outlineLevel="0" collapsed="false">
      <c r="A1128" s="3" t="n">
        <v>1480</v>
      </c>
      <c r="B1128" s="3" t="s">
        <v>413</v>
      </c>
      <c r="C1128" s="4" t="s">
        <v>24</v>
      </c>
      <c r="D1128" s="5" t="n">
        <v>7632</v>
      </c>
      <c r="E1128" s="6" t="n">
        <v>102.92</v>
      </c>
      <c r="F1128" s="7" t="n">
        <v>56</v>
      </c>
      <c r="G1128" s="6" t="n">
        <v>858.267985639945</v>
      </c>
      <c r="H1128" s="8" t="n">
        <v>558395.1824268</v>
      </c>
      <c r="I1128" s="9" t="n">
        <v>18.4343989594373</v>
      </c>
      <c r="J1128" s="9" t="n">
        <v>100.394690484464</v>
      </c>
      <c r="K1128" s="3" t="s">
        <v>240</v>
      </c>
      <c r="L1128" s="3" t="s">
        <v>414</v>
      </c>
      <c r="M1128" s="7" t="n">
        <v>2024</v>
      </c>
    </row>
    <row r="1129" customFormat="false" ht="15" hidden="false" customHeight="false" outlineLevel="0" collapsed="false">
      <c r="A1129" s="3" t="n">
        <v>1481</v>
      </c>
      <c r="B1129" s="3" t="s">
        <v>415</v>
      </c>
      <c r="C1129" s="4" t="s">
        <v>14</v>
      </c>
      <c r="D1129" s="5" t="n">
        <v>5374</v>
      </c>
      <c r="E1129" s="6" t="n">
        <v>56.1</v>
      </c>
      <c r="F1129" s="7" t="n">
        <v>59</v>
      </c>
      <c r="G1129" s="6" t="n">
        <v>0.178885554212858</v>
      </c>
      <c r="H1129" s="8" t="n">
        <v>161.073919579884</v>
      </c>
      <c r="I1129" s="9" t="n">
        <v>1.74704654847613</v>
      </c>
      <c r="J1129" s="9" t="n">
        <v>0.0297169204978888</v>
      </c>
      <c r="K1129" s="3" t="s">
        <v>416</v>
      </c>
      <c r="L1129" s="3" t="s">
        <v>417</v>
      </c>
      <c r="M1129" s="7" t="n">
        <v>2016</v>
      </c>
    </row>
    <row r="1130" customFormat="false" ht="15" hidden="false" customHeight="false" outlineLevel="0" collapsed="false">
      <c r="A1130" s="3" t="n">
        <v>1482</v>
      </c>
      <c r="B1130" s="3" t="s">
        <v>415</v>
      </c>
      <c r="C1130" s="4" t="s">
        <v>17</v>
      </c>
      <c r="D1130" s="5" t="n">
        <v>5369</v>
      </c>
      <c r="E1130" s="6" t="n">
        <v>59.1</v>
      </c>
      <c r="F1130" s="7" t="n">
        <v>52</v>
      </c>
      <c r="G1130" s="6" t="n">
        <v>4.82149808163924</v>
      </c>
      <c r="H1130" s="8" t="n">
        <v>4867.44695835726</v>
      </c>
      <c r="I1130" s="9" t="n">
        <v>1.95910621549126</v>
      </c>
      <c r="J1130" s="9" t="n">
        <v>0.803907848781992</v>
      </c>
      <c r="K1130" s="3" t="s">
        <v>416</v>
      </c>
      <c r="L1130" s="3" t="s">
        <v>417</v>
      </c>
      <c r="M1130" s="7" t="n">
        <v>2017</v>
      </c>
    </row>
    <row r="1131" customFormat="false" ht="15" hidden="false" customHeight="false" outlineLevel="0" collapsed="false">
      <c r="A1131" s="3" t="n">
        <v>1483</v>
      </c>
      <c r="B1131" s="3" t="s">
        <v>415</v>
      </c>
      <c r="C1131" s="4" t="s">
        <v>18</v>
      </c>
      <c r="D1131" s="5" t="n">
        <v>5410</v>
      </c>
      <c r="E1131" s="6" t="n">
        <v>59.1</v>
      </c>
      <c r="F1131" s="7" t="n">
        <v>53</v>
      </c>
      <c r="G1131" s="6" t="n">
        <v>57.8139995271417</v>
      </c>
      <c r="H1131" s="8" t="n">
        <v>59296.3504750177</v>
      </c>
      <c r="I1131" s="9" t="n">
        <v>4.3784704141858</v>
      </c>
      <c r="J1131" s="9" t="n">
        <v>9.5665076678915</v>
      </c>
      <c r="K1131" s="3" t="s">
        <v>416</v>
      </c>
      <c r="L1131" s="3" t="s">
        <v>417</v>
      </c>
      <c r="M1131" s="7" t="n">
        <v>2018</v>
      </c>
    </row>
    <row r="1132" customFormat="false" ht="15" hidden="false" customHeight="false" outlineLevel="0" collapsed="false">
      <c r="A1132" s="3" t="n">
        <v>1484</v>
      </c>
      <c r="B1132" s="3" t="s">
        <v>415</v>
      </c>
      <c r="C1132" s="4" t="s">
        <v>19</v>
      </c>
      <c r="D1132" s="5" t="n">
        <v>5410</v>
      </c>
      <c r="E1132" s="6" t="n">
        <v>59.1</v>
      </c>
      <c r="F1132" s="7" t="n">
        <v>53</v>
      </c>
      <c r="G1132" s="6" t="n">
        <v>9.2947311714318</v>
      </c>
      <c r="H1132" s="8" t="n">
        <v>11545.0785353471</v>
      </c>
      <c r="I1132" s="9" t="n">
        <v>1.70337449280606</v>
      </c>
      <c r="J1132" s="9" t="n">
        <v>1.53800321288529</v>
      </c>
      <c r="K1132" s="3" t="s">
        <v>416</v>
      </c>
      <c r="L1132" s="3" t="s">
        <v>417</v>
      </c>
      <c r="M1132" s="7" t="n">
        <v>2019</v>
      </c>
    </row>
    <row r="1133" customFormat="false" ht="15" hidden="false" customHeight="false" outlineLevel="0" collapsed="false">
      <c r="A1133" s="3" t="n">
        <v>1485</v>
      </c>
      <c r="B1133" s="3" t="s">
        <v>415</v>
      </c>
      <c r="C1133" s="4" t="s">
        <v>20</v>
      </c>
      <c r="D1133" s="5" t="n">
        <v>5412</v>
      </c>
      <c r="E1133" s="6" t="n">
        <v>59.1</v>
      </c>
      <c r="F1133" s="7" t="n">
        <v>56</v>
      </c>
      <c r="G1133" s="6" t="n">
        <v>28.1083347614056</v>
      </c>
      <c r="H1133" s="8" t="n">
        <v>31770.8507808168</v>
      </c>
      <c r="I1133" s="9" t="n">
        <v>2.65442084099908</v>
      </c>
      <c r="J1133" s="9" t="n">
        <v>4.63664155268292</v>
      </c>
      <c r="K1133" s="3" t="s">
        <v>416</v>
      </c>
      <c r="L1133" s="3" t="s">
        <v>417</v>
      </c>
      <c r="M1133" s="7" t="n">
        <v>2020</v>
      </c>
    </row>
    <row r="1134" customFormat="false" ht="15" hidden="false" customHeight="false" outlineLevel="0" collapsed="false">
      <c r="A1134" s="3" t="n">
        <v>1486</v>
      </c>
      <c r="B1134" s="3" t="s">
        <v>415</v>
      </c>
      <c r="C1134" s="4" t="s">
        <v>22</v>
      </c>
      <c r="D1134" s="5" t="n">
        <v>5428</v>
      </c>
      <c r="E1134" s="6" t="n">
        <v>59.49</v>
      </c>
      <c r="F1134" s="7" t="n">
        <v>57</v>
      </c>
      <c r="G1134" s="6" t="n">
        <v>20.3605257642343</v>
      </c>
      <c r="H1134" s="8" t="n">
        <v>17779.8291236176</v>
      </c>
      <c r="I1134" s="9" t="n">
        <v>2.08432264179706</v>
      </c>
      <c r="J1134" s="9" t="n">
        <v>3.35789277454384</v>
      </c>
      <c r="K1134" s="3" t="s">
        <v>416</v>
      </c>
      <c r="L1134" s="3" t="s">
        <v>417</v>
      </c>
      <c r="M1134" s="7" t="n">
        <v>2022</v>
      </c>
    </row>
    <row r="1135" customFormat="false" ht="15" hidden="false" customHeight="false" outlineLevel="0" collapsed="false">
      <c r="A1135" s="3" t="n">
        <v>1487</v>
      </c>
      <c r="B1135" s="3" t="s">
        <v>415</v>
      </c>
      <c r="C1135" s="4" t="s">
        <v>23</v>
      </c>
      <c r="D1135" s="5" t="n">
        <v>5473</v>
      </c>
      <c r="E1135" s="6" t="n">
        <v>60.297</v>
      </c>
      <c r="F1135" s="7" t="n">
        <v>54</v>
      </c>
      <c r="G1135" s="6" t="n">
        <v>10.2919918637518</v>
      </c>
      <c r="H1135" s="8" t="n">
        <v>15277.226882716</v>
      </c>
      <c r="I1135" s="9" t="n">
        <v>2.08045824099867</v>
      </c>
      <c r="J1135" s="9" t="n">
        <v>1.68341681380693</v>
      </c>
      <c r="K1135" s="3" t="s">
        <v>416</v>
      </c>
      <c r="L1135" s="3" t="s">
        <v>417</v>
      </c>
      <c r="M1135" s="7" t="n">
        <v>2023</v>
      </c>
    </row>
    <row r="1136" customFormat="false" ht="15" hidden="false" customHeight="false" outlineLevel="0" collapsed="false">
      <c r="A1136" s="3" t="n">
        <v>1488</v>
      </c>
      <c r="B1136" s="3" t="s">
        <v>418</v>
      </c>
      <c r="C1136" s="4" t="s">
        <v>14</v>
      </c>
      <c r="D1136" s="5" t="n">
        <v>13810</v>
      </c>
      <c r="E1136" s="6" t="n">
        <v>219.17</v>
      </c>
      <c r="F1136" s="7" t="n">
        <v>63</v>
      </c>
      <c r="G1136" s="6" t="n">
        <v>137.464482324124</v>
      </c>
      <c r="H1136" s="8" t="n">
        <v>139709.277320477</v>
      </c>
      <c r="I1136" s="9" t="n">
        <v>4.09958680287318</v>
      </c>
      <c r="J1136" s="9" t="n">
        <v>8.88634184674558</v>
      </c>
      <c r="K1136" s="3" t="s">
        <v>419</v>
      </c>
      <c r="L1136" s="3" t="s">
        <v>420</v>
      </c>
      <c r="M1136" s="7" t="n">
        <v>2016</v>
      </c>
    </row>
    <row r="1137" customFormat="false" ht="15" hidden="false" customHeight="false" outlineLevel="0" collapsed="false">
      <c r="A1137" s="3" t="n">
        <v>1489</v>
      </c>
      <c r="B1137" s="3" t="s">
        <v>418</v>
      </c>
      <c r="C1137" s="4" t="s">
        <v>17</v>
      </c>
      <c r="D1137" s="5" t="n">
        <v>13821</v>
      </c>
      <c r="E1137" s="6" t="n">
        <v>219.17</v>
      </c>
      <c r="F1137" s="7" t="n">
        <v>67</v>
      </c>
      <c r="G1137" s="6" t="n">
        <v>430.744183673466</v>
      </c>
      <c r="H1137" s="8" t="n">
        <v>447461.365441833</v>
      </c>
      <c r="I1137" s="9" t="n">
        <v>6.80015059659418</v>
      </c>
      <c r="J1137" s="9" t="n">
        <v>27.8995776840193</v>
      </c>
      <c r="K1137" s="3" t="s">
        <v>419</v>
      </c>
      <c r="L1137" s="3" t="s">
        <v>420</v>
      </c>
      <c r="M1137" s="7" t="n">
        <v>2017</v>
      </c>
    </row>
    <row r="1138" customFormat="false" ht="15" hidden="false" customHeight="false" outlineLevel="0" collapsed="false">
      <c r="A1138" s="3" t="n">
        <v>1490</v>
      </c>
      <c r="B1138" s="3" t="s">
        <v>418</v>
      </c>
      <c r="C1138" s="4" t="s">
        <v>18</v>
      </c>
      <c r="D1138" s="5" t="n">
        <v>13684</v>
      </c>
      <c r="E1138" s="6" t="n">
        <v>182.67</v>
      </c>
      <c r="F1138" s="7" t="n">
        <v>70</v>
      </c>
      <c r="G1138" s="6" t="n">
        <v>294.508722040815</v>
      </c>
      <c r="H1138" s="8" t="n">
        <v>311260.378150496</v>
      </c>
      <c r="I1138" s="9" t="n">
        <v>6.08248454125991</v>
      </c>
      <c r="J1138" s="9" t="n">
        <v>19.266497486782</v>
      </c>
      <c r="K1138" s="3" t="s">
        <v>419</v>
      </c>
      <c r="L1138" s="3" t="s">
        <v>420</v>
      </c>
      <c r="M1138" s="7" t="n">
        <v>2018</v>
      </c>
    </row>
    <row r="1139" customFormat="false" ht="15" hidden="false" customHeight="false" outlineLevel="0" collapsed="false">
      <c r="A1139" s="3" t="n">
        <v>1491</v>
      </c>
      <c r="B1139" s="3" t="s">
        <v>418</v>
      </c>
      <c r="C1139" s="4" t="s">
        <v>19</v>
      </c>
      <c r="D1139" s="5" t="n">
        <v>13705</v>
      </c>
      <c r="E1139" s="6" t="n">
        <v>182.7</v>
      </c>
      <c r="F1139" s="7" t="n">
        <v>71</v>
      </c>
      <c r="G1139" s="6" t="n">
        <v>292.880715038072</v>
      </c>
      <c r="H1139" s="8" t="n">
        <v>323065.001529895</v>
      </c>
      <c r="I1139" s="9" t="n">
        <v>5.29415026627746</v>
      </c>
      <c r="J1139" s="9" t="n">
        <v>19.1306361029445</v>
      </c>
      <c r="K1139" s="3" t="s">
        <v>419</v>
      </c>
      <c r="L1139" s="3" t="s">
        <v>420</v>
      </c>
      <c r="M1139" s="7" t="n">
        <v>2019</v>
      </c>
    </row>
    <row r="1140" customFormat="false" ht="15" hidden="false" customHeight="false" outlineLevel="0" collapsed="false">
      <c r="A1140" s="3" t="n">
        <v>1492</v>
      </c>
      <c r="B1140" s="3" t="s">
        <v>418</v>
      </c>
      <c r="C1140" s="4" t="s">
        <v>20</v>
      </c>
      <c r="D1140" s="5" t="n">
        <v>13705</v>
      </c>
      <c r="E1140" s="6" t="n">
        <v>182.7</v>
      </c>
      <c r="F1140" s="7" t="n">
        <v>72</v>
      </c>
      <c r="G1140" s="6" t="n">
        <v>424.94364658228</v>
      </c>
      <c r="H1140" s="8" t="n">
        <v>491464.32501827</v>
      </c>
      <c r="I1140" s="9" t="n">
        <v>6.33389010898369</v>
      </c>
      <c r="J1140" s="9" t="n">
        <v>27.6807908687425</v>
      </c>
      <c r="K1140" s="3" t="s">
        <v>419</v>
      </c>
      <c r="L1140" s="3" t="s">
        <v>420</v>
      </c>
      <c r="M1140" s="7" t="n">
        <v>2020</v>
      </c>
    </row>
    <row r="1141" customFormat="false" ht="15" hidden="false" customHeight="false" outlineLevel="0" collapsed="false">
      <c r="A1141" s="3" t="n">
        <v>1493</v>
      </c>
      <c r="B1141" s="3" t="s">
        <v>418</v>
      </c>
      <c r="C1141" s="4" t="s">
        <v>21</v>
      </c>
      <c r="D1141" s="5" t="n">
        <v>13795</v>
      </c>
      <c r="E1141" s="6" t="n">
        <v>183</v>
      </c>
      <c r="F1141" s="7" t="n">
        <v>73</v>
      </c>
      <c r="G1141" s="6" t="n">
        <v>172.865043393256</v>
      </c>
      <c r="H1141" s="8" t="n">
        <v>203822.812115701</v>
      </c>
      <c r="I1141" s="9" t="n">
        <v>3.81537685684886</v>
      </c>
      <c r="J1141" s="9" t="n">
        <v>11.2176826399786</v>
      </c>
      <c r="K1141" s="3" t="s">
        <v>419</v>
      </c>
      <c r="L1141" s="3" t="s">
        <v>420</v>
      </c>
      <c r="M1141" s="7" t="n">
        <v>2021</v>
      </c>
    </row>
    <row r="1142" customFormat="false" ht="15" hidden="false" customHeight="false" outlineLevel="0" collapsed="false">
      <c r="A1142" s="3" t="n">
        <v>1494</v>
      </c>
      <c r="B1142" s="3" t="s">
        <v>418</v>
      </c>
      <c r="C1142" s="4" t="s">
        <v>22</v>
      </c>
      <c r="D1142" s="5" t="n">
        <v>13855</v>
      </c>
      <c r="E1142" s="6" t="n">
        <v>184.9</v>
      </c>
      <c r="F1142" s="7" t="n">
        <v>78</v>
      </c>
      <c r="G1142" s="6" t="n">
        <v>96.4913901898749</v>
      </c>
      <c r="H1142" s="8" t="n">
        <v>122381.960005622</v>
      </c>
      <c r="I1142" s="9" t="n">
        <v>3.04482984293195</v>
      </c>
      <c r="J1142" s="9" t="n">
        <v>6.23447241737638</v>
      </c>
      <c r="K1142" s="3" t="s">
        <v>419</v>
      </c>
      <c r="L1142" s="3" t="s">
        <v>420</v>
      </c>
      <c r="M1142" s="7" t="n">
        <v>2022</v>
      </c>
    </row>
    <row r="1143" customFormat="false" ht="15" hidden="false" customHeight="false" outlineLevel="0" collapsed="false">
      <c r="A1143" s="3" t="n">
        <v>1495</v>
      </c>
      <c r="B1143" s="3" t="s">
        <v>418</v>
      </c>
      <c r="C1143" s="4" t="s">
        <v>23</v>
      </c>
      <c r="D1143" s="5" t="n">
        <v>13605</v>
      </c>
      <c r="E1143" s="6" t="n">
        <v>184.9</v>
      </c>
      <c r="F1143" s="7" t="n">
        <v>81</v>
      </c>
      <c r="G1143" s="6" t="n">
        <v>271.742974430379</v>
      </c>
      <c r="H1143" s="8" t="n">
        <v>366274.202945475</v>
      </c>
      <c r="I1143" s="9" t="n">
        <v>5.12271227122711</v>
      </c>
      <c r="J1143" s="9" t="n">
        <v>17.8804091823694</v>
      </c>
      <c r="K1143" s="3" t="s">
        <v>419</v>
      </c>
      <c r="L1143" s="3" t="s">
        <v>420</v>
      </c>
      <c r="M1143" s="7" t="n">
        <v>2023</v>
      </c>
    </row>
    <row r="1144" customFormat="false" ht="15" hidden="false" customHeight="false" outlineLevel="0" collapsed="false">
      <c r="A1144" s="3" t="n">
        <v>1496</v>
      </c>
      <c r="B1144" s="3" t="s">
        <v>418</v>
      </c>
      <c r="C1144" s="4" t="s">
        <v>24</v>
      </c>
      <c r="D1144" s="5" t="n">
        <v>13582</v>
      </c>
      <c r="E1144" s="6" t="n">
        <v>184.9</v>
      </c>
      <c r="F1144" s="7" t="n">
        <v>79</v>
      </c>
      <c r="G1144" s="6" t="n">
        <v>266.222886392407</v>
      </c>
      <c r="H1144" s="8" t="n">
        <v>357124.690951094</v>
      </c>
      <c r="I1144" s="9" t="n">
        <v>4.90066733144129</v>
      </c>
      <c r="J1144" s="9" t="n">
        <v>17.4987833925748</v>
      </c>
      <c r="K1144" s="3" t="s">
        <v>419</v>
      </c>
      <c r="L1144" s="3" t="s">
        <v>420</v>
      </c>
      <c r="M1144" s="7" t="n">
        <v>2024</v>
      </c>
    </row>
    <row r="1145" customFormat="false" ht="15" hidden="false" customHeight="false" outlineLevel="0" collapsed="false">
      <c r="A1145" s="3" t="n">
        <v>1510</v>
      </c>
      <c r="B1145" s="3" t="s">
        <v>421</v>
      </c>
      <c r="C1145" s="4" t="s">
        <v>17</v>
      </c>
      <c r="D1145" s="5" t="n">
        <v>57311</v>
      </c>
      <c r="E1145" s="6" t="n">
        <v>1090.14</v>
      </c>
      <c r="F1145" s="7" t="n">
        <v>59</v>
      </c>
      <c r="G1145" s="6" t="n">
        <v>127.92250381356</v>
      </c>
      <c r="H1145" s="8" t="n">
        <v>46563.5766341645</v>
      </c>
      <c r="I1145" s="9" t="n">
        <v>7.50661148209279</v>
      </c>
      <c r="J1145" s="9" t="n">
        <v>1.99814333775521</v>
      </c>
      <c r="K1145" s="3" t="s">
        <v>220</v>
      </c>
      <c r="L1145" s="3" t="s">
        <v>309</v>
      </c>
      <c r="M1145" s="7" t="n">
        <v>2017</v>
      </c>
    </row>
    <row r="1146" customFormat="false" ht="15" hidden="false" customHeight="false" outlineLevel="0" collapsed="false">
      <c r="A1146" s="3" t="n">
        <v>1518</v>
      </c>
      <c r="B1146" s="3" t="s">
        <v>422</v>
      </c>
      <c r="C1146" s="4" t="s">
        <v>14</v>
      </c>
      <c r="D1146" s="5" t="n">
        <v>7488</v>
      </c>
      <c r="E1146" s="6" t="n">
        <v>205</v>
      </c>
      <c r="F1146" s="7" t="n">
        <v>64</v>
      </c>
      <c r="G1146" s="6" t="n">
        <v>291.83384</v>
      </c>
      <c r="H1146" s="8" t="n">
        <v>398391.1299992</v>
      </c>
      <c r="I1146" s="9" t="n">
        <v>8.74554300317714</v>
      </c>
      <c r="J1146" s="9" t="n">
        <v>34.7933309177204</v>
      </c>
      <c r="K1146" s="3" t="s">
        <v>423</v>
      </c>
      <c r="L1146" s="3" t="s">
        <v>424</v>
      </c>
      <c r="M1146" s="7" t="n">
        <v>2016</v>
      </c>
    </row>
    <row r="1147" customFormat="false" ht="15" hidden="false" customHeight="false" outlineLevel="0" collapsed="false">
      <c r="A1147" s="3" t="n">
        <v>1519</v>
      </c>
      <c r="B1147" s="3" t="s">
        <v>422</v>
      </c>
      <c r="C1147" s="4" t="s">
        <v>17</v>
      </c>
      <c r="D1147" s="5" t="n">
        <v>7507</v>
      </c>
      <c r="E1147" s="6" t="n">
        <v>224.41</v>
      </c>
      <c r="F1147" s="7" t="n">
        <v>58</v>
      </c>
      <c r="G1147" s="6" t="n">
        <v>80.2805705386848</v>
      </c>
      <c r="H1147" s="8" t="n">
        <v>112297.264875218</v>
      </c>
      <c r="I1147" s="9" t="n">
        <v>6.1415417409025</v>
      </c>
      <c r="J1147" s="9" t="n">
        <v>9.57330088642578</v>
      </c>
      <c r="K1147" s="3" t="s">
        <v>423</v>
      </c>
      <c r="L1147" s="3" t="s">
        <v>424</v>
      </c>
      <c r="M1147" s="7" t="n">
        <v>2017</v>
      </c>
    </row>
    <row r="1148" customFormat="false" ht="15" hidden="false" customHeight="false" outlineLevel="0" collapsed="false">
      <c r="A1148" s="3" t="n">
        <v>1520</v>
      </c>
      <c r="B1148" s="3" t="s">
        <v>422</v>
      </c>
      <c r="C1148" s="4" t="s">
        <v>18</v>
      </c>
      <c r="D1148" s="5" t="n">
        <v>7943</v>
      </c>
      <c r="E1148" s="6" t="n">
        <v>224.834</v>
      </c>
      <c r="F1148" s="7" t="n">
        <v>74</v>
      </c>
      <c r="G1148" s="6" t="n">
        <v>314.760722081218</v>
      </c>
      <c r="H1148" s="8" t="n">
        <v>453755.909345064</v>
      </c>
      <c r="I1148" s="9" t="n">
        <v>5.82814998074477</v>
      </c>
      <c r="J1148" s="9" t="n">
        <v>35.4742845144204</v>
      </c>
      <c r="K1148" s="3" t="s">
        <v>423</v>
      </c>
      <c r="L1148" s="3" t="s">
        <v>424</v>
      </c>
      <c r="M1148" s="7" t="n">
        <v>2018</v>
      </c>
    </row>
    <row r="1149" customFormat="false" ht="15" hidden="false" customHeight="false" outlineLevel="0" collapsed="false">
      <c r="A1149" s="3" t="n">
        <v>1521</v>
      </c>
      <c r="B1149" s="3" t="s">
        <v>422</v>
      </c>
      <c r="C1149" s="4" t="s">
        <v>19</v>
      </c>
      <c r="D1149" s="5" t="n">
        <v>7662</v>
      </c>
      <c r="E1149" s="6" t="n">
        <v>224.51</v>
      </c>
      <c r="F1149" s="7" t="n">
        <v>73</v>
      </c>
      <c r="G1149" s="6" t="n">
        <v>248.27078617347</v>
      </c>
      <c r="H1149" s="8" t="n">
        <v>368173.162355947</v>
      </c>
      <c r="I1149" s="9" t="n">
        <v>5.96816629134891</v>
      </c>
      <c r="J1149" s="9" t="n">
        <v>29.0068885499623</v>
      </c>
      <c r="K1149" s="3" t="s">
        <v>423</v>
      </c>
      <c r="L1149" s="3" t="s">
        <v>424</v>
      </c>
      <c r="M1149" s="7" t="n">
        <v>2019</v>
      </c>
    </row>
    <row r="1150" customFormat="false" ht="15" hidden="false" customHeight="false" outlineLevel="0" collapsed="false">
      <c r="A1150" s="3" t="n">
        <v>1522</v>
      </c>
      <c r="B1150" s="3" t="s">
        <v>422</v>
      </c>
      <c r="C1150" s="4" t="s">
        <v>20</v>
      </c>
      <c r="D1150" s="5" t="n">
        <v>7690</v>
      </c>
      <c r="E1150" s="6" t="n">
        <v>219.5</v>
      </c>
      <c r="F1150" s="7" t="n">
        <v>74</v>
      </c>
      <c r="G1150" s="6" t="n">
        <v>308.140844897959</v>
      </c>
      <c r="H1150" s="8" t="n">
        <v>452973.204816898</v>
      </c>
      <c r="I1150" s="9" t="n">
        <v>6.34828314679114</v>
      </c>
      <c r="J1150" s="9" t="n">
        <v>35.7724860433742</v>
      </c>
      <c r="K1150" s="3" t="s">
        <v>423</v>
      </c>
      <c r="L1150" s="3" t="s">
        <v>424</v>
      </c>
      <c r="M1150" s="7" t="n">
        <v>2020</v>
      </c>
    </row>
    <row r="1151" customFormat="false" ht="15" hidden="false" customHeight="false" outlineLevel="0" collapsed="false">
      <c r="A1151" s="3" t="n">
        <v>1523</v>
      </c>
      <c r="B1151" s="3" t="s">
        <v>422</v>
      </c>
      <c r="C1151" s="4" t="s">
        <v>21</v>
      </c>
      <c r="D1151" s="5" t="n">
        <v>7731</v>
      </c>
      <c r="E1151" s="6" t="n">
        <v>220.59</v>
      </c>
      <c r="F1151" s="7" t="n">
        <v>74</v>
      </c>
      <c r="G1151" s="6" t="n">
        <v>259.80666122449</v>
      </c>
      <c r="H1151" s="8" t="n">
        <v>403661.609544491</v>
      </c>
      <c r="I1151" s="9" t="n">
        <v>5.67392665785263</v>
      </c>
      <c r="J1151" s="9" t="n">
        <v>30.0837716168605</v>
      </c>
      <c r="K1151" s="3" t="s">
        <v>423</v>
      </c>
      <c r="L1151" s="3" t="s">
        <v>424</v>
      </c>
      <c r="M1151" s="7" t="n">
        <v>2021</v>
      </c>
    </row>
    <row r="1152" customFormat="false" ht="15" hidden="false" customHeight="false" outlineLevel="0" collapsed="false">
      <c r="A1152" s="3" t="n">
        <v>1524</v>
      </c>
      <c r="B1152" s="3" t="s">
        <v>422</v>
      </c>
      <c r="C1152" s="4" t="s">
        <v>22</v>
      </c>
      <c r="D1152" s="5" t="n">
        <v>7718</v>
      </c>
      <c r="E1152" s="6" t="n">
        <v>222.56</v>
      </c>
      <c r="F1152" s="7" t="n">
        <v>58</v>
      </c>
      <c r="G1152" s="6" t="n">
        <v>472.217000000001</v>
      </c>
      <c r="H1152" s="8" t="n">
        <v>754470.545240001</v>
      </c>
      <c r="I1152" s="9" t="n">
        <v>6.60861296699448</v>
      </c>
      <c r="J1152" s="9" t="n">
        <v>54.7714852631498</v>
      </c>
      <c r="K1152" s="3" t="s">
        <v>423</v>
      </c>
      <c r="L1152" s="3" t="s">
        <v>424</v>
      </c>
      <c r="M1152" s="7" t="n">
        <v>2022</v>
      </c>
    </row>
    <row r="1153" customFormat="false" ht="15" hidden="false" customHeight="false" outlineLevel="0" collapsed="false">
      <c r="A1153" s="3" t="n">
        <v>1525</v>
      </c>
      <c r="B1153" s="3" t="s">
        <v>422</v>
      </c>
      <c r="C1153" s="4" t="s">
        <v>23</v>
      </c>
      <c r="D1153" s="5" t="n">
        <v>7719</v>
      </c>
      <c r="E1153" s="6" t="n">
        <v>220.14547</v>
      </c>
      <c r="F1153" s="7" t="n">
        <v>62</v>
      </c>
      <c r="G1153" s="6" t="n">
        <v>200.972192346939</v>
      </c>
      <c r="H1153" s="8" t="n">
        <v>346369.544344179</v>
      </c>
      <c r="I1153" s="9" t="n">
        <v>5.50605264660538</v>
      </c>
      <c r="J1153" s="9" t="n">
        <v>23.3073342104478</v>
      </c>
      <c r="K1153" s="3" t="s">
        <v>423</v>
      </c>
      <c r="L1153" s="3" t="s">
        <v>424</v>
      </c>
      <c r="M1153" s="7" t="n">
        <v>2023</v>
      </c>
    </row>
    <row r="1154" customFormat="false" ht="15" hidden="false" customHeight="false" outlineLevel="0" collapsed="false">
      <c r="A1154" s="3" t="n">
        <v>1526</v>
      </c>
      <c r="B1154" s="3" t="s">
        <v>422</v>
      </c>
      <c r="C1154" s="4" t="s">
        <v>24</v>
      </c>
      <c r="D1154" s="5" t="n">
        <v>7761</v>
      </c>
      <c r="E1154" s="6" t="n">
        <v>220.41</v>
      </c>
      <c r="F1154" s="7" t="n">
        <v>72</v>
      </c>
      <c r="G1154" s="6" t="n">
        <v>118.343927040817</v>
      </c>
      <c r="H1154" s="8" t="n">
        <v>215763.464341547</v>
      </c>
      <c r="I1154" s="9" t="n">
        <v>4.30678833125951</v>
      </c>
      <c r="J1154" s="9" t="n">
        <v>13.6130201305711</v>
      </c>
      <c r="K1154" s="3" t="s">
        <v>423</v>
      </c>
      <c r="L1154" s="3" t="s">
        <v>424</v>
      </c>
      <c r="M1154" s="7" t="n">
        <v>2024</v>
      </c>
    </row>
    <row r="1155" customFormat="false" ht="15" hidden="false" customHeight="false" outlineLevel="0" collapsed="false">
      <c r="A1155" s="3" t="n">
        <v>1527</v>
      </c>
      <c r="B1155" s="3" t="s">
        <v>425</v>
      </c>
      <c r="C1155" s="4" t="s">
        <v>14</v>
      </c>
      <c r="D1155" s="5" t="n">
        <v>42346</v>
      </c>
      <c r="E1155" s="6" t="n">
        <v>461.12</v>
      </c>
      <c r="F1155" s="7" t="n">
        <v>50</v>
      </c>
      <c r="G1155" s="6" t="n">
        <v>898.562885624296</v>
      </c>
      <c r="H1155" s="8" t="n">
        <v>384268.253139312</v>
      </c>
      <c r="I1155" s="9" t="n">
        <v>6.69923954949039</v>
      </c>
      <c r="J1155" s="9" t="n">
        <v>18.9435896223196</v>
      </c>
      <c r="K1155" s="3" t="s">
        <v>426</v>
      </c>
      <c r="L1155" s="3" t="s">
        <v>426</v>
      </c>
      <c r="M1155" s="7" t="n">
        <v>2016</v>
      </c>
    </row>
    <row r="1156" customFormat="false" ht="15" hidden="false" customHeight="false" outlineLevel="0" collapsed="false">
      <c r="A1156" s="3" t="n">
        <v>1528</v>
      </c>
      <c r="B1156" s="3" t="s">
        <v>425</v>
      </c>
      <c r="C1156" s="4" t="s">
        <v>17</v>
      </c>
      <c r="D1156" s="5" t="n">
        <v>43085</v>
      </c>
      <c r="E1156" s="6" t="n">
        <v>501.79</v>
      </c>
      <c r="F1156" s="7" t="n">
        <v>69</v>
      </c>
      <c r="G1156" s="6" t="n">
        <v>969.165811130521</v>
      </c>
      <c r="H1156" s="8" t="n">
        <v>616329.436873762</v>
      </c>
      <c r="I1156" s="9" t="n">
        <v>7.54398084564426</v>
      </c>
      <c r="J1156" s="9" t="n">
        <v>20.1367631785043</v>
      </c>
      <c r="K1156" s="3" t="s">
        <v>426</v>
      </c>
      <c r="L1156" s="3" t="s">
        <v>426</v>
      </c>
      <c r="M1156" s="7" t="n">
        <v>2017</v>
      </c>
    </row>
    <row r="1157" customFormat="false" ht="15" hidden="false" customHeight="false" outlineLevel="0" collapsed="false">
      <c r="A1157" s="3" t="n">
        <v>1529</v>
      </c>
      <c r="B1157" s="3" t="s">
        <v>425</v>
      </c>
      <c r="C1157" s="4" t="s">
        <v>18</v>
      </c>
      <c r="D1157" s="5" t="n">
        <v>43180</v>
      </c>
      <c r="E1157" s="6" t="n">
        <v>488.8</v>
      </c>
      <c r="F1157" s="7" t="n">
        <v>74</v>
      </c>
      <c r="G1157" s="6" t="n">
        <v>548.325396737595</v>
      </c>
      <c r="H1157" s="8" t="n">
        <v>348700.995344285</v>
      </c>
      <c r="I1157" s="9" t="n">
        <v>5.84125558619332</v>
      </c>
      <c r="J1157" s="9" t="n">
        <v>11.3677207887976</v>
      </c>
      <c r="K1157" s="3" t="s">
        <v>426</v>
      </c>
      <c r="L1157" s="3" t="s">
        <v>426</v>
      </c>
      <c r="M1157" s="7" t="n">
        <v>2018</v>
      </c>
    </row>
    <row r="1158" customFormat="false" ht="15" hidden="false" customHeight="false" outlineLevel="0" collapsed="false">
      <c r="A1158" s="3" t="n">
        <v>1530</v>
      </c>
      <c r="B1158" s="3" t="s">
        <v>425</v>
      </c>
      <c r="C1158" s="4" t="s">
        <v>19</v>
      </c>
      <c r="D1158" s="5" t="n">
        <v>40622</v>
      </c>
      <c r="E1158" s="6" t="n">
        <v>460.1</v>
      </c>
      <c r="F1158" s="7" t="n">
        <v>78</v>
      </c>
      <c r="G1158" s="6" t="n">
        <v>618.944499192559</v>
      </c>
      <c r="H1158" s="8" t="n">
        <v>382307.397544788</v>
      </c>
      <c r="I1158" s="9" t="n">
        <v>5.52176709580572</v>
      </c>
      <c r="J1158" s="9" t="n">
        <v>13.6398024460298</v>
      </c>
      <c r="K1158" s="3" t="s">
        <v>426</v>
      </c>
      <c r="L1158" s="3" t="s">
        <v>426</v>
      </c>
      <c r="M1158" s="7" t="n">
        <v>2019</v>
      </c>
    </row>
    <row r="1159" customFormat="false" ht="15" hidden="false" customHeight="false" outlineLevel="0" collapsed="false">
      <c r="A1159" s="3" t="n">
        <v>1531</v>
      </c>
      <c r="B1159" s="3" t="s">
        <v>425</v>
      </c>
      <c r="C1159" s="4" t="s">
        <v>20</v>
      </c>
      <c r="D1159" s="5" t="n">
        <v>45170</v>
      </c>
      <c r="E1159" s="6" t="n">
        <v>488.4</v>
      </c>
      <c r="F1159" s="7" t="n">
        <v>79</v>
      </c>
      <c r="G1159" s="6" t="n">
        <v>723.51177684748</v>
      </c>
      <c r="H1159" s="8" t="n">
        <v>381346.392334196</v>
      </c>
      <c r="I1159" s="9" t="n">
        <v>6.52662364947187</v>
      </c>
      <c r="J1159" s="9" t="n">
        <v>14.2995281749936</v>
      </c>
      <c r="K1159" s="3" t="s">
        <v>426</v>
      </c>
      <c r="L1159" s="3" t="s">
        <v>426</v>
      </c>
      <c r="M1159" s="7" t="n">
        <v>2020</v>
      </c>
    </row>
    <row r="1160" customFormat="false" ht="15" hidden="false" customHeight="false" outlineLevel="0" collapsed="false">
      <c r="A1160" s="3" t="n">
        <v>1532</v>
      </c>
      <c r="B1160" s="3" t="s">
        <v>425</v>
      </c>
      <c r="C1160" s="4" t="s">
        <v>21</v>
      </c>
      <c r="D1160" s="5" t="n">
        <v>41063</v>
      </c>
      <c r="E1160" s="6" t="n">
        <v>459.96</v>
      </c>
      <c r="F1160" s="7" t="n">
        <v>78</v>
      </c>
      <c r="G1160" s="6" t="n">
        <v>205.218755209374</v>
      </c>
      <c r="H1160" s="8" t="n">
        <v>192339.359212863</v>
      </c>
      <c r="I1160" s="9" t="n">
        <v>4.55780882653207</v>
      </c>
      <c r="J1160" s="9" t="n">
        <v>4.47387708753407</v>
      </c>
      <c r="K1160" s="3" t="s">
        <v>426</v>
      </c>
      <c r="L1160" s="3" t="s">
        <v>426</v>
      </c>
      <c r="M1160" s="7" t="n">
        <v>2021</v>
      </c>
    </row>
    <row r="1161" customFormat="false" ht="15" hidden="false" customHeight="false" outlineLevel="0" collapsed="false">
      <c r="A1161" s="3" t="n">
        <v>1533</v>
      </c>
      <c r="B1161" s="3" t="s">
        <v>425</v>
      </c>
      <c r="C1161" s="4" t="s">
        <v>22</v>
      </c>
      <c r="D1161" s="5" t="n">
        <v>40454</v>
      </c>
      <c r="E1161" s="6" t="n">
        <v>459.75</v>
      </c>
      <c r="F1161" s="7" t="n">
        <v>63</v>
      </c>
      <c r="G1161" s="6" t="n">
        <v>1847.18206182748</v>
      </c>
      <c r="H1161" s="8" t="n">
        <v>1440802.00822544</v>
      </c>
      <c r="I1161" s="9" t="n">
        <v>9.07495808073408</v>
      </c>
      <c r="J1161" s="9" t="n">
        <v>40.8757662364951</v>
      </c>
      <c r="K1161" s="3" t="s">
        <v>426</v>
      </c>
      <c r="L1161" s="3" t="s">
        <v>426</v>
      </c>
      <c r="M1161" s="7" t="n">
        <v>2022</v>
      </c>
    </row>
    <row r="1162" customFormat="false" ht="15" hidden="false" customHeight="false" outlineLevel="0" collapsed="false">
      <c r="A1162" s="3" t="n">
        <v>1534</v>
      </c>
      <c r="B1162" s="3" t="s">
        <v>425</v>
      </c>
      <c r="C1162" s="4" t="s">
        <v>23</v>
      </c>
      <c r="D1162" s="5" t="n">
        <v>40106</v>
      </c>
      <c r="E1162" s="6" t="n">
        <v>460.3</v>
      </c>
      <c r="F1162" s="7" t="n">
        <v>60</v>
      </c>
      <c r="G1162" s="6" t="n">
        <v>521.496667500003</v>
      </c>
      <c r="H1162" s="8" t="n">
        <v>334748.710868252</v>
      </c>
      <c r="I1162" s="9" t="n">
        <v>3.47208323644094</v>
      </c>
      <c r="J1162" s="9" t="n">
        <v>11.6401844590916</v>
      </c>
      <c r="K1162" s="3" t="s">
        <v>426</v>
      </c>
      <c r="L1162" s="3" t="s">
        <v>426</v>
      </c>
      <c r="M1162" s="7" t="n">
        <v>2023</v>
      </c>
    </row>
    <row r="1163" customFormat="false" ht="15" hidden="false" customHeight="false" outlineLevel="0" collapsed="false">
      <c r="A1163" s="3" t="n">
        <v>1535</v>
      </c>
      <c r="B1163" s="3" t="s">
        <v>425</v>
      </c>
      <c r="C1163" s="4" t="s">
        <v>24</v>
      </c>
      <c r="D1163" s="5" t="n">
        <v>41208</v>
      </c>
      <c r="E1163" s="6" t="n">
        <v>460.3</v>
      </c>
      <c r="F1163" s="7" t="n">
        <v>60</v>
      </c>
      <c r="G1163" s="6" t="n">
        <v>712.6190897553</v>
      </c>
      <c r="H1163" s="8" t="n">
        <v>548880.601502225</v>
      </c>
      <c r="I1163" s="9" t="n">
        <v>4.16044173487776</v>
      </c>
      <c r="J1163" s="9" t="n">
        <v>15.4383935966586</v>
      </c>
      <c r="K1163" s="3" t="s">
        <v>426</v>
      </c>
      <c r="L1163" s="3" t="s">
        <v>426</v>
      </c>
      <c r="M1163" s="7" t="n">
        <v>2024</v>
      </c>
    </row>
    <row r="1164" customFormat="false" ht="15" hidden="false" customHeight="false" outlineLevel="0" collapsed="false">
      <c r="A1164" s="3" t="n">
        <v>1536</v>
      </c>
      <c r="B1164" s="3" t="s">
        <v>427</v>
      </c>
      <c r="C1164" s="4" t="s">
        <v>17</v>
      </c>
      <c r="D1164" s="5" t="n">
        <v>16895</v>
      </c>
      <c r="E1164" s="6" t="n">
        <v>254.9</v>
      </c>
      <c r="F1164" s="7" t="n">
        <v>79</v>
      </c>
      <c r="G1164" s="6" t="n">
        <v>65.0465698526061</v>
      </c>
      <c r="H1164" s="8" t="n">
        <v>53460.4748304599</v>
      </c>
      <c r="I1164" s="9" t="n">
        <v>3.60258681434338</v>
      </c>
      <c r="J1164" s="9" t="n">
        <v>3.44654440208293</v>
      </c>
      <c r="K1164" s="3" t="s">
        <v>243</v>
      </c>
      <c r="L1164" s="3" t="s">
        <v>428</v>
      </c>
      <c r="M1164" s="7" t="n">
        <v>2017</v>
      </c>
    </row>
    <row r="1165" customFormat="false" ht="15" hidden="false" customHeight="false" outlineLevel="0" collapsed="false">
      <c r="A1165" s="3" t="n">
        <v>1537</v>
      </c>
      <c r="B1165" s="3" t="s">
        <v>427</v>
      </c>
      <c r="C1165" s="4" t="s">
        <v>18</v>
      </c>
      <c r="D1165" s="5" t="n">
        <v>16895</v>
      </c>
      <c r="E1165" s="6" t="n">
        <v>155.46553030303</v>
      </c>
      <c r="F1165" s="7" t="n">
        <v>68</v>
      </c>
      <c r="G1165" s="6" t="n">
        <v>154.632277015114</v>
      </c>
      <c r="H1165" s="8" t="n">
        <v>115927.818078231</v>
      </c>
      <c r="I1165" s="9" t="n">
        <v>3.96364831717588</v>
      </c>
      <c r="J1165" s="9" t="n">
        <v>8.19331457347286</v>
      </c>
      <c r="K1165" s="3" t="s">
        <v>243</v>
      </c>
      <c r="L1165" s="3" t="s">
        <v>428</v>
      </c>
      <c r="M1165" s="7" t="n">
        <v>2018</v>
      </c>
    </row>
    <row r="1166" customFormat="false" ht="15" hidden="false" customHeight="false" outlineLevel="0" collapsed="false">
      <c r="A1166" s="3" t="n">
        <v>1538</v>
      </c>
      <c r="B1166" s="3" t="s">
        <v>427</v>
      </c>
      <c r="C1166" s="4" t="s">
        <v>19</v>
      </c>
      <c r="D1166" s="5" t="n">
        <v>16936</v>
      </c>
      <c r="E1166" s="6" t="n">
        <v>155.46553030303</v>
      </c>
      <c r="F1166" s="7" t="n">
        <v>78</v>
      </c>
      <c r="G1166" s="6" t="n">
        <v>6.32597035892478</v>
      </c>
      <c r="H1166" s="8" t="n">
        <v>4235.99627174321</v>
      </c>
      <c r="I1166" s="9" t="n">
        <v>1.78314679297829</v>
      </c>
      <c r="J1166" s="9" t="n">
        <v>0.334375140708459</v>
      </c>
      <c r="K1166" s="3" t="s">
        <v>243</v>
      </c>
      <c r="L1166" s="3" t="s">
        <v>428</v>
      </c>
      <c r="M1166" s="7" t="n">
        <v>2019</v>
      </c>
    </row>
    <row r="1167" customFormat="false" ht="15" hidden="false" customHeight="false" outlineLevel="0" collapsed="false">
      <c r="A1167" s="3" t="n">
        <v>1539</v>
      </c>
      <c r="B1167" s="3" t="s">
        <v>427</v>
      </c>
      <c r="C1167" s="4" t="s">
        <v>20</v>
      </c>
      <c r="D1167" s="5" t="n">
        <v>16840</v>
      </c>
      <c r="E1167" s="6" t="n">
        <v>155.46553030303</v>
      </c>
      <c r="F1167" s="7" t="n">
        <v>78</v>
      </c>
      <c r="G1167" s="6" t="n">
        <v>101.528975867256</v>
      </c>
      <c r="H1167" s="8" t="n">
        <v>95707.3043910271</v>
      </c>
      <c r="I1167" s="9" t="n">
        <v>2.53944254981594</v>
      </c>
      <c r="J1167" s="9" t="n">
        <v>5.38237697512791</v>
      </c>
      <c r="K1167" s="3" t="s">
        <v>243</v>
      </c>
      <c r="L1167" s="3" t="s">
        <v>428</v>
      </c>
      <c r="M1167" s="7" t="n">
        <v>2020</v>
      </c>
    </row>
    <row r="1168" customFormat="false" ht="15" hidden="false" customHeight="false" outlineLevel="0" collapsed="false">
      <c r="A1168" s="3" t="n">
        <v>1540</v>
      </c>
      <c r="B1168" s="3" t="s">
        <v>427</v>
      </c>
      <c r="C1168" s="4" t="s">
        <v>21</v>
      </c>
      <c r="D1168" s="5" t="n">
        <v>16856</v>
      </c>
      <c r="E1168" s="6" t="n">
        <v>149</v>
      </c>
      <c r="F1168" s="7" t="n">
        <v>77</v>
      </c>
      <c r="G1168" s="6" t="n">
        <v>12.5545417787591</v>
      </c>
      <c r="H1168" s="8" t="n">
        <v>12695.0271012634</v>
      </c>
      <c r="I1168" s="9" t="n">
        <v>1.13595975613091</v>
      </c>
      <c r="J1168" s="9" t="n">
        <v>0.666751525714656</v>
      </c>
      <c r="K1168" s="3" t="s">
        <v>243</v>
      </c>
      <c r="L1168" s="3" t="s">
        <v>428</v>
      </c>
      <c r="M1168" s="7" t="n">
        <v>2021</v>
      </c>
    </row>
    <row r="1169" customFormat="false" ht="15" hidden="false" customHeight="false" outlineLevel="0" collapsed="false">
      <c r="A1169" s="3" t="n">
        <v>1541</v>
      </c>
      <c r="B1169" s="3" t="s">
        <v>427</v>
      </c>
      <c r="C1169" s="4" t="s">
        <v>22</v>
      </c>
      <c r="D1169" s="5" t="n">
        <v>16886</v>
      </c>
      <c r="E1169" s="6" t="n">
        <v>149</v>
      </c>
      <c r="F1169" s="7" t="n">
        <v>70</v>
      </c>
      <c r="G1169" s="6" t="n">
        <v>-361.788257001104</v>
      </c>
      <c r="H1169" s="8" t="n">
        <v>-381270.554640614</v>
      </c>
      <c r="I1169" s="9" t="n">
        <v>-5.37038716605477</v>
      </c>
      <c r="J1169" s="9" t="n">
        <v>-19.1798566033743</v>
      </c>
      <c r="K1169" s="3" t="s">
        <v>243</v>
      </c>
      <c r="L1169" s="3" t="s">
        <v>428</v>
      </c>
      <c r="M1169" s="7" t="n">
        <v>2022</v>
      </c>
    </row>
    <row r="1170" customFormat="false" ht="15" hidden="false" customHeight="false" outlineLevel="0" collapsed="false">
      <c r="A1170" s="3" t="n">
        <v>1542</v>
      </c>
      <c r="B1170" s="3" t="s">
        <v>427</v>
      </c>
      <c r="C1170" s="4" t="s">
        <v>23</v>
      </c>
      <c r="D1170" s="5" t="n">
        <v>16751</v>
      </c>
      <c r="E1170" s="6" t="n">
        <v>152.8</v>
      </c>
      <c r="F1170" s="7" t="n">
        <v>70</v>
      </c>
      <c r="G1170" s="6" t="n">
        <v>216.051857854848</v>
      </c>
      <c r="H1170" s="8" t="n">
        <v>233575.824045455</v>
      </c>
      <c r="I1170" s="9" t="n">
        <v>5.19018678497716</v>
      </c>
      <c r="J1170" s="9" t="n">
        <v>11.5460900700467</v>
      </c>
      <c r="K1170" s="3" t="s">
        <v>243</v>
      </c>
      <c r="L1170" s="3" t="s">
        <v>428</v>
      </c>
      <c r="M1170" s="7" t="n">
        <v>2023</v>
      </c>
    </row>
    <row r="1171" customFormat="false" ht="15" hidden="false" customHeight="false" outlineLevel="0" collapsed="false">
      <c r="A1171" s="3" t="n">
        <v>1543</v>
      </c>
      <c r="B1171" s="3" t="s">
        <v>427</v>
      </c>
      <c r="C1171" s="4" t="s">
        <v>24</v>
      </c>
      <c r="D1171" s="5" t="n">
        <v>16743</v>
      </c>
      <c r="E1171" s="6" t="n">
        <v>152</v>
      </c>
      <c r="F1171" s="7" t="n">
        <v>74</v>
      </c>
      <c r="G1171" s="6" t="n">
        <v>46.9498894644654</v>
      </c>
      <c r="H1171" s="8" t="n">
        <v>53137.4153969873</v>
      </c>
      <c r="I1171" s="9" t="n">
        <v>1.99464562650698</v>
      </c>
      <c r="J1171" s="9" t="n">
        <v>2.50338410603581</v>
      </c>
      <c r="K1171" s="3" t="s">
        <v>243</v>
      </c>
      <c r="L1171" s="3" t="s">
        <v>428</v>
      </c>
      <c r="M1171" s="7" t="n">
        <v>2024</v>
      </c>
    </row>
    <row r="1172" customFormat="false" ht="15" hidden="false" customHeight="false" outlineLevel="0" collapsed="false">
      <c r="A1172" s="3" t="n">
        <v>1544</v>
      </c>
      <c r="B1172" s="3" t="s">
        <v>429</v>
      </c>
      <c r="C1172" s="4" t="s">
        <v>14</v>
      </c>
      <c r="D1172" s="5" t="n">
        <v>7466</v>
      </c>
      <c r="E1172" s="6" t="n">
        <v>62.3</v>
      </c>
      <c r="F1172" s="7" t="n">
        <v>76</v>
      </c>
      <c r="G1172" s="6" t="n">
        <v>153.461443973569</v>
      </c>
      <c r="H1172" s="8" t="n">
        <v>138374.649416528</v>
      </c>
      <c r="I1172" s="9" t="n">
        <v>7.34361727378036</v>
      </c>
      <c r="J1172" s="9" t="n">
        <v>18.3500599907641</v>
      </c>
      <c r="K1172" s="3" t="s">
        <v>430</v>
      </c>
      <c r="L1172" s="3" t="s">
        <v>371</v>
      </c>
      <c r="M1172" s="7" t="n">
        <v>2016</v>
      </c>
    </row>
    <row r="1173" customFormat="false" ht="15" hidden="false" customHeight="false" outlineLevel="0" collapsed="false">
      <c r="A1173" s="3" t="n">
        <v>1545</v>
      </c>
      <c r="B1173" s="3" t="s">
        <v>429</v>
      </c>
      <c r="C1173" s="4" t="s">
        <v>17</v>
      </c>
      <c r="D1173" s="5" t="n">
        <v>7495</v>
      </c>
      <c r="E1173" s="6" t="n">
        <v>68.9</v>
      </c>
      <c r="F1173" s="7" t="n">
        <v>78</v>
      </c>
      <c r="G1173" s="6" t="n">
        <v>130.604940176768</v>
      </c>
      <c r="H1173" s="8" t="n">
        <v>30622.9403232468</v>
      </c>
      <c r="I1173" s="9" t="n">
        <v>6.17492249148399</v>
      </c>
      <c r="J1173" s="9" t="n">
        <v>15.5993190924133</v>
      </c>
      <c r="K1173" s="3" t="s">
        <v>430</v>
      </c>
      <c r="L1173" s="3" t="s">
        <v>371</v>
      </c>
      <c r="M1173" s="7" t="n">
        <v>2017</v>
      </c>
    </row>
    <row r="1174" customFormat="false" ht="15" hidden="false" customHeight="false" outlineLevel="0" collapsed="false">
      <c r="A1174" s="3" t="n">
        <v>1546</v>
      </c>
      <c r="B1174" s="3" t="s">
        <v>429</v>
      </c>
      <c r="C1174" s="4" t="s">
        <v>18</v>
      </c>
      <c r="D1174" s="5" t="n">
        <v>7518</v>
      </c>
      <c r="E1174" s="6" t="n">
        <v>67.6</v>
      </c>
      <c r="F1174" s="7" t="n">
        <v>75</v>
      </c>
      <c r="G1174" s="6" t="n">
        <v>99.1703905102041</v>
      </c>
      <c r="H1174" s="8" t="n">
        <v>23516.2747016847</v>
      </c>
      <c r="I1174" s="9" t="n">
        <v>5.87759135514503</v>
      </c>
      <c r="J1174" s="9" t="n">
        <v>11.808571851783</v>
      </c>
      <c r="K1174" s="3" t="s">
        <v>430</v>
      </c>
      <c r="L1174" s="3" t="s">
        <v>371</v>
      </c>
      <c r="M1174" s="7" t="n">
        <v>2018</v>
      </c>
    </row>
    <row r="1175" customFormat="false" ht="15" hidden="false" customHeight="false" outlineLevel="0" collapsed="false">
      <c r="A1175" s="3" t="n">
        <v>1547</v>
      </c>
      <c r="B1175" s="3" t="s">
        <v>429</v>
      </c>
      <c r="C1175" s="4" t="s">
        <v>19</v>
      </c>
      <c r="D1175" s="5" t="n">
        <v>7554</v>
      </c>
      <c r="E1175" s="6" t="n">
        <v>67.6</v>
      </c>
      <c r="F1175" s="7" t="n">
        <v>72</v>
      </c>
      <c r="G1175" s="6" t="n">
        <v>128.543734081633</v>
      </c>
      <c r="H1175" s="8" t="n">
        <v>38516.8444802207</v>
      </c>
      <c r="I1175" s="9" t="n">
        <v>7.1086653506604</v>
      </c>
      <c r="J1175" s="9" t="n">
        <v>15.2332161893103</v>
      </c>
      <c r="K1175" s="3" t="s">
        <v>430</v>
      </c>
      <c r="L1175" s="3" t="s">
        <v>371</v>
      </c>
      <c r="M1175" s="7" t="n">
        <v>2019</v>
      </c>
    </row>
    <row r="1176" customFormat="false" ht="15" hidden="false" customHeight="false" outlineLevel="0" collapsed="false">
      <c r="A1176" s="3" t="n">
        <v>1548</v>
      </c>
      <c r="B1176" s="3" t="s">
        <v>429</v>
      </c>
      <c r="C1176" s="4" t="s">
        <v>20</v>
      </c>
      <c r="D1176" s="5" t="n">
        <v>7586</v>
      </c>
      <c r="E1176" s="6" t="n">
        <v>65.8</v>
      </c>
      <c r="F1176" s="7" t="n">
        <v>70</v>
      </c>
      <c r="G1176" s="6" t="n">
        <v>205.505666218274</v>
      </c>
      <c r="H1176" s="8" t="n">
        <v>68743.7004066747</v>
      </c>
      <c r="I1176" s="9" t="n">
        <v>8.75375531255996</v>
      </c>
      <c r="J1176" s="9" t="n">
        <v>24.1845023973111</v>
      </c>
      <c r="K1176" s="3" t="s">
        <v>430</v>
      </c>
      <c r="L1176" s="3" t="s">
        <v>371</v>
      </c>
      <c r="M1176" s="7" t="n">
        <v>2020</v>
      </c>
    </row>
    <row r="1177" customFormat="false" ht="15" hidden="false" customHeight="false" outlineLevel="0" collapsed="false">
      <c r="A1177" s="3" t="n">
        <v>1549</v>
      </c>
      <c r="B1177" s="3" t="s">
        <v>429</v>
      </c>
      <c r="C1177" s="4" t="s">
        <v>21</v>
      </c>
      <c r="D1177" s="5" t="n">
        <v>7597</v>
      </c>
      <c r="E1177" s="6" t="n">
        <v>65.8</v>
      </c>
      <c r="F1177" s="7" t="n">
        <v>74</v>
      </c>
      <c r="G1177" s="6" t="n">
        <v>54.0851718331863</v>
      </c>
      <c r="H1177" s="8" t="n">
        <v>20810.3515662551</v>
      </c>
      <c r="I1177" s="9" t="n">
        <v>4.03974088859938</v>
      </c>
      <c r="J1177" s="9" t="n">
        <v>6.3731444479297</v>
      </c>
      <c r="K1177" s="3" t="s">
        <v>430</v>
      </c>
      <c r="L1177" s="3" t="s">
        <v>371</v>
      </c>
      <c r="M1177" s="7" t="n">
        <v>2021</v>
      </c>
    </row>
    <row r="1178" customFormat="false" ht="15" hidden="false" customHeight="false" outlineLevel="0" collapsed="false">
      <c r="A1178" s="3" t="n">
        <v>1550</v>
      </c>
      <c r="B1178" s="3" t="s">
        <v>429</v>
      </c>
      <c r="C1178" s="4" t="s">
        <v>22</v>
      </c>
      <c r="D1178" s="5" t="n">
        <v>7652</v>
      </c>
      <c r="E1178" s="6" t="n">
        <v>65.6</v>
      </c>
      <c r="F1178" s="7" t="n">
        <v>59</v>
      </c>
      <c r="G1178" s="6" t="n">
        <v>3.81616451776638</v>
      </c>
      <c r="H1178" s="8" t="n">
        <v>1533.52571146442</v>
      </c>
      <c r="I1178" s="9" t="n">
        <v>2.23405966656917</v>
      </c>
      <c r="J1178" s="9" t="n">
        <v>0.446446890376535</v>
      </c>
      <c r="K1178" s="3" t="s">
        <v>430</v>
      </c>
      <c r="L1178" s="3" t="s">
        <v>371</v>
      </c>
      <c r="M1178" s="7" t="n">
        <v>2022</v>
      </c>
    </row>
    <row r="1179" customFormat="false" ht="15" hidden="false" customHeight="false" outlineLevel="0" collapsed="false">
      <c r="A1179" s="3" t="n">
        <v>1551</v>
      </c>
      <c r="B1179" s="3" t="s">
        <v>429</v>
      </c>
      <c r="C1179" s="4" t="s">
        <v>23</v>
      </c>
      <c r="D1179" s="5" t="n">
        <v>7674</v>
      </c>
      <c r="E1179" s="6" t="n">
        <v>65.2894458432823</v>
      </c>
      <c r="F1179" s="7" t="n">
        <v>65</v>
      </c>
      <c r="G1179" s="6" t="n">
        <v>128.571838969946</v>
      </c>
      <c r="H1179" s="8" t="n">
        <v>67450.8365380359</v>
      </c>
      <c r="I1179" s="9" t="n">
        <v>7.12054442923316</v>
      </c>
      <c r="J1179" s="9" t="n">
        <v>14.9982896079082</v>
      </c>
      <c r="K1179" s="3" t="s">
        <v>430</v>
      </c>
      <c r="L1179" s="3" t="s">
        <v>371</v>
      </c>
      <c r="M1179" s="7" t="n">
        <v>2023</v>
      </c>
    </row>
    <row r="1180" customFormat="false" ht="15" hidden="false" customHeight="false" outlineLevel="0" collapsed="false">
      <c r="A1180" s="3" t="n">
        <v>1552</v>
      </c>
      <c r="B1180" s="3" t="s">
        <v>429</v>
      </c>
      <c r="C1180" s="4" t="s">
        <v>24</v>
      </c>
      <c r="D1180" s="5" t="n">
        <v>7739</v>
      </c>
      <c r="E1180" s="6" t="n">
        <v>74.1261857875</v>
      </c>
      <c r="F1180" s="7" t="n">
        <v>65</v>
      </c>
      <c r="G1180" s="6" t="n">
        <v>130.128172200957</v>
      </c>
      <c r="H1180" s="8" t="n">
        <v>52387.2348836737</v>
      </c>
      <c r="I1180" s="9" t="n">
        <v>6.89456522740058</v>
      </c>
      <c r="J1180" s="9" t="n">
        <v>15.0111054806394</v>
      </c>
      <c r="K1180" s="3" t="s">
        <v>430</v>
      </c>
      <c r="L1180" s="3" t="s">
        <v>371</v>
      </c>
      <c r="M1180" s="7" t="n">
        <v>2024</v>
      </c>
    </row>
    <row r="1181" customFormat="false" ht="15" hidden="false" customHeight="false" outlineLevel="0" collapsed="false">
      <c r="A1181" s="3" t="n">
        <v>1553</v>
      </c>
      <c r="B1181" s="3" t="s">
        <v>431</v>
      </c>
      <c r="C1181" s="4" t="s">
        <v>14</v>
      </c>
      <c r="D1181" s="5" t="n">
        <v>26404</v>
      </c>
      <c r="E1181" s="6" t="n">
        <v>320</v>
      </c>
      <c r="F1181" s="7" t="n">
        <v>63</v>
      </c>
      <c r="G1181" s="6" t="n">
        <v>147.241868686869</v>
      </c>
      <c r="H1181" s="8" t="n">
        <v>144149.789444445</v>
      </c>
      <c r="I1181" s="9" t="n">
        <v>2.60348726493692</v>
      </c>
      <c r="J1181" s="9" t="n">
        <v>4.97837709868419</v>
      </c>
      <c r="K1181" s="3" t="s">
        <v>432</v>
      </c>
      <c r="L1181" s="3" t="s">
        <v>433</v>
      </c>
      <c r="M1181" s="7" t="n">
        <v>2016</v>
      </c>
    </row>
    <row r="1182" customFormat="false" ht="15" hidden="false" customHeight="false" outlineLevel="0" collapsed="false">
      <c r="A1182" s="3" t="n">
        <v>1554</v>
      </c>
      <c r="B1182" s="3" t="s">
        <v>431</v>
      </c>
      <c r="C1182" s="4" t="s">
        <v>17</v>
      </c>
      <c r="D1182" s="5" t="n">
        <v>26648</v>
      </c>
      <c r="E1182" s="6" t="n">
        <v>320</v>
      </c>
      <c r="F1182" s="7" t="n">
        <v>66</v>
      </c>
      <c r="G1182" s="6" t="n">
        <v>445.42501348102</v>
      </c>
      <c r="H1182" s="8" t="n">
        <v>439082.16128905</v>
      </c>
      <c r="I1182" s="9" t="n">
        <v>5.81970398894115</v>
      </c>
      <c r="J1182" s="9" t="n">
        <v>14.963309419733</v>
      </c>
      <c r="K1182" s="3" t="s">
        <v>432</v>
      </c>
      <c r="L1182" s="3" t="s">
        <v>433</v>
      </c>
      <c r="M1182" s="7" t="n">
        <v>2017</v>
      </c>
    </row>
    <row r="1183" customFormat="false" ht="15" hidden="false" customHeight="false" outlineLevel="0" collapsed="false">
      <c r="A1183" s="3" t="n">
        <v>1555</v>
      </c>
      <c r="B1183" s="3" t="s">
        <v>431</v>
      </c>
      <c r="C1183" s="4" t="s">
        <v>18</v>
      </c>
      <c r="D1183" s="5" t="n">
        <v>28073</v>
      </c>
      <c r="E1183" s="6" t="n">
        <v>320</v>
      </c>
      <c r="F1183" s="7" t="n">
        <v>65</v>
      </c>
      <c r="G1183" s="6" t="n">
        <v>12.2390701178722</v>
      </c>
      <c r="H1183" s="8" t="n">
        <v>12422.6561696402</v>
      </c>
      <c r="I1183" s="9" t="n">
        <v>1.61068928726106</v>
      </c>
      <c r="J1183" s="9" t="n">
        <v>0.390280876523527</v>
      </c>
      <c r="K1183" s="3" t="s">
        <v>432</v>
      </c>
      <c r="L1183" s="3" t="s">
        <v>433</v>
      </c>
      <c r="M1183" s="7" t="n">
        <v>2018</v>
      </c>
    </row>
    <row r="1184" customFormat="false" ht="15" hidden="false" customHeight="false" outlineLevel="0" collapsed="false">
      <c r="A1184" s="3" t="n">
        <v>1556</v>
      </c>
      <c r="B1184" s="3" t="s">
        <v>431</v>
      </c>
      <c r="C1184" s="4" t="s">
        <v>19</v>
      </c>
      <c r="D1184" s="5" t="n">
        <v>27057</v>
      </c>
      <c r="E1184" s="6" t="n">
        <v>320</v>
      </c>
      <c r="F1184" s="7" t="n">
        <v>72</v>
      </c>
      <c r="G1184" s="6" t="n">
        <v>497.8605906473</v>
      </c>
      <c r="H1184" s="8" t="n">
        <v>522753.620179665</v>
      </c>
      <c r="I1184" s="9" t="n">
        <v>4.07006550506429</v>
      </c>
      <c r="J1184" s="9" t="n">
        <v>16.4719791107472</v>
      </c>
      <c r="K1184" s="3" t="s">
        <v>432</v>
      </c>
      <c r="L1184" s="3" t="s">
        <v>433</v>
      </c>
      <c r="M1184" s="7" t="n">
        <v>2019</v>
      </c>
    </row>
    <row r="1185" customFormat="false" ht="15" hidden="false" customHeight="false" outlineLevel="0" collapsed="false">
      <c r="A1185" s="3" t="n">
        <v>1557</v>
      </c>
      <c r="B1185" s="3" t="s">
        <v>431</v>
      </c>
      <c r="C1185" s="4" t="s">
        <v>20</v>
      </c>
      <c r="D1185" s="5" t="n">
        <v>27057</v>
      </c>
      <c r="E1185" s="6" t="n">
        <v>320</v>
      </c>
      <c r="F1185" s="7" t="n">
        <v>75</v>
      </c>
      <c r="G1185" s="6" t="n">
        <v>793.606057885955</v>
      </c>
      <c r="H1185" s="8" t="n">
        <v>855507.33040106</v>
      </c>
      <c r="I1185" s="9" t="n">
        <v>5.48443760891001</v>
      </c>
      <c r="J1185" s="9" t="n">
        <v>26.1849365766331</v>
      </c>
      <c r="K1185" s="3" t="s">
        <v>432</v>
      </c>
      <c r="L1185" s="3" t="s">
        <v>433</v>
      </c>
      <c r="M1185" s="7" t="n">
        <v>2020</v>
      </c>
    </row>
    <row r="1186" customFormat="false" ht="15" hidden="false" customHeight="false" outlineLevel="0" collapsed="false">
      <c r="A1186" s="3" t="n">
        <v>1558</v>
      </c>
      <c r="B1186" s="3" t="s">
        <v>431</v>
      </c>
      <c r="C1186" s="4" t="s">
        <v>21</v>
      </c>
      <c r="D1186" s="5" t="n">
        <v>26820</v>
      </c>
      <c r="E1186" s="6" t="n">
        <v>320</v>
      </c>
      <c r="F1186" s="7" t="n">
        <v>66</v>
      </c>
      <c r="G1186" s="6" t="n">
        <v>362.987911405622</v>
      </c>
      <c r="H1186" s="8" t="n">
        <v>414895.182736626</v>
      </c>
      <c r="I1186" s="9" t="n">
        <v>3.6825080282388</v>
      </c>
      <c r="J1186" s="9" t="n">
        <v>12.1157711892299</v>
      </c>
      <c r="K1186" s="3" t="s">
        <v>432</v>
      </c>
      <c r="L1186" s="3" t="s">
        <v>433</v>
      </c>
      <c r="M1186" s="7" t="n">
        <v>2021</v>
      </c>
    </row>
    <row r="1187" customFormat="false" ht="15" hidden="false" customHeight="false" outlineLevel="0" collapsed="false">
      <c r="A1187" s="3" t="n">
        <v>1559</v>
      </c>
      <c r="B1187" s="3" t="s">
        <v>431</v>
      </c>
      <c r="C1187" s="4" t="s">
        <v>22</v>
      </c>
      <c r="D1187" s="5" t="n">
        <v>26868</v>
      </c>
      <c r="E1187" s="6" t="n">
        <v>320</v>
      </c>
      <c r="F1187" s="7" t="n">
        <v>62</v>
      </c>
      <c r="G1187" s="6" t="n">
        <v>676.731585858586</v>
      </c>
      <c r="H1187" s="8" t="n">
        <v>773504.202636364</v>
      </c>
      <c r="I1187" s="9" t="n">
        <v>5.2717347021918</v>
      </c>
      <c r="J1187" s="9" t="n">
        <v>22.5475200679519</v>
      </c>
      <c r="K1187" s="3" t="s">
        <v>432</v>
      </c>
      <c r="L1187" s="3" t="s">
        <v>433</v>
      </c>
      <c r="M1187" s="7" t="n">
        <v>2022</v>
      </c>
    </row>
    <row r="1188" customFormat="false" ht="15" hidden="false" customHeight="false" outlineLevel="0" collapsed="false">
      <c r="A1188" s="3" t="n">
        <v>1560</v>
      </c>
      <c r="B1188" s="3" t="s">
        <v>431</v>
      </c>
      <c r="C1188" s="4" t="s">
        <v>23</v>
      </c>
      <c r="D1188" s="5" t="n">
        <v>27141</v>
      </c>
      <c r="E1188" s="6" t="n">
        <v>320</v>
      </c>
      <c r="F1188" s="7" t="n">
        <v>71</v>
      </c>
      <c r="G1188" s="6" t="n">
        <v>661.16646333269</v>
      </c>
      <c r="H1188" s="8" t="n">
        <v>799350.254169222</v>
      </c>
      <c r="I1188" s="9" t="n">
        <v>5.57166216752989</v>
      </c>
      <c r="J1188" s="9" t="n">
        <v>21.8073375509722</v>
      </c>
      <c r="K1188" s="3" t="s">
        <v>432</v>
      </c>
      <c r="L1188" s="3" t="s">
        <v>433</v>
      </c>
      <c r="M1188" s="7" t="n">
        <v>2023</v>
      </c>
    </row>
    <row r="1189" customFormat="false" ht="15" hidden="false" customHeight="false" outlineLevel="0" collapsed="false">
      <c r="A1189" s="3" t="n">
        <v>1561</v>
      </c>
      <c r="B1189" s="3" t="s">
        <v>431</v>
      </c>
      <c r="C1189" s="4" t="s">
        <v>24</v>
      </c>
      <c r="D1189" s="5" t="n">
        <v>27212</v>
      </c>
      <c r="E1189" s="6" t="n">
        <v>320</v>
      </c>
      <c r="F1189" s="7" t="n">
        <v>68</v>
      </c>
      <c r="G1189" s="6" t="n">
        <v>859.184699840689</v>
      </c>
      <c r="H1189" s="8" t="n">
        <v>1079135.98299991</v>
      </c>
      <c r="I1189" s="9" t="n">
        <v>6.07806545477349</v>
      </c>
      <c r="J1189" s="9" t="n">
        <v>28.1872213535717</v>
      </c>
      <c r="K1189" s="3" t="s">
        <v>432</v>
      </c>
      <c r="L1189" s="3" t="s">
        <v>433</v>
      </c>
      <c r="M1189" s="7" t="n">
        <v>2024</v>
      </c>
    </row>
    <row r="1190" customFormat="false" ht="15" hidden="false" customHeight="false" outlineLevel="0" collapsed="false">
      <c r="A1190" s="3" t="n">
        <v>1562</v>
      </c>
      <c r="B1190" s="3" t="s">
        <v>434</v>
      </c>
      <c r="C1190" s="4" t="s">
        <v>14</v>
      </c>
      <c r="D1190" s="5" t="n">
        <v>4973</v>
      </c>
      <c r="E1190" s="6" t="n">
        <v>38.0425</v>
      </c>
      <c r="F1190" s="7" t="n">
        <v>74</v>
      </c>
      <c r="G1190" s="6" t="n">
        <v>190.042084937913</v>
      </c>
      <c r="H1190" s="8" t="n">
        <v>88293.5526621543</v>
      </c>
      <c r="I1190" s="9" t="n">
        <v>9.72064792635232</v>
      </c>
      <c r="J1190" s="9" t="n">
        <v>34.1159540527638</v>
      </c>
      <c r="K1190" s="3" t="s">
        <v>435</v>
      </c>
      <c r="L1190" s="3" t="s">
        <v>371</v>
      </c>
      <c r="M1190" s="7" t="n">
        <v>2016</v>
      </c>
    </row>
    <row r="1191" customFormat="false" ht="15" hidden="false" customHeight="false" outlineLevel="0" collapsed="false">
      <c r="A1191" s="3" t="n">
        <v>1563</v>
      </c>
      <c r="B1191" s="3" t="s">
        <v>434</v>
      </c>
      <c r="C1191" s="4" t="s">
        <v>17</v>
      </c>
      <c r="D1191" s="5" t="n">
        <v>4976</v>
      </c>
      <c r="E1191" s="6" t="n">
        <v>41.4</v>
      </c>
      <c r="F1191" s="7" t="n">
        <v>77</v>
      </c>
      <c r="G1191" s="6" t="n">
        <v>264.505455631313</v>
      </c>
      <c r="H1191" s="8" t="n">
        <v>70416.6423981682</v>
      </c>
      <c r="I1191" s="9" t="n">
        <v>12.5875305046503</v>
      </c>
      <c r="J1191" s="9" t="n">
        <v>47.5852041573834</v>
      </c>
      <c r="K1191" s="3" t="s">
        <v>435</v>
      </c>
      <c r="L1191" s="3" t="s">
        <v>371</v>
      </c>
      <c r="M1191" s="7" t="n">
        <v>2017</v>
      </c>
    </row>
    <row r="1192" customFormat="false" ht="15" hidden="false" customHeight="false" outlineLevel="0" collapsed="false">
      <c r="A1192" s="3" t="n">
        <v>1564</v>
      </c>
      <c r="B1192" s="3" t="s">
        <v>434</v>
      </c>
      <c r="C1192" s="4" t="s">
        <v>18</v>
      </c>
      <c r="D1192" s="5" t="n">
        <v>4990</v>
      </c>
      <c r="E1192" s="6" t="n">
        <v>40.6</v>
      </c>
      <c r="F1192" s="7" t="n">
        <v>75</v>
      </c>
      <c r="G1192" s="6" t="n">
        <v>243.988720714285</v>
      </c>
      <c r="H1192" s="8" t="n">
        <v>88653.3016715355</v>
      </c>
      <c r="I1192" s="9" t="n">
        <v>12.8012146224019</v>
      </c>
      <c r="J1192" s="9" t="n">
        <v>43.7710413318233</v>
      </c>
      <c r="K1192" s="3" t="s">
        <v>435</v>
      </c>
      <c r="L1192" s="3" t="s">
        <v>371</v>
      </c>
      <c r="M1192" s="7" t="n">
        <v>2018</v>
      </c>
    </row>
    <row r="1193" customFormat="false" ht="15" hidden="false" customHeight="false" outlineLevel="0" collapsed="false">
      <c r="A1193" s="3" t="n">
        <v>1565</v>
      </c>
      <c r="B1193" s="3" t="s">
        <v>434</v>
      </c>
      <c r="C1193" s="4" t="s">
        <v>19</v>
      </c>
      <c r="D1193" s="5" t="n">
        <v>5008</v>
      </c>
      <c r="E1193" s="6" t="n">
        <v>40.6</v>
      </c>
      <c r="F1193" s="7" t="n">
        <v>72</v>
      </c>
      <c r="G1193" s="6" t="n">
        <v>226.612375047762</v>
      </c>
      <c r="H1193" s="8" t="n">
        <v>75661.3397809467</v>
      </c>
      <c r="I1193" s="9" t="n">
        <v>12.5432716832176</v>
      </c>
      <c r="J1193" s="9" t="n">
        <v>40.5076432771787</v>
      </c>
      <c r="K1193" s="3" t="s">
        <v>435</v>
      </c>
      <c r="L1193" s="3" t="s">
        <v>371</v>
      </c>
      <c r="M1193" s="7" t="n">
        <v>2019</v>
      </c>
    </row>
    <row r="1194" customFormat="false" ht="15" hidden="false" customHeight="false" outlineLevel="0" collapsed="false">
      <c r="A1194" s="3" t="n">
        <v>1566</v>
      </c>
      <c r="B1194" s="3" t="s">
        <v>434</v>
      </c>
      <c r="C1194" s="4" t="s">
        <v>20</v>
      </c>
      <c r="D1194" s="5" t="n">
        <v>5022</v>
      </c>
      <c r="E1194" s="6" t="n">
        <v>38.2</v>
      </c>
      <c r="F1194" s="7" t="n">
        <v>72</v>
      </c>
      <c r="G1194" s="6" t="n">
        <v>277.139517322336</v>
      </c>
      <c r="H1194" s="8" t="n">
        <v>102059.398649123</v>
      </c>
      <c r="I1194" s="9" t="n">
        <v>13.2639025667996</v>
      </c>
      <c r="J1194" s="9" t="n">
        <v>49.2660724914489</v>
      </c>
      <c r="K1194" s="3" t="s">
        <v>435</v>
      </c>
      <c r="L1194" s="3" t="s">
        <v>371</v>
      </c>
      <c r="M1194" s="7" t="n">
        <v>2020</v>
      </c>
    </row>
    <row r="1195" customFormat="false" ht="15" hidden="false" customHeight="false" outlineLevel="0" collapsed="false">
      <c r="A1195" s="3" t="n">
        <v>1567</v>
      </c>
      <c r="B1195" s="3" t="s">
        <v>434</v>
      </c>
      <c r="C1195" s="4" t="s">
        <v>21</v>
      </c>
      <c r="D1195" s="5" t="n">
        <v>5038</v>
      </c>
      <c r="E1195" s="6" t="n">
        <v>38.1</v>
      </c>
      <c r="F1195" s="7" t="n">
        <v>74</v>
      </c>
      <c r="G1195" s="6" t="n">
        <v>181.6050880085</v>
      </c>
      <c r="H1195" s="8" t="n">
        <v>81162.9459327588</v>
      </c>
      <c r="I1195" s="9" t="n">
        <v>9.80392171158982</v>
      </c>
      <c r="J1195" s="9" t="n">
        <v>32.2691498090652</v>
      </c>
      <c r="K1195" s="3" t="s">
        <v>435</v>
      </c>
      <c r="L1195" s="3" t="s">
        <v>371</v>
      </c>
      <c r="M1195" s="7" t="n">
        <v>2021</v>
      </c>
    </row>
    <row r="1196" customFormat="false" ht="15" hidden="false" customHeight="false" outlineLevel="0" collapsed="false">
      <c r="A1196" s="3" t="n">
        <v>1568</v>
      </c>
      <c r="B1196" s="3" t="s">
        <v>434</v>
      </c>
      <c r="C1196" s="4" t="s">
        <v>22</v>
      </c>
      <c r="D1196" s="5" t="n">
        <v>5065</v>
      </c>
      <c r="E1196" s="6" t="n">
        <v>38.1</v>
      </c>
      <c r="F1196" s="7" t="n">
        <v>74</v>
      </c>
      <c r="G1196" s="6" t="n">
        <v>57.3318880637302</v>
      </c>
      <c r="H1196" s="8" t="n">
        <v>31227.2807724535</v>
      </c>
      <c r="I1196" s="9" t="n">
        <v>4.68730638157323</v>
      </c>
      <c r="J1196" s="9" t="n">
        <v>10.1329166209901</v>
      </c>
      <c r="K1196" s="3" t="s">
        <v>435</v>
      </c>
      <c r="L1196" s="3" t="s">
        <v>371</v>
      </c>
      <c r="M1196" s="7" t="n">
        <v>2022</v>
      </c>
    </row>
    <row r="1197" customFormat="false" ht="15" hidden="false" customHeight="false" outlineLevel="0" collapsed="false">
      <c r="A1197" s="3" t="n">
        <v>1569</v>
      </c>
      <c r="B1197" s="3" t="s">
        <v>434</v>
      </c>
      <c r="C1197" s="4" t="s">
        <v>23</v>
      </c>
      <c r="D1197" s="5" t="n">
        <v>5090</v>
      </c>
      <c r="E1197" s="6" t="n">
        <v>38.148823863447</v>
      </c>
      <c r="F1197" s="7" t="n">
        <v>65</v>
      </c>
      <c r="G1197" s="6" t="n">
        <v>161.019154247155</v>
      </c>
      <c r="H1197" s="8" t="n">
        <v>90141.8806669945</v>
      </c>
      <c r="I1197" s="9" t="n">
        <v>9.41945202988438</v>
      </c>
      <c r="J1197" s="9" t="n">
        <v>28.3189686902727</v>
      </c>
      <c r="K1197" s="3" t="s">
        <v>435</v>
      </c>
      <c r="L1197" s="3" t="s">
        <v>371</v>
      </c>
      <c r="M1197" s="7" t="n">
        <v>2023</v>
      </c>
    </row>
    <row r="1198" customFormat="false" ht="15" hidden="false" customHeight="false" outlineLevel="0" collapsed="false">
      <c r="A1198" s="3" t="n">
        <v>1570</v>
      </c>
      <c r="B1198" s="3" t="s">
        <v>434</v>
      </c>
      <c r="C1198" s="4" t="s">
        <v>24</v>
      </c>
      <c r="D1198" s="5" t="n">
        <v>5123</v>
      </c>
      <c r="E1198" s="6" t="n">
        <v>43.8822624248106</v>
      </c>
      <c r="F1198" s="7" t="n">
        <v>65</v>
      </c>
      <c r="G1198" s="6" t="n">
        <v>237.317348954546</v>
      </c>
      <c r="H1198" s="8" t="n">
        <v>115776.151727571</v>
      </c>
      <c r="I1198" s="9" t="n">
        <v>12.7347939788458</v>
      </c>
      <c r="J1198" s="9" t="n">
        <v>41.3553143220276</v>
      </c>
      <c r="K1198" s="3" t="s">
        <v>435</v>
      </c>
      <c r="L1198" s="3" t="s">
        <v>371</v>
      </c>
      <c r="M1198" s="7" t="n">
        <v>2024</v>
      </c>
    </row>
    <row r="1199" customFormat="false" ht="15" hidden="false" customHeight="false" outlineLevel="0" collapsed="false">
      <c r="A1199" s="3" t="n">
        <v>1571</v>
      </c>
      <c r="B1199" s="3" t="s">
        <v>436</v>
      </c>
      <c r="C1199" s="4" t="s">
        <v>14</v>
      </c>
      <c r="D1199" s="5" t="n">
        <v>21844</v>
      </c>
      <c r="E1199" s="6" t="n">
        <v>405.4124116</v>
      </c>
      <c r="F1199" s="7" t="n">
        <v>57</v>
      </c>
      <c r="G1199" s="6" t="n">
        <v>957.610503391162</v>
      </c>
      <c r="H1199" s="8" t="n">
        <v>768664.374967052</v>
      </c>
      <c r="I1199" s="9" t="n">
        <v>6.6334861751331</v>
      </c>
      <c r="J1199" s="9" t="n">
        <v>39.1365849674421</v>
      </c>
      <c r="K1199" s="3" t="s">
        <v>437</v>
      </c>
      <c r="L1199" s="3" t="s">
        <v>438</v>
      </c>
      <c r="M1199" s="7" t="n">
        <v>2016</v>
      </c>
    </row>
    <row r="1200" customFormat="false" ht="15" hidden="false" customHeight="false" outlineLevel="0" collapsed="false">
      <c r="A1200" s="3" t="n">
        <v>1572</v>
      </c>
      <c r="B1200" s="3" t="s">
        <v>436</v>
      </c>
      <c r="C1200" s="4" t="s">
        <v>17</v>
      </c>
      <c r="D1200" s="5" t="n">
        <v>20214</v>
      </c>
      <c r="E1200" s="6" t="n">
        <v>413.01</v>
      </c>
      <c r="F1200" s="7" t="n">
        <v>65</v>
      </c>
      <c r="G1200" s="6" t="n">
        <v>949.073628787875</v>
      </c>
      <c r="H1200" s="8" t="n">
        <v>1072121.02476022</v>
      </c>
      <c r="I1200" s="9" t="n">
        <v>6.55080625781765</v>
      </c>
      <c r="J1200" s="9" t="n">
        <v>42.030573823571</v>
      </c>
      <c r="K1200" s="3" t="s">
        <v>437</v>
      </c>
      <c r="L1200" s="3" t="s">
        <v>438</v>
      </c>
      <c r="M1200" s="7" t="n">
        <v>2017</v>
      </c>
    </row>
    <row r="1201" customFormat="false" ht="15" hidden="false" customHeight="false" outlineLevel="0" collapsed="false">
      <c r="A1201" s="3" t="n">
        <v>1573</v>
      </c>
      <c r="B1201" s="3" t="s">
        <v>436</v>
      </c>
      <c r="C1201" s="4" t="s">
        <v>18</v>
      </c>
      <c r="D1201" s="5" t="n">
        <v>20214</v>
      </c>
      <c r="E1201" s="6" t="n">
        <v>390.3</v>
      </c>
      <c r="F1201" s="7" t="n">
        <v>62</v>
      </c>
      <c r="G1201" s="6" t="n">
        <v>240.411330303033</v>
      </c>
      <c r="H1201" s="8" t="n">
        <v>254566.749431276</v>
      </c>
      <c r="I1201" s="9" t="n">
        <v>3.08607465155195</v>
      </c>
      <c r="J1201" s="9" t="n">
        <v>10.6468306144275</v>
      </c>
      <c r="K1201" s="3" t="s">
        <v>437</v>
      </c>
      <c r="L1201" s="3" t="s">
        <v>438</v>
      </c>
      <c r="M1201" s="7" t="n">
        <v>2018</v>
      </c>
    </row>
    <row r="1202" customFormat="false" ht="15" hidden="false" customHeight="false" outlineLevel="0" collapsed="false">
      <c r="A1202" s="3" t="n">
        <v>1574</v>
      </c>
      <c r="B1202" s="3" t="s">
        <v>436</v>
      </c>
      <c r="C1202" s="4" t="s">
        <v>19</v>
      </c>
      <c r="D1202" s="5" t="n">
        <v>19847</v>
      </c>
      <c r="E1202" s="6" t="n">
        <v>391.5</v>
      </c>
      <c r="F1202" s="7" t="n">
        <v>66</v>
      </c>
      <c r="G1202" s="6" t="n">
        <v>176.452279545457</v>
      </c>
      <c r="H1202" s="8" t="n">
        <v>205543.966874117</v>
      </c>
      <c r="I1202" s="9" t="n">
        <v>2.72458140403711</v>
      </c>
      <c r="J1202" s="9" t="n">
        <v>7.95884557277551</v>
      </c>
      <c r="K1202" s="3" t="s">
        <v>437</v>
      </c>
      <c r="L1202" s="3" t="s">
        <v>438</v>
      </c>
      <c r="M1202" s="7" t="n">
        <v>2019</v>
      </c>
    </row>
    <row r="1203" customFormat="false" ht="15" hidden="false" customHeight="false" outlineLevel="0" collapsed="false">
      <c r="A1203" s="3" t="n">
        <v>1575</v>
      </c>
      <c r="B1203" s="3" t="s">
        <v>436</v>
      </c>
      <c r="C1203" s="4" t="s">
        <v>20</v>
      </c>
      <c r="D1203" s="5" t="n">
        <v>19858</v>
      </c>
      <c r="E1203" s="6" t="n">
        <v>406.5</v>
      </c>
      <c r="F1203" s="7" t="n">
        <v>72</v>
      </c>
      <c r="G1203" s="6" t="n">
        <v>701.399977272726</v>
      </c>
      <c r="H1203" s="8" t="n">
        <v>824741.163276135</v>
      </c>
      <c r="I1203" s="9" t="n">
        <v>4.96998233073648</v>
      </c>
      <c r="J1203" s="9" t="n">
        <v>31.5323569941509</v>
      </c>
      <c r="K1203" s="3" t="s">
        <v>437</v>
      </c>
      <c r="L1203" s="3" t="s">
        <v>438</v>
      </c>
      <c r="M1203" s="7" t="n">
        <v>2020</v>
      </c>
    </row>
    <row r="1204" customFormat="false" ht="15" hidden="false" customHeight="false" outlineLevel="0" collapsed="false">
      <c r="A1204" s="3" t="n">
        <v>1576</v>
      </c>
      <c r="B1204" s="3" t="s">
        <v>436</v>
      </c>
      <c r="C1204" s="4" t="s">
        <v>21</v>
      </c>
      <c r="D1204" s="5" t="n">
        <v>21192</v>
      </c>
      <c r="E1204" s="6" t="n">
        <v>412.108</v>
      </c>
      <c r="F1204" s="7" t="n">
        <v>65</v>
      </c>
      <c r="G1204" s="6" t="n">
        <v>232.396412129562</v>
      </c>
      <c r="H1204" s="8" t="n">
        <v>265966.073861678</v>
      </c>
      <c r="I1204" s="9" t="n">
        <v>2.62395800562671</v>
      </c>
      <c r="J1204" s="9" t="n">
        <v>9.81691765408441</v>
      </c>
      <c r="K1204" s="3" t="s">
        <v>437</v>
      </c>
      <c r="L1204" s="3" t="s">
        <v>438</v>
      </c>
      <c r="M1204" s="7" t="n">
        <v>2021</v>
      </c>
    </row>
    <row r="1205" customFormat="false" ht="15" hidden="false" customHeight="false" outlineLevel="0" collapsed="false">
      <c r="A1205" s="3" t="n">
        <v>1577</v>
      </c>
      <c r="B1205" s="3" t="s">
        <v>436</v>
      </c>
      <c r="C1205" s="4" t="s">
        <v>22</v>
      </c>
      <c r="D1205" s="5" t="n">
        <v>21465</v>
      </c>
      <c r="E1205" s="6" t="n">
        <v>414.9</v>
      </c>
      <c r="F1205" s="7" t="n">
        <v>65</v>
      </c>
      <c r="G1205" s="6" t="n">
        <v>1086.14943424242</v>
      </c>
      <c r="H1205" s="8" t="n">
        <v>1481236.29094811</v>
      </c>
      <c r="I1205" s="9" t="n">
        <v>8.77244506167797</v>
      </c>
      <c r="J1205" s="9" t="n">
        <v>45.2977219876629</v>
      </c>
      <c r="K1205" s="3" t="s">
        <v>437</v>
      </c>
      <c r="L1205" s="3" t="s">
        <v>438</v>
      </c>
      <c r="M1205" s="7" t="n">
        <v>2022</v>
      </c>
    </row>
    <row r="1206" customFormat="false" ht="15" hidden="false" customHeight="false" outlineLevel="0" collapsed="false">
      <c r="A1206" s="3" t="n">
        <v>1578</v>
      </c>
      <c r="B1206" s="3" t="s">
        <v>436</v>
      </c>
      <c r="C1206" s="4" t="s">
        <v>23</v>
      </c>
      <c r="D1206" s="5" t="n">
        <v>22097</v>
      </c>
      <c r="E1206" s="6" t="n">
        <v>414.502</v>
      </c>
      <c r="F1206" s="7" t="n">
        <v>66</v>
      </c>
      <c r="G1206" s="6" t="n">
        <v>1197.22033035859</v>
      </c>
      <c r="H1206" s="8" t="n">
        <v>1615612.919209</v>
      </c>
      <c r="I1206" s="9" t="n">
        <v>10.0176320151887</v>
      </c>
      <c r="J1206" s="9" t="n">
        <v>48.5018653851969</v>
      </c>
      <c r="K1206" s="3" t="s">
        <v>437</v>
      </c>
      <c r="L1206" s="3" t="s">
        <v>438</v>
      </c>
      <c r="M1206" s="7" t="n">
        <v>2023</v>
      </c>
    </row>
    <row r="1207" customFormat="false" ht="15" hidden="false" customHeight="false" outlineLevel="0" collapsed="false">
      <c r="A1207" s="3" t="n">
        <v>1579</v>
      </c>
      <c r="B1207" s="3" t="s">
        <v>436</v>
      </c>
      <c r="C1207" s="4" t="s">
        <v>24</v>
      </c>
      <c r="D1207" s="5" t="n">
        <v>22040</v>
      </c>
      <c r="E1207" s="6" t="n">
        <v>413.554</v>
      </c>
      <c r="F1207" s="7" t="n">
        <v>66</v>
      </c>
      <c r="G1207" s="6" t="n">
        <v>1612.50832611111</v>
      </c>
      <c r="H1207" s="8" t="n">
        <v>2067767.80182206</v>
      </c>
      <c r="I1207" s="9" t="n">
        <v>11.8779814628319</v>
      </c>
      <c r="J1207" s="9" t="n">
        <v>65.3155471461143</v>
      </c>
      <c r="K1207" s="3" t="s">
        <v>437</v>
      </c>
      <c r="L1207" s="3" t="s">
        <v>438</v>
      </c>
      <c r="M1207" s="7" t="n">
        <v>2024</v>
      </c>
    </row>
    <row r="1208" customFormat="false" ht="15" hidden="false" customHeight="false" outlineLevel="0" collapsed="false">
      <c r="A1208" s="3" t="n">
        <v>1580</v>
      </c>
      <c r="B1208" s="3" t="s">
        <v>439</v>
      </c>
      <c r="C1208" s="4" t="s">
        <v>14</v>
      </c>
      <c r="D1208" s="5" t="n">
        <v>27288</v>
      </c>
      <c r="E1208" s="6" t="n">
        <v>487.94</v>
      </c>
      <c r="F1208" s="7" t="n">
        <v>73</v>
      </c>
      <c r="G1208" s="6" t="n">
        <v>928.233802166514</v>
      </c>
      <c r="H1208" s="8" t="n">
        <v>918023.230342682</v>
      </c>
      <c r="I1208" s="9" t="n">
        <v>6.14423133667749</v>
      </c>
      <c r="J1208" s="9" t="n">
        <v>30.3676976451851</v>
      </c>
      <c r="K1208" s="3" t="s">
        <v>440</v>
      </c>
      <c r="L1208" s="3" t="s">
        <v>441</v>
      </c>
      <c r="M1208" s="7" t="n">
        <v>2016</v>
      </c>
    </row>
    <row r="1209" customFormat="false" ht="15" hidden="false" customHeight="false" outlineLevel="0" collapsed="false">
      <c r="A1209" s="3" t="n">
        <v>1581</v>
      </c>
      <c r="B1209" s="3" t="s">
        <v>439</v>
      </c>
      <c r="C1209" s="4" t="s">
        <v>17</v>
      </c>
      <c r="D1209" s="5" t="n">
        <v>27521</v>
      </c>
      <c r="E1209" s="6" t="n">
        <v>487.94</v>
      </c>
      <c r="F1209" s="7" t="n">
        <v>75</v>
      </c>
      <c r="G1209" s="6" t="n">
        <v>1046.28114086911</v>
      </c>
      <c r="H1209" s="8" t="n">
        <v>1091271.22992648</v>
      </c>
      <c r="I1209" s="9" t="n">
        <v>6.77125297256583</v>
      </c>
      <c r="J1209" s="9" t="n">
        <v>34.0331275530794</v>
      </c>
      <c r="K1209" s="3" t="s">
        <v>440</v>
      </c>
      <c r="L1209" s="3" t="s">
        <v>441</v>
      </c>
      <c r="M1209" s="7" t="n">
        <v>2017</v>
      </c>
    </row>
    <row r="1210" customFormat="false" ht="15" hidden="false" customHeight="false" outlineLevel="0" collapsed="false">
      <c r="A1210" s="3" t="n">
        <v>1582</v>
      </c>
      <c r="B1210" s="3" t="s">
        <v>439</v>
      </c>
      <c r="C1210" s="4" t="s">
        <v>18</v>
      </c>
      <c r="D1210" s="5" t="n">
        <v>27604</v>
      </c>
      <c r="E1210" s="6" t="n">
        <v>470</v>
      </c>
      <c r="F1210" s="7" t="n">
        <v>77</v>
      </c>
      <c r="G1210" s="6" t="n">
        <v>633.767620000002</v>
      </c>
      <c r="H1210" s="8" t="n">
        <v>674328.747680002</v>
      </c>
      <c r="I1210" s="9" t="n">
        <v>5.4264386452569</v>
      </c>
      <c r="J1210" s="9" t="n">
        <v>20.5530227288907</v>
      </c>
      <c r="K1210" s="3" t="s">
        <v>440</v>
      </c>
      <c r="L1210" s="3" t="s">
        <v>441</v>
      </c>
      <c r="M1210" s="7" t="n">
        <v>2018</v>
      </c>
    </row>
    <row r="1211" customFormat="false" ht="15" hidden="false" customHeight="false" outlineLevel="0" collapsed="false">
      <c r="A1211" s="3" t="n">
        <v>1583</v>
      </c>
      <c r="B1211" s="3" t="s">
        <v>439</v>
      </c>
      <c r="C1211" s="4" t="s">
        <v>19</v>
      </c>
      <c r="D1211" s="5" t="n">
        <v>27607</v>
      </c>
      <c r="E1211" s="6" t="n">
        <v>470</v>
      </c>
      <c r="F1211" s="7" t="n">
        <v>77</v>
      </c>
      <c r="G1211" s="6" t="n">
        <v>631.987675816451</v>
      </c>
      <c r="H1211" s="8" t="n">
        <v>693290.480370646</v>
      </c>
      <c r="I1211" s="9" t="n">
        <v>5.11170398535158</v>
      </c>
      <c r="J1211" s="9" t="n">
        <v>20.4930721258053</v>
      </c>
      <c r="K1211" s="3" t="s">
        <v>440</v>
      </c>
      <c r="L1211" s="3" t="s">
        <v>441</v>
      </c>
      <c r="M1211" s="7" t="n">
        <v>2019</v>
      </c>
    </row>
    <row r="1212" customFormat="false" ht="15" hidden="false" customHeight="false" outlineLevel="0" collapsed="false">
      <c r="A1212" s="3" t="n">
        <v>1584</v>
      </c>
      <c r="B1212" s="3" t="s">
        <v>439</v>
      </c>
      <c r="C1212" s="4" t="s">
        <v>20</v>
      </c>
      <c r="D1212" s="5" t="n">
        <v>27632</v>
      </c>
      <c r="E1212" s="6" t="n">
        <v>470</v>
      </c>
      <c r="F1212" s="7" t="n">
        <v>76</v>
      </c>
      <c r="G1212" s="6" t="n">
        <v>1007.13308899197</v>
      </c>
      <c r="H1212" s="8" t="n">
        <v>1126981.92658202</v>
      </c>
      <c r="I1212" s="9" t="n">
        <v>6.82900056603506</v>
      </c>
      <c r="J1212" s="9" t="n">
        <v>32.5387404895974</v>
      </c>
      <c r="K1212" s="3" t="s">
        <v>440</v>
      </c>
      <c r="L1212" s="3" t="s">
        <v>441</v>
      </c>
      <c r="M1212" s="7" t="n">
        <v>2020</v>
      </c>
    </row>
    <row r="1213" customFormat="false" ht="15" hidden="false" customHeight="false" outlineLevel="0" collapsed="false">
      <c r="A1213" s="3" t="n">
        <v>1585</v>
      </c>
      <c r="B1213" s="3" t="s">
        <v>439</v>
      </c>
      <c r="C1213" s="4" t="s">
        <v>21</v>
      </c>
      <c r="D1213" s="5" t="n">
        <v>27656</v>
      </c>
      <c r="E1213" s="6" t="n">
        <v>382</v>
      </c>
      <c r="F1213" s="7" t="n">
        <v>80</v>
      </c>
      <c r="G1213" s="6" t="n">
        <v>876.451204109829</v>
      </c>
      <c r="H1213" s="8" t="n">
        <v>1013177.59195096</v>
      </c>
      <c r="I1213" s="9" t="n">
        <v>6.03210805582088</v>
      </c>
      <c r="J1213" s="9" t="n">
        <v>28.3697853565143</v>
      </c>
      <c r="K1213" s="3" t="s">
        <v>440</v>
      </c>
      <c r="L1213" s="3" t="s">
        <v>441</v>
      </c>
      <c r="M1213" s="7" t="n">
        <v>2021</v>
      </c>
    </row>
    <row r="1214" customFormat="false" ht="15" hidden="false" customHeight="false" outlineLevel="0" collapsed="false">
      <c r="A1214" s="3" t="n">
        <v>1586</v>
      </c>
      <c r="B1214" s="3" t="s">
        <v>439</v>
      </c>
      <c r="C1214" s="4" t="s">
        <v>22</v>
      </c>
      <c r="D1214" s="5" t="n">
        <v>27667</v>
      </c>
      <c r="E1214" s="6" t="n">
        <v>392</v>
      </c>
      <c r="F1214" s="7" t="n">
        <v>80</v>
      </c>
      <c r="G1214" s="6" t="n">
        <v>898.151450571715</v>
      </c>
      <c r="H1214" s="8" t="n">
        <v>1071494.68053206</v>
      </c>
      <c r="I1214" s="9" t="n">
        <v>6.50293559705489</v>
      </c>
      <c r="J1214" s="9" t="n">
        <v>29.0606403709664</v>
      </c>
      <c r="K1214" s="3" t="s">
        <v>440</v>
      </c>
      <c r="L1214" s="3" t="s">
        <v>441</v>
      </c>
      <c r="M1214" s="7" t="n">
        <v>2022</v>
      </c>
    </row>
    <row r="1215" customFormat="false" ht="15" hidden="false" customHeight="false" outlineLevel="0" collapsed="false">
      <c r="A1215" s="3" t="n">
        <v>1587</v>
      </c>
      <c r="B1215" s="3" t="s">
        <v>439</v>
      </c>
      <c r="C1215" s="4" t="s">
        <v>23</v>
      </c>
      <c r="D1215" s="5" t="n">
        <v>27688</v>
      </c>
      <c r="E1215" s="6" t="n">
        <v>383.9</v>
      </c>
      <c r="F1215" s="7" t="n">
        <v>80</v>
      </c>
      <c r="G1215" s="6" t="n">
        <v>993.316582069417</v>
      </c>
      <c r="H1215" s="8" t="n">
        <v>1274425.17479506</v>
      </c>
      <c r="I1215" s="9" t="n">
        <v>7.92446475366588</v>
      </c>
      <c r="J1215" s="9" t="n">
        <v>32.1154323989983</v>
      </c>
      <c r="K1215" s="3" t="s">
        <v>440</v>
      </c>
      <c r="L1215" s="3" t="s">
        <v>441</v>
      </c>
      <c r="M1215" s="7" t="n">
        <v>2023</v>
      </c>
    </row>
    <row r="1216" customFormat="false" ht="15" hidden="false" customHeight="false" outlineLevel="0" collapsed="false">
      <c r="A1216" s="3" t="n">
        <v>1588</v>
      </c>
      <c r="B1216" s="3" t="s">
        <v>439</v>
      </c>
      <c r="C1216" s="4" t="s">
        <v>24</v>
      </c>
      <c r="D1216" s="5" t="n">
        <v>27764</v>
      </c>
      <c r="E1216" s="6" t="n">
        <v>385.3</v>
      </c>
      <c r="F1216" s="7" t="n">
        <v>80</v>
      </c>
      <c r="G1216" s="6" t="n">
        <v>1117.71778826479</v>
      </c>
      <c r="H1216" s="8" t="n">
        <v>1492153.2473335</v>
      </c>
      <c r="I1216" s="9" t="n">
        <v>8.42114396624268</v>
      </c>
      <c r="J1216" s="9" t="n">
        <v>35.9398550033127</v>
      </c>
      <c r="K1216" s="3" t="s">
        <v>440</v>
      </c>
      <c r="L1216" s="3" t="s">
        <v>441</v>
      </c>
      <c r="M1216" s="7" t="n">
        <v>2024</v>
      </c>
    </row>
    <row r="1217" customFormat="false" ht="15" hidden="false" customHeight="false" outlineLevel="0" collapsed="false">
      <c r="A1217" s="3" t="n">
        <v>1589</v>
      </c>
      <c r="B1217" s="3" t="s">
        <v>439</v>
      </c>
      <c r="C1217" s="4" t="s">
        <v>37</v>
      </c>
      <c r="D1217" s="5" t="n">
        <v>27842</v>
      </c>
      <c r="E1217" s="6" t="n">
        <v>385.3</v>
      </c>
      <c r="F1217" s="7" t="n">
        <v>80</v>
      </c>
      <c r="G1217" s="6" t="n">
        <v>568.255665388387</v>
      </c>
      <c r="H1217" s="8" t="n">
        <v>850678.731086416</v>
      </c>
      <c r="I1217" s="9" t="n">
        <v>6.00803231274891</v>
      </c>
      <c r="J1217" s="9" t="n">
        <v>18.2709453918611</v>
      </c>
      <c r="K1217" s="3" t="s">
        <v>440</v>
      </c>
      <c r="L1217" s="3" t="s">
        <v>441</v>
      </c>
      <c r="M1217" s="7" t="n">
        <v>2025</v>
      </c>
    </row>
    <row r="1218" customFormat="false" ht="15" hidden="false" customHeight="false" outlineLevel="0" collapsed="false">
      <c r="A1218" s="3" t="n">
        <v>1590</v>
      </c>
      <c r="B1218" s="3" t="s">
        <v>442</v>
      </c>
      <c r="C1218" s="4" t="s">
        <v>14</v>
      </c>
      <c r="D1218" s="5" t="n">
        <v>20139</v>
      </c>
      <c r="E1218" s="6" t="n">
        <v>180</v>
      </c>
      <c r="F1218" s="7" t="n">
        <v>67</v>
      </c>
      <c r="G1218" s="6" t="n">
        <v>299.475707142857</v>
      </c>
      <c r="H1218" s="8" t="n">
        <v>75911.0175467998</v>
      </c>
      <c r="I1218" s="9" t="n">
        <v>5.15300614148422</v>
      </c>
      <c r="J1218" s="9" t="n">
        <v>13.2754695480394</v>
      </c>
      <c r="K1218" s="3" t="s">
        <v>443</v>
      </c>
      <c r="L1218" s="3" t="s">
        <v>124</v>
      </c>
      <c r="M1218" s="7" t="n">
        <v>2016</v>
      </c>
    </row>
    <row r="1219" customFormat="false" ht="15" hidden="false" customHeight="false" outlineLevel="0" collapsed="false">
      <c r="A1219" s="3" t="n">
        <v>1591</v>
      </c>
      <c r="B1219" s="3" t="s">
        <v>442</v>
      </c>
      <c r="C1219" s="4" t="s">
        <v>17</v>
      </c>
      <c r="D1219" s="5" t="n">
        <v>20270</v>
      </c>
      <c r="E1219" s="6" t="n">
        <v>180</v>
      </c>
      <c r="F1219" s="7" t="n">
        <v>68</v>
      </c>
      <c r="G1219" s="6" t="n">
        <v>344.016544924813</v>
      </c>
      <c r="H1219" s="8" t="n">
        <v>95327.1485621431</v>
      </c>
      <c r="I1219" s="9" t="n">
        <v>5.75627391265951</v>
      </c>
      <c r="J1219" s="9" t="n">
        <v>15.1929901251098</v>
      </c>
      <c r="K1219" s="3" t="s">
        <v>443</v>
      </c>
      <c r="L1219" s="3" t="s">
        <v>124</v>
      </c>
      <c r="M1219" s="7" t="n">
        <v>2017</v>
      </c>
    </row>
    <row r="1220" customFormat="false" ht="15" hidden="false" customHeight="false" outlineLevel="0" collapsed="false">
      <c r="A1220" s="3" t="n">
        <v>1592</v>
      </c>
      <c r="B1220" s="3" t="s">
        <v>442</v>
      </c>
      <c r="C1220" s="4" t="s">
        <v>18</v>
      </c>
      <c r="D1220" s="5" t="n">
        <v>20002</v>
      </c>
      <c r="E1220" s="6" t="n">
        <v>180</v>
      </c>
      <c r="F1220" s="7" t="n">
        <v>80</v>
      </c>
      <c r="G1220" s="6" t="n">
        <v>226.693994924813</v>
      </c>
      <c r="H1220" s="8" t="n">
        <v>77814.2413678349</v>
      </c>
      <c r="I1220" s="9" t="n">
        <v>5.13034654685001</v>
      </c>
      <c r="J1220" s="9" t="n">
        <v>10.1457525868629</v>
      </c>
      <c r="K1220" s="3" t="s">
        <v>443</v>
      </c>
      <c r="L1220" s="3" t="s">
        <v>124</v>
      </c>
      <c r="M1220" s="7" t="n">
        <v>2018</v>
      </c>
    </row>
    <row r="1221" customFormat="false" ht="15" hidden="false" customHeight="false" outlineLevel="0" collapsed="false">
      <c r="A1221" s="3" t="n">
        <v>1593</v>
      </c>
      <c r="B1221" s="3" t="s">
        <v>442</v>
      </c>
      <c r="C1221" s="4" t="s">
        <v>19</v>
      </c>
      <c r="D1221" s="5" t="n">
        <v>20146</v>
      </c>
      <c r="E1221" s="6" t="n">
        <v>180</v>
      </c>
      <c r="F1221" s="7" t="n">
        <v>80</v>
      </c>
      <c r="G1221" s="6" t="n">
        <v>89.5856779448632</v>
      </c>
      <c r="H1221" s="8" t="n">
        <v>32021.0221639188</v>
      </c>
      <c r="I1221" s="9" t="n">
        <v>2.23283072442887</v>
      </c>
      <c r="J1221" s="9" t="n">
        <v>3.98077315050838</v>
      </c>
      <c r="K1221" s="3" t="s">
        <v>443</v>
      </c>
      <c r="L1221" s="3" t="s">
        <v>124</v>
      </c>
      <c r="M1221" s="7" t="n">
        <v>2019</v>
      </c>
    </row>
    <row r="1222" customFormat="false" ht="15" hidden="false" customHeight="false" outlineLevel="0" collapsed="false">
      <c r="A1222" s="3" t="n">
        <v>1594</v>
      </c>
      <c r="B1222" s="3" t="s">
        <v>442</v>
      </c>
      <c r="C1222" s="4" t="s">
        <v>20</v>
      </c>
      <c r="D1222" s="5" t="n">
        <v>20176</v>
      </c>
      <c r="E1222" s="6" t="n">
        <v>180</v>
      </c>
      <c r="F1222" s="7" t="n">
        <v>81</v>
      </c>
      <c r="G1222" s="6" t="n">
        <v>197.462498107124</v>
      </c>
      <c r="H1222" s="8" t="n">
        <v>64418.2754991069</v>
      </c>
      <c r="I1222" s="9" t="n">
        <v>3.79788306002944</v>
      </c>
      <c r="J1222" s="9" t="n">
        <v>8.73726989760036</v>
      </c>
      <c r="K1222" s="3" t="s">
        <v>443</v>
      </c>
      <c r="L1222" s="3" t="s">
        <v>124</v>
      </c>
      <c r="M1222" s="7" t="n">
        <v>2020</v>
      </c>
    </row>
    <row r="1223" customFormat="false" ht="15" hidden="false" customHeight="false" outlineLevel="0" collapsed="false">
      <c r="A1223" s="3" t="n">
        <v>1595</v>
      </c>
      <c r="B1223" s="3" t="s">
        <v>442</v>
      </c>
      <c r="C1223" s="4" t="s">
        <v>21</v>
      </c>
      <c r="D1223" s="5" t="n">
        <v>20176</v>
      </c>
      <c r="E1223" s="6" t="n">
        <v>180</v>
      </c>
      <c r="F1223" s="7" t="n">
        <v>83</v>
      </c>
      <c r="G1223" s="6" t="n">
        <v>140.961970424108</v>
      </c>
      <c r="H1223" s="8" t="n">
        <v>39613.1329285828</v>
      </c>
      <c r="I1223" s="9" t="n">
        <v>2.85888498617827</v>
      </c>
      <c r="J1223" s="9" t="n">
        <v>6.25438436057556</v>
      </c>
      <c r="K1223" s="3" t="s">
        <v>443</v>
      </c>
      <c r="L1223" s="3" t="s">
        <v>124</v>
      </c>
      <c r="M1223" s="7" t="n">
        <v>2021</v>
      </c>
    </row>
    <row r="1224" customFormat="false" ht="15" hidden="false" customHeight="false" outlineLevel="0" collapsed="false">
      <c r="A1224" s="3" t="n">
        <v>1596</v>
      </c>
      <c r="B1224" s="3" t="s">
        <v>442</v>
      </c>
      <c r="C1224" s="4" t="s">
        <v>22</v>
      </c>
      <c r="D1224" s="5" t="n">
        <v>20166</v>
      </c>
      <c r="E1224" s="6" t="n">
        <v>180</v>
      </c>
      <c r="F1224" s="7" t="n">
        <v>73</v>
      </c>
      <c r="G1224" s="6" t="n">
        <v>335.981827192983</v>
      </c>
      <c r="H1224" s="8" t="n">
        <v>99682.4094804968</v>
      </c>
      <c r="I1224" s="9" t="n">
        <v>5.85461847628865</v>
      </c>
      <c r="J1224" s="9" t="n">
        <v>14.9146717373085</v>
      </c>
      <c r="K1224" s="3" t="s">
        <v>443</v>
      </c>
      <c r="L1224" s="3" t="s">
        <v>124</v>
      </c>
      <c r="M1224" s="7" t="n">
        <v>2022</v>
      </c>
    </row>
    <row r="1225" customFormat="false" ht="15" hidden="false" customHeight="false" outlineLevel="0" collapsed="false">
      <c r="A1225" s="3" t="n">
        <v>1597</v>
      </c>
      <c r="B1225" s="3" t="s">
        <v>442</v>
      </c>
      <c r="C1225" s="4" t="s">
        <v>23</v>
      </c>
      <c r="D1225" s="5" t="n">
        <v>20166</v>
      </c>
      <c r="E1225" s="6" t="n">
        <v>180</v>
      </c>
      <c r="F1225" s="7" t="n">
        <v>74</v>
      </c>
      <c r="G1225" s="6" t="n">
        <v>314.150813408523</v>
      </c>
      <c r="H1225" s="8" t="n">
        <v>109873.265419816</v>
      </c>
      <c r="I1225" s="9" t="n">
        <v>6.11630858175705</v>
      </c>
      <c r="J1225" s="9" t="n">
        <v>13.9455645477674</v>
      </c>
      <c r="K1225" s="3" t="s">
        <v>443</v>
      </c>
      <c r="L1225" s="3" t="s">
        <v>124</v>
      </c>
      <c r="M1225" s="7" t="n">
        <v>2023</v>
      </c>
    </row>
    <row r="1226" customFormat="false" ht="15" hidden="false" customHeight="false" outlineLevel="0" collapsed="false">
      <c r="A1226" s="3" t="n">
        <v>1598</v>
      </c>
      <c r="B1226" s="3" t="s">
        <v>442</v>
      </c>
      <c r="C1226" s="4" t="s">
        <v>24</v>
      </c>
      <c r="D1226" s="5" t="n">
        <v>20166</v>
      </c>
      <c r="E1226" s="6" t="n">
        <v>180</v>
      </c>
      <c r="F1226" s="7" t="n">
        <v>71</v>
      </c>
      <c r="G1226" s="6" t="n">
        <v>131.743785418759</v>
      </c>
      <c r="H1226" s="8" t="n">
        <v>14169.3236959433</v>
      </c>
      <c r="I1226" s="9" t="n">
        <v>2.64921884438472</v>
      </c>
      <c r="J1226" s="9" t="n">
        <v>5.83225586841382</v>
      </c>
      <c r="K1226" s="3" t="s">
        <v>443</v>
      </c>
      <c r="L1226" s="3" t="s">
        <v>124</v>
      </c>
      <c r="M1226" s="7" t="n">
        <v>2024</v>
      </c>
    </row>
    <row r="1227" customFormat="false" ht="15" hidden="false" customHeight="false" outlineLevel="0" collapsed="false">
      <c r="A1227" s="3" t="n">
        <v>1599</v>
      </c>
      <c r="B1227" s="3" t="s">
        <v>442</v>
      </c>
      <c r="C1227" s="4" t="s">
        <v>37</v>
      </c>
      <c r="D1227" s="5" t="n">
        <v>20108</v>
      </c>
      <c r="E1227" s="6" t="n">
        <v>180</v>
      </c>
      <c r="F1227" s="7" t="n">
        <v>71</v>
      </c>
      <c r="G1227" s="6" t="n">
        <v>55.7845135338353</v>
      </c>
      <c r="H1227" s="8" t="n">
        <v>6245.6341352482</v>
      </c>
      <c r="I1227" s="9" t="n">
        <v>1.77155231386906</v>
      </c>
      <c r="J1227" s="9" t="n">
        <v>2.4834901858964</v>
      </c>
      <c r="K1227" s="3" t="s">
        <v>443</v>
      </c>
      <c r="L1227" s="3" t="s">
        <v>124</v>
      </c>
      <c r="M1227" s="7" t="n">
        <v>2025</v>
      </c>
    </row>
    <row r="1228" customFormat="false" ht="15" hidden="false" customHeight="false" outlineLevel="0" collapsed="false">
      <c r="A1228" s="3" t="n">
        <v>1600</v>
      </c>
      <c r="B1228" s="3" t="s">
        <v>444</v>
      </c>
      <c r="C1228" s="4" t="s">
        <v>14</v>
      </c>
      <c r="D1228" s="5" t="n">
        <v>31485</v>
      </c>
      <c r="E1228" s="6" t="n">
        <v>376.28</v>
      </c>
      <c r="F1228" s="7" t="n">
        <v>65</v>
      </c>
      <c r="G1228" s="6" t="n">
        <v>344.933689495214</v>
      </c>
      <c r="H1228" s="8" t="n">
        <v>166692.654785457</v>
      </c>
      <c r="I1228" s="9" t="n">
        <v>2.66851809122194</v>
      </c>
      <c r="J1228" s="9" t="n">
        <v>9.78043361859246</v>
      </c>
      <c r="K1228" s="3" t="s">
        <v>234</v>
      </c>
      <c r="L1228" s="3" t="s">
        <v>235</v>
      </c>
      <c r="M1228" s="7" t="n">
        <v>2016</v>
      </c>
    </row>
    <row r="1229" customFormat="false" ht="15" hidden="false" customHeight="false" outlineLevel="0" collapsed="false">
      <c r="A1229" s="3" t="n">
        <v>1601</v>
      </c>
      <c r="B1229" s="3" t="s">
        <v>444</v>
      </c>
      <c r="C1229" s="4" t="s">
        <v>17</v>
      </c>
      <c r="D1229" s="5" t="n">
        <v>34485</v>
      </c>
      <c r="E1229" s="6" t="n">
        <v>363.19</v>
      </c>
      <c r="F1229" s="7" t="n">
        <v>58</v>
      </c>
      <c r="G1229" s="6" t="n">
        <v>1395.75636017588</v>
      </c>
      <c r="H1229" s="8" t="n">
        <v>1026522.97265495</v>
      </c>
      <c r="I1229" s="9" t="n">
        <v>6.44304371118117</v>
      </c>
      <c r="J1229" s="9" t="n">
        <v>36.23239644882</v>
      </c>
      <c r="K1229" s="3" t="s">
        <v>234</v>
      </c>
      <c r="L1229" s="3" t="s">
        <v>235</v>
      </c>
      <c r="M1229" s="7" t="n">
        <v>2017</v>
      </c>
    </row>
    <row r="1230" customFormat="false" ht="15" hidden="false" customHeight="false" outlineLevel="0" collapsed="false">
      <c r="A1230" s="3" t="n">
        <v>1602</v>
      </c>
      <c r="B1230" s="3" t="s">
        <v>444</v>
      </c>
      <c r="C1230" s="4" t="s">
        <v>42</v>
      </c>
      <c r="D1230" s="5" t="n">
        <v>31853</v>
      </c>
      <c r="E1230" s="6" t="n">
        <v>363.19</v>
      </c>
      <c r="F1230" s="7" t="n">
        <v>60</v>
      </c>
      <c r="G1230" s="6" t="n">
        <v>91.1513256098314</v>
      </c>
      <c r="H1230" s="8" t="n">
        <v>67038.1539330066</v>
      </c>
      <c r="I1230" s="9" t="n">
        <v>1.3221959101443</v>
      </c>
      <c r="J1230" s="9" t="n">
        <v>2.56171211306965</v>
      </c>
      <c r="K1230" s="3" t="s">
        <v>234</v>
      </c>
      <c r="L1230" s="3" t="s">
        <v>235</v>
      </c>
      <c r="M1230" s="7" t="n">
        <v>2017</v>
      </c>
    </row>
    <row r="1231" customFormat="false" ht="15" hidden="false" customHeight="false" outlineLevel="0" collapsed="false">
      <c r="A1231" s="3" t="n">
        <v>1603</v>
      </c>
      <c r="B1231" s="3" t="s">
        <v>444</v>
      </c>
      <c r="C1231" s="4" t="s">
        <v>43</v>
      </c>
      <c r="D1231" s="5" t="n">
        <v>31826</v>
      </c>
      <c r="E1231" s="6" t="n">
        <v>362</v>
      </c>
      <c r="F1231" s="7" t="n">
        <v>65</v>
      </c>
      <c r="G1231" s="6" t="n">
        <v>1562.92065078794</v>
      </c>
      <c r="H1231" s="8" t="n">
        <v>604740.887409376</v>
      </c>
      <c r="I1231" s="9" t="n">
        <v>6.91361293405373</v>
      </c>
      <c r="J1231" s="9" t="n">
        <v>43.961504363001</v>
      </c>
      <c r="K1231" s="3" t="s">
        <v>234</v>
      </c>
      <c r="L1231" s="3" t="s">
        <v>235</v>
      </c>
      <c r="M1231" s="7" t="n">
        <v>2018</v>
      </c>
    </row>
    <row r="1232" customFormat="false" ht="15" hidden="false" customHeight="false" outlineLevel="0" collapsed="false">
      <c r="A1232" s="3" t="n">
        <v>1604</v>
      </c>
      <c r="B1232" s="3" t="s">
        <v>444</v>
      </c>
      <c r="C1232" s="4" t="s">
        <v>44</v>
      </c>
      <c r="D1232" s="5" t="n">
        <v>31911</v>
      </c>
      <c r="E1232" s="6" t="n">
        <v>362.54</v>
      </c>
      <c r="F1232" s="7" t="n">
        <v>58</v>
      </c>
      <c r="G1232" s="6" t="n">
        <v>2053.6430603624</v>
      </c>
      <c r="H1232" s="8" t="n">
        <v>976959.076675599</v>
      </c>
      <c r="I1232" s="9" t="n">
        <v>8.59433938393204</v>
      </c>
      <c r="J1232" s="9" t="n">
        <v>57.4527394780903</v>
      </c>
      <c r="K1232" s="3" t="s">
        <v>234</v>
      </c>
      <c r="L1232" s="3" t="s">
        <v>235</v>
      </c>
      <c r="M1232" s="7" t="n">
        <v>2019</v>
      </c>
    </row>
    <row r="1233" customFormat="false" ht="15" hidden="false" customHeight="false" outlineLevel="0" collapsed="false">
      <c r="A1233" s="3" t="n">
        <v>1605</v>
      </c>
      <c r="B1233" s="3" t="s">
        <v>444</v>
      </c>
      <c r="C1233" s="4" t="s">
        <v>45</v>
      </c>
      <c r="D1233" s="5" t="n">
        <v>31982</v>
      </c>
      <c r="E1233" s="6" t="n">
        <v>363.78</v>
      </c>
      <c r="F1233" s="7" t="n">
        <v>56</v>
      </c>
      <c r="G1233" s="6" t="n">
        <v>1289.65731463395</v>
      </c>
      <c r="H1233" s="8" t="n">
        <v>738702.813249178</v>
      </c>
      <c r="I1233" s="9" t="n">
        <v>5.63491517792972</v>
      </c>
      <c r="J1233" s="9" t="n">
        <v>36.0982693588278</v>
      </c>
      <c r="K1233" s="3" t="s">
        <v>234</v>
      </c>
      <c r="L1233" s="3" t="s">
        <v>235</v>
      </c>
      <c r="M1233" s="7" t="n">
        <v>2020</v>
      </c>
    </row>
    <row r="1234" customFormat="false" ht="15" hidden="false" customHeight="false" outlineLevel="0" collapsed="false">
      <c r="A1234" s="3" t="n">
        <v>1606</v>
      </c>
      <c r="B1234" s="3" t="s">
        <v>444</v>
      </c>
      <c r="C1234" s="4" t="s">
        <v>46</v>
      </c>
      <c r="D1234" s="5" t="n">
        <v>31915</v>
      </c>
      <c r="E1234" s="6" t="n">
        <v>363.66</v>
      </c>
      <c r="F1234" s="7" t="n">
        <v>56</v>
      </c>
      <c r="G1234" s="6" t="n">
        <v>648.921671339418</v>
      </c>
      <c r="H1234" s="8" t="n">
        <v>500701.472388781</v>
      </c>
      <c r="I1234" s="9" t="n">
        <v>3.52816792424746</v>
      </c>
      <c r="J1234" s="9" t="n">
        <v>18.2018320924245</v>
      </c>
      <c r="K1234" s="3" t="s">
        <v>234</v>
      </c>
      <c r="L1234" s="3" t="s">
        <v>235</v>
      </c>
      <c r="M1234" s="7" t="n">
        <v>2021</v>
      </c>
    </row>
    <row r="1235" customFormat="false" ht="15" hidden="false" customHeight="false" outlineLevel="0" collapsed="false">
      <c r="A1235" s="3" t="n">
        <v>1607</v>
      </c>
      <c r="B1235" s="3" t="s">
        <v>444</v>
      </c>
      <c r="C1235" s="4" t="s">
        <v>47</v>
      </c>
      <c r="D1235" s="5" t="n">
        <v>32368</v>
      </c>
      <c r="E1235" s="6" t="n">
        <v>363.66</v>
      </c>
      <c r="F1235" s="7" t="n">
        <v>67</v>
      </c>
      <c r="G1235" s="6" t="n">
        <v>48.8986362817596</v>
      </c>
      <c r="H1235" s="8" t="n">
        <v>31075.5723434211</v>
      </c>
      <c r="I1235" s="9" t="n">
        <v>1.21695798115398</v>
      </c>
      <c r="J1235" s="9" t="n">
        <v>1.3523794300849</v>
      </c>
      <c r="K1235" s="3" t="s">
        <v>234</v>
      </c>
      <c r="L1235" s="3" t="s">
        <v>235</v>
      </c>
      <c r="M1235" s="7" t="n">
        <v>2022</v>
      </c>
    </row>
    <row r="1236" customFormat="false" ht="15" hidden="false" customHeight="false" outlineLevel="0" collapsed="false">
      <c r="A1236" s="3" t="n">
        <v>1608</v>
      </c>
      <c r="B1236" s="3" t="s">
        <v>444</v>
      </c>
      <c r="C1236" s="4" t="s">
        <v>48</v>
      </c>
      <c r="D1236" s="5" t="n">
        <v>32563</v>
      </c>
      <c r="E1236" s="6" t="n">
        <v>363.66</v>
      </c>
      <c r="F1236" s="7" t="n">
        <v>66</v>
      </c>
      <c r="G1236" s="6" t="n">
        <v>1400.87263495158</v>
      </c>
      <c r="H1236" s="8" t="n">
        <v>1463078.50496738</v>
      </c>
      <c r="I1236" s="9" t="n">
        <v>7.44059589522102</v>
      </c>
      <c r="J1236" s="9" t="n">
        <v>38.4061201465827</v>
      </c>
      <c r="K1236" s="3" t="s">
        <v>234</v>
      </c>
      <c r="L1236" s="3" t="s">
        <v>235</v>
      </c>
      <c r="M1236" s="7" t="n">
        <v>2023</v>
      </c>
    </row>
    <row r="1237" customFormat="false" ht="15" hidden="false" customHeight="false" outlineLevel="0" collapsed="false">
      <c r="A1237" s="3" t="n">
        <v>1609</v>
      </c>
      <c r="B1237" s="3" t="s">
        <v>444</v>
      </c>
      <c r="C1237" s="4" t="s">
        <v>49</v>
      </c>
      <c r="D1237" s="5" t="n">
        <v>77112</v>
      </c>
      <c r="E1237" s="6" t="n">
        <v>930.5</v>
      </c>
      <c r="F1237" s="7" t="n">
        <v>70</v>
      </c>
      <c r="G1237" s="6" t="n">
        <v>2883.31701821878</v>
      </c>
      <c r="H1237" s="8" t="n">
        <v>2581750.89128328</v>
      </c>
      <c r="I1237" s="9" t="n">
        <v>6.84753990494232</v>
      </c>
      <c r="J1237" s="9" t="n">
        <v>33.4724963241567</v>
      </c>
      <c r="K1237" s="3" t="s">
        <v>234</v>
      </c>
      <c r="L1237" s="3" t="s">
        <v>235</v>
      </c>
      <c r="M1237" s="7" t="n">
        <v>2024</v>
      </c>
    </row>
    <row r="1238" customFormat="false" ht="15" hidden="false" customHeight="false" outlineLevel="0" collapsed="false">
      <c r="A1238" s="3" t="n">
        <v>1633</v>
      </c>
      <c r="B1238" s="3" t="s">
        <v>445</v>
      </c>
      <c r="C1238" s="4" t="s">
        <v>14</v>
      </c>
      <c r="D1238" s="5" t="n">
        <v>6254</v>
      </c>
      <c r="E1238" s="6" t="n">
        <v>108</v>
      </c>
      <c r="F1238" s="7" t="n">
        <v>54</v>
      </c>
      <c r="G1238" s="6" t="n">
        <v>154.207981012659</v>
      </c>
      <c r="H1238" s="8" t="n">
        <v>124600.048658228</v>
      </c>
      <c r="I1238" s="9" t="n">
        <v>4.80100078765695</v>
      </c>
      <c r="J1238" s="9" t="n">
        <v>22.0127939251836</v>
      </c>
      <c r="K1238" s="3" t="s">
        <v>446</v>
      </c>
      <c r="L1238" s="3" t="s">
        <v>447</v>
      </c>
      <c r="M1238" s="7" t="n">
        <v>2016</v>
      </c>
    </row>
    <row r="1239" customFormat="false" ht="15" hidden="false" customHeight="false" outlineLevel="0" collapsed="false">
      <c r="A1239" s="3" t="n">
        <v>1634</v>
      </c>
      <c r="B1239" s="3" t="s">
        <v>445</v>
      </c>
      <c r="C1239" s="4" t="s">
        <v>17</v>
      </c>
      <c r="D1239" s="5" t="n">
        <v>6313</v>
      </c>
      <c r="E1239" s="6" t="n">
        <v>108</v>
      </c>
      <c r="F1239" s="7" t="n">
        <v>55</v>
      </c>
      <c r="G1239" s="6" t="n">
        <v>282.610936075949</v>
      </c>
      <c r="H1239" s="8" t="n">
        <v>230893.134774051</v>
      </c>
      <c r="I1239" s="9" t="n">
        <v>7.07607803268977</v>
      </c>
      <c r="J1239" s="9" t="n">
        <v>40.0747524867072</v>
      </c>
      <c r="K1239" s="3" t="s">
        <v>446</v>
      </c>
      <c r="L1239" s="3" t="s">
        <v>447</v>
      </c>
      <c r="M1239" s="7" t="n">
        <v>2017</v>
      </c>
    </row>
    <row r="1240" customFormat="false" ht="15" hidden="false" customHeight="false" outlineLevel="0" collapsed="false">
      <c r="A1240" s="3" t="n">
        <v>1635</v>
      </c>
      <c r="B1240" s="3" t="s">
        <v>445</v>
      </c>
      <c r="C1240" s="4" t="s">
        <v>18</v>
      </c>
      <c r="D1240" s="5" t="n">
        <v>6400</v>
      </c>
      <c r="E1240" s="6" t="n">
        <v>108</v>
      </c>
      <c r="F1240" s="7" t="n">
        <v>57</v>
      </c>
      <c r="G1240" s="6" t="n">
        <v>117.581159579779</v>
      </c>
      <c r="H1240" s="8" t="n">
        <v>100972.820789135</v>
      </c>
      <c r="I1240" s="9" t="n">
        <v>3.15650480367217</v>
      </c>
      <c r="J1240" s="9" t="n">
        <v>16.4465738453943</v>
      </c>
      <c r="K1240" s="3" t="s">
        <v>446</v>
      </c>
      <c r="L1240" s="3" t="s">
        <v>447</v>
      </c>
      <c r="M1240" s="7" t="n">
        <v>2018</v>
      </c>
    </row>
    <row r="1241" customFormat="false" ht="15" hidden="false" customHeight="false" outlineLevel="0" collapsed="false">
      <c r="A1241" s="3" t="n">
        <v>1636</v>
      </c>
      <c r="B1241" s="3" t="s">
        <v>445</v>
      </c>
      <c r="C1241" s="4" t="s">
        <v>19</v>
      </c>
      <c r="D1241" s="5" t="n">
        <v>6788</v>
      </c>
      <c r="E1241" s="6" t="n">
        <v>109</v>
      </c>
      <c r="F1241" s="7" t="n">
        <v>57</v>
      </c>
      <c r="G1241" s="6" t="n">
        <v>151.337223689163</v>
      </c>
      <c r="H1241" s="8" t="n">
        <v>147139.129104025</v>
      </c>
      <c r="I1241" s="9" t="n">
        <v>3.96416024806738</v>
      </c>
      <c r="J1241" s="9" t="n">
        <v>19.9582107064897</v>
      </c>
      <c r="K1241" s="3" t="s">
        <v>446</v>
      </c>
      <c r="L1241" s="3" t="s">
        <v>447</v>
      </c>
      <c r="M1241" s="7" t="n">
        <v>2019</v>
      </c>
    </row>
    <row r="1242" customFormat="false" ht="15" hidden="false" customHeight="false" outlineLevel="0" collapsed="false">
      <c r="A1242" s="3" t="n">
        <v>1637</v>
      </c>
      <c r="B1242" s="3" t="s">
        <v>445</v>
      </c>
      <c r="C1242" s="4" t="s">
        <v>20</v>
      </c>
      <c r="D1242" s="5" t="n">
        <v>6789</v>
      </c>
      <c r="E1242" s="6" t="n">
        <v>109</v>
      </c>
      <c r="F1242" s="7" t="n">
        <v>58</v>
      </c>
      <c r="G1242" s="6" t="n">
        <v>248.874783156484</v>
      </c>
      <c r="H1242" s="8" t="n">
        <v>275205.73521444</v>
      </c>
      <c r="I1242" s="9" t="n">
        <v>5.56462119116654</v>
      </c>
      <c r="J1242" s="9" t="n">
        <v>32.7266294857812</v>
      </c>
      <c r="K1242" s="3" t="s">
        <v>446</v>
      </c>
      <c r="L1242" s="3" t="s">
        <v>447</v>
      </c>
      <c r="M1242" s="7" t="n">
        <v>2020</v>
      </c>
    </row>
    <row r="1243" customFormat="false" ht="15" hidden="false" customHeight="false" outlineLevel="0" collapsed="false">
      <c r="A1243" s="3" t="n">
        <v>1638</v>
      </c>
      <c r="B1243" s="3" t="s">
        <v>445</v>
      </c>
      <c r="C1243" s="4" t="s">
        <v>21</v>
      </c>
      <c r="D1243" s="5" t="n">
        <v>6457</v>
      </c>
      <c r="E1243" s="6" t="n">
        <v>108</v>
      </c>
      <c r="F1243" s="7" t="n">
        <v>58</v>
      </c>
      <c r="G1243" s="6" t="n">
        <v>260.516503706029</v>
      </c>
      <c r="H1243" s="8" t="n">
        <v>289694.352121104</v>
      </c>
      <c r="I1243" s="9" t="n">
        <v>8.12470597715665</v>
      </c>
      <c r="J1243" s="9" t="n">
        <v>36.1178698852737</v>
      </c>
      <c r="K1243" s="3" t="s">
        <v>446</v>
      </c>
      <c r="L1243" s="3" t="s">
        <v>447</v>
      </c>
      <c r="M1243" s="7" t="n">
        <v>2021</v>
      </c>
    </row>
    <row r="1244" customFormat="false" ht="15" hidden="false" customHeight="false" outlineLevel="0" collapsed="false">
      <c r="A1244" s="3" t="n">
        <v>1639</v>
      </c>
      <c r="B1244" s="3" t="s">
        <v>445</v>
      </c>
      <c r="C1244" s="4" t="s">
        <v>22</v>
      </c>
      <c r="D1244" s="5" t="n">
        <v>5542</v>
      </c>
      <c r="E1244" s="6" t="n">
        <v>109</v>
      </c>
      <c r="F1244" s="7" t="n">
        <v>49</v>
      </c>
      <c r="G1244" s="6" t="n">
        <v>266.232667252518</v>
      </c>
      <c r="H1244" s="8" t="n">
        <v>546223.173817977</v>
      </c>
      <c r="I1244" s="9" t="n">
        <v>8.49426117289139</v>
      </c>
      <c r="J1244" s="9" t="n">
        <v>43.0043607342632</v>
      </c>
      <c r="K1244" s="3" t="s">
        <v>446</v>
      </c>
      <c r="L1244" s="3" t="s">
        <v>447</v>
      </c>
      <c r="M1244" s="7" t="n">
        <v>2022</v>
      </c>
    </row>
    <row r="1245" customFormat="false" ht="15" hidden="false" customHeight="false" outlineLevel="0" collapsed="false">
      <c r="A1245" s="3" t="n">
        <v>1640</v>
      </c>
      <c r="B1245" s="3" t="s">
        <v>445</v>
      </c>
      <c r="C1245" s="4" t="s">
        <v>23</v>
      </c>
      <c r="D1245" s="5" t="n">
        <v>5542</v>
      </c>
      <c r="E1245" s="6" t="n">
        <v>109</v>
      </c>
      <c r="F1245" s="7" t="n">
        <v>50</v>
      </c>
      <c r="G1245" s="6" t="n">
        <v>233.209936619094</v>
      </c>
      <c r="H1245" s="8" t="n">
        <v>507931.241956386</v>
      </c>
      <c r="I1245" s="9" t="n">
        <v>8.36441471173133</v>
      </c>
      <c r="J1245" s="9" t="n">
        <v>37.6702241114151</v>
      </c>
      <c r="K1245" s="3" t="s">
        <v>446</v>
      </c>
      <c r="L1245" s="3" t="s">
        <v>447</v>
      </c>
      <c r="M1245" s="7" t="n">
        <v>2023</v>
      </c>
    </row>
    <row r="1246" customFormat="false" ht="15" hidden="false" customHeight="false" outlineLevel="0" collapsed="false">
      <c r="A1246" s="3" t="n">
        <v>1641</v>
      </c>
      <c r="B1246" s="3" t="s">
        <v>445</v>
      </c>
      <c r="C1246" s="4" t="s">
        <v>24</v>
      </c>
      <c r="D1246" s="5" t="n">
        <v>5546</v>
      </c>
      <c r="E1246" s="6" t="n">
        <v>109</v>
      </c>
      <c r="F1246" s="7" t="n">
        <v>50</v>
      </c>
      <c r="G1246" s="6" t="n">
        <v>715.1138274928</v>
      </c>
      <c r="H1246" s="8" t="n">
        <v>1551287.8446142</v>
      </c>
      <c r="I1246" s="9" t="n">
        <v>17.1924791754237</v>
      </c>
      <c r="J1246" s="9" t="n">
        <v>115.112239749422</v>
      </c>
      <c r="K1246" s="3" t="s">
        <v>446</v>
      </c>
      <c r="L1246" s="3" t="s">
        <v>447</v>
      </c>
      <c r="M1246" s="7" t="n">
        <v>2024</v>
      </c>
    </row>
    <row r="1247" customFormat="false" ht="15" hidden="false" customHeight="false" outlineLevel="0" collapsed="false">
      <c r="A1247" s="3" t="n">
        <v>1666</v>
      </c>
      <c r="B1247" s="3" t="s">
        <v>448</v>
      </c>
      <c r="C1247" s="4" t="s">
        <v>14</v>
      </c>
      <c r="D1247" s="5" t="n">
        <v>3878</v>
      </c>
      <c r="E1247" s="6" t="n">
        <v>37</v>
      </c>
      <c r="F1247" s="7" t="n">
        <v>51</v>
      </c>
      <c r="G1247" s="6" t="n">
        <v>745.653151207093</v>
      </c>
      <c r="H1247" s="8" t="n">
        <v>580994.126314</v>
      </c>
      <c r="I1247" s="9" t="n">
        <v>30.0391952652773</v>
      </c>
      <c r="J1247" s="9" t="n">
        <v>171.654521094748</v>
      </c>
      <c r="K1247" s="3" t="s">
        <v>449</v>
      </c>
      <c r="L1247" s="3" t="s">
        <v>450</v>
      </c>
      <c r="M1247" s="7" t="n">
        <v>2016</v>
      </c>
    </row>
    <row r="1248" customFormat="false" ht="15" hidden="false" customHeight="false" outlineLevel="0" collapsed="false">
      <c r="A1248" s="3" t="n">
        <v>1667</v>
      </c>
      <c r="B1248" s="3" t="s">
        <v>448</v>
      </c>
      <c r="C1248" s="4" t="s">
        <v>17</v>
      </c>
      <c r="D1248" s="5" t="n">
        <v>3960</v>
      </c>
      <c r="E1248" s="6" t="n">
        <v>37</v>
      </c>
      <c r="F1248" s="7" t="n">
        <v>51</v>
      </c>
      <c r="G1248" s="6" t="n">
        <v>978.207871759766</v>
      </c>
      <c r="H1248" s="8" t="n">
        <v>1561619.791784</v>
      </c>
      <c r="I1248" s="9" t="n">
        <v>34.6922512559481</v>
      </c>
      <c r="J1248" s="9" t="n">
        <v>221.133042804967</v>
      </c>
      <c r="K1248" s="3" t="s">
        <v>449</v>
      </c>
      <c r="L1248" s="3" t="s">
        <v>450</v>
      </c>
      <c r="M1248" s="7" t="n">
        <v>2017</v>
      </c>
    </row>
    <row r="1249" customFormat="false" ht="15" hidden="false" customHeight="false" outlineLevel="0" collapsed="false">
      <c r="A1249" s="3" t="n">
        <v>1668</v>
      </c>
      <c r="B1249" s="3" t="s">
        <v>448</v>
      </c>
      <c r="C1249" s="4" t="s">
        <v>18</v>
      </c>
      <c r="D1249" s="5" t="n">
        <v>3989</v>
      </c>
      <c r="E1249" s="6" t="n">
        <v>37</v>
      </c>
      <c r="F1249" s="7" t="n">
        <v>51</v>
      </c>
      <c r="G1249" s="6" t="n">
        <v>244.675530955057</v>
      </c>
      <c r="H1249" s="8" t="n">
        <v>816993.400915725</v>
      </c>
      <c r="I1249" s="9" t="n">
        <v>10.9940720633337</v>
      </c>
      <c r="J1249" s="9" t="n">
        <v>54.9090813178799</v>
      </c>
      <c r="K1249" s="3" t="s">
        <v>449</v>
      </c>
      <c r="L1249" s="3" t="s">
        <v>450</v>
      </c>
      <c r="M1249" s="7" t="n">
        <v>2018</v>
      </c>
    </row>
    <row r="1250" customFormat="false" ht="15" hidden="false" customHeight="false" outlineLevel="0" collapsed="false">
      <c r="A1250" s="3" t="n">
        <v>1669</v>
      </c>
      <c r="B1250" s="3" t="s">
        <v>448</v>
      </c>
      <c r="C1250" s="4" t="s">
        <v>19</v>
      </c>
      <c r="D1250" s="5" t="n">
        <v>4029</v>
      </c>
      <c r="E1250" s="6" t="n">
        <v>37</v>
      </c>
      <c r="F1250" s="7" t="n">
        <v>51</v>
      </c>
      <c r="G1250" s="6" t="n">
        <v>129.256546282585</v>
      </c>
      <c r="H1250" s="8" t="n">
        <v>354931.482922499</v>
      </c>
      <c r="I1250" s="9" t="n">
        <v>6.61354350786706</v>
      </c>
      <c r="J1250" s="9" t="n">
        <v>28.7192407672988</v>
      </c>
      <c r="K1250" s="3" t="s">
        <v>449</v>
      </c>
      <c r="L1250" s="3" t="s">
        <v>450</v>
      </c>
      <c r="M1250" s="7" t="n">
        <v>2019</v>
      </c>
    </row>
    <row r="1251" customFormat="false" ht="15" hidden="false" customHeight="false" outlineLevel="0" collapsed="false">
      <c r="A1251" s="3" t="n">
        <v>1670</v>
      </c>
      <c r="B1251" s="3" t="s">
        <v>448</v>
      </c>
      <c r="C1251" s="4" t="s">
        <v>21</v>
      </c>
      <c r="D1251" s="5" t="n">
        <v>4053</v>
      </c>
      <c r="E1251" s="6" t="n">
        <v>37</v>
      </c>
      <c r="F1251" s="7" t="n">
        <v>57</v>
      </c>
      <c r="G1251" s="6" t="n">
        <v>1.80812734346326</v>
      </c>
      <c r="H1251" s="8" t="n">
        <v>2072.38173200029</v>
      </c>
      <c r="I1251" s="9" t="n">
        <v>0.614670244705103</v>
      </c>
      <c r="J1251" s="9" t="n">
        <v>0.399365076876203</v>
      </c>
      <c r="K1251" s="3" t="s">
        <v>449</v>
      </c>
      <c r="L1251" s="3" t="s">
        <v>450</v>
      </c>
      <c r="M1251" s="7" t="n">
        <v>2021</v>
      </c>
    </row>
    <row r="1252" customFormat="false" ht="15" hidden="false" customHeight="false" outlineLevel="0" collapsed="false">
      <c r="A1252" s="3" t="n">
        <v>1671</v>
      </c>
      <c r="B1252" s="3" t="s">
        <v>448</v>
      </c>
      <c r="C1252" s="4" t="s">
        <v>22</v>
      </c>
      <c r="D1252" s="5" t="n">
        <v>4114</v>
      </c>
      <c r="E1252" s="6" t="n">
        <v>37</v>
      </c>
      <c r="F1252" s="7" t="n">
        <v>59</v>
      </c>
      <c r="G1252" s="6" t="n">
        <v>238.676752858003</v>
      </c>
      <c r="H1252" s="8" t="n">
        <v>126840.275644227</v>
      </c>
      <c r="I1252" s="9" t="n">
        <v>8.59470193167405</v>
      </c>
      <c r="J1252" s="9" t="n">
        <v>51.9354032301476</v>
      </c>
      <c r="K1252" s="3" t="s">
        <v>449</v>
      </c>
      <c r="L1252" s="3" t="s">
        <v>450</v>
      </c>
      <c r="M1252" s="7" t="n">
        <v>2022</v>
      </c>
    </row>
    <row r="1253" customFormat="false" ht="15" hidden="false" customHeight="false" outlineLevel="0" collapsed="false">
      <c r="A1253" s="3" t="n">
        <v>1672</v>
      </c>
      <c r="B1253" s="3" t="s">
        <v>448</v>
      </c>
      <c r="C1253" s="4" t="s">
        <v>23</v>
      </c>
      <c r="D1253" s="5" t="n">
        <v>4185</v>
      </c>
      <c r="E1253" s="6" t="n">
        <v>37</v>
      </c>
      <c r="F1253" s="7" t="n">
        <v>59</v>
      </c>
      <c r="G1253" s="6" t="n">
        <v>10.4667489012101</v>
      </c>
      <c r="H1253" s="8" t="n">
        <v>5835.91557936534</v>
      </c>
      <c r="I1253" s="9" t="n">
        <v>0.950792249214278</v>
      </c>
      <c r="J1253" s="9" t="n">
        <v>2.23889650124609</v>
      </c>
      <c r="K1253" s="3" t="s">
        <v>449</v>
      </c>
      <c r="L1253" s="3" t="s">
        <v>450</v>
      </c>
      <c r="M1253" s="7" t="n">
        <v>2023</v>
      </c>
    </row>
    <row r="1254" customFormat="false" ht="15" hidden="false" customHeight="false" outlineLevel="0" collapsed="false">
      <c r="A1254" s="3" t="n">
        <v>1673</v>
      </c>
      <c r="B1254" s="3" t="s">
        <v>451</v>
      </c>
      <c r="C1254" s="4" t="s">
        <v>17</v>
      </c>
      <c r="D1254" s="5" t="n">
        <v>14209</v>
      </c>
      <c r="E1254" s="6" t="n">
        <v>203</v>
      </c>
      <c r="F1254" s="7" t="n">
        <v>52</v>
      </c>
      <c r="G1254" s="6" t="n">
        <v>480.652511929377</v>
      </c>
      <c r="H1254" s="8"/>
      <c r="I1254" s="9" t="n">
        <v>15.2144207475603</v>
      </c>
      <c r="J1254" s="9" t="n">
        <v>30.2820572753957</v>
      </c>
      <c r="K1254" s="3" t="s">
        <v>452</v>
      </c>
      <c r="L1254" s="3" t="s">
        <v>453</v>
      </c>
      <c r="M1254" s="7" t="n">
        <v>2017</v>
      </c>
    </row>
    <row r="1255" customFormat="false" ht="15" hidden="false" customHeight="false" outlineLevel="0" collapsed="false">
      <c r="A1255" s="3" t="n">
        <v>1674</v>
      </c>
      <c r="B1255" s="3" t="s">
        <v>451</v>
      </c>
      <c r="C1255" s="4" t="s">
        <v>18</v>
      </c>
      <c r="D1255" s="5" t="n">
        <v>14232</v>
      </c>
      <c r="E1255" s="6" t="n">
        <v>204</v>
      </c>
      <c r="F1255" s="7" t="n">
        <v>52</v>
      </c>
      <c r="G1255" s="6" t="n">
        <v>55.7555603118319</v>
      </c>
      <c r="H1255" s="8"/>
      <c r="I1255" s="9" t="n">
        <v>5.55024129657691</v>
      </c>
      <c r="J1255" s="9" t="n">
        <v>3.50703357763088</v>
      </c>
      <c r="K1255" s="3" t="s">
        <v>452</v>
      </c>
      <c r="L1255" s="3" t="s">
        <v>453</v>
      </c>
      <c r="M1255" s="7" t="n">
        <v>2018</v>
      </c>
    </row>
    <row r="1256" customFormat="false" ht="15" hidden="false" customHeight="false" outlineLevel="0" collapsed="false">
      <c r="A1256" s="3" t="n">
        <v>1675</v>
      </c>
      <c r="B1256" s="3" t="s">
        <v>451</v>
      </c>
      <c r="C1256" s="4" t="s">
        <v>19</v>
      </c>
      <c r="D1256" s="5" t="n">
        <v>14470</v>
      </c>
      <c r="E1256" s="6" t="n">
        <v>204</v>
      </c>
      <c r="F1256" s="7" t="n">
        <v>55</v>
      </c>
      <c r="G1256" s="6" t="n">
        <v>20.2037640450978</v>
      </c>
      <c r="H1256" s="8"/>
      <c r="I1256" s="9" t="n">
        <v>5.12608857306133</v>
      </c>
      <c r="J1256" s="9" t="n">
        <v>1.24991773769511</v>
      </c>
      <c r="K1256" s="3" t="s">
        <v>452</v>
      </c>
      <c r="L1256" s="3" t="s">
        <v>453</v>
      </c>
      <c r="M1256" s="7" t="n">
        <v>2019</v>
      </c>
    </row>
    <row r="1257" customFormat="false" ht="15" hidden="false" customHeight="false" outlineLevel="0" collapsed="false">
      <c r="A1257" s="3" t="n">
        <v>1676</v>
      </c>
      <c r="B1257" s="3" t="s">
        <v>451</v>
      </c>
      <c r="C1257" s="4" t="s">
        <v>20</v>
      </c>
      <c r="D1257" s="5" t="n">
        <v>13913</v>
      </c>
      <c r="E1257" s="6" t="n">
        <v>204</v>
      </c>
      <c r="F1257" s="7" t="n">
        <v>60</v>
      </c>
      <c r="G1257" s="6" t="n">
        <v>386.851628940675</v>
      </c>
      <c r="H1257" s="8" t="n">
        <v>745528.923021029</v>
      </c>
      <c r="I1257" s="9" t="n">
        <v>6.94438821155465</v>
      </c>
      <c r="J1257" s="9" t="n">
        <v>24.8227468627347</v>
      </c>
      <c r="K1257" s="3" t="s">
        <v>452</v>
      </c>
      <c r="L1257" s="3" t="s">
        <v>453</v>
      </c>
      <c r="M1257" s="7" t="n">
        <v>2020</v>
      </c>
    </row>
    <row r="1258" customFormat="false" ht="15" hidden="false" customHeight="false" outlineLevel="0" collapsed="false">
      <c r="A1258" s="3" t="n">
        <v>1677</v>
      </c>
      <c r="B1258" s="3" t="s">
        <v>451</v>
      </c>
      <c r="C1258" s="4" t="s">
        <v>21</v>
      </c>
      <c r="D1258" s="5" t="n">
        <v>14942</v>
      </c>
      <c r="E1258" s="6" t="n">
        <v>204</v>
      </c>
      <c r="F1258" s="7" t="n">
        <v>60</v>
      </c>
      <c r="G1258" s="6" t="n">
        <v>87.2765705206874</v>
      </c>
      <c r="H1258" s="8" t="n">
        <v>8237.14465883216</v>
      </c>
      <c r="I1258" s="9" t="n">
        <v>5.73821346040197</v>
      </c>
      <c r="J1258" s="9" t="n">
        <v>5.2288551962711</v>
      </c>
      <c r="K1258" s="3" t="s">
        <v>452</v>
      </c>
      <c r="L1258" s="3" t="s">
        <v>453</v>
      </c>
      <c r="M1258" s="7" t="n">
        <v>2021</v>
      </c>
    </row>
    <row r="1259" customFormat="false" ht="15" hidden="false" customHeight="false" outlineLevel="0" collapsed="false">
      <c r="A1259" s="3" t="n">
        <v>1678</v>
      </c>
      <c r="B1259" s="3" t="s">
        <v>451</v>
      </c>
      <c r="C1259" s="4" t="s">
        <v>22</v>
      </c>
      <c r="D1259" s="5" t="n">
        <v>15500</v>
      </c>
      <c r="E1259" s="6" t="n">
        <v>204</v>
      </c>
      <c r="F1259" s="7" t="n">
        <v>49</v>
      </c>
      <c r="G1259" s="6" t="n">
        <v>297.773207078911</v>
      </c>
      <c r="H1259" s="8" t="n">
        <v>23497.9915586718</v>
      </c>
      <c r="I1259" s="9" t="n">
        <v>5.92142695007193</v>
      </c>
      <c r="J1259" s="9" t="n">
        <v>17.1977485465917</v>
      </c>
      <c r="K1259" s="3" t="s">
        <v>452</v>
      </c>
      <c r="L1259" s="3" t="s">
        <v>453</v>
      </c>
      <c r="M1259" s="7" t="n">
        <v>2022</v>
      </c>
    </row>
    <row r="1260" customFormat="false" ht="15" hidden="false" customHeight="false" outlineLevel="0" collapsed="false">
      <c r="A1260" s="3" t="n">
        <v>1679</v>
      </c>
      <c r="B1260" s="3" t="s">
        <v>451</v>
      </c>
      <c r="C1260" s="4" t="s">
        <v>23</v>
      </c>
      <c r="D1260" s="5" t="n">
        <v>15683</v>
      </c>
      <c r="E1260" s="6" t="n">
        <v>204</v>
      </c>
      <c r="F1260" s="7" t="n">
        <v>49</v>
      </c>
      <c r="G1260" s="6" t="n">
        <v>697.818618058426</v>
      </c>
      <c r="H1260" s="8" t="n">
        <v>57099.7567583272</v>
      </c>
      <c r="I1260" s="9" t="n">
        <v>10.6260755072769</v>
      </c>
      <c r="J1260" s="9" t="n">
        <v>39.8319056388762</v>
      </c>
      <c r="K1260" s="3" t="s">
        <v>452</v>
      </c>
      <c r="L1260" s="3" t="s">
        <v>453</v>
      </c>
      <c r="M1260" s="7" t="n">
        <v>2023</v>
      </c>
    </row>
    <row r="1261" customFormat="false" ht="15" hidden="false" customHeight="false" outlineLevel="0" collapsed="false">
      <c r="A1261" s="3" t="n">
        <v>1680</v>
      </c>
      <c r="B1261" s="3" t="s">
        <v>451</v>
      </c>
      <c r="C1261" s="4" t="s">
        <v>24</v>
      </c>
      <c r="D1261" s="5" t="n">
        <v>15499</v>
      </c>
      <c r="E1261" s="6" t="n">
        <v>204.5</v>
      </c>
      <c r="F1261" s="7" t="n">
        <v>52</v>
      </c>
      <c r="G1261" s="6" t="n">
        <v>1041.40713620816</v>
      </c>
      <c r="H1261" s="8" t="n">
        <v>79813.5905931389</v>
      </c>
      <c r="I1261" s="9" t="n">
        <v>14.002673886603</v>
      </c>
      <c r="J1261" s="9" t="n">
        <v>59.985055463687</v>
      </c>
      <c r="K1261" s="3" t="s">
        <v>452</v>
      </c>
      <c r="L1261" s="3" t="s">
        <v>453</v>
      </c>
      <c r="M1261" s="7" t="n">
        <v>2024</v>
      </c>
    </row>
    <row r="1262" customFormat="false" ht="15" hidden="false" customHeight="false" outlineLevel="0" collapsed="false">
      <c r="A1262" s="3" t="n">
        <v>1704</v>
      </c>
      <c r="B1262" s="3" t="s">
        <v>454</v>
      </c>
      <c r="C1262" s="4" t="s">
        <v>14</v>
      </c>
      <c r="D1262" s="5" t="n">
        <v>61625</v>
      </c>
      <c r="E1262" s="6" t="n">
        <v>904.2</v>
      </c>
      <c r="F1262" s="7" t="n">
        <v>52</v>
      </c>
      <c r="G1262" s="6" t="n">
        <v>1361.28714074742</v>
      </c>
      <c r="H1262" s="8" t="n">
        <v>311245.829808052</v>
      </c>
      <c r="I1262" s="9" t="n">
        <v>9.28741369801231</v>
      </c>
      <c r="J1262" s="9" t="n">
        <v>19.7205491055461</v>
      </c>
      <c r="K1262" s="3" t="s">
        <v>455</v>
      </c>
      <c r="L1262" s="3" t="s">
        <v>456</v>
      </c>
      <c r="M1262" s="7" t="n">
        <v>2016</v>
      </c>
    </row>
    <row r="1263" customFormat="false" ht="15" hidden="false" customHeight="false" outlineLevel="0" collapsed="false">
      <c r="A1263" s="3" t="n">
        <v>1705</v>
      </c>
      <c r="B1263" s="3" t="s">
        <v>454</v>
      </c>
      <c r="C1263" s="4" t="s">
        <v>17</v>
      </c>
      <c r="D1263" s="5" t="n">
        <v>63585</v>
      </c>
      <c r="E1263" s="6" t="n">
        <v>852.67</v>
      </c>
      <c r="F1263" s="7" t="n">
        <v>55</v>
      </c>
      <c r="G1263" s="6" t="n">
        <v>2006.49547680413</v>
      </c>
      <c r="H1263" s="8" t="n">
        <v>766019.778179511</v>
      </c>
      <c r="I1263" s="9" t="n">
        <v>11.4482680542269</v>
      </c>
      <c r="J1263" s="9" t="n">
        <v>28.2488767571704</v>
      </c>
      <c r="K1263" s="3" t="s">
        <v>455</v>
      </c>
      <c r="L1263" s="3" t="s">
        <v>456</v>
      </c>
      <c r="M1263" s="7" t="n">
        <v>2017</v>
      </c>
    </row>
    <row r="1264" customFormat="false" ht="15" hidden="false" customHeight="false" outlineLevel="0" collapsed="false">
      <c r="A1264" s="3" t="n">
        <v>1706</v>
      </c>
      <c r="B1264" s="3" t="s">
        <v>454</v>
      </c>
      <c r="C1264" s="4" t="s">
        <v>18</v>
      </c>
      <c r="D1264" s="5" t="n">
        <v>63665</v>
      </c>
      <c r="E1264" s="6" t="n">
        <v>852.95</v>
      </c>
      <c r="F1264" s="7" t="n">
        <v>55</v>
      </c>
      <c r="G1264" s="6" t="n">
        <v>1810.82053659794</v>
      </c>
      <c r="H1264" s="8" t="n">
        <v>717428.988394737</v>
      </c>
      <c r="I1264" s="9" t="n">
        <v>10.52147879747</v>
      </c>
      <c r="J1264" s="9" t="n">
        <v>25.4619899435393</v>
      </c>
      <c r="K1264" s="3" t="s">
        <v>455</v>
      </c>
      <c r="L1264" s="3" t="s">
        <v>456</v>
      </c>
      <c r="M1264" s="7" t="n">
        <v>2018</v>
      </c>
    </row>
    <row r="1265" customFormat="false" ht="15" hidden="false" customHeight="false" outlineLevel="0" collapsed="false">
      <c r="A1265" s="3" t="n">
        <v>1707</v>
      </c>
      <c r="B1265" s="3" t="s">
        <v>454</v>
      </c>
      <c r="C1265" s="4" t="s">
        <v>19</v>
      </c>
      <c r="D1265" s="5" t="n">
        <v>63704</v>
      </c>
      <c r="E1265" s="6" t="n">
        <v>853.107830184862</v>
      </c>
      <c r="F1265" s="7" t="n">
        <v>62</v>
      </c>
      <c r="G1265" s="6" t="n">
        <v>1964.35392836341</v>
      </c>
      <c r="H1265" s="8" t="n">
        <v>813301.456960304</v>
      </c>
      <c r="I1265" s="9" t="n">
        <v>10.9769053621027</v>
      </c>
      <c r="J1265" s="9" t="n">
        <v>27.6039169099714</v>
      </c>
      <c r="K1265" s="3" t="s">
        <v>455</v>
      </c>
      <c r="L1265" s="3" t="s">
        <v>456</v>
      </c>
      <c r="M1265" s="7" t="n">
        <v>2019</v>
      </c>
    </row>
    <row r="1266" customFormat="false" ht="15" hidden="false" customHeight="false" outlineLevel="0" collapsed="false">
      <c r="A1266" s="3" t="n">
        <v>1708</v>
      </c>
      <c r="B1266" s="3" t="s">
        <v>454</v>
      </c>
      <c r="C1266" s="4" t="s">
        <v>20</v>
      </c>
      <c r="D1266" s="5" t="n">
        <v>63725</v>
      </c>
      <c r="E1266" s="6" t="n">
        <v>853.4</v>
      </c>
      <c r="F1266" s="7" t="n">
        <v>62</v>
      </c>
      <c r="G1266" s="6" t="n">
        <v>1679.47442857722</v>
      </c>
      <c r="H1266" s="8" t="n">
        <v>819012.499839966</v>
      </c>
      <c r="I1266" s="9" t="n">
        <v>10.1006424084899</v>
      </c>
      <c r="J1266" s="9" t="n">
        <v>23.5282564541052</v>
      </c>
      <c r="K1266" s="3" t="s">
        <v>455</v>
      </c>
      <c r="L1266" s="3" t="s">
        <v>456</v>
      </c>
      <c r="M1266" s="7" t="n">
        <v>2020</v>
      </c>
    </row>
    <row r="1267" customFormat="false" ht="15" hidden="false" customHeight="false" outlineLevel="0" collapsed="false">
      <c r="A1267" s="3" t="n">
        <v>1709</v>
      </c>
      <c r="B1267" s="3" t="s">
        <v>454</v>
      </c>
      <c r="C1267" s="4" t="s">
        <v>21</v>
      </c>
      <c r="D1267" s="5" t="n">
        <v>63797</v>
      </c>
      <c r="E1267" s="6" t="n">
        <v>873.83</v>
      </c>
      <c r="F1267" s="7" t="n">
        <v>63</v>
      </c>
      <c r="G1267" s="6" t="n">
        <v>1045.24440770992</v>
      </c>
      <c r="H1267" s="8" t="n">
        <v>713560.442968105</v>
      </c>
      <c r="I1267" s="9" t="n">
        <v>8.58647486636625</v>
      </c>
      <c r="J1267" s="9" t="n">
        <v>14.6667966360627</v>
      </c>
      <c r="K1267" s="3" t="s">
        <v>455</v>
      </c>
      <c r="L1267" s="3" t="s">
        <v>456</v>
      </c>
      <c r="M1267" s="7" t="n">
        <v>2021</v>
      </c>
    </row>
    <row r="1268" customFormat="false" ht="15" hidden="false" customHeight="false" outlineLevel="0" collapsed="false">
      <c r="A1268" s="3" t="n">
        <v>1710</v>
      </c>
      <c r="B1268" s="3" t="s">
        <v>454</v>
      </c>
      <c r="C1268" s="4" t="s">
        <v>22</v>
      </c>
      <c r="D1268" s="5" t="n">
        <v>63871</v>
      </c>
      <c r="E1268" s="6" t="n">
        <v>873.664238307561</v>
      </c>
      <c r="F1268" s="7" t="n">
        <v>60</v>
      </c>
      <c r="G1268" s="6" t="n">
        <v>1411.92195858512</v>
      </c>
      <c r="H1268" s="8" t="n">
        <v>999796.058093712</v>
      </c>
      <c r="I1268" s="9" t="n">
        <v>10.4508304801177</v>
      </c>
      <c r="J1268" s="9" t="n">
        <v>19.7890365783178</v>
      </c>
      <c r="K1268" s="3" t="s">
        <v>455</v>
      </c>
      <c r="L1268" s="3" t="s">
        <v>456</v>
      </c>
      <c r="M1268" s="7" t="n">
        <v>2022</v>
      </c>
    </row>
    <row r="1269" customFormat="false" ht="15" hidden="false" customHeight="false" outlineLevel="0" collapsed="false">
      <c r="A1269" s="3" t="n">
        <v>1711</v>
      </c>
      <c r="B1269" s="3" t="s">
        <v>454</v>
      </c>
      <c r="C1269" s="4" t="s">
        <v>23</v>
      </c>
      <c r="D1269" s="5" t="n">
        <v>63853</v>
      </c>
      <c r="E1269" s="6" t="n">
        <v>906.1</v>
      </c>
      <c r="F1269" s="7" t="n">
        <v>60</v>
      </c>
      <c r="G1269" s="6" t="n">
        <v>1534.52896274227</v>
      </c>
      <c r="H1269" s="8" t="n">
        <v>1364257.62903639</v>
      </c>
      <c r="I1269" s="9" t="n">
        <v>10.9380858348785</v>
      </c>
      <c r="J1269" s="9" t="n">
        <v>21.5135191630283</v>
      </c>
      <c r="K1269" s="3" t="s">
        <v>455</v>
      </c>
      <c r="L1269" s="3" t="s">
        <v>456</v>
      </c>
      <c r="M1269" s="7" t="n">
        <v>2023</v>
      </c>
    </row>
    <row r="1270" customFormat="false" ht="15" hidden="false" customHeight="false" outlineLevel="0" collapsed="false">
      <c r="A1270" s="3" t="n">
        <v>1712</v>
      </c>
      <c r="B1270" s="3" t="s">
        <v>454</v>
      </c>
      <c r="C1270" s="4" t="s">
        <v>24</v>
      </c>
      <c r="D1270" s="5" t="n">
        <v>63863</v>
      </c>
      <c r="E1270" s="6" t="n">
        <v>874.13</v>
      </c>
      <c r="F1270" s="7" t="n">
        <v>74</v>
      </c>
      <c r="G1270" s="6" t="n">
        <v>1124.43525389104</v>
      </c>
      <c r="H1270" s="8" t="n">
        <v>687231.521976866</v>
      </c>
      <c r="I1270" s="9" t="n">
        <v>9.1343207825869</v>
      </c>
      <c r="J1270" s="9" t="n">
        <v>15.7185083873098</v>
      </c>
      <c r="K1270" s="3" t="s">
        <v>455</v>
      </c>
      <c r="L1270" s="3" t="s">
        <v>456</v>
      </c>
      <c r="M1270" s="7" t="n">
        <v>2024</v>
      </c>
    </row>
    <row r="1271" customFormat="false" ht="15" hidden="false" customHeight="false" outlineLevel="0" collapsed="false">
      <c r="A1271" s="3" t="n">
        <v>1713</v>
      </c>
      <c r="B1271" s="3" t="s">
        <v>457</v>
      </c>
      <c r="C1271" s="4" t="s">
        <v>14</v>
      </c>
      <c r="D1271" s="5" t="n">
        <v>20769</v>
      </c>
      <c r="E1271" s="6" t="n">
        <v>315.7</v>
      </c>
      <c r="F1271" s="7" t="n">
        <v>67</v>
      </c>
      <c r="G1271" s="6" t="n">
        <v>503.124974637554</v>
      </c>
      <c r="H1271" s="8" t="n">
        <v>462321.367813393</v>
      </c>
      <c r="I1271" s="9" t="n">
        <v>9.41911825318407</v>
      </c>
      <c r="J1271" s="9" t="n">
        <v>21.6265121305821</v>
      </c>
      <c r="K1271" s="3" t="s">
        <v>458</v>
      </c>
      <c r="L1271" s="3" t="s">
        <v>459</v>
      </c>
      <c r="M1271" s="7" t="n">
        <v>2016</v>
      </c>
    </row>
    <row r="1272" customFormat="false" ht="15" hidden="false" customHeight="false" outlineLevel="0" collapsed="false">
      <c r="A1272" s="3" t="n">
        <v>1714</v>
      </c>
      <c r="B1272" s="3" t="s">
        <v>457</v>
      </c>
      <c r="C1272" s="4" t="s">
        <v>17</v>
      </c>
      <c r="D1272" s="5" t="n">
        <v>20777</v>
      </c>
      <c r="E1272" s="6" t="n">
        <v>321.5</v>
      </c>
      <c r="F1272" s="7" t="n">
        <v>68</v>
      </c>
      <c r="G1272" s="6" t="n">
        <v>2.634464858375</v>
      </c>
      <c r="H1272" s="8" t="n">
        <v>2186.45396060371</v>
      </c>
      <c r="I1272" s="9" t="n">
        <v>2.78429701076033</v>
      </c>
      <c r="J1272" s="9" t="n">
        <v>0.113508202033201</v>
      </c>
      <c r="K1272" s="3" t="s">
        <v>458</v>
      </c>
      <c r="L1272" s="3" t="s">
        <v>459</v>
      </c>
      <c r="M1272" s="7" t="n">
        <v>2017</v>
      </c>
    </row>
    <row r="1273" customFormat="false" ht="15" hidden="false" customHeight="false" outlineLevel="0" collapsed="false">
      <c r="A1273" s="3" t="n">
        <v>1715</v>
      </c>
      <c r="B1273" s="3" t="s">
        <v>457</v>
      </c>
      <c r="C1273" s="4" t="s">
        <v>18</v>
      </c>
      <c r="D1273" s="5" t="n">
        <v>20760</v>
      </c>
      <c r="E1273" s="6" t="n">
        <v>312.5</v>
      </c>
      <c r="F1273" s="7" t="n">
        <v>73</v>
      </c>
      <c r="G1273" s="6" t="n">
        <v>84.8336624078322</v>
      </c>
      <c r="H1273" s="8" t="n">
        <v>75216.9537285995</v>
      </c>
      <c r="I1273" s="9" t="n">
        <v>1.82896757596568</v>
      </c>
      <c r="J1273" s="9" t="n">
        <v>3.65812500387137</v>
      </c>
      <c r="K1273" s="3" t="s">
        <v>458</v>
      </c>
      <c r="L1273" s="3" t="s">
        <v>459</v>
      </c>
      <c r="M1273" s="7" t="n">
        <v>2018</v>
      </c>
    </row>
    <row r="1274" customFormat="false" ht="15" hidden="false" customHeight="false" outlineLevel="0" collapsed="false">
      <c r="A1274" s="3" t="n">
        <v>1716</v>
      </c>
      <c r="B1274" s="3" t="s">
        <v>457</v>
      </c>
      <c r="C1274" s="4" t="s">
        <v>19</v>
      </c>
      <c r="D1274" s="5" t="n">
        <v>20752</v>
      </c>
      <c r="E1274" s="6" t="n">
        <v>321.9</v>
      </c>
      <c r="F1274" s="7" t="n">
        <v>74</v>
      </c>
      <c r="G1274" s="6" t="n">
        <v>239.329491617218</v>
      </c>
      <c r="H1274" s="8" t="n">
        <v>212199.200010013</v>
      </c>
      <c r="I1274" s="9" t="n">
        <v>4.15633826471475</v>
      </c>
      <c r="J1274" s="9" t="n">
        <v>10.3241411622132</v>
      </c>
      <c r="K1274" s="3" t="s">
        <v>458</v>
      </c>
      <c r="L1274" s="3" t="s">
        <v>459</v>
      </c>
      <c r="M1274" s="7" t="n">
        <v>2019</v>
      </c>
    </row>
    <row r="1275" customFormat="false" ht="15" hidden="false" customHeight="false" outlineLevel="0" collapsed="false">
      <c r="A1275" s="3" t="n">
        <v>1718</v>
      </c>
      <c r="B1275" s="3" t="s">
        <v>457</v>
      </c>
      <c r="C1275" s="4" t="s">
        <v>21</v>
      </c>
      <c r="D1275" s="5" t="n">
        <v>20808</v>
      </c>
      <c r="E1275" s="6" t="n">
        <v>322</v>
      </c>
      <c r="F1275" s="7" t="n">
        <v>61</v>
      </c>
      <c r="G1275" s="6" t="n">
        <v>-131.465400008823</v>
      </c>
      <c r="H1275" s="8" t="n">
        <v>-134643.438381996</v>
      </c>
      <c r="I1275" s="9" t="n">
        <v>14.0789429681979</v>
      </c>
      <c r="J1275" s="9" t="n">
        <v>-5.65586197540715</v>
      </c>
      <c r="K1275" s="3" t="s">
        <v>458</v>
      </c>
      <c r="L1275" s="3" t="s">
        <v>459</v>
      </c>
      <c r="M1275" s="7" t="n">
        <v>2021</v>
      </c>
    </row>
    <row r="1276" customFormat="false" ht="15" hidden="false" customHeight="false" outlineLevel="0" collapsed="false">
      <c r="A1276" s="3" t="n">
        <v>1719</v>
      </c>
      <c r="B1276" s="3" t="s">
        <v>457</v>
      </c>
      <c r="C1276" s="4" t="s">
        <v>22</v>
      </c>
      <c r="D1276" s="5" t="n">
        <v>20853</v>
      </c>
      <c r="E1276" s="6" t="n">
        <v>322</v>
      </c>
      <c r="F1276" s="7" t="n">
        <v>52</v>
      </c>
      <c r="G1276" s="6" t="n">
        <v>156.138180185229</v>
      </c>
      <c r="H1276" s="8" t="n">
        <v>163530.321249035</v>
      </c>
      <c r="I1276" s="9" t="n">
        <v>4.08610705710654</v>
      </c>
      <c r="J1276" s="9" t="n">
        <v>6.70283061381753</v>
      </c>
      <c r="K1276" s="3" t="s">
        <v>458</v>
      </c>
      <c r="L1276" s="3" t="s">
        <v>459</v>
      </c>
      <c r="M1276" s="7" t="n">
        <v>2022</v>
      </c>
    </row>
    <row r="1277" customFormat="false" ht="15" hidden="false" customHeight="false" outlineLevel="0" collapsed="false">
      <c r="A1277" s="3" t="n">
        <v>1720</v>
      </c>
      <c r="B1277" s="3" t="s">
        <v>457</v>
      </c>
      <c r="C1277" s="4" t="s">
        <v>23</v>
      </c>
      <c r="D1277" s="5" t="n">
        <v>20982</v>
      </c>
      <c r="E1277" s="6" t="n">
        <v>334</v>
      </c>
      <c r="F1277" s="7" t="n">
        <v>58</v>
      </c>
      <c r="G1277" s="6" t="n">
        <v>254.55979822002</v>
      </c>
      <c r="H1277" s="8" t="n">
        <v>297988.519559458</v>
      </c>
      <c r="I1277" s="9" t="n">
        <v>5.53491716349278</v>
      </c>
      <c r="J1277" s="9" t="n">
        <v>10.8607698291094</v>
      </c>
      <c r="K1277" s="3" t="s">
        <v>458</v>
      </c>
      <c r="L1277" s="3" t="s">
        <v>459</v>
      </c>
      <c r="M1277" s="7" t="n">
        <v>2023</v>
      </c>
    </row>
    <row r="1278" customFormat="false" ht="15" hidden="false" customHeight="false" outlineLevel="0" collapsed="false">
      <c r="A1278" s="3" t="n">
        <v>1721</v>
      </c>
      <c r="B1278" s="3" t="s">
        <v>457</v>
      </c>
      <c r="C1278" s="4" t="s">
        <v>24</v>
      </c>
      <c r="D1278" s="5" t="n">
        <v>21025</v>
      </c>
      <c r="E1278" s="6" t="n">
        <v>335</v>
      </c>
      <c r="F1278" s="7" t="n">
        <v>59</v>
      </c>
      <c r="G1278" s="6" t="n">
        <v>293.891627647602</v>
      </c>
      <c r="H1278" s="8" t="n">
        <v>359214.004938681</v>
      </c>
      <c r="I1278" s="9" t="n">
        <v>5.85678471911132</v>
      </c>
      <c r="J1278" s="9" t="n">
        <v>12.4789315733844</v>
      </c>
      <c r="K1278" s="3" t="s">
        <v>458</v>
      </c>
      <c r="L1278" s="3" t="s">
        <v>459</v>
      </c>
      <c r="M1278" s="7" t="n">
        <v>2024</v>
      </c>
    </row>
    <row r="1279" customFormat="false" ht="15" hidden="false" customHeight="false" outlineLevel="0" collapsed="false">
      <c r="A1279" s="3" t="n">
        <v>1738</v>
      </c>
      <c r="B1279" s="3" t="s">
        <v>460</v>
      </c>
      <c r="C1279" s="4" t="s">
        <v>20</v>
      </c>
      <c r="D1279" s="5" t="n">
        <v>3865</v>
      </c>
      <c r="E1279" s="6" t="n">
        <v>36</v>
      </c>
      <c r="F1279" s="7" t="n">
        <v>65</v>
      </c>
      <c r="G1279" s="6" t="n">
        <v>132.459273407212</v>
      </c>
      <c r="H1279" s="8" t="n">
        <v>10222.4490276149</v>
      </c>
      <c r="I1279" s="9" t="n">
        <v>8.27754100318472</v>
      </c>
      <c r="J1279" s="9" t="n">
        <v>30.595606301025</v>
      </c>
      <c r="K1279" s="3" t="s">
        <v>461</v>
      </c>
      <c r="L1279" s="3" t="s">
        <v>462</v>
      </c>
      <c r="M1279" s="7" t="n">
        <v>2020</v>
      </c>
    </row>
    <row r="1280" customFormat="false" ht="15" hidden="false" customHeight="false" outlineLevel="0" collapsed="false">
      <c r="A1280" s="3" t="n">
        <v>1739</v>
      </c>
      <c r="B1280" s="3" t="s">
        <v>463</v>
      </c>
      <c r="C1280" s="4" t="s">
        <v>14</v>
      </c>
      <c r="D1280" s="5" t="n">
        <v>4779</v>
      </c>
      <c r="E1280" s="6" t="n">
        <v>62</v>
      </c>
      <c r="F1280" s="7" t="n">
        <v>75</v>
      </c>
      <c r="G1280" s="6" t="n">
        <v>166.217238945396</v>
      </c>
      <c r="H1280" s="8" t="n">
        <v>16373.8064311416</v>
      </c>
      <c r="I1280" s="9" t="n">
        <v>9.85913477075985</v>
      </c>
      <c r="J1280" s="9" t="n">
        <v>31.0502589970368</v>
      </c>
      <c r="K1280" s="3" t="s">
        <v>464</v>
      </c>
      <c r="L1280" s="3" t="s">
        <v>465</v>
      </c>
      <c r="M1280" s="7" t="n">
        <v>2016</v>
      </c>
    </row>
    <row r="1281" customFormat="false" ht="15" hidden="false" customHeight="false" outlineLevel="0" collapsed="false">
      <c r="A1281" s="3" t="n">
        <v>1740</v>
      </c>
      <c r="B1281" s="3" t="s">
        <v>463</v>
      </c>
      <c r="C1281" s="4" t="s">
        <v>17</v>
      </c>
      <c r="D1281" s="5" t="n">
        <v>4779</v>
      </c>
      <c r="E1281" s="6" t="n">
        <v>62</v>
      </c>
      <c r="F1281" s="7" t="n">
        <v>65</v>
      </c>
      <c r="G1281" s="6" t="n">
        <v>146.466357709082</v>
      </c>
      <c r="H1281" s="8" t="n">
        <v>16271.2936328896</v>
      </c>
      <c r="I1281" s="9" t="n">
        <v>9.20853350971852</v>
      </c>
      <c r="J1281" s="9" t="n">
        <v>27.4358566932379</v>
      </c>
      <c r="K1281" s="3" t="s">
        <v>464</v>
      </c>
      <c r="L1281" s="3" t="s">
        <v>465</v>
      </c>
      <c r="M1281" s="7" t="n">
        <v>2017</v>
      </c>
    </row>
    <row r="1282" customFormat="false" ht="15" hidden="false" customHeight="false" outlineLevel="0" collapsed="false">
      <c r="A1282" s="3" t="n">
        <v>1741</v>
      </c>
      <c r="B1282" s="3" t="s">
        <v>463</v>
      </c>
      <c r="C1282" s="4" t="s">
        <v>18</v>
      </c>
      <c r="D1282" s="5" t="n">
        <v>4779</v>
      </c>
      <c r="E1282" s="6" t="n">
        <v>62</v>
      </c>
      <c r="F1282" s="7" t="n">
        <v>72</v>
      </c>
      <c r="G1282" s="6" t="n">
        <v>244.206557907061</v>
      </c>
      <c r="H1282" s="8" t="n">
        <v>28930.264164815</v>
      </c>
      <c r="I1282" s="9" t="n">
        <v>10.5076920793626</v>
      </c>
      <c r="J1282" s="9" t="n">
        <v>45.7444032273602</v>
      </c>
      <c r="K1282" s="3" t="s">
        <v>464</v>
      </c>
      <c r="L1282" s="3" t="s">
        <v>465</v>
      </c>
      <c r="M1282" s="7" t="n">
        <v>2018</v>
      </c>
    </row>
    <row r="1283" customFormat="false" ht="15" hidden="false" customHeight="false" outlineLevel="0" collapsed="false">
      <c r="A1283" s="3" t="n">
        <v>1742</v>
      </c>
      <c r="B1283" s="3" t="s">
        <v>463</v>
      </c>
      <c r="C1283" s="4" t="s">
        <v>19</v>
      </c>
      <c r="D1283" s="5" t="n">
        <v>4779</v>
      </c>
      <c r="E1283" s="6" t="n">
        <v>62</v>
      </c>
      <c r="F1283" s="7" t="n">
        <v>56</v>
      </c>
      <c r="G1283" s="6" t="n">
        <v>239.915356325641</v>
      </c>
      <c r="H1283" s="8" t="n">
        <v>26652.4037167761</v>
      </c>
      <c r="I1283" s="9" t="n">
        <v>10.8671633448795</v>
      </c>
      <c r="J1283" s="9" t="n">
        <v>44.9405818347133</v>
      </c>
      <c r="K1283" s="3" t="s">
        <v>464</v>
      </c>
      <c r="L1283" s="3" t="s">
        <v>465</v>
      </c>
      <c r="M1283" s="7" t="n">
        <v>2019</v>
      </c>
    </row>
    <row r="1284" customFormat="false" ht="15" hidden="false" customHeight="false" outlineLevel="0" collapsed="false">
      <c r="A1284" s="3" t="n">
        <v>1743</v>
      </c>
      <c r="B1284" s="3" t="s">
        <v>463</v>
      </c>
      <c r="C1284" s="4" t="s">
        <v>20</v>
      </c>
      <c r="D1284" s="5" t="n">
        <v>4779</v>
      </c>
      <c r="E1284" s="6" t="n">
        <v>62</v>
      </c>
      <c r="F1284" s="7" t="n">
        <v>65</v>
      </c>
      <c r="G1284" s="6" t="n">
        <v>286.091142023156</v>
      </c>
      <c r="H1284" s="8" t="n">
        <v>31782.5407174637</v>
      </c>
      <c r="I1284" s="9" t="n">
        <v>11.8356836301719</v>
      </c>
      <c r="J1284" s="9" t="n">
        <v>53.4433378447302</v>
      </c>
      <c r="K1284" s="3" t="s">
        <v>464</v>
      </c>
      <c r="L1284" s="3" t="s">
        <v>465</v>
      </c>
      <c r="M1284" s="7" t="n">
        <v>2020</v>
      </c>
    </row>
    <row r="1285" customFormat="false" ht="15" hidden="false" customHeight="false" outlineLevel="0" collapsed="false">
      <c r="A1285" s="3" t="n">
        <v>1744</v>
      </c>
      <c r="B1285" s="3" t="s">
        <v>463</v>
      </c>
      <c r="C1285" s="4" t="s">
        <v>21</v>
      </c>
      <c r="D1285" s="5" t="n">
        <v>5763</v>
      </c>
      <c r="E1285" s="6" t="n">
        <v>62</v>
      </c>
      <c r="F1285" s="7" t="n">
        <v>66</v>
      </c>
      <c r="G1285" s="6" t="n">
        <v>338.545755440681</v>
      </c>
      <c r="H1285" s="8" t="n">
        <v>37609.847620333</v>
      </c>
      <c r="I1285" s="9" t="n">
        <v>14.5149202841959</v>
      </c>
      <c r="J1285" s="9" t="n">
        <v>52.5879726085608</v>
      </c>
      <c r="K1285" s="3" t="s">
        <v>464</v>
      </c>
      <c r="L1285" s="3" t="s">
        <v>465</v>
      </c>
      <c r="M1285" s="7" t="n">
        <v>2021</v>
      </c>
    </row>
    <row r="1286" customFormat="false" ht="15" hidden="false" customHeight="false" outlineLevel="0" collapsed="false">
      <c r="A1286" s="3" t="n">
        <v>1745</v>
      </c>
      <c r="B1286" s="3" t="s">
        <v>463</v>
      </c>
      <c r="C1286" s="4" t="s">
        <v>22</v>
      </c>
      <c r="D1286" s="5" t="n">
        <v>5763</v>
      </c>
      <c r="E1286" s="6" t="n">
        <v>62</v>
      </c>
      <c r="F1286" s="7" t="n">
        <v>66</v>
      </c>
      <c r="G1286" s="6" t="n">
        <v>277.067763091891</v>
      </c>
      <c r="H1286" s="8" t="n">
        <v>448968.802329186</v>
      </c>
      <c r="I1286" s="9" t="n">
        <v>12.8201195763095</v>
      </c>
      <c r="J1286" s="9" t="n">
        <v>43.0382945348861</v>
      </c>
      <c r="K1286" s="3" t="s">
        <v>464</v>
      </c>
      <c r="L1286" s="3" t="s">
        <v>465</v>
      </c>
      <c r="M1286" s="7" t="n">
        <v>2022</v>
      </c>
    </row>
    <row r="1287" customFormat="false" ht="15" hidden="false" customHeight="false" outlineLevel="0" collapsed="false">
      <c r="A1287" s="3" t="n">
        <v>1746</v>
      </c>
      <c r="B1287" s="3" t="s">
        <v>463</v>
      </c>
      <c r="C1287" s="4" t="s">
        <v>23</v>
      </c>
      <c r="D1287" s="5" t="n">
        <v>5106</v>
      </c>
      <c r="E1287" s="6" t="n">
        <v>62</v>
      </c>
      <c r="F1287" s="7" t="n">
        <v>61</v>
      </c>
      <c r="G1287" s="6" t="n">
        <v>370.872843353273</v>
      </c>
      <c r="H1287" s="8" t="n">
        <v>56020.4799590876</v>
      </c>
      <c r="I1287" s="9" t="n">
        <v>16.0965119340545</v>
      </c>
      <c r="J1287" s="9" t="n">
        <v>65.0222356802315</v>
      </c>
      <c r="K1287" s="3" t="s">
        <v>464</v>
      </c>
      <c r="L1287" s="3" t="s">
        <v>465</v>
      </c>
      <c r="M1287" s="7" t="n">
        <v>2023</v>
      </c>
    </row>
    <row r="1288" customFormat="false" ht="15" hidden="false" customHeight="false" outlineLevel="0" collapsed="false">
      <c r="A1288" s="3" t="n">
        <v>1747</v>
      </c>
      <c r="B1288" s="3" t="s">
        <v>463</v>
      </c>
      <c r="C1288" s="4" t="s">
        <v>24</v>
      </c>
      <c r="D1288" s="5" t="n">
        <v>5109</v>
      </c>
      <c r="E1288" s="6" t="n">
        <v>62</v>
      </c>
      <c r="F1288" s="7" t="n">
        <v>56</v>
      </c>
      <c r="G1288" s="6" t="n">
        <v>214.394987254436</v>
      </c>
      <c r="H1288" s="8" t="n">
        <v>48309.3193577254</v>
      </c>
      <c r="I1288" s="9" t="n">
        <v>11.3631473505106</v>
      </c>
      <c r="J1288" s="9" t="n">
        <v>37.4632040647288</v>
      </c>
      <c r="K1288" s="3" t="s">
        <v>464</v>
      </c>
      <c r="L1288" s="3" t="s">
        <v>465</v>
      </c>
      <c r="M1288" s="7" t="n">
        <v>2024</v>
      </c>
    </row>
    <row r="1289" customFormat="false" ht="15" hidden="false" customHeight="false" outlineLevel="0" collapsed="false">
      <c r="A1289" s="3" t="n">
        <v>1748</v>
      </c>
      <c r="B1289" s="3" t="s">
        <v>466</v>
      </c>
      <c r="C1289" s="4" t="s">
        <v>41</v>
      </c>
      <c r="D1289" s="5" t="n">
        <v>7452</v>
      </c>
      <c r="E1289" s="6" t="n">
        <v>97.6</v>
      </c>
      <c r="F1289" s="7" t="n">
        <v>46</v>
      </c>
      <c r="G1289" s="6" t="n">
        <v>2010.01272061428</v>
      </c>
      <c r="H1289" s="8" t="n">
        <v>247046.075042625</v>
      </c>
      <c r="I1289" s="9" t="n">
        <v>30.4233250785178</v>
      </c>
      <c r="J1289" s="9" t="n">
        <v>241.45913149095</v>
      </c>
      <c r="K1289" s="3" t="s">
        <v>467</v>
      </c>
      <c r="L1289" s="3" t="s">
        <v>468</v>
      </c>
      <c r="M1289" s="7" t="n">
        <v>2016</v>
      </c>
    </row>
    <row r="1290" customFormat="false" ht="15" hidden="false" customHeight="false" outlineLevel="0" collapsed="false">
      <c r="A1290" s="3" t="n">
        <v>1749</v>
      </c>
      <c r="B1290" s="3" t="s">
        <v>466</v>
      </c>
      <c r="C1290" s="4" t="s">
        <v>43</v>
      </c>
      <c r="D1290" s="5" t="n">
        <v>7639</v>
      </c>
      <c r="E1290" s="6" t="n">
        <v>97.6</v>
      </c>
      <c r="F1290" s="7" t="n">
        <v>47</v>
      </c>
      <c r="G1290" s="6" t="n">
        <v>3113.13591586557</v>
      </c>
      <c r="H1290" s="8" t="n">
        <v>364125.439448674</v>
      </c>
      <c r="I1290" s="9" t="n">
        <v>39.979560748925</v>
      </c>
      <c r="J1290" s="9" t="n">
        <v>364.820510178649</v>
      </c>
      <c r="K1290" s="3" t="s">
        <v>467</v>
      </c>
      <c r="L1290" s="3" t="s">
        <v>468</v>
      </c>
      <c r="M1290" s="7" t="n">
        <v>2018</v>
      </c>
    </row>
    <row r="1291" customFormat="false" ht="15" hidden="false" customHeight="false" outlineLevel="0" collapsed="false">
      <c r="A1291" s="3" t="n">
        <v>1750</v>
      </c>
      <c r="B1291" s="3" t="s">
        <v>466</v>
      </c>
      <c r="C1291" s="4" t="s">
        <v>44</v>
      </c>
      <c r="D1291" s="5" t="n">
        <v>7742</v>
      </c>
      <c r="E1291" s="6" t="n">
        <v>97.6</v>
      </c>
      <c r="F1291" s="7" t="n">
        <v>48</v>
      </c>
      <c r="G1291" s="6" t="n">
        <v>1321.05449300001</v>
      </c>
      <c r="H1291" s="8" t="n">
        <v>167227.762800339</v>
      </c>
      <c r="I1291" s="9" t="n">
        <v>17.3966925924207</v>
      </c>
      <c r="J1291" s="9" t="n">
        <v>152.332917266271</v>
      </c>
      <c r="K1291" s="3" t="s">
        <v>467</v>
      </c>
      <c r="L1291" s="3" t="s">
        <v>468</v>
      </c>
      <c r="M1291" s="7" t="n">
        <v>2019</v>
      </c>
    </row>
    <row r="1292" customFormat="false" ht="15" hidden="false" customHeight="false" outlineLevel="0" collapsed="false">
      <c r="A1292" s="3" t="n">
        <v>1751</v>
      </c>
      <c r="B1292" s="3" t="s">
        <v>466</v>
      </c>
      <c r="C1292" s="4" t="s">
        <v>45</v>
      </c>
      <c r="D1292" s="5" t="n">
        <v>7881</v>
      </c>
      <c r="E1292" s="6" t="n">
        <v>97.6</v>
      </c>
      <c r="F1292" s="7" t="n">
        <v>48</v>
      </c>
      <c r="G1292" s="6" t="n">
        <v>824.425471893534</v>
      </c>
      <c r="H1292" s="8" t="n">
        <v>101585.820183855</v>
      </c>
      <c r="I1292" s="9" t="n">
        <v>11.6142209342471</v>
      </c>
      <c r="J1292" s="9" t="n">
        <v>93.6456801941169</v>
      </c>
      <c r="K1292" s="3" t="s">
        <v>467</v>
      </c>
      <c r="L1292" s="3" t="s">
        <v>468</v>
      </c>
      <c r="M1292" s="7" t="n">
        <v>2020</v>
      </c>
    </row>
    <row r="1293" customFormat="false" ht="15" hidden="false" customHeight="false" outlineLevel="0" collapsed="false">
      <c r="A1293" s="3" t="n">
        <v>1752</v>
      </c>
      <c r="B1293" s="3" t="s">
        <v>466</v>
      </c>
      <c r="C1293" s="4" t="s">
        <v>46</v>
      </c>
      <c r="D1293" s="5" t="n">
        <v>7881</v>
      </c>
      <c r="E1293" s="6" t="n">
        <v>97.6</v>
      </c>
      <c r="F1293" s="7" t="n">
        <v>53</v>
      </c>
      <c r="G1293" s="6" t="n">
        <v>2786.38919765752</v>
      </c>
      <c r="H1293" s="8" t="n">
        <v>429522.746403341</v>
      </c>
      <c r="I1293" s="9" t="n">
        <v>36.4379654409882</v>
      </c>
      <c r="J1293" s="9" t="n">
        <v>316.503214172736</v>
      </c>
      <c r="K1293" s="3" t="s">
        <v>467</v>
      </c>
      <c r="L1293" s="3" t="s">
        <v>468</v>
      </c>
      <c r="M1293" s="7" t="n">
        <v>2021</v>
      </c>
    </row>
    <row r="1294" customFormat="false" ht="15" hidden="false" customHeight="false" outlineLevel="0" collapsed="false">
      <c r="A1294" s="3" t="n">
        <v>1753</v>
      </c>
      <c r="B1294" s="3" t="s">
        <v>466</v>
      </c>
      <c r="C1294" s="4" t="s">
        <v>47</v>
      </c>
      <c r="D1294" s="5" t="n">
        <v>7885</v>
      </c>
      <c r="E1294" s="6" t="n">
        <v>97.6</v>
      </c>
      <c r="F1294" s="7" t="n">
        <v>53</v>
      </c>
      <c r="G1294" s="6" t="n">
        <v>1652.26041223895</v>
      </c>
      <c r="H1294" s="8" t="n">
        <v>325914.75786541</v>
      </c>
      <c r="I1294" s="9" t="n">
        <v>25.0860125225463</v>
      </c>
      <c r="J1294" s="9" t="n">
        <v>187.58343063003</v>
      </c>
      <c r="K1294" s="3" t="s">
        <v>467</v>
      </c>
      <c r="L1294" s="3" t="s">
        <v>468</v>
      </c>
      <c r="M1294" s="7" t="n">
        <v>2022</v>
      </c>
    </row>
    <row r="1295" customFormat="false" ht="15" hidden="false" customHeight="false" outlineLevel="0" collapsed="false">
      <c r="A1295" s="3" t="n">
        <v>1754</v>
      </c>
      <c r="B1295" s="3" t="s">
        <v>466</v>
      </c>
      <c r="C1295" s="4" t="s">
        <v>48</v>
      </c>
      <c r="D1295" s="5" t="n">
        <v>7885</v>
      </c>
      <c r="E1295" s="6" t="n">
        <v>97.6</v>
      </c>
      <c r="F1295" s="7" t="n">
        <v>54</v>
      </c>
      <c r="G1295" s="6" t="n">
        <v>1742.41689432769</v>
      </c>
      <c r="H1295" s="8" t="n">
        <v>334807.222888936</v>
      </c>
      <c r="I1295" s="9" t="n">
        <v>26.2685947418798</v>
      </c>
      <c r="J1295" s="9" t="n">
        <v>197.277051948323</v>
      </c>
      <c r="K1295" s="3" t="s">
        <v>467</v>
      </c>
      <c r="L1295" s="3" t="s">
        <v>468</v>
      </c>
      <c r="M1295" s="7" t="n">
        <v>2023</v>
      </c>
    </row>
    <row r="1296" customFormat="false" ht="15" hidden="false" customHeight="false" outlineLevel="0" collapsed="false">
      <c r="A1296" s="3" t="n">
        <v>1755</v>
      </c>
      <c r="B1296" s="3" t="s">
        <v>466</v>
      </c>
      <c r="C1296" s="4" t="s">
        <v>49</v>
      </c>
      <c r="D1296" s="5" t="n">
        <v>7885</v>
      </c>
      <c r="E1296" s="6" t="n">
        <v>97.6</v>
      </c>
      <c r="F1296" s="7" t="n">
        <v>53</v>
      </c>
      <c r="G1296" s="6" t="n">
        <v>1301.76071088802</v>
      </c>
      <c r="H1296" s="8" t="n">
        <v>323225.125902424</v>
      </c>
      <c r="I1296" s="9" t="n">
        <v>20.2037681935887</v>
      </c>
      <c r="J1296" s="9" t="n">
        <v>147.790710349869</v>
      </c>
      <c r="K1296" s="3" t="s">
        <v>467</v>
      </c>
      <c r="L1296" s="3" t="s">
        <v>468</v>
      </c>
      <c r="M1296" s="7" t="n">
        <v>2024</v>
      </c>
    </row>
    <row r="1297" customFormat="false" ht="15" hidden="false" customHeight="false" outlineLevel="0" collapsed="false">
      <c r="A1297" s="3" t="n">
        <v>1756</v>
      </c>
      <c r="B1297" s="3" t="s">
        <v>469</v>
      </c>
      <c r="C1297" s="4" t="s">
        <v>14</v>
      </c>
      <c r="D1297" s="5" t="n">
        <v>3100</v>
      </c>
      <c r="E1297" s="6" t="n">
        <v>36</v>
      </c>
      <c r="F1297" s="7" t="n">
        <v>55</v>
      </c>
      <c r="G1297" s="6" t="n">
        <v>173.0375</v>
      </c>
      <c r="H1297" s="8"/>
      <c r="I1297" s="9" t="n">
        <v>4.31226765799257</v>
      </c>
      <c r="J1297" s="9" t="n">
        <v>49.8315885218736</v>
      </c>
      <c r="K1297" s="3" t="s">
        <v>470</v>
      </c>
      <c r="L1297" s="3" t="s">
        <v>471</v>
      </c>
      <c r="M1297" s="7" t="n">
        <v>2016</v>
      </c>
    </row>
    <row r="1298" customFormat="false" ht="15" hidden="false" customHeight="false" outlineLevel="0" collapsed="false">
      <c r="A1298" s="3" t="n">
        <v>1757</v>
      </c>
      <c r="B1298" s="3" t="s">
        <v>469</v>
      </c>
      <c r="C1298" s="4" t="s">
        <v>17</v>
      </c>
      <c r="D1298" s="5" t="n">
        <v>3065</v>
      </c>
      <c r="E1298" s="6" t="n">
        <v>36</v>
      </c>
      <c r="F1298" s="7" t="n">
        <v>55</v>
      </c>
      <c r="G1298" s="6" t="n">
        <v>555.8835</v>
      </c>
      <c r="H1298" s="8"/>
      <c r="I1298" s="9" t="n">
        <v>9.48287891050149</v>
      </c>
      <c r="J1298" s="9" t="n">
        <v>162.356985424323</v>
      </c>
      <c r="K1298" s="3" t="s">
        <v>470</v>
      </c>
      <c r="L1298" s="3" t="s">
        <v>471</v>
      </c>
      <c r="M1298" s="7" t="n">
        <v>2017</v>
      </c>
    </row>
    <row r="1299" customFormat="false" ht="15" hidden="false" customHeight="false" outlineLevel="0" collapsed="false">
      <c r="A1299" s="3" t="n">
        <v>1758</v>
      </c>
      <c r="B1299" s="3" t="s">
        <v>469</v>
      </c>
      <c r="C1299" s="4" t="s">
        <v>18</v>
      </c>
      <c r="D1299" s="5" t="n">
        <v>3715</v>
      </c>
      <c r="E1299" s="6" t="n">
        <v>36</v>
      </c>
      <c r="F1299" s="7" t="n">
        <v>60</v>
      </c>
      <c r="G1299" s="6" t="n">
        <v>16.8265833587539</v>
      </c>
      <c r="H1299" s="8" t="n">
        <v>2156.77638073331</v>
      </c>
      <c r="I1299" s="9" t="n">
        <v>2.96922367177432</v>
      </c>
      <c r="J1299" s="9" t="n">
        <v>4.0546633147718</v>
      </c>
      <c r="K1299" s="3" t="s">
        <v>470</v>
      </c>
      <c r="L1299" s="3" t="s">
        <v>471</v>
      </c>
      <c r="M1299" s="7" t="n">
        <v>2018</v>
      </c>
    </row>
    <row r="1300" customFormat="false" ht="15" hidden="false" customHeight="false" outlineLevel="0" collapsed="false">
      <c r="A1300" s="3" t="n">
        <v>1759</v>
      </c>
      <c r="B1300" s="3" t="s">
        <v>469</v>
      </c>
      <c r="C1300" s="4" t="s">
        <v>19</v>
      </c>
      <c r="D1300" s="5" t="n">
        <v>3694</v>
      </c>
      <c r="E1300" s="6" t="n">
        <v>36</v>
      </c>
      <c r="F1300" s="7" t="n">
        <v>60</v>
      </c>
      <c r="G1300" s="6" t="n">
        <v>266.387289029092</v>
      </c>
      <c r="H1300" s="8" t="n">
        <v>38707.8608287178</v>
      </c>
      <c r="I1300" s="9" t="n">
        <v>6.30498448012815</v>
      </c>
      <c r="J1300" s="9" t="n">
        <v>64.5556534485821</v>
      </c>
      <c r="K1300" s="3" t="s">
        <v>470</v>
      </c>
      <c r="L1300" s="3" t="s">
        <v>471</v>
      </c>
      <c r="M1300" s="7" t="n">
        <v>2019</v>
      </c>
    </row>
    <row r="1301" customFormat="false" ht="15" hidden="false" customHeight="false" outlineLevel="0" collapsed="false">
      <c r="A1301" s="3" t="n">
        <v>1760</v>
      </c>
      <c r="B1301" s="3" t="s">
        <v>469</v>
      </c>
      <c r="C1301" s="4" t="s">
        <v>20</v>
      </c>
      <c r="D1301" s="5" t="n">
        <v>3524</v>
      </c>
      <c r="E1301" s="6" t="n">
        <v>36</v>
      </c>
      <c r="F1301" s="7" t="n">
        <v>66</v>
      </c>
      <c r="G1301" s="6" t="n">
        <v>205.199404042099</v>
      </c>
      <c r="H1301" s="8" t="n">
        <v>25992.8743656519</v>
      </c>
      <c r="I1301" s="9" t="n">
        <v>5.13195419832337</v>
      </c>
      <c r="J1301" s="9" t="n">
        <v>51.9836044085348</v>
      </c>
      <c r="K1301" s="3" t="s">
        <v>470</v>
      </c>
      <c r="L1301" s="3" t="s">
        <v>471</v>
      </c>
      <c r="M1301" s="7" t="n">
        <v>2020</v>
      </c>
    </row>
    <row r="1302" customFormat="false" ht="15" hidden="false" customHeight="false" outlineLevel="0" collapsed="false">
      <c r="A1302" s="3" t="n">
        <v>1761</v>
      </c>
      <c r="B1302" s="3" t="s">
        <v>469</v>
      </c>
      <c r="C1302" s="4" t="s">
        <v>21</v>
      </c>
      <c r="D1302" s="5" t="n">
        <v>3578</v>
      </c>
      <c r="E1302" s="6" t="n">
        <v>36</v>
      </c>
      <c r="F1302" s="7" t="n">
        <v>66</v>
      </c>
      <c r="G1302" s="6" t="n">
        <v>70.0445185502778</v>
      </c>
      <c r="H1302" s="8" t="n">
        <v>8980.35953604245</v>
      </c>
      <c r="I1302" s="9" t="n">
        <v>4.79006505026612</v>
      </c>
      <c r="J1302" s="9" t="n">
        <v>17.5247363421509</v>
      </c>
      <c r="K1302" s="3" t="s">
        <v>470</v>
      </c>
      <c r="L1302" s="3" t="s">
        <v>471</v>
      </c>
      <c r="M1302" s="7" t="n">
        <v>2021</v>
      </c>
    </row>
    <row r="1303" customFormat="false" ht="15" hidden="false" customHeight="false" outlineLevel="0" collapsed="false">
      <c r="A1303" s="3" t="n">
        <v>1762</v>
      </c>
      <c r="B1303" s="3" t="s">
        <v>469</v>
      </c>
      <c r="C1303" s="4" t="s">
        <v>22</v>
      </c>
      <c r="D1303" s="5" t="n">
        <v>3584</v>
      </c>
      <c r="E1303" s="6" t="n">
        <v>36</v>
      </c>
      <c r="F1303" s="7" t="n">
        <v>70</v>
      </c>
      <c r="G1303" s="6" t="n">
        <v>0.671203088737161</v>
      </c>
      <c r="H1303" s="8" t="n">
        <v>90.8027272326055</v>
      </c>
      <c r="I1303" s="9" t="n">
        <v>1.67384860637159</v>
      </c>
      <c r="J1303" s="9" t="n">
        <v>0.167650023968012</v>
      </c>
      <c r="K1303" s="3" t="s">
        <v>470</v>
      </c>
      <c r="L1303" s="3" t="s">
        <v>471</v>
      </c>
      <c r="M1303" s="7" t="n">
        <v>2022</v>
      </c>
    </row>
    <row r="1304" customFormat="false" ht="15" hidden="false" customHeight="false" outlineLevel="0" collapsed="false">
      <c r="A1304" s="3" t="n">
        <v>1763</v>
      </c>
      <c r="B1304" s="3" t="s">
        <v>469</v>
      </c>
      <c r="C1304" s="4" t="s">
        <v>23</v>
      </c>
      <c r="D1304" s="5" t="n">
        <v>3587</v>
      </c>
      <c r="E1304" s="6" t="n">
        <v>36</v>
      </c>
      <c r="F1304" s="7" t="n">
        <v>70</v>
      </c>
      <c r="G1304" s="6" t="n">
        <v>15.7049939338647</v>
      </c>
      <c r="H1304" s="8" t="n">
        <v>2529.98326446633</v>
      </c>
      <c r="I1304" s="9" t="n">
        <v>1.91624651315906</v>
      </c>
      <c r="J1304" s="9" t="n">
        <v>3.9194404537323</v>
      </c>
      <c r="K1304" s="3" t="s">
        <v>470</v>
      </c>
      <c r="L1304" s="3" t="s">
        <v>471</v>
      </c>
      <c r="M1304" s="7" t="n">
        <v>2023</v>
      </c>
    </row>
    <row r="1305" customFormat="false" ht="15" hidden="false" customHeight="false" outlineLevel="0" collapsed="false">
      <c r="A1305" s="3" t="n">
        <v>1764</v>
      </c>
      <c r="B1305" s="3" t="s">
        <v>469</v>
      </c>
      <c r="C1305" s="4" t="s">
        <v>24</v>
      </c>
      <c r="D1305" s="5" t="n">
        <v>3594</v>
      </c>
      <c r="E1305" s="6" t="n">
        <v>36</v>
      </c>
      <c r="F1305" s="7" t="n">
        <v>60</v>
      </c>
      <c r="G1305" s="6" t="n">
        <v>1278.29840132634</v>
      </c>
      <c r="H1305" s="8" t="n">
        <v>201015.499962332</v>
      </c>
      <c r="I1305" s="9" t="n">
        <v>18.1253874580338</v>
      </c>
      <c r="J1305" s="9" t="n">
        <v>317.526785411446</v>
      </c>
      <c r="K1305" s="3" t="s">
        <v>470</v>
      </c>
      <c r="L1305" s="3" t="s">
        <v>471</v>
      </c>
      <c r="M1305" s="7" t="n">
        <v>2024</v>
      </c>
    </row>
    <row r="1306" customFormat="false" ht="15" hidden="false" customHeight="false" outlineLevel="0" collapsed="false">
      <c r="A1306" s="3" t="n">
        <v>1765</v>
      </c>
      <c r="B1306" s="3" t="s">
        <v>472</v>
      </c>
      <c r="C1306" s="4" t="s">
        <v>17</v>
      </c>
      <c r="D1306" s="5" t="n">
        <v>12021</v>
      </c>
      <c r="E1306" s="6" t="n">
        <v>170</v>
      </c>
      <c r="F1306" s="7" t="n">
        <v>54</v>
      </c>
      <c r="G1306" s="6" t="n">
        <v>1018.1803688833</v>
      </c>
      <c r="H1306" s="8" t="n">
        <v>91750.0588137424</v>
      </c>
      <c r="I1306" s="9" t="n">
        <v>15.3172152527636</v>
      </c>
      <c r="J1306" s="9" t="n">
        <v>75.8231454343617</v>
      </c>
      <c r="K1306" s="3" t="s">
        <v>473</v>
      </c>
      <c r="L1306" s="3" t="s">
        <v>474</v>
      </c>
      <c r="M1306" s="7" t="n">
        <v>2017</v>
      </c>
    </row>
    <row r="1307" customFormat="false" ht="15" hidden="false" customHeight="false" outlineLevel="0" collapsed="false">
      <c r="A1307" s="3" t="n">
        <v>1766</v>
      </c>
      <c r="B1307" s="3" t="s">
        <v>472</v>
      </c>
      <c r="C1307" s="4" t="s">
        <v>18</v>
      </c>
      <c r="D1307" s="5" t="n">
        <v>12277</v>
      </c>
      <c r="E1307" s="6" t="n">
        <v>180</v>
      </c>
      <c r="F1307" s="7" t="n">
        <v>54</v>
      </c>
      <c r="G1307" s="6" t="n">
        <v>1257.51597511152</v>
      </c>
      <c r="H1307" s="8" t="n">
        <v>122519.435174095</v>
      </c>
      <c r="I1307" s="9" t="n">
        <v>17.9701458625526</v>
      </c>
      <c r="J1307" s="9" t="n">
        <v>91.6935800630644</v>
      </c>
      <c r="K1307" s="3" t="s">
        <v>473</v>
      </c>
      <c r="L1307" s="3" t="s">
        <v>474</v>
      </c>
      <c r="M1307" s="7" t="n">
        <v>2018</v>
      </c>
    </row>
    <row r="1308" customFormat="false" ht="15" hidden="false" customHeight="false" outlineLevel="0" collapsed="false">
      <c r="A1308" s="3" t="n">
        <v>1767</v>
      </c>
      <c r="B1308" s="3" t="s">
        <v>472</v>
      </c>
      <c r="C1308" s="4" t="s">
        <v>19</v>
      </c>
      <c r="D1308" s="5" t="n">
        <v>12425</v>
      </c>
      <c r="E1308" s="6" t="n">
        <v>180</v>
      </c>
      <c r="F1308" s="7" t="n">
        <v>54</v>
      </c>
      <c r="G1308" s="6" t="n">
        <v>1470.60301435188</v>
      </c>
      <c r="H1308" s="8" t="n">
        <v>138296.326115761</v>
      </c>
      <c r="I1308" s="9" t="n">
        <v>21.4146623647504</v>
      </c>
      <c r="J1308" s="9" t="n">
        <v>105.953846779485</v>
      </c>
      <c r="K1308" s="3" t="s">
        <v>473</v>
      </c>
      <c r="L1308" s="3" t="s">
        <v>474</v>
      </c>
      <c r="M1308" s="7" t="n">
        <v>2019</v>
      </c>
    </row>
    <row r="1309" customFormat="false" ht="15" hidden="false" customHeight="false" outlineLevel="0" collapsed="false">
      <c r="A1309" s="3" t="n">
        <v>1768</v>
      </c>
      <c r="B1309" s="3" t="s">
        <v>472</v>
      </c>
      <c r="C1309" s="4" t="s">
        <v>20</v>
      </c>
      <c r="D1309" s="5" t="n">
        <v>12792</v>
      </c>
      <c r="E1309" s="6" t="n">
        <v>180</v>
      </c>
      <c r="F1309" s="7" t="n">
        <v>50</v>
      </c>
      <c r="G1309" s="6" t="n">
        <v>1220.17452278506</v>
      </c>
      <c r="H1309" s="8" t="n">
        <v>116837.272259922</v>
      </c>
      <c r="I1309" s="9" t="n">
        <v>17.6326926813196</v>
      </c>
      <c r="J1309" s="9" t="n">
        <v>85.1549102658414</v>
      </c>
      <c r="K1309" s="3" t="s">
        <v>473</v>
      </c>
      <c r="L1309" s="3" t="s">
        <v>474</v>
      </c>
      <c r="M1309" s="7" t="n">
        <v>2020</v>
      </c>
    </row>
    <row r="1310" customFormat="false" ht="15" hidden="false" customHeight="false" outlineLevel="0" collapsed="false">
      <c r="A1310" s="3" t="n">
        <v>1769</v>
      </c>
      <c r="B1310" s="3" t="s">
        <v>472</v>
      </c>
      <c r="C1310" s="4" t="s">
        <v>21</v>
      </c>
      <c r="D1310" s="5" t="n">
        <v>13115</v>
      </c>
      <c r="E1310" s="6" t="n">
        <v>180</v>
      </c>
      <c r="F1310" s="7" t="n">
        <v>56</v>
      </c>
      <c r="G1310" s="6" t="n">
        <v>1058.52698207633</v>
      </c>
      <c r="H1310" s="8" t="n">
        <v>115710.988486317</v>
      </c>
      <c r="I1310" s="9" t="n">
        <v>15.6100346335831</v>
      </c>
      <c r="J1310" s="9" t="n">
        <v>72.2522394114101</v>
      </c>
      <c r="K1310" s="3" t="s">
        <v>473</v>
      </c>
      <c r="L1310" s="3" t="s">
        <v>474</v>
      </c>
      <c r="M1310" s="7" t="n">
        <v>2021</v>
      </c>
    </row>
    <row r="1311" customFormat="false" ht="15" hidden="false" customHeight="false" outlineLevel="0" collapsed="false">
      <c r="A1311" s="3" t="n">
        <v>1770</v>
      </c>
      <c r="B1311" s="3" t="s">
        <v>472</v>
      </c>
      <c r="C1311" s="4" t="s">
        <v>22</v>
      </c>
      <c r="D1311" s="5" t="n">
        <v>13383</v>
      </c>
      <c r="E1311" s="6" t="n">
        <v>180</v>
      </c>
      <c r="F1311" s="7" t="n">
        <v>58</v>
      </c>
      <c r="G1311" s="6" t="n">
        <v>1627.96666565285</v>
      </c>
      <c r="H1311" s="8" t="n">
        <v>277405.964108444</v>
      </c>
      <c r="I1311" s="9" t="n">
        <v>21.0685134741956</v>
      </c>
      <c r="J1311" s="9" t="n">
        <v>108.895442629292</v>
      </c>
      <c r="K1311" s="3" t="s">
        <v>473</v>
      </c>
      <c r="L1311" s="3" t="s">
        <v>474</v>
      </c>
      <c r="M1311" s="7" t="n">
        <v>2022</v>
      </c>
    </row>
    <row r="1312" customFormat="false" ht="15" hidden="false" customHeight="false" outlineLevel="0" collapsed="false">
      <c r="A1312" s="3" t="n">
        <v>1771</v>
      </c>
      <c r="B1312" s="3" t="s">
        <v>472</v>
      </c>
      <c r="C1312" s="4" t="s">
        <v>23</v>
      </c>
      <c r="D1312" s="5" t="n">
        <v>13490</v>
      </c>
      <c r="E1312" s="6" t="n">
        <v>180</v>
      </c>
      <c r="F1312" s="7" t="n">
        <v>62</v>
      </c>
      <c r="G1312" s="6" t="n">
        <v>1544.81366437341</v>
      </c>
      <c r="H1312" s="8" t="n">
        <v>205448.023271914</v>
      </c>
      <c r="I1312" s="9" t="n">
        <v>21.3097707250872</v>
      </c>
      <c r="J1312" s="9" t="n">
        <v>102.513680738223</v>
      </c>
      <c r="K1312" s="3" t="s">
        <v>473</v>
      </c>
      <c r="L1312" s="3" t="s">
        <v>474</v>
      </c>
      <c r="M1312" s="7" t="n">
        <v>2023</v>
      </c>
    </row>
    <row r="1313" customFormat="false" ht="15" hidden="false" customHeight="false" outlineLevel="0" collapsed="false">
      <c r="A1313" s="3" t="n">
        <v>1772</v>
      </c>
      <c r="B1313" s="3" t="s">
        <v>472</v>
      </c>
      <c r="C1313" s="4" t="s">
        <v>24</v>
      </c>
      <c r="D1313" s="5" t="n">
        <v>13710</v>
      </c>
      <c r="E1313" s="6" t="n">
        <v>180</v>
      </c>
      <c r="F1313" s="7" t="n">
        <v>62</v>
      </c>
      <c r="G1313" s="6" t="n">
        <v>1821.70693444377</v>
      </c>
      <c r="H1313" s="8" t="n">
        <v>262326.470800708</v>
      </c>
      <c r="I1313" s="9" t="n">
        <v>23.8038185884162</v>
      </c>
      <c r="J1313" s="9" t="n">
        <v>118.622548543796</v>
      </c>
      <c r="K1313" s="3" t="s">
        <v>473</v>
      </c>
      <c r="L1313" s="3" t="s">
        <v>474</v>
      </c>
      <c r="M1313" s="7" t="n">
        <v>2024</v>
      </c>
    </row>
    <row r="1314" customFormat="false" ht="15" hidden="false" customHeight="false" outlineLevel="0" collapsed="false">
      <c r="A1314" s="3" t="n">
        <v>1773</v>
      </c>
      <c r="B1314" s="3" t="s">
        <v>472</v>
      </c>
      <c r="C1314" s="4" t="s">
        <v>37</v>
      </c>
      <c r="D1314" s="5" t="n">
        <v>13898</v>
      </c>
      <c r="E1314" s="6" t="n">
        <v>180</v>
      </c>
      <c r="F1314" s="7" t="n">
        <v>65</v>
      </c>
      <c r="G1314" s="6" t="n">
        <v>736.895335128365</v>
      </c>
      <c r="H1314" s="8" t="n">
        <v>126839.953381877</v>
      </c>
      <c r="I1314" s="9" t="n">
        <v>13.1712620307055</v>
      </c>
      <c r="J1314" s="9" t="n">
        <v>47.4647474470421</v>
      </c>
      <c r="K1314" s="3" t="s">
        <v>473</v>
      </c>
      <c r="L1314" s="3" t="s">
        <v>474</v>
      </c>
      <c r="M1314" s="7" t="n">
        <v>2025</v>
      </c>
    </row>
    <row r="1315" customFormat="false" ht="15" hidden="false" customHeight="false" outlineLevel="0" collapsed="false">
      <c r="A1315" s="3" t="n">
        <v>1782</v>
      </c>
      <c r="B1315" s="3" t="s">
        <v>475</v>
      </c>
      <c r="C1315" s="4" t="s">
        <v>14</v>
      </c>
      <c r="D1315" s="5" t="n">
        <v>22000</v>
      </c>
      <c r="E1315" s="6" t="n">
        <v>280</v>
      </c>
      <c r="F1315" s="7" t="n">
        <v>67</v>
      </c>
      <c r="G1315" s="6" t="n">
        <v>1153.2476385685</v>
      </c>
      <c r="H1315" s="8" t="n">
        <v>107147.544038336</v>
      </c>
      <c r="I1315" s="9" t="n">
        <v>7.9997932602853</v>
      </c>
      <c r="J1315" s="9" t="n">
        <v>46.7978700218162</v>
      </c>
      <c r="K1315" s="3" t="s">
        <v>476</v>
      </c>
      <c r="L1315" s="3" t="s">
        <v>477</v>
      </c>
      <c r="M1315" s="7" t="n">
        <v>2016</v>
      </c>
    </row>
    <row r="1316" customFormat="false" ht="15" hidden="false" customHeight="false" outlineLevel="0" collapsed="false">
      <c r="A1316" s="3" t="n">
        <v>1783</v>
      </c>
      <c r="B1316" s="3" t="s">
        <v>475</v>
      </c>
      <c r="C1316" s="4" t="s">
        <v>17</v>
      </c>
      <c r="D1316" s="5" t="n">
        <v>21103</v>
      </c>
      <c r="E1316" s="6" t="n">
        <v>280</v>
      </c>
      <c r="F1316" s="7" t="n">
        <v>70</v>
      </c>
      <c r="G1316" s="6" t="n">
        <v>1410.68845151521</v>
      </c>
      <c r="H1316" s="8" t="n">
        <v>124628.636240144</v>
      </c>
      <c r="I1316" s="9" t="n">
        <v>9.5445594122493</v>
      </c>
      <c r="J1316" s="9" t="n">
        <v>59.8417914924188</v>
      </c>
      <c r="K1316" s="3" t="s">
        <v>476</v>
      </c>
      <c r="L1316" s="3" t="s">
        <v>477</v>
      </c>
      <c r="M1316" s="7" t="n">
        <v>2017</v>
      </c>
    </row>
    <row r="1317" customFormat="false" ht="15" hidden="false" customHeight="false" outlineLevel="0" collapsed="false">
      <c r="A1317" s="3" t="n">
        <v>1784</v>
      </c>
      <c r="B1317" s="3" t="s">
        <v>475</v>
      </c>
      <c r="C1317" s="4" t="s">
        <v>18</v>
      </c>
      <c r="D1317" s="5" t="n">
        <v>21532</v>
      </c>
      <c r="E1317" s="6" t="n">
        <v>280</v>
      </c>
      <c r="F1317" s="7" t="n">
        <v>72</v>
      </c>
      <c r="G1317" s="6" t="n">
        <v>471.401885343112</v>
      </c>
      <c r="H1317" s="8" t="n">
        <v>42733.3975408888</v>
      </c>
      <c r="I1317" s="9" t="n">
        <v>4.12229994327953</v>
      </c>
      <c r="J1317" s="9" t="n">
        <v>19.5985805615331</v>
      </c>
      <c r="K1317" s="3" t="s">
        <v>476</v>
      </c>
      <c r="L1317" s="3" t="s">
        <v>477</v>
      </c>
      <c r="M1317" s="7" t="n">
        <v>2018</v>
      </c>
    </row>
    <row r="1318" customFormat="false" ht="15" hidden="false" customHeight="false" outlineLevel="0" collapsed="false">
      <c r="A1318" s="3" t="n">
        <v>1785</v>
      </c>
      <c r="B1318" s="3" t="s">
        <v>475</v>
      </c>
      <c r="C1318" s="4" t="s">
        <v>19</v>
      </c>
      <c r="D1318" s="5" t="n">
        <v>21988</v>
      </c>
      <c r="E1318" s="6" t="n">
        <v>280</v>
      </c>
      <c r="F1318" s="7" t="n">
        <v>71</v>
      </c>
      <c r="G1318" s="6" t="n">
        <v>1017.62353995386</v>
      </c>
      <c r="H1318" s="8" t="n">
        <v>102369.573151576</v>
      </c>
      <c r="I1318" s="9" t="n">
        <v>7.04679490712672</v>
      </c>
      <c r="J1318" s="9" t="n">
        <v>41.4303966146251</v>
      </c>
      <c r="K1318" s="3" t="s">
        <v>476</v>
      </c>
      <c r="L1318" s="3" t="s">
        <v>477</v>
      </c>
      <c r="M1318" s="7" t="n">
        <v>2019</v>
      </c>
    </row>
    <row r="1319" customFormat="false" ht="15" hidden="false" customHeight="false" outlineLevel="0" collapsed="false">
      <c r="A1319" s="3" t="n">
        <v>1786</v>
      </c>
      <c r="B1319" s="3" t="s">
        <v>475</v>
      </c>
      <c r="C1319" s="4" t="s">
        <v>20</v>
      </c>
      <c r="D1319" s="5" t="n">
        <v>22880</v>
      </c>
      <c r="E1319" s="6" t="n">
        <v>290</v>
      </c>
      <c r="F1319" s="7" t="n">
        <v>68</v>
      </c>
      <c r="G1319" s="6" t="n">
        <v>1109.38186971064</v>
      </c>
      <c r="H1319" s="8" t="n">
        <v>94978.3562719579</v>
      </c>
      <c r="I1319" s="9" t="n">
        <v>6.97358001363652</v>
      </c>
      <c r="J1319" s="9" t="n">
        <v>43.2863770029555</v>
      </c>
      <c r="K1319" s="3" t="s">
        <v>476</v>
      </c>
      <c r="L1319" s="3" t="s">
        <v>477</v>
      </c>
      <c r="M1319" s="7" t="n">
        <v>2020</v>
      </c>
    </row>
    <row r="1320" customFormat="false" ht="15" hidden="false" customHeight="false" outlineLevel="0" collapsed="false">
      <c r="A1320" s="3" t="n">
        <v>1787</v>
      </c>
      <c r="B1320" s="3" t="s">
        <v>475</v>
      </c>
      <c r="C1320" s="4" t="s">
        <v>21</v>
      </c>
      <c r="D1320" s="5" t="n">
        <v>23395</v>
      </c>
      <c r="E1320" s="6" t="n">
        <v>290</v>
      </c>
      <c r="F1320" s="7" t="n">
        <v>69</v>
      </c>
      <c r="G1320" s="6" t="n">
        <v>907.317821211264</v>
      </c>
      <c r="H1320" s="8" t="n">
        <v>106307.002705535</v>
      </c>
      <c r="I1320" s="9" t="n">
        <v>6.17796079242368</v>
      </c>
      <c r="J1320" s="9" t="n">
        <v>34.7179494255971</v>
      </c>
      <c r="K1320" s="3" t="s">
        <v>476</v>
      </c>
      <c r="L1320" s="3" t="s">
        <v>477</v>
      </c>
      <c r="M1320" s="7" t="n">
        <v>2021</v>
      </c>
    </row>
    <row r="1321" customFormat="false" ht="15" hidden="false" customHeight="false" outlineLevel="0" collapsed="false">
      <c r="A1321" s="3" t="n">
        <v>1788</v>
      </c>
      <c r="B1321" s="3" t="s">
        <v>475</v>
      </c>
      <c r="C1321" s="4" t="s">
        <v>22</v>
      </c>
      <c r="D1321" s="5" t="n">
        <v>24457</v>
      </c>
      <c r="E1321" s="6" t="n">
        <v>350</v>
      </c>
      <c r="F1321" s="7" t="n">
        <v>73</v>
      </c>
      <c r="G1321" s="6" t="n">
        <v>1118.66209930724</v>
      </c>
      <c r="H1321" s="8" t="n">
        <v>147130.037073</v>
      </c>
      <c r="I1321" s="9" t="n">
        <v>6.20905901241691</v>
      </c>
      <c r="J1321" s="9" t="n">
        <v>40.9461822567893</v>
      </c>
      <c r="K1321" s="3" t="s">
        <v>476</v>
      </c>
      <c r="L1321" s="3" t="s">
        <v>477</v>
      </c>
      <c r="M1321" s="7" t="n">
        <v>2022</v>
      </c>
    </row>
    <row r="1322" customFormat="false" ht="15" hidden="false" customHeight="false" outlineLevel="0" collapsed="false">
      <c r="A1322" s="3" t="n">
        <v>1789</v>
      </c>
      <c r="B1322" s="3" t="s">
        <v>475</v>
      </c>
      <c r="C1322" s="4" t="s">
        <v>23</v>
      </c>
      <c r="D1322" s="5" t="n">
        <v>25000</v>
      </c>
      <c r="E1322" s="6" t="n">
        <v>350</v>
      </c>
      <c r="F1322" s="7" t="n">
        <v>73</v>
      </c>
      <c r="G1322" s="6" t="n">
        <v>590.274185511994</v>
      </c>
      <c r="H1322" s="8" t="n">
        <v>80377.5476460005</v>
      </c>
      <c r="I1322" s="9" t="n">
        <v>3.85619700540828</v>
      </c>
      <c r="J1322" s="9" t="n">
        <v>21.1364212772823</v>
      </c>
      <c r="K1322" s="3" t="s">
        <v>476</v>
      </c>
      <c r="L1322" s="3" t="s">
        <v>477</v>
      </c>
      <c r="M1322" s="7" t="n">
        <v>2023</v>
      </c>
    </row>
    <row r="1323" customFormat="false" ht="15" hidden="false" customHeight="false" outlineLevel="0" collapsed="false">
      <c r="A1323" s="3" t="n">
        <v>1790</v>
      </c>
      <c r="B1323" s="3" t="s">
        <v>475</v>
      </c>
      <c r="C1323" s="4" t="s">
        <v>24</v>
      </c>
      <c r="D1323" s="5" t="n">
        <v>25000</v>
      </c>
      <c r="E1323" s="6" t="n">
        <v>350</v>
      </c>
      <c r="F1323" s="7" t="n">
        <v>69</v>
      </c>
      <c r="G1323" s="6" t="n">
        <v>1404.59570194712</v>
      </c>
      <c r="H1323" s="8" t="n">
        <v>197227.272375904</v>
      </c>
      <c r="I1323" s="9" t="n">
        <v>8.35701398100401</v>
      </c>
      <c r="J1323" s="9" t="n">
        <v>50.1576892137174</v>
      </c>
      <c r="K1323" s="3" t="s">
        <v>476</v>
      </c>
      <c r="L1323" s="3" t="s">
        <v>477</v>
      </c>
      <c r="M1323" s="7" t="n">
        <v>2024</v>
      </c>
    </row>
    <row r="1324" customFormat="false" ht="15" hidden="false" customHeight="false" outlineLevel="0" collapsed="false">
      <c r="A1324" s="3" t="n">
        <v>1791</v>
      </c>
      <c r="B1324" s="3" t="s">
        <v>478</v>
      </c>
      <c r="C1324" s="4" t="s">
        <v>14</v>
      </c>
      <c r="D1324" s="5" t="n">
        <v>3746</v>
      </c>
      <c r="E1324" s="6" t="n">
        <v>66</v>
      </c>
      <c r="F1324" s="7" t="n">
        <v>58</v>
      </c>
      <c r="G1324" s="6" t="n">
        <v>73.5411867363349</v>
      </c>
      <c r="H1324" s="8" t="n">
        <v>11425.358771357</v>
      </c>
      <c r="I1324" s="9" t="n">
        <v>5.76252397306861</v>
      </c>
      <c r="J1324" s="9" t="n">
        <v>17.5262521039585</v>
      </c>
      <c r="K1324" s="3" t="s">
        <v>479</v>
      </c>
      <c r="L1324" s="3" t="s">
        <v>480</v>
      </c>
      <c r="M1324" s="7" t="n">
        <v>2016</v>
      </c>
    </row>
    <row r="1325" customFormat="false" ht="15" hidden="false" customHeight="false" outlineLevel="0" collapsed="false">
      <c r="A1325" s="3" t="n">
        <v>1792</v>
      </c>
      <c r="B1325" s="3" t="s">
        <v>478</v>
      </c>
      <c r="C1325" s="4" t="s">
        <v>18</v>
      </c>
      <c r="D1325" s="5" t="n">
        <v>3722</v>
      </c>
      <c r="E1325" s="6" t="n">
        <v>66</v>
      </c>
      <c r="F1325" s="7" t="n">
        <v>73</v>
      </c>
      <c r="G1325" s="6" t="n">
        <v>209.969796804609</v>
      </c>
      <c r="H1325" s="8" t="n">
        <v>19970.2273740864</v>
      </c>
      <c r="I1325" s="9" t="n">
        <v>11.9083638937055</v>
      </c>
      <c r="J1325" s="9" t="n">
        <v>50.5007855419946</v>
      </c>
      <c r="K1325" s="3" t="s">
        <v>479</v>
      </c>
      <c r="L1325" s="3" t="s">
        <v>480</v>
      </c>
      <c r="M1325" s="7" t="n">
        <v>2018</v>
      </c>
    </row>
    <row r="1326" customFormat="false" ht="15" hidden="false" customHeight="false" outlineLevel="0" collapsed="false">
      <c r="A1326" s="3" t="n">
        <v>1793</v>
      </c>
      <c r="B1326" s="3" t="s">
        <v>478</v>
      </c>
      <c r="C1326" s="4" t="s">
        <v>19</v>
      </c>
      <c r="D1326" s="5" t="n">
        <v>3791</v>
      </c>
      <c r="E1326" s="6" t="n">
        <v>66</v>
      </c>
      <c r="F1326" s="7" t="n">
        <v>73</v>
      </c>
      <c r="G1326" s="6" t="n">
        <v>120.328201954819</v>
      </c>
      <c r="H1326" s="8" t="n">
        <v>11517.0765684719</v>
      </c>
      <c r="I1326" s="9" t="n">
        <v>7.33891299369823</v>
      </c>
      <c r="J1326" s="9" t="n">
        <v>28.4139307202279</v>
      </c>
      <c r="K1326" s="3" t="s">
        <v>479</v>
      </c>
      <c r="L1326" s="3" t="s">
        <v>480</v>
      </c>
      <c r="M1326" s="7" t="n">
        <v>2019</v>
      </c>
    </row>
    <row r="1327" customFormat="false" ht="15" hidden="false" customHeight="false" outlineLevel="0" collapsed="false">
      <c r="A1327" s="3" t="n">
        <v>1794</v>
      </c>
      <c r="B1327" s="3" t="s">
        <v>478</v>
      </c>
      <c r="C1327" s="4" t="s">
        <v>20</v>
      </c>
      <c r="D1327" s="5" t="n">
        <v>3722</v>
      </c>
      <c r="E1327" s="6" t="n">
        <v>66</v>
      </c>
      <c r="F1327" s="7" t="n">
        <v>67</v>
      </c>
      <c r="G1327" s="6" t="n">
        <v>127.621464696969</v>
      </c>
      <c r="H1327" s="8" t="n">
        <v>19967.6543664878</v>
      </c>
      <c r="I1327" s="9" t="n">
        <v>8.11441808012923</v>
      </c>
      <c r="J1327" s="9" t="n">
        <v>30.6107203322503</v>
      </c>
      <c r="K1327" s="3" t="s">
        <v>479</v>
      </c>
      <c r="L1327" s="3" t="s">
        <v>480</v>
      </c>
      <c r="M1327" s="7" t="n">
        <v>2020</v>
      </c>
    </row>
    <row r="1328" customFormat="false" ht="15" hidden="false" customHeight="false" outlineLevel="0" collapsed="false">
      <c r="A1328" s="3" t="n">
        <v>1795</v>
      </c>
      <c r="B1328" s="3" t="s">
        <v>478</v>
      </c>
      <c r="C1328" s="4" t="s">
        <v>21</v>
      </c>
      <c r="D1328" s="5" t="n">
        <v>3722</v>
      </c>
      <c r="E1328" s="6" t="n">
        <v>66</v>
      </c>
      <c r="F1328" s="7" t="n">
        <v>64</v>
      </c>
      <c r="G1328" s="6" t="n">
        <v>99.2896057575758</v>
      </c>
      <c r="H1328" s="8" t="n">
        <v>28195.2693469788</v>
      </c>
      <c r="I1328" s="9" t="n">
        <v>7.04298107992242</v>
      </c>
      <c r="J1328" s="9" t="n">
        <v>23.8805921766862</v>
      </c>
      <c r="K1328" s="3" t="s">
        <v>479</v>
      </c>
      <c r="L1328" s="3" t="s">
        <v>480</v>
      </c>
      <c r="M1328" s="7" t="n">
        <v>2021</v>
      </c>
    </row>
    <row r="1329" customFormat="false" ht="15" hidden="false" customHeight="false" outlineLevel="0" collapsed="false">
      <c r="A1329" s="3" t="n">
        <v>1796</v>
      </c>
      <c r="B1329" s="3" t="s">
        <v>478</v>
      </c>
      <c r="C1329" s="4" t="s">
        <v>22</v>
      </c>
      <c r="D1329" s="5" t="n">
        <v>3722</v>
      </c>
      <c r="E1329" s="6" t="n">
        <v>67.3</v>
      </c>
      <c r="F1329" s="7" t="n">
        <v>76</v>
      </c>
      <c r="G1329" s="6" t="n">
        <v>87.300320292194</v>
      </c>
      <c r="H1329" s="8" t="n">
        <v>26735.7230894844</v>
      </c>
      <c r="I1329" s="9" t="n">
        <v>7.13848497803072</v>
      </c>
      <c r="J1329" s="9" t="n">
        <v>20.9969949007769</v>
      </c>
      <c r="K1329" s="3" t="s">
        <v>479</v>
      </c>
      <c r="L1329" s="3" t="s">
        <v>480</v>
      </c>
      <c r="M1329" s="7" t="n">
        <v>2022</v>
      </c>
    </row>
    <row r="1330" customFormat="false" ht="15" hidden="false" customHeight="false" outlineLevel="0" collapsed="false">
      <c r="A1330" s="3" t="n">
        <v>1797</v>
      </c>
      <c r="B1330" s="3" t="s">
        <v>478</v>
      </c>
      <c r="C1330" s="4" t="s">
        <v>23</v>
      </c>
      <c r="D1330" s="5" t="n">
        <v>3765</v>
      </c>
      <c r="E1330" s="6" t="n">
        <v>67.3</v>
      </c>
      <c r="F1330" s="7" t="n">
        <v>66</v>
      </c>
      <c r="G1330" s="6" t="n">
        <v>40.2068093055123</v>
      </c>
      <c r="H1330" s="8" t="n">
        <v>9988.68251700321</v>
      </c>
      <c r="I1330" s="9" t="n">
        <v>4.71200864736427</v>
      </c>
      <c r="J1330" s="9" t="n">
        <v>9.55987698948564</v>
      </c>
      <c r="K1330" s="3" t="s">
        <v>479</v>
      </c>
      <c r="L1330" s="3" t="s">
        <v>480</v>
      </c>
      <c r="M1330" s="7" t="n">
        <v>2023</v>
      </c>
    </row>
    <row r="1331" customFormat="false" ht="15" hidden="false" customHeight="false" outlineLevel="0" collapsed="false">
      <c r="A1331" s="3" t="n">
        <v>1798</v>
      </c>
      <c r="B1331" s="3" t="s">
        <v>478</v>
      </c>
      <c r="C1331" s="4" t="s">
        <v>24</v>
      </c>
      <c r="D1331" s="5" t="n">
        <v>3794</v>
      </c>
      <c r="E1331" s="6" t="n">
        <v>66.4</v>
      </c>
      <c r="F1331" s="7" t="n">
        <v>67</v>
      </c>
      <c r="G1331" s="6" t="n">
        <v>57.4756955266753</v>
      </c>
      <c r="H1331" s="8" t="n">
        <v>11575.0303221171</v>
      </c>
      <c r="I1331" s="9" t="n">
        <v>5.26091946098237</v>
      </c>
      <c r="J1331" s="9" t="n">
        <v>13.52424727079</v>
      </c>
      <c r="K1331" s="3" t="s">
        <v>479</v>
      </c>
      <c r="L1331" s="3" t="s">
        <v>480</v>
      </c>
      <c r="M1331" s="7" t="n">
        <v>2024</v>
      </c>
    </row>
    <row r="1332" customFormat="false" ht="15" hidden="false" customHeight="false" outlineLevel="0" collapsed="false">
      <c r="A1332" s="3" t="n">
        <v>1840</v>
      </c>
      <c r="B1332" s="3" t="s">
        <v>481</v>
      </c>
      <c r="C1332" s="4" t="s">
        <v>14</v>
      </c>
      <c r="D1332" s="5" t="n">
        <v>8633</v>
      </c>
      <c r="E1332" s="6" t="n">
        <v>88.1</v>
      </c>
      <c r="F1332" s="7" t="n">
        <v>74</v>
      </c>
      <c r="G1332" s="6" t="n">
        <v>132.994001292188</v>
      </c>
      <c r="H1332" s="8" t="n">
        <v>29060.4029034543</v>
      </c>
      <c r="I1332" s="9" t="n">
        <v>4.29682838256185</v>
      </c>
      <c r="J1332" s="9" t="n">
        <v>13.7529703051085</v>
      </c>
      <c r="K1332" s="3" t="s">
        <v>482</v>
      </c>
      <c r="L1332" s="3" t="s">
        <v>483</v>
      </c>
      <c r="M1332" s="7" t="n">
        <v>2016</v>
      </c>
    </row>
    <row r="1333" customFormat="false" ht="15" hidden="false" customHeight="false" outlineLevel="0" collapsed="false">
      <c r="A1333" s="3" t="n">
        <v>1841</v>
      </c>
      <c r="B1333" s="3" t="s">
        <v>481</v>
      </c>
      <c r="C1333" s="4" t="s">
        <v>17</v>
      </c>
      <c r="D1333" s="5" t="n">
        <v>8616</v>
      </c>
      <c r="E1333" s="6" t="n">
        <v>89.46</v>
      </c>
      <c r="F1333" s="7" t="n">
        <v>81</v>
      </c>
      <c r="G1333" s="6" t="n">
        <v>135.110496220188</v>
      </c>
      <c r="H1333" s="8" t="n">
        <v>29011.2956031465</v>
      </c>
      <c r="I1333" s="9" t="n">
        <v>4.21034964866643</v>
      </c>
      <c r="J1333" s="9" t="n">
        <v>14.0378653769133</v>
      </c>
      <c r="K1333" s="3" t="s">
        <v>482</v>
      </c>
      <c r="L1333" s="3" t="s">
        <v>483</v>
      </c>
      <c r="M1333" s="7" t="n">
        <v>2017</v>
      </c>
    </row>
    <row r="1334" customFormat="false" ht="15" hidden="false" customHeight="false" outlineLevel="0" collapsed="false">
      <c r="A1334" s="3" t="n">
        <v>1842</v>
      </c>
      <c r="B1334" s="3" t="s">
        <v>481</v>
      </c>
      <c r="C1334" s="4" t="s">
        <v>18</v>
      </c>
      <c r="D1334" s="5" t="n">
        <v>8666</v>
      </c>
      <c r="E1334" s="6" t="n">
        <v>89.9</v>
      </c>
      <c r="F1334" s="7" t="n">
        <v>81</v>
      </c>
      <c r="G1334" s="6" t="n">
        <v>170.566382179458</v>
      </c>
      <c r="H1334" s="8" t="n">
        <v>38554.1908904383</v>
      </c>
      <c r="I1334" s="9" t="n">
        <v>5.34990587451048</v>
      </c>
      <c r="J1334" s="9" t="n">
        <v>17.6194532502792</v>
      </c>
      <c r="K1334" s="3" t="s">
        <v>482</v>
      </c>
      <c r="L1334" s="3" t="s">
        <v>483</v>
      </c>
      <c r="M1334" s="7" t="n">
        <v>2018</v>
      </c>
    </row>
    <row r="1335" customFormat="false" ht="15" hidden="false" customHeight="false" outlineLevel="0" collapsed="false">
      <c r="A1335" s="3" t="n">
        <v>1843</v>
      </c>
      <c r="B1335" s="3" t="s">
        <v>481</v>
      </c>
      <c r="C1335" s="4" t="s">
        <v>19</v>
      </c>
      <c r="D1335" s="5" t="n">
        <v>8712</v>
      </c>
      <c r="E1335" s="6" t="n">
        <v>90.95</v>
      </c>
      <c r="F1335" s="7" t="n">
        <v>79</v>
      </c>
      <c r="G1335" s="6" t="n">
        <v>143.813879694509</v>
      </c>
      <c r="H1335" s="8" t="n">
        <v>32829.564481734</v>
      </c>
      <c r="I1335" s="9" t="n">
        <v>5.09332892079396</v>
      </c>
      <c r="J1335" s="9" t="n">
        <v>14.7774878254118</v>
      </c>
      <c r="K1335" s="3" t="s">
        <v>482</v>
      </c>
      <c r="L1335" s="3" t="s">
        <v>483</v>
      </c>
      <c r="M1335" s="7" t="n">
        <v>2019</v>
      </c>
    </row>
    <row r="1336" customFormat="false" ht="15" hidden="false" customHeight="false" outlineLevel="0" collapsed="false">
      <c r="A1336" s="3" t="n">
        <v>1844</v>
      </c>
      <c r="B1336" s="3" t="s">
        <v>481</v>
      </c>
      <c r="C1336" s="4" t="s">
        <v>20</v>
      </c>
      <c r="D1336" s="5" t="n">
        <v>8892</v>
      </c>
      <c r="E1336" s="6" t="n">
        <v>91.76</v>
      </c>
      <c r="F1336" s="7" t="n">
        <v>81</v>
      </c>
      <c r="G1336" s="6" t="n">
        <v>160.411644791761</v>
      </c>
      <c r="H1336" s="8" t="n">
        <v>39231.4629543912</v>
      </c>
      <c r="I1336" s="9" t="n">
        <v>5.15249733076216</v>
      </c>
      <c r="J1336" s="9" t="n">
        <v>16.1050705473413</v>
      </c>
      <c r="K1336" s="3" t="s">
        <v>482</v>
      </c>
      <c r="L1336" s="3" t="s">
        <v>483</v>
      </c>
      <c r="M1336" s="7" t="n">
        <v>2020</v>
      </c>
    </row>
    <row r="1337" customFormat="false" ht="15" hidden="false" customHeight="false" outlineLevel="0" collapsed="false">
      <c r="A1337" s="3" t="n">
        <v>1845</v>
      </c>
      <c r="B1337" s="3" t="s">
        <v>484</v>
      </c>
      <c r="C1337" s="4" t="s">
        <v>14</v>
      </c>
      <c r="D1337" s="5" t="n">
        <v>39256</v>
      </c>
      <c r="E1337" s="6" t="n">
        <v>555.46</v>
      </c>
      <c r="F1337" s="7" t="n">
        <v>57</v>
      </c>
      <c r="G1337" s="6" t="n">
        <v>492.36509289218</v>
      </c>
      <c r="H1337" s="8" t="n">
        <v>205610.448894997</v>
      </c>
      <c r="I1337" s="9" t="n">
        <v>6.65661589401707</v>
      </c>
      <c r="J1337" s="9" t="n">
        <v>11.1971476227705</v>
      </c>
      <c r="K1337" s="3" t="s">
        <v>485</v>
      </c>
      <c r="L1337" s="3" t="s">
        <v>486</v>
      </c>
      <c r="M1337" s="7" t="n">
        <v>2016</v>
      </c>
    </row>
    <row r="1338" customFormat="false" ht="15" hidden="false" customHeight="false" outlineLevel="0" collapsed="false">
      <c r="A1338" s="3" t="n">
        <v>1846</v>
      </c>
      <c r="B1338" s="3" t="s">
        <v>484</v>
      </c>
      <c r="C1338" s="4" t="s">
        <v>17</v>
      </c>
      <c r="D1338" s="5" t="n">
        <v>39183</v>
      </c>
      <c r="E1338" s="6" t="n">
        <v>564.01</v>
      </c>
      <c r="F1338" s="7" t="n">
        <v>66</v>
      </c>
      <c r="G1338" s="6" t="n">
        <v>133.481200313551</v>
      </c>
      <c r="H1338" s="8" t="n">
        <v>61347.4874887489</v>
      </c>
      <c r="I1338" s="9" t="n">
        <v>3.2863328895523</v>
      </c>
      <c r="J1338" s="9" t="n">
        <v>3.04958044174313</v>
      </c>
      <c r="K1338" s="3" t="s">
        <v>485</v>
      </c>
      <c r="L1338" s="3" t="s">
        <v>486</v>
      </c>
      <c r="M1338" s="7" t="n">
        <v>2017</v>
      </c>
    </row>
    <row r="1339" customFormat="false" ht="15" hidden="false" customHeight="false" outlineLevel="0" collapsed="false">
      <c r="A1339" s="3" t="n">
        <v>1847</v>
      </c>
      <c r="B1339" s="3" t="s">
        <v>484</v>
      </c>
      <c r="C1339" s="4" t="s">
        <v>18</v>
      </c>
      <c r="D1339" s="5" t="n">
        <v>38854</v>
      </c>
      <c r="E1339" s="6" t="n">
        <v>564.69</v>
      </c>
      <c r="F1339" s="7" t="n">
        <v>66</v>
      </c>
      <c r="G1339" s="6" t="n">
        <v>213.532986436411</v>
      </c>
      <c r="H1339" s="8" t="n">
        <v>91388.3608927499</v>
      </c>
      <c r="I1339" s="9" t="n">
        <v>4.88435055819239</v>
      </c>
      <c r="J1339" s="9" t="n">
        <v>4.91979393435746</v>
      </c>
      <c r="K1339" s="3" t="s">
        <v>485</v>
      </c>
      <c r="L1339" s="3" t="s">
        <v>486</v>
      </c>
      <c r="M1339" s="7" t="n">
        <v>2018</v>
      </c>
    </row>
    <row r="1340" customFormat="false" ht="15" hidden="false" customHeight="false" outlineLevel="0" collapsed="false">
      <c r="A1340" s="3" t="n">
        <v>1848</v>
      </c>
      <c r="B1340" s="3" t="s">
        <v>484</v>
      </c>
      <c r="C1340" s="4" t="s">
        <v>19</v>
      </c>
      <c r="D1340" s="5" t="n">
        <v>37934</v>
      </c>
      <c r="E1340" s="6" t="n">
        <v>570.9</v>
      </c>
      <c r="F1340" s="7" t="n">
        <v>74</v>
      </c>
      <c r="G1340" s="6" t="n">
        <v>285.574591659786</v>
      </c>
      <c r="H1340" s="8" t="n">
        <v>136394.999812499</v>
      </c>
      <c r="I1340" s="9" t="n">
        <v>5.32699736761135</v>
      </c>
      <c r="J1340" s="9" t="n">
        <v>6.73920394031196</v>
      </c>
      <c r="K1340" s="3" t="s">
        <v>485</v>
      </c>
      <c r="L1340" s="3" t="s">
        <v>486</v>
      </c>
      <c r="M1340" s="7" t="n">
        <v>2019</v>
      </c>
    </row>
    <row r="1341" customFormat="false" ht="15" hidden="false" customHeight="false" outlineLevel="0" collapsed="false">
      <c r="A1341" s="3" t="n">
        <v>1849</v>
      </c>
      <c r="B1341" s="3" t="s">
        <v>484</v>
      </c>
      <c r="C1341" s="4" t="s">
        <v>20</v>
      </c>
      <c r="D1341" s="5" t="n">
        <v>37954</v>
      </c>
      <c r="E1341" s="6" t="n">
        <v>570.9</v>
      </c>
      <c r="F1341" s="7" t="n">
        <v>82</v>
      </c>
      <c r="G1341" s="6" t="n">
        <v>390.699772579554</v>
      </c>
      <c r="H1341" s="8" t="n">
        <v>220657.319500307</v>
      </c>
      <c r="I1341" s="9" t="n">
        <v>6.36517014041291</v>
      </c>
      <c r="J1341" s="9" t="n">
        <v>9.1899214402164</v>
      </c>
      <c r="K1341" s="3" t="s">
        <v>485</v>
      </c>
      <c r="L1341" s="3" t="s">
        <v>486</v>
      </c>
      <c r="M1341" s="7" t="n">
        <v>2020</v>
      </c>
    </row>
    <row r="1342" customFormat="false" ht="15" hidden="false" customHeight="false" outlineLevel="0" collapsed="false">
      <c r="A1342" s="3" t="n">
        <v>1850</v>
      </c>
      <c r="B1342" s="3" t="s">
        <v>484</v>
      </c>
      <c r="C1342" s="4" t="s">
        <v>21</v>
      </c>
      <c r="D1342" s="5" t="n">
        <v>38605.9807301486</v>
      </c>
      <c r="E1342" s="6" t="n">
        <v>592.177753484878</v>
      </c>
      <c r="F1342" s="7" t="n">
        <v>67</v>
      </c>
      <c r="G1342" s="6" t="n">
        <v>361.139636260139</v>
      </c>
      <c r="H1342" s="8" t="n">
        <v>481614.451132285</v>
      </c>
      <c r="I1342" s="9" t="n">
        <v>6.87002402905191</v>
      </c>
      <c r="J1342" s="9" t="n">
        <v>8.37410189847256</v>
      </c>
      <c r="K1342" s="3" t="s">
        <v>485</v>
      </c>
      <c r="L1342" s="3" t="s">
        <v>486</v>
      </c>
      <c r="M1342" s="7" t="n">
        <v>2021</v>
      </c>
    </row>
    <row r="1343" customFormat="false" ht="15" hidden="false" customHeight="false" outlineLevel="0" collapsed="false">
      <c r="A1343" s="3" t="n">
        <v>1851</v>
      </c>
      <c r="B1343" s="3" t="s">
        <v>484</v>
      </c>
      <c r="C1343" s="4" t="s">
        <v>22</v>
      </c>
      <c r="D1343" s="5" t="n">
        <v>38628</v>
      </c>
      <c r="E1343" s="6" t="n">
        <v>592</v>
      </c>
      <c r="F1343" s="7" t="n">
        <v>64</v>
      </c>
      <c r="G1343" s="6" t="n">
        <v>614.577813195767</v>
      </c>
      <c r="H1343" s="8" t="n">
        <v>1145753.8887956</v>
      </c>
      <c r="I1343" s="9" t="n">
        <v>9.50961859442839</v>
      </c>
      <c r="J1343" s="9" t="n">
        <v>14.2427000945376</v>
      </c>
      <c r="K1343" s="3" t="s">
        <v>485</v>
      </c>
      <c r="L1343" s="3" t="s">
        <v>486</v>
      </c>
      <c r="M1343" s="7" t="n">
        <v>2022</v>
      </c>
    </row>
    <row r="1344" customFormat="false" ht="15" hidden="false" customHeight="false" outlineLevel="0" collapsed="false">
      <c r="A1344" s="3" t="n">
        <v>1852</v>
      </c>
      <c r="B1344" s="3" t="s">
        <v>484</v>
      </c>
      <c r="C1344" s="4" t="s">
        <v>23</v>
      </c>
      <c r="D1344" s="5" t="n">
        <v>38542</v>
      </c>
      <c r="E1344" s="6" t="n">
        <v>594.1</v>
      </c>
      <c r="F1344" s="7" t="n">
        <v>69</v>
      </c>
      <c r="G1344" s="6" t="n">
        <v>1024.29013827097</v>
      </c>
      <c r="H1344" s="8" t="n">
        <v>1936329.56172495</v>
      </c>
      <c r="I1344" s="9" t="n">
        <v>12.8914830141533</v>
      </c>
      <c r="J1344" s="9" t="n">
        <v>23.7906560793202</v>
      </c>
      <c r="K1344" s="3" t="s">
        <v>485</v>
      </c>
      <c r="L1344" s="3" t="s">
        <v>486</v>
      </c>
      <c r="M1344" s="7" t="n">
        <v>2023</v>
      </c>
    </row>
    <row r="1345" customFormat="false" ht="15" hidden="false" customHeight="false" outlineLevel="0" collapsed="false">
      <c r="A1345" s="3" t="n">
        <v>1853</v>
      </c>
      <c r="B1345" s="3" t="s">
        <v>484</v>
      </c>
      <c r="C1345" s="4" t="s">
        <v>24</v>
      </c>
      <c r="D1345" s="5" t="n">
        <v>40001</v>
      </c>
      <c r="E1345" s="6" t="n">
        <v>594.71</v>
      </c>
      <c r="F1345" s="7" t="n">
        <v>76</v>
      </c>
      <c r="G1345" s="6" t="n">
        <v>552.235543105609</v>
      </c>
      <c r="H1345" s="8" t="n">
        <v>1136025.47393392</v>
      </c>
      <c r="I1345" s="9" t="n">
        <v>7.9553292800524</v>
      </c>
      <c r="J1345" s="9" t="n">
        <v>12.3247948908473</v>
      </c>
      <c r="K1345" s="3" t="s">
        <v>485</v>
      </c>
      <c r="L1345" s="3" t="s">
        <v>486</v>
      </c>
      <c r="M1345" s="7" t="n">
        <v>2024</v>
      </c>
    </row>
    <row r="1346" customFormat="false" ht="15" hidden="false" customHeight="false" outlineLevel="0" collapsed="false">
      <c r="A1346" s="3" t="n">
        <v>1862</v>
      </c>
      <c r="B1346" s="3" t="s">
        <v>487</v>
      </c>
      <c r="C1346" s="4" t="s">
        <v>14</v>
      </c>
      <c r="D1346" s="5" t="n">
        <v>3600</v>
      </c>
      <c r="E1346" s="6" t="n">
        <v>35</v>
      </c>
      <c r="F1346" s="7" t="n">
        <v>54</v>
      </c>
      <c r="G1346" s="6" t="n">
        <v>58.320503003003</v>
      </c>
      <c r="H1346" s="8" t="n">
        <v>11694.5453716625</v>
      </c>
      <c r="I1346" s="9" t="n">
        <v>11.4943773333358</v>
      </c>
      <c r="J1346" s="9" t="n">
        <v>14.4625526819114</v>
      </c>
      <c r="K1346" s="3" t="s">
        <v>461</v>
      </c>
      <c r="L1346" s="3" t="s">
        <v>462</v>
      </c>
      <c r="M1346" s="7" t="n">
        <v>2016</v>
      </c>
    </row>
    <row r="1347" customFormat="false" ht="15" hidden="false" customHeight="false" outlineLevel="0" collapsed="false">
      <c r="A1347" s="3" t="n">
        <v>1863</v>
      </c>
      <c r="B1347" s="3" t="s">
        <v>487</v>
      </c>
      <c r="C1347" s="4" t="s">
        <v>17</v>
      </c>
      <c r="D1347" s="5" t="n">
        <v>3779</v>
      </c>
      <c r="E1347" s="6" t="n">
        <v>35</v>
      </c>
      <c r="F1347" s="7" t="n">
        <v>62</v>
      </c>
      <c r="G1347" s="6" t="n">
        <v>89.0475672740811</v>
      </c>
      <c r="H1347" s="8" t="n">
        <v>10863.2012812485</v>
      </c>
      <c r="I1347" s="9" t="n">
        <v>7.22408317453948</v>
      </c>
      <c r="J1347" s="9" t="n">
        <v>21.0941894360001</v>
      </c>
      <c r="K1347" s="3" t="s">
        <v>461</v>
      </c>
      <c r="L1347" s="3" t="s">
        <v>462</v>
      </c>
      <c r="M1347" s="7" t="n">
        <v>2017</v>
      </c>
    </row>
    <row r="1348" customFormat="false" ht="15" hidden="false" customHeight="false" outlineLevel="0" collapsed="false">
      <c r="A1348" s="3" t="n">
        <v>1864</v>
      </c>
      <c r="B1348" s="3" t="s">
        <v>487</v>
      </c>
      <c r="C1348" s="4" t="s">
        <v>18</v>
      </c>
      <c r="D1348" s="5" t="n">
        <v>3810</v>
      </c>
      <c r="E1348" s="6" t="n">
        <v>36</v>
      </c>
      <c r="F1348" s="7" t="n">
        <v>63</v>
      </c>
      <c r="G1348" s="6" t="n">
        <v>319.966761451907</v>
      </c>
      <c r="H1348" s="8" t="n">
        <v>27387.6410842486</v>
      </c>
      <c r="I1348" s="9" t="n">
        <v>18.9913952526673</v>
      </c>
      <c r="J1348" s="9" t="n">
        <v>75.1791765350476</v>
      </c>
      <c r="K1348" s="3" t="s">
        <v>461</v>
      </c>
      <c r="L1348" s="3" t="s">
        <v>462</v>
      </c>
      <c r="M1348" s="7" t="n">
        <v>2018</v>
      </c>
    </row>
    <row r="1349" customFormat="false" ht="15" hidden="false" customHeight="false" outlineLevel="0" collapsed="false">
      <c r="A1349" s="3" t="n">
        <v>1865</v>
      </c>
      <c r="B1349" s="3" t="s">
        <v>487</v>
      </c>
      <c r="C1349" s="4" t="s">
        <v>19</v>
      </c>
      <c r="D1349" s="5" t="n">
        <v>3824</v>
      </c>
      <c r="E1349" s="6" t="n">
        <v>36</v>
      </c>
      <c r="F1349" s="7" t="n">
        <v>65</v>
      </c>
      <c r="G1349" s="6" t="n">
        <v>59.6827777020153</v>
      </c>
      <c r="H1349" s="8" t="n">
        <v>4991.71025798235</v>
      </c>
      <c r="I1349" s="9" t="n">
        <v>4.80479664099907</v>
      </c>
      <c r="J1349" s="9" t="n">
        <v>13.9716860523612</v>
      </c>
      <c r="K1349" s="3" t="s">
        <v>461</v>
      </c>
      <c r="L1349" s="3" t="s">
        <v>462</v>
      </c>
      <c r="M1349" s="7" t="n">
        <v>2019</v>
      </c>
    </row>
    <row r="1350" customFormat="false" ht="15" hidden="false" customHeight="false" outlineLevel="0" collapsed="false">
      <c r="A1350" s="3" t="n">
        <v>1866</v>
      </c>
      <c r="B1350" s="3" t="s">
        <v>487</v>
      </c>
      <c r="C1350" s="4" t="s">
        <v>37</v>
      </c>
      <c r="D1350" s="5" t="n">
        <v>4010</v>
      </c>
      <c r="E1350" s="6" t="n">
        <v>37</v>
      </c>
      <c r="F1350" s="7" t="n">
        <v>51</v>
      </c>
      <c r="G1350" s="6" t="n">
        <v>1.35560807003903</v>
      </c>
      <c r="H1350" s="8" t="n">
        <v>228.58887468452</v>
      </c>
      <c r="I1350" s="9" t="n">
        <v>1.69784291958966</v>
      </c>
      <c r="J1350" s="9" t="n">
        <v>0.302626843077942</v>
      </c>
      <c r="K1350" s="3" t="s">
        <v>461</v>
      </c>
      <c r="L1350" s="3" t="s">
        <v>462</v>
      </c>
      <c r="M1350" s="7" t="n">
        <v>2025</v>
      </c>
    </row>
    <row r="1351" customFormat="false" ht="15" hidden="false" customHeight="false" outlineLevel="0" collapsed="false">
      <c r="A1351" s="3" t="n">
        <v>1875</v>
      </c>
      <c r="B1351" s="3" t="s">
        <v>488</v>
      </c>
      <c r="C1351" s="4" t="s">
        <v>24</v>
      </c>
      <c r="D1351" s="5" t="n">
        <v>3029.66666666667</v>
      </c>
      <c r="E1351" s="6" t="n">
        <v>38.076555766489</v>
      </c>
      <c r="F1351" s="7" t="n">
        <v>57</v>
      </c>
      <c r="G1351" s="6" t="n">
        <v>44.1004721134048</v>
      </c>
      <c r="H1351" s="8" t="n">
        <v>4963.24469234335</v>
      </c>
      <c r="I1351" s="9" t="n">
        <v>5.44841948160674</v>
      </c>
      <c r="J1351" s="9" t="n">
        <v>12.9949491304031</v>
      </c>
      <c r="K1351" s="3" t="s">
        <v>489</v>
      </c>
      <c r="L1351" s="3" t="s">
        <v>490</v>
      </c>
      <c r="M1351" s="7" t="n">
        <v>2024</v>
      </c>
    </row>
    <row r="1352" customFormat="false" ht="15" hidden="false" customHeight="false" outlineLevel="0" collapsed="false">
      <c r="A1352" s="3" t="n">
        <v>1876</v>
      </c>
      <c r="B1352" s="3" t="s">
        <v>491</v>
      </c>
      <c r="C1352" s="4" t="s">
        <v>14</v>
      </c>
      <c r="D1352" s="5" t="n">
        <v>24749</v>
      </c>
      <c r="E1352" s="6" t="n">
        <v>269</v>
      </c>
      <c r="F1352" s="7" t="n">
        <v>60</v>
      </c>
      <c r="G1352" s="6" t="n">
        <v>211.170818367347</v>
      </c>
      <c r="H1352" s="8" t="n">
        <v>32834.9505479387</v>
      </c>
      <c r="I1352" s="9" t="n">
        <v>4.38656382888143</v>
      </c>
      <c r="J1352" s="9" t="n">
        <v>7.61732421853141</v>
      </c>
      <c r="K1352" s="3" t="s">
        <v>492</v>
      </c>
      <c r="L1352" s="3" t="s">
        <v>493</v>
      </c>
      <c r="M1352" s="7" t="n">
        <v>2016</v>
      </c>
    </row>
    <row r="1353" customFormat="false" ht="15" hidden="false" customHeight="false" outlineLevel="0" collapsed="false">
      <c r="A1353" s="3" t="n">
        <v>1877</v>
      </c>
      <c r="B1353" s="3" t="s">
        <v>491</v>
      </c>
      <c r="C1353" s="4" t="s">
        <v>17</v>
      </c>
      <c r="D1353" s="5" t="n">
        <v>24889</v>
      </c>
      <c r="E1353" s="6" t="n">
        <v>284.5</v>
      </c>
      <c r="F1353" s="7" t="n">
        <v>62</v>
      </c>
      <c r="G1353" s="6" t="n">
        <v>505.912602040816</v>
      </c>
      <c r="H1353" s="8" t="n">
        <v>65551.0958464286</v>
      </c>
      <c r="I1353" s="9" t="n">
        <v>6.29416005767845</v>
      </c>
      <c r="J1353" s="9" t="n">
        <v>18.1964104456316</v>
      </c>
      <c r="K1353" s="3" t="s">
        <v>492</v>
      </c>
      <c r="L1353" s="3" t="s">
        <v>493</v>
      </c>
      <c r="M1353" s="7" t="n">
        <v>2017</v>
      </c>
    </row>
    <row r="1354" customFormat="false" ht="15" hidden="false" customHeight="false" outlineLevel="0" collapsed="false">
      <c r="A1354" s="3" t="n">
        <v>1878</v>
      </c>
      <c r="B1354" s="3" t="s">
        <v>491</v>
      </c>
      <c r="C1354" s="4" t="s">
        <v>18</v>
      </c>
      <c r="D1354" s="5" t="n">
        <v>25613</v>
      </c>
      <c r="E1354" s="6" t="n">
        <v>284.03</v>
      </c>
      <c r="F1354" s="7" t="n">
        <v>63</v>
      </c>
      <c r="G1354" s="6" t="n">
        <v>56.2457398419708</v>
      </c>
      <c r="H1354" s="8" t="n">
        <v>7287.76051132416</v>
      </c>
      <c r="I1354" s="9" t="n">
        <v>3.11637838644484</v>
      </c>
      <c r="J1354" s="9" t="n">
        <v>1.96583407520628</v>
      </c>
      <c r="K1354" s="3" t="s">
        <v>492</v>
      </c>
      <c r="L1354" s="3" t="s">
        <v>493</v>
      </c>
      <c r="M1354" s="7" t="n">
        <v>2018</v>
      </c>
    </row>
    <row r="1355" customFormat="false" ht="15" hidden="false" customHeight="false" outlineLevel="0" collapsed="false">
      <c r="A1355" s="3" t="n">
        <v>1879</v>
      </c>
      <c r="B1355" s="3" t="s">
        <v>491</v>
      </c>
      <c r="C1355" s="4" t="s">
        <v>19</v>
      </c>
      <c r="D1355" s="5" t="n">
        <v>24895.3333333333</v>
      </c>
      <c r="E1355" s="6" t="n">
        <v>284.03</v>
      </c>
      <c r="F1355" s="7" t="n">
        <v>63</v>
      </c>
      <c r="G1355" s="6" t="n">
        <v>258.265688528001</v>
      </c>
      <c r="H1355" s="8" t="n">
        <v>31988.7881810782</v>
      </c>
      <c r="I1355" s="9" t="n">
        <v>4.50428452630853</v>
      </c>
      <c r="J1355" s="9" t="n">
        <v>9.28680745650778</v>
      </c>
      <c r="K1355" s="3" t="s">
        <v>492</v>
      </c>
      <c r="L1355" s="3" t="s">
        <v>493</v>
      </c>
      <c r="M1355" s="7" t="n">
        <v>2019</v>
      </c>
    </row>
    <row r="1356" customFormat="false" ht="15" hidden="false" customHeight="false" outlineLevel="0" collapsed="false">
      <c r="A1356" s="3" t="n">
        <v>1880</v>
      </c>
      <c r="B1356" s="3" t="s">
        <v>491</v>
      </c>
      <c r="C1356" s="4" t="s">
        <v>20</v>
      </c>
      <c r="D1356" s="5" t="n">
        <v>25664.1666666667</v>
      </c>
      <c r="E1356" s="6" t="n">
        <v>284.30500077</v>
      </c>
      <c r="F1356" s="7" t="n">
        <v>63</v>
      </c>
      <c r="G1356" s="6" t="n">
        <v>328.57344867172</v>
      </c>
      <c r="H1356" s="8" t="n">
        <v>41301.6824980352</v>
      </c>
      <c r="I1356" s="9" t="n">
        <v>4.94882696410388</v>
      </c>
      <c r="J1356" s="9" t="n">
        <v>11.4296121342325</v>
      </c>
      <c r="K1356" s="3" t="s">
        <v>492</v>
      </c>
      <c r="L1356" s="3" t="s">
        <v>493</v>
      </c>
      <c r="M1356" s="7" t="n">
        <v>2020</v>
      </c>
    </row>
    <row r="1357" customFormat="false" ht="15" hidden="false" customHeight="false" outlineLevel="0" collapsed="false">
      <c r="A1357" s="3" t="n">
        <v>1881</v>
      </c>
      <c r="B1357" s="3" t="s">
        <v>491</v>
      </c>
      <c r="C1357" s="4" t="s">
        <v>21</v>
      </c>
      <c r="D1357" s="5" t="n">
        <v>25045</v>
      </c>
      <c r="E1357" s="6" t="n">
        <v>284.30500077</v>
      </c>
      <c r="F1357" s="7" t="n">
        <v>65</v>
      </c>
      <c r="G1357" s="6" t="n">
        <v>380.310415329429</v>
      </c>
      <c r="H1357" s="8" t="n">
        <v>51238.1232757818</v>
      </c>
      <c r="I1357" s="9" t="n">
        <v>5.33335815947816</v>
      </c>
      <c r="J1357" s="9" t="n">
        <v>13.5936116249553</v>
      </c>
      <c r="K1357" s="3" t="s">
        <v>492</v>
      </c>
      <c r="L1357" s="3" t="s">
        <v>493</v>
      </c>
      <c r="M1357" s="7" t="n">
        <v>2021</v>
      </c>
    </row>
    <row r="1358" customFormat="false" ht="15" hidden="false" customHeight="false" outlineLevel="0" collapsed="false">
      <c r="A1358" s="3" t="n">
        <v>1882</v>
      </c>
      <c r="B1358" s="3" t="s">
        <v>491</v>
      </c>
      <c r="C1358" s="4" t="s">
        <v>22</v>
      </c>
      <c r="D1358" s="5" t="n">
        <v>25016</v>
      </c>
      <c r="E1358" s="6" t="n">
        <v>284.74725446</v>
      </c>
      <c r="F1358" s="7" t="n">
        <v>64</v>
      </c>
      <c r="G1358" s="6" t="n">
        <v>727.466548926398</v>
      </c>
      <c r="H1358" s="8" t="n">
        <v>105031.620333993</v>
      </c>
      <c r="I1358" s="9" t="n">
        <v>7.73553173520779</v>
      </c>
      <c r="J1358" s="9" t="n">
        <v>26.0323176062063</v>
      </c>
      <c r="K1358" s="3" t="s">
        <v>492</v>
      </c>
      <c r="L1358" s="3" t="s">
        <v>493</v>
      </c>
      <c r="M1358" s="7" t="n">
        <v>2022</v>
      </c>
    </row>
    <row r="1359" customFormat="false" ht="15" hidden="false" customHeight="false" outlineLevel="0" collapsed="false">
      <c r="A1359" s="3" t="n">
        <v>1883</v>
      </c>
      <c r="B1359" s="3" t="s">
        <v>491</v>
      </c>
      <c r="C1359" s="4" t="s">
        <v>23</v>
      </c>
      <c r="D1359" s="5" t="n">
        <v>24980.5833333333</v>
      </c>
      <c r="E1359" s="6" t="n">
        <v>285.53733685</v>
      </c>
      <c r="F1359" s="7" t="n">
        <v>71</v>
      </c>
      <c r="G1359" s="6" t="n">
        <v>647.095067600371</v>
      </c>
      <c r="H1359" s="8" t="n">
        <v>94475.8798696541</v>
      </c>
      <c r="I1359" s="9" t="n">
        <v>7.25277601171273</v>
      </c>
      <c r="J1359" s="9" t="n">
        <v>23.1890623555704</v>
      </c>
      <c r="K1359" s="3" t="s">
        <v>492</v>
      </c>
      <c r="L1359" s="3" t="s">
        <v>493</v>
      </c>
      <c r="M1359" s="7" t="n">
        <v>2023</v>
      </c>
    </row>
    <row r="1360" customFormat="false" ht="15" hidden="false" customHeight="false" outlineLevel="0" collapsed="false">
      <c r="A1360" s="3" t="n">
        <v>1884</v>
      </c>
      <c r="B1360" s="3" t="s">
        <v>491</v>
      </c>
      <c r="C1360" s="4" t="s">
        <v>24</v>
      </c>
      <c r="D1360" s="5" t="n">
        <v>25065.75</v>
      </c>
      <c r="E1360" s="6" t="n">
        <v>287.399114680878</v>
      </c>
      <c r="F1360" s="7" t="n">
        <v>68</v>
      </c>
      <c r="G1360" s="6" t="n">
        <v>549.779159030123</v>
      </c>
      <c r="H1360" s="8" t="n">
        <v>101088.315722846</v>
      </c>
      <c r="I1360" s="9" t="n">
        <v>6.60515926536928</v>
      </c>
      <c r="J1360" s="9" t="n">
        <v>19.5809501831143</v>
      </c>
      <c r="K1360" s="3" t="s">
        <v>492</v>
      </c>
      <c r="L1360" s="3" t="s">
        <v>493</v>
      </c>
      <c r="M1360" s="7" t="n">
        <v>2024</v>
      </c>
    </row>
    <row r="1361" customFormat="false" ht="15" hidden="false" customHeight="false" outlineLevel="0" collapsed="false">
      <c r="A1361" s="3" t="n">
        <v>1885</v>
      </c>
      <c r="B1361" s="3" t="s">
        <v>494</v>
      </c>
      <c r="C1361" s="4" t="s">
        <v>14</v>
      </c>
      <c r="D1361" s="5" t="n">
        <v>3819</v>
      </c>
      <c r="E1361" s="6" t="n">
        <v>33.75</v>
      </c>
      <c r="F1361" s="7" t="n">
        <v>46</v>
      </c>
      <c r="G1361" s="6" t="n">
        <v>92.6062462701755</v>
      </c>
      <c r="H1361" s="8" t="n">
        <v>13593.1111558886</v>
      </c>
      <c r="I1361" s="9" t="n">
        <v>10.7423007808713</v>
      </c>
      <c r="J1361" s="9" t="n">
        <v>21.6479519872756</v>
      </c>
      <c r="K1361" s="3" t="s">
        <v>495</v>
      </c>
      <c r="L1361" s="3" t="s">
        <v>124</v>
      </c>
      <c r="M1361" s="7" t="n">
        <v>2016</v>
      </c>
    </row>
    <row r="1362" customFormat="false" ht="15" hidden="false" customHeight="false" outlineLevel="0" collapsed="false">
      <c r="A1362" s="3" t="n">
        <v>1886</v>
      </c>
      <c r="B1362" s="3" t="s">
        <v>494</v>
      </c>
      <c r="C1362" s="4" t="s">
        <v>17</v>
      </c>
      <c r="D1362" s="5" t="n">
        <v>3964</v>
      </c>
      <c r="E1362" s="6" t="n">
        <v>5</v>
      </c>
      <c r="F1362" s="7" t="n">
        <v>54</v>
      </c>
      <c r="G1362" s="6" t="n">
        <v>21.6588996641024</v>
      </c>
      <c r="H1362" s="8" t="n">
        <v>3501.95930964387</v>
      </c>
      <c r="I1362" s="9" t="n">
        <v>3.27596473078959</v>
      </c>
      <c r="J1362" s="9" t="n">
        <v>4.89125627519061</v>
      </c>
      <c r="K1362" s="3" t="s">
        <v>495</v>
      </c>
      <c r="L1362" s="3" t="s">
        <v>124</v>
      </c>
      <c r="M1362" s="7" t="n">
        <v>2017</v>
      </c>
    </row>
    <row r="1363" customFormat="false" ht="15" hidden="false" customHeight="false" outlineLevel="0" collapsed="false">
      <c r="A1363" s="3" t="n">
        <v>1887</v>
      </c>
      <c r="B1363" s="3" t="s">
        <v>494</v>
      </c>
      <c r="C1363" s="4" t="s">
        <v>18</v>
      </c>
      <c r="D1363" s="5" t="n">
        <v>3869</v>
      </c>
      <c r="E1363" s="6" t="n">
        <v>5</v>
      </c>
      <c r="F1363" s="7" t="n">
        <v>54</v>
      </c>
      <c r="G1363" s="6" t="n">
        <v>115.230467175827</v>
      </c>
      <c r="H1363" s="8" t="n">
        <v>18197.8240592688</v>
      </c>
      <c r="I1363" s="9" t="n">
        <v>7.65168248895573</v>
      </c>
      <c r="J1363" s="9" t="n">
        <v>26.6616036171643</v>
      </c>
      <c r="K1363" s="3" t="s">
        <v>495</v>
      </c>
      <c r="L1363" s="3" t="s">
        <v>124</v>
      </c>
      <c r="M1363" s="7" t="n">
        <v>2018</v>
      </c>
    </row>
    <row r="1364" customFormat="false" ht="15" hidden="false" customHeight="false" outlineLevel="0" collapsed="false">
      <c r="A1364" s="3" t="n">
        <v>1888</v>
      </c>
      <c r="B1364" s="3" t="s">
        <v>494</v>
      </c>
      <c r="C1364" s="4" t="s">
        <v>19</v>
      </c>
      <c r="D1364" s="5" t="n">
        <v>3993</v>
      </c>
      <c r="E1364" s="6" t="n">
        <v>42.8</v>
      </c>
      <c r="F1364" s="7" t="n">
        <v>60</v>
      </c>
      <c r="G1364" s="6" t="n">
        <v>54.9285866746624</v>
      </c>
      <c r="H1364" s="8" t="n">
        <v>10714.5980720844</v>
      </c>
      <c r="I1364" s="9" t="n">
        <v>5.32454811276404</v>
      </c>
      <c r="J1364" s="9" t="n">
        <v>12.3145001668617</v>
      </c>
      <c r="K1364" s="3" t="s">
        <v>495</v>
      </c>
      <c r="L1364" s="3" t="s">
        <v>124</v>
      </c>
      <c r="M1364" s="7" t="n">
        <v>2019</v>
      </c>
    </row>
    <row r="1365" customFormat="false" ht="15" hidden="false" customHeight="false" outlineLevel="0" collapsed="false">
      <c r="A1365" s="3" t="n">
        <v>1889</v>
      </c>
      <c r="B1365" s="3" t="s">
        <v>494</v>
      </c>
      <c r="C1365" s="4" t="s">
        <v>20</v>
      </c>
      <c r="D1365" s="5" t="n">
        <v>4078</v>
      </c>
      <c r="E1365" s="6" t="n">
        <v>43.6</v>
      </c>
      <c r="F1365" s="7" t="n">
        <v>61</v>
      </c>
      <c r="G1365" s="6" t="n">
        <v>140.965606792032</v>
      </c>
      <c r="H1365" s="8" t="n">
        <v>28869.8374966227</v>
      </c>
      <c r="I1365" s="9" t="n">
        <v>8.92838021554114</v>
      </c>
      <c r="J1365" s="9" t="n">
        <v>30.8597310921889</v>
      </c>
      <c r="K1365" s="3" t="s">
        <v>495</v>
      </c>
      <c r="L1365" s="3" t="s">
        <v>124</v>
      </c>
      <c r="M1365" s="7" t="n">
        <v>2020</v>
      </c>
    </row>
    <row r="1366" customFormat="false" ht="15" hidden="false" customHeight="false" outlineLevel="0" collapsed="false">
      <c r="A1366" s="3" t="n">
        <v>1890</v>
      </c>
      <c r="B1366" s="3" t="s">
        <v>494</v>
      </c>
      <c r="C1366" s="4" t="s">
        <v>21</v>
      </c>
      <c r="D1366" s="5" t="n">
        <v>4132</v>
      </c>
      <c r="E1366" s="6" t="n">
        <v>43.83</v>
      </c>
      <c r="F1366" s="7" t="n">
        <v>65</v>
      </c>
      <c r="G1366" s="6" t="n">
        <v>248.118887367909</v>
      </c>
      <c r="H1366" s="8" t="n">
        <v>59316.2447778404</v>
      </c>
      <c r="I1366" s="9" t="n">
        <v>14.3066538530637</v>
      </c>
      <c r="J1366" s="9" t="n">
        <v>53.7547921128319</v>
      </c>
      <c r="K1366" s="3" t="s">
        <v>495</v>
      </c>
      <c r="L1366" s="3" t="s">
        <v>124</v>
      </c>
      <c r="M1366" s="7" t="n">
        <v>2021</v>
      </c>
    </row>
    <row r="1367" customFormat="false" ht="15" hidden="false" customHeight="false" outlineLevel="0" collapsed="false">
      <c r="A1367" s="3" t="n">
        <v>1891</v>
      </c>
      <c r="B1367" s="3" t="s">
        <v>494</v>
      </c>
      <c r="C1367" s="4" t="s">
        <v>22</v>
      </c>
      <c r="D1367" s="5" t="n">
        <v>4297</v>
      </c>
      <c r="E1367" s="6" t="n">
        <v>44.01</v>
      </c>
      <c r="F1367" s="7" t="n">
        <v>70</v>
      </c>
      <c r="G1367" s="6" t="n">
        <v>135.784137464596</v>
      </c>
      <c r="H1367" s="8" t="n">
        <v>33199.527818053</v>
      </c>
      <c r="I1367" s="9" t="n">
        <v>8.31162379464009</v>
      </c>
      <c r="J1367" s="9" t="n">
        <v>28.2879423780046</v>
      </c>
      <c r="K1367" s="3" t="s">
        <v>495</v>
      </c>
      <c r="L1367" s="3" t="s">
        <v>124</v>
      </c>
      <c r="M1367" s="7" t="n">
        <v>2022</v>
      </c>
    </row>
    <row r="1368" customFormat="false" ht="15" hidden="false" customHeight="false" outlineLevel="0" collapsed="false">
      <c r="A1368" s="3" t="n">
        <v>1892</v>
      </c>
      <c r="B1368" s="3" t="s">
        <v>494</v>
      </c>
      <c r="C1368" s="4" t="s">
        <v>23</v>
      </c>
      <c r="D1368" s="5" t="n">
        <v>4400</v>
      </c>
      <c r="E1368" s="6" t="n">
        <v>44.01</v>
      </c>
      <c r="F1368" s="7" t="n">
        <v>70</v>
      </c>
      <c r="G1368" s="6" t="n">
        <v>119.184645684466</v>
      </c>
      <c r="H1368" s="8" t="n">
        <v>41436.9164906102</v>
      </c>
      <c r="I1368" s="9" t="n">
        <v>7.63325621918182</v>
      </c>
      <c r="J1368" s="9" t="n">
        <v>24.2485239641165</v>
      </c>
      <c r="K1368" s="3" t="s">
        <v>495</v>
      </c>
      <c r="L1368" s="3" t="s">
        <v>124</v>
      </c>
      <c r="M1368" s="7" t="n">
        <v>2023</v>
      </c>
    </row>
    <row r="1369" customFormat="false" ht="15" hidden="false" customHeight="false" outlineLevel="0" collapsed="false">
      <c r="A1369" s="3" t="n">
        <v>1893</v>
      </c>
      <c r="B1369" s="3" t="s">
        <v>494</v>
      </c>
      <c r="C1369" s="4" t="s">
        <v>24</v>
      </c>
      <c r="D1369" s="5" t="n">
        <v>4427</v>
      </c>
      <c r="E1369" s="6" t="n">
        <v>44.01</v>
      </c>
      <c r="F1369" s="7" t="n">
        <v>70</v>
      </c>
      <c r="G1369" s="6" t="n">
        <v>93.2330521942542</v>
      </c>
      <c r="H1369" s="8" t="n">
        <v>27017.307148214</v>
      </c>
      <c r="I1369" s="9" t="n">
        <v>6.21136375454053</v>
      </c>
      <c r="J1369" s="9" t="n">
        <v>18.8012434844401</v>
      </c>
      <c r="K1369" s="3" t="s">
        <v>495</v>
      </c>
      <c r="L1369" s="3" t="s">
        <v>124</v>
      </c>
      <c r="M1369" s="7" t="n">
        <v>2024</v>
      </c>
    </row>
    <row r="1370" customFormat="false" ht="15" hidden="false" customHeight="false" outlineLevel="0" collapsed="false">
      <c r="A1370" s="3" t="n">
        <v>1912</v>
      </c>
      <c r="B1370" s="3" t="s">
        <v>496</v>
      </c>
      <c r="C1370" s="4" t="s">
        <v>14</v>
      </c>
      <c r="D1370" s="5" t="n">
        <v>7766</v>
      </c>
      <c r="E1370" s="6" t="n">
        <v>203</v>
      </c>
      <c r="F1370" s="7" t="n">
        <v>71</v>
      </c>
      <c r="G1370" s="6" t="n">
        <v>213.77635562814</v>
      </c>
      <c r="H1370" s="8" t="n">
        <v>393901.747564144</v>
      </c>
      <c r="I1370" s="9" t="n">
        <v>8.21683033841858</v>
      </c>
      <c r="J1370" s="9" t="n">
        <v>24.5747142471345</v>
      </c>
      <c r="K1370" s="3" t="s">
        <v>497</v>
      </c>
      <c r="L1370" s="3" t="s">
        <v>498</v>
      </c>
      <c r="M1370" s="7" t="n">
        <v>2016</v>
      </c>
    </row>
    <row r="1371" customFormat="false" ht="15" hidden="false" customHeight="false" outlineLevel="0" collapsed="false">
      <c r="A1371" s="3" t="n">
        <v>1913</v>
      </c>
      <c r="B1371" s="3" t="s">
        <v>496</v>
      </c>
      <c r="C1371" s="4" t="s">
        <v>17</v>
      </c>
      <c r="D1371" s="5" t="n">
        <v>7794</v>
      </c>
      <c r="E1371" s="6" t="n">
        <v>203</v>
      </c>
      <c r="F1371" s="7" t="n">
        <v>59</v>
      </c>
      <c r="G1371" s="6" t="n">
        <v>231.237936771357</v>
      </c>
      <c r="H1371" s="8" t="n">
        <v>30817.0798335187</v>
      </c>
      <c r="I1371" s="9" t="n">
        <v>8.27039907978045</v>
      </c>
      <c r="J1371" s="9" t="n">
        <v>26.5592837456269</v>
      </c>
      <c r="K1371" s="3" t="s">
        <v>497</v>
      </c>
      <c r="L1371" s="3" t="s">
        <v>498</v>
      </c>
      <c r="M1371" s="7" t="n">
        <v>2017</v>
      </c>
    </row>
    <row r="1372" customFormat="false" ht="15" hidden="false" customHeight="false" outlineLevel="0" collapsed="false">
      <c r="A1372" s="3" t="n">
        <v>1914</v>
      </c>
      <c r="B1372" s="3" t="s">
        <v>496</v>
      </c>
      <c r="C1372" s="4" t="s">
        <v>18</v>
      </c>
      <c r="D1372" s="5" t="n">
        <v>6863</v>
      </c>
      <c r="E1372" s="6" t="n">
        <v>203</v>
      </c>
      <c r="F1372" s="7" t="n">
        <v>68</v>
      </c>
      <c r="G1372" s="6" t="n">
        <v>322.831581407035</v>
      </c>
      <c r="H1372" s="8" t="n">
        <v>67677.3045952163</v>
      </c>
      <c r="I1372" s="9" t="n">
        <v>10.5343784757785</v>
      </c>
      <c r="J1372" s="9" t="n">
        <v>42.1094616429651</v>
      </c>
      <c r="K1372" s="3" t="s">
        <v>497</v>
      </c>
      <c r="L1372" s="3" t="s">
        <v>498</v>
      </c>
      <c r="M1372" s="7" t="n">
        <v>2018</v>
      </c>
    </row>
    <row r="1373" customFormat="false" ht="15" hidden="false" customHeight="false" outlineLevel="0" collapsed="false">
      <c r="A1373" s="3" t="n">
        <v>1915</v>
      </c>
      <c r="B1373" s="3" t="s">
        <v>496</v>
      </c>
      <c r="C1373" s="4" t="s">
        <v>19</v>
      </c>
      <c r="D1373" s="5" t="n">
        <v>7354</v>
      </c>
      <c r="E1373" s="6" t="n">
        <v>237.5</v>
      </c>
      <c r="F1373" s="7" t="n">
        <v>63</v>
      </c>
      <c r="G1373" s="6" t="n">
        <v>282.797746878172</v>
      </c>
      <c r="H1373" s="8" t="n">
        <v>61474.5742163771</v>
      </c>
      <c r="I1373" s="9" t="n">
        <v>10.6489019814613</v>
      </c>
      <c r="J1373" s="9" t="n">
        <v>34.4246865046156</v>
      </c>
      <c r="K1373" s="3" t="s">
        <v>497</v>
      </c>
      <c r="L1373" s="3" t="s">
        <v>498</v>
      </c>
      <c r="M1373" s="7" t="n">
        <v>2019</v>
      </c>
    </row>
    <row r="1374" customFormat="false" ht="15" hidden="false" customHeight="false" outlineLevel="0" collapsed="false">
      <c r="A1374" s="3" t="n">
        <v>1916</v>
      </c>
      <c r="B1374" s="3" t="s">
        <v>496</v>
      </c>
      <c r="C1374" s="4" t="s">
        <v>20</v>
      </c>
      <c r="D1374" s="5" t="n">
        <v>7547</v>
      </c>
      <c r="E1374" s="6" t="n">
        <v>237.5</v>
      </c>
      <c r="F1374" s="7" t="n">
        <v>69</v>
      </c>
      <c r="G1374" s="6" t="n">
        <v>117.420763604061</v>
      </c>
      <c r="H1374" s="8" t="n">
        <v>29066.3358225492</v>
      </c>
      <c r="I1374" s="9" t="n">
        <v>5.58203414408749</v>
      </c>
      <c r="J1374" s="9" t="n">
        <v>13.8898240400874</v>
      </c>
      <c r="K1374" s="3" t="s">
        <v>497</v>
      </c>
      <c r="L1374" s="3" t="s">
        <v>498</v>
      </c>
      <c r="M1374" s="7" t="n">
        <v>2020</v>
      </c>
    </row>
    <row r="1375" customFormat="false" ht="15" hidden="false" customHeight="false" outlineLevel="0" collapsed="false">
      <c r="A1375" s="3" t="n">
        <v>1917</v>
      </c>
      <c r="B1375" s="3" t="s">
        <v>496</v>
      </c>
      <c r="C1375" s="4" t="s">
        <v>21</v>
      </c>
      <c r="D1375" s="5" t="n">
        <v>7316</v>
      </c>
      <c r="E1375" s="6" t="n">
        <v>232.4</v>
      </c>
      <c r="F1375" s="7" t="n">
        <v>70</v>
      </c>
      <c r="G1375" s="6" t="n">
        <v>214.060723032995</v>
      </c>
      <c r="H1375" s="8" t="n">
        <v>56499.1872373287</v>
      </c>
      <c r="I1375" s="9" t="n">
        <v>8.24015962270996</v>
      </c>
      <c r="J1375" s="9" t="n">
        <v>26.1927420335019</v>
      </c>
      <c r="K1375" s="3" t="s">
        <v>497</v>
      </c>
      <c r="L1375" s="3" t="s">
        <v>498</v>
      </c>
      <c r="M1375" s="7" t="n">
        <v>2021</v>
      </c>
    </row>
    <row r="1376" customFormat="false" ht="15" hidden="false" customHeight="false" outlineLevel="0" collapsed="false">
      <c r="A1376" s="3" t="n">
        <v>1918</v>
      </c>
      <c r="B1376" s="3" t="s">
        <v>496</v>
      </c>
      <c r="C1376" s="4" t="s">
        <v>23</v>
      </c>
      <c r="D1376" s="5" t="n">
        <v>7994</v>
      </c>
      <c r="E1376" s="6" t="n">
        <v>232.6</v>
      </c>
      <c r="F1376" s="7" t="n">
        <v>80</v>
      </c>
      <c r="G1376" s="6" t="n">
        <v>221.58301940427</v>
      </c>
      <c r="H1376" s="8" t="n">
        <v>66906.9927091193</v>
      </c>
      <c r="I1376" s="9" t="n">
        <v>12.7768724719809</v>
      </c>
      <c r="J1376" s="9" t="n">
        <v>24.8136131136473</v>
      </c>
      <c r="K1376" s="3" t="s">
        <v>497</v>
      </c>
      <c r="L1376" s="3" t="s">
        <v>498</v>
      </c>
      <c r="M1376" s="7" t="n">
        <v>2023</v>
      </c>
    </row>
    <row r="1377" customFormat="false" ht="15" hidden="false" customHeight="false" outlineLevel="0" collapsed="false">
      <c r="A1377" s="3" t="n">
        <v>1919</v>
      </c>
      <c r="B1377" s="3" t="s">
        <v>496</v>
      </c>
      <c r="C1377" s="4" t="s">
        <v>24</v>
      </c>
      <c r="D1377" s="5" t="n">
        <v>8620</v>
      </c>
      <c r="E1377" s="6" t="n">
        <v>245.22</v>
      </c>
      <c r="F1377" s="7" t="n">
        <v>86</v>
      </c>
      <c r="G1377" s="6" t="n">
        <v>103.634894893617</v>
      </c>
      <c r="H1377" s="8" t="n">
        <v>40306.7196709745</v>
      </c>
      <c r="I1377" s="9" t="n">
        <v>9.76964717052678</v>
      </c>
      <c r="J1377" s="9" t="n">
        <v>10.7330941537616</v>
      </c>
      <c r="K1377" s="3" t="s">
        <v>497</v>
      </c>
      <c r="L1377" s="3" t="s">
        <v>498</v>
      </c>
      <c r="M1377" s="7" t="n">
        <v>2024</v>
      </c>
    </row>
    <row r="1378" customFormat="false" ht="15" hidden="false" customHeight="false" outlineLevel="0" collapsed="false">
      <c r="A1378" s="3" t="n">
        <v>1945</v>
      </c>
      <c r="B1378" s="3" t="s">
        <v>499</v>
      </c>
      <c r="C1378" s="4" t="s">
        <v>14</v>
      </c>
      <c r="D1378" s="5" t="n">
        <v>25734</v>
      </c>
      <c r="E1378" s="6" t="n">
        <v>361</v>
      </c>
      <c r="F1378" s="7" t="n">
        <v>49</v>
      </c>
      <c r="G1378" s="6" t="n">
        <v>714.200650178054</v>
      </c>
      <c r="H1378" s="8" t="n">
        <v>349084.433068182</v>
      </c>
      <c r="I1378" s="9" t="n">
        <v>7.81899547882925</v>
      </c>
      <c r="J1378" s="9" t="n">
        <v>24.7764533101211</v>
      </c>
      <c r="K1378" s="3" t="s">
        <v>500</v>
      </c>
      <c r="L1378" s="3" t="s">
        <v>501</v>
      </c>
      <c r="M1378" s="7" t="n">
        <v>2016</v>
      </c>
    </row>
    <row r="1379" customFormat="false" ht="15" hidden="false" customHeight="false" outlineLevel="0" collapsed="false">
      <c r="A1379" s="3" t="n">
        <v>1946</v>
      </c>
      <c r="B1379" s="3" t="s">
        <v>499</v>
      </c>
      <c r="C1379" s="4" t="s">
        <v>17</v>
      </c>
      <c r="D1379" s="5" t="n">
        <v>25688</v>
      </c>
      <c r="E1379" s="6" t="n">
        <v>358.8</v>
      </c>
      <c r="F1379" s="7" t="n">
        <v>51</v>
      </c>
      <c r="G1379" s="6" t="n">
        <v>972.996682345927</v>
      </c>
      <c r="H1379" s="8" t="n">
        <v>475577.829772727</v>
      </c>
      <c r="I1379" s="9" t="n">
        <v>9.41204035706286</v>
      </c>
      <c r="J1379" s="9" t="n">
        <v>33.9077319571013</v>
      </c>
      <c r="K1379" s="3" t="s">
        <v>500</v>
      </c>
      <c r="L1379" s="3" t="s">
        <v>501</v>
      </c>
      <c r="M1379" s="7" t="n">
        <v>2017</v>
      </c>
    </row>
    <row r="1380" customFormat="false" ht="15" hidden="false" customHeight="false" outlineLevel="0" collapsed="false">
      <c r="A1380" s="3" t="n">
        <v>1947</v>
      </c>
      <c r="B1380" s="3" t="s">
        <v>499</v>
      </c>
      <c r="C1380" s="4" t="s">
        <v>18</v>
      </c>
      <c r="D1380" s="5" t="n">
        <v>25747</v>
      </c>
      <c r="E1380" s="6" t="n">
        <v>360.8</v>
      </c>
      <c r="F1380" s="7" t="n">
        <v>54</v>
      </c>
      <c r="G1380" s="6" t="n">
        <v>465.002840883468</v>
      </c>
      <c r="H1380" s="8" t="n">
        <v>227282.421325759</v>
      </c>
      <c r="I1380" s="9" t="n">
        <v>5.45722017371804</v>
      </c>
      <c r="J1380" s="9" t="n">
        <v>16.1676406452901</v>
      </c>
      <c r="K1380" s="3" t="s">
        <v>500</v>
      </c>
      <c r="L1380" s="3" t="s">
        <v>501</v>
      </c>
      <c r="M1380" s="7" t="n">
        <v>2018</v>
      </c>
    </row>
    <row r="1381" customFormat="false" ht="15" hidden="false" customHeight="false" outlineLevel="0" collapsed="false">
      <c r="A1381" s="3" t="n">
        <v>1948</v>
      </c>
      <c r="B1381" s="3" t="s">
        <v>499</v>
      </c>
      <c r="C1381" s="4" t="s">
        <v>19</v>
      </c>
      <c r="D1381" s="5" t="n">
        <v>25891</v>
      </c>
      <c r="E1381" s="6" t="n">
        <v>357.8</v>
      </c>
      <c r="F1381" s="7" t="n">
        <v>68</v>
      </c>
      <c r="G1381" s="6" t="n">
        <v>854.060788433104</v>
      </c>
      <c r="H1381" s="8" t="n">
        <v>417444.769983907</v>
      </c>
      <c r="I1381" s="9" t="n">
        <v>8.31195135930323</v>
      </c>
      <c r="J1381" s="9" t="n">
        <v>29.5296046667873</v>
      </c>
      <c r="K1381" s="3" t="s">
        <v>500</v>
      </c>
      <c r="L1381" s="3" t="s">
        <v>501</v>
      </c>
      <c r="M1381" s="7" t="n">
        <v>2019</v>
      </c>
    </row>
    <row r="1382" customFormat="false" ht="15" hidden="false" customHeight="false" outlineLevel="0" collapsed="false">
      <c r="A1382" s="3" t="n">
        <v>1949</v>
      </c>
      <c r="B1382" s="3" t="s">
        <v>499</v>
      </c>
      <c r="C1382" s="4" t="s">
        <v>20</v>
      </c>
      <c r="D1382" s="5" t="n">
        <v>25892</v>
      </c>
      <c r="E1382" s="6" t="n">
        <v>359.9</v>
      </c>
      <c r="F1382" s="7" t="n">
        <v>74</v>
      </c>
      <c r="G1382" s="6" t="n">
        <v>834.984816781547</v>
      </c>
      <c r="H1382" s="8" t="n">
        <v>500595.635875072</v>
      </c>
      <c r="I1382" s="9" t="n">
        <v>7.74491466496242</v>
      </c>
      <c r="J1382" s="9" t="n">
        <v>28.7898348601974</v>
      </c>
      <c r="K1382" s="3" t="s">
        <v>500</v>
      </c>
      <c r="L1382" s="3" t="s">
        <v>501</v>
      </c>
      <c r="M1382" s="7" t="n">
        <v>2020</v>
      </c>
    </row>
    <row r="1383" customFormat="false" ht="15" hidden="false" customHeight="false" outlineLevel="0" collapsed="false">
      <c r="A1383" s="3" t="n">
        <v>1950</v>
      </c>
      <c r="B1383" s="3" t="s">
        <v>499</v>
      </c>
      <c r="C1383" s="4" t="s">
        <v>21</v>
      </c>
      <c r="D1383" s="5" t="n">
        <v>25978</v>
      </c>
      <c r="E1383" s="6" t="n">
        <v>361.1</v>
      </c>
      <c r="F1383" s="7" t="n">
        <v>75</v>
      </c>
      <c r="G1383" s="6" t="n">
        <v>1018.11325282001</v>
      </c>
      <c r="H1383" s="8" t="n">
        <v>619217.279767507</v>
      </c>
      <c r="I1383" s="9" t="n">
        <v>9.47695918250074</v>
      </c>
      <c r="J1383" s="9" t="n">
        <v>35.0839152089652</v>
      </c>
      <c r="K1383" s="3" t="s">
        <v>500</v>
      </c>
      <c r="L1383" s="3" t="s">
        <v>501</v>
      </c>
      <c r="M1383" s="7" t="n">
        <v>2021</v>
      </c>
    </row>
    <row r="1384" customFormat="false" ht="15" hidden="false" customHeight="false" outlineLevel="0" collapsed="false">
      <c r="A1384" s="3" t="n">
        <v>1951</v>
      </c>
      <c r="B1384" s="3" t="s">
        <v>499</v>
      </c>
      <c r="C1384" s="4" t="s">
        <v>22</v>
      </c>
      <c r="D1384" s="5" t="n">
        <v>26114</v>
      </c>
      <c r="E1384" s="6" t="n">
        <v>360.2</v>
      </c>
      <c r="F1384" s="7" t="n">
        <v>73</v>
      </c>
      <c r="G1384" s="6" t="n">
        <v>758.604568027027</v>
      </c>
      <c r="H1384" s="8" t="n">
        <v>645087.1109537</v>
      </c>
      <c r="I1384" s="9" t="n">
        <v>8.02460162455219</v>
      </c>
      <c r="J1384" s="9" t="n">
        <v>26.0051718601717</v>
      </c>
      <c r="K1384" s="3" t="s">
        <v>500</v>
      </c>
      <c r="L1384" s="3" t="s">
        <v>501</v>
      </c>
      <c r="M1384" s="7" t="n">
        <v>2022</v>
      </c>
    </row>
    <row r="1385" customFormat="false" ht="15" hidden="false" customHeight="false" outlineLevel="0" collapsed="false">
      <c r="A1385" s="3" t="n">
        <v>1952</v>
      </c>
      <c r="B1385" s="3" t="s">
        <v>499</v>
      </c>
      <c r="C1385" s="4" t="s">
        <v>23</v>
      </c>
      <c r="D1385" s="5" t="n">
        <v>26974</v>
      </c>
      <c r="E1385" s="6" t="n">
        <v>359.7</v>
      </c>
      <c r="F1385" s="7" t="n">
        <v>73</v>
      </c>
      <c r="G1385" s="6" t="n">
        <v>931.825461365355</v>
      </c>
      <c r="H1385" s="8" t="n">
        <v>484327.074763995</v>
      </c>
      <c r="I1385" s="9" t="n">
        <v>10.1388601386703</v>
      </c>
      <c r="J1385" s="9" t="n">
        <v>30.9247996250523</v>
      </c>
      <c r="K1385" s="3" t="s">
        <v>500</v>
      </c>
      <c r="L1385" s="3" t="s">
        <v>501</v>
      </c>
      <c r="M1385" s="7" t="n">
        <v>2023</v>
      </c>
    </row>
    <row r="1386" customFormat="false" ht="15" hidden="false" customHeight="false" outlineLevel="0" collapsed="false">
      <c r="A1386" s="3" t="n">
        <v>1953</v>
      </c>
      <c r="B1386" s="3" t="s">
        <v>499</v>
      </c>
      <c r="C1386" s="4" t="s">
        <v>24</v>
      </c>
      <c r="D1386" s="5" t="n">
        <v>26362</v>
      </c>
      <c r="E1386" s="6" t="n">
        <v>360.3</v>
      </c>
      <c r="F1386" s="7" t="n">
        <v>73</v>
      </c>
      <c r="G1386" s="6" t="n">
        <v>660.344666453013</v>
      </c>
      <c r="H1386" s="8" t="n">
        <v>351848.110608095</v>
      </c>
      <c r="I1386" s="9" t="n">
        <v>8.64432986343122</v>
      </c>
      <c r="J1386" s="9" t="n">
        <v>22.3624051959785</v>
      </c>
      <c r="K1386" s="3" t="s">
        <v>500</v>
      </c>
      <c r="L1386" s="3" t="s">
        <v>501</v>
      </c>
      <c r="M1386" s="7" t="n">
        <v>2024</v>
      </c>
    </row>
    <row r="1387" customFormat="false" ht="15" hidden="false" customHeight="false" outlineLevel="0" collapsed="false">
      <c r="A1387" s="3" t="n">
        <v>1954</v>
      </c>
      <c r="B1387" s="3" t="s">
        <v>502</v>
      </c>
      <c r="C1387" s="4" t="s">
        <v>14</v>
      </c>
      <c r="D1387" s="5" t="n">
        <v>5610</v>
      </c>
      <c r="E1387" s="6" t="n">
        <v>102</v>
      </c>
      <c r="F1387" s="7" t="n">
        <v>52</v>
      </c>
      <c r="G1387" s="6" t="n">
        <v>295.163430746044</v>
      </c>
      <c r="H1387" s="8" t="n">
        <v>200817.168029956</v>
      </c>
      <c r="I1387" s="9" t="n">
        <v>13.2066629285966</v>
      </c>
      <c r="J1387" s="9" t="n">
        <v>46.9705755729882</v>
      </c>
      <c r="K1387" s="3" t="s">
        <v>503</v>
      </c>
      <c r="L1387" s="3" t="s">
        <v>504</v>
      </c>
      <c r="M1387" s="7" t="n">
        <v>2016</v>
      </c>
    </row>
    <row r="1388" customFormat="false" ht="15" hidden="false" customHeight="false" outlineLevel="0" collapsed="false">
      <c r="A1388" s="3" t="n">
        <v>1955</v>
      </c>
      <c r="B1388" s="3" t="s">
        <v>502</v>
      </c>
      <c r="C1388" s="4" t="s">
        <v>17</v>
      </c>
      <c r="D1388" s="5" t="n">
        <v>5610</v>
      </c>
      <c r="E1388" s="6" t="n">
        <v>104.083333333333</v>
      </c>
      <c r="F1388" s="7" t="n">
        <v>51</v>
      </c>
      <c r="G1388" s="6" t="n">
        <v>197.802581709805</v>
      </c>
      <c r="H1388" s="8" t="n">
        <v>143684.880764211</v>
      </c>
      <c r="I1388" s="9" t="n">
        <v>9.53608631980582</v>
      </c>
      <c r="J1388" s="9" t="n">
        <v>31.563617290906</v>
      </c>
      <c r="K1388" s="3" t="s">
        <v>503</v>
      </c>
      <c r="L1388" s="3" t="s">
        <v>504</v>
      </c>
      <c r="M1388" s="7" t="n">
        <v>2017</v>
      </c>
    </row>
    <row r="1389" customFormat="false" ht="15" hidden="false" customHeight="false" outlineLevel="0" collapsed="false">
      <c r="A1389" s="3" t="n">
        <v>1956</v>
      </c>
      <c r="B1389" s="3" t="s">
        <v>502</v>
      </c>
      <c r="C1389" s="4" t="s">
        <v>18</v>
      </c>
      <c r="D1389" s="5" t="n">
        <v>5532</v>
      </c>
      <c r="E1389" s="6" t="n">
        <v>104.083333333333</v>
      </c>
      <c r="F1389" s="7" t="n">
        <v>51</v>
      </c>
      <c r="G1389" s="6" t="n">
        <v>85.2153481598976</v>
      </c>
      <c r="H1389" s="8" t="n">
        <v>60524.230556842</v>
      </c>
      <c r="I1389" s="9" t="n">
        <v>5.31150990745101</v>
      </c>
      <c r="J1389" s="9" t="n">
        <v>13.7896526171659</v>
      </c>
      <c r="K1389" s="3" t="s">
        <v>503</v>
      </c>
      <c r="L1389" s="3" t="s">
        <v>504</v>
      </c>
      <c r="M1389" s="7" t="n">
        <v>2018</v>
      </c>
    </row>
    <row r="1390" customFormat="false" ht="15" hidden="false" customHeight="false" outlineLevel="0" collapsed="false">
      <c r="A1390" s="3" t="n">
        <v>1957</v>
      </c>
      <c r="B1390" s="3" t="s">
        <v>502</v>
      </c>
      <c r="C1390" s="4" t="s">
        <v>19</v>
      </c>
      <c r="D1390" s="5" t="n">
        <v>5533</v>
      </c>
      <c r="E1390" s="6" t="n">
        <v>104.083333333333</v>
      </c>
      <c r="F1390" s="7" t="n">
        <v>51</v>
      </c>
      <c r="G1390" s="6" t="n">
        <v>31.6540605329949</v>
      </c>
      <c r="H1390" s="8" t="n">
        <v>29191.3080177299</v>
      </c>
      <c r="I1390" s="9" t="n">
        <v>3.30440304826418</v>
      </c>
      <c r="J1390" s="9" t="n">
        <v>5.12137329804238</v>
      </c>
      <c r="K1390" s="3" t="s">
        <v>503</v>
      </c>
      <c r="L1390" s="3" t="s">
        <v>504</v>
      </c>
      <c r="M1390" s="7" t="n">
        <v>2019</v>
      </c>
    </row>
    <row r="1391" customFormat="false" ht="15" hidden="false" customHeight="false" outlineLevel="0" collapsed="false">
      <c r="A1391" s="3" t="n">
        <v>1958</v>
      </c>
      <c r="B1391" s="3" t="s">
        <v>502</v>
      </c>
      <c r="C1391" s="4" t="s">
        <v>20</v>
      </c>
      <c r="D1391" s="5" t="n">
        <v>5531</v>
      </c>
      <c r="E1391" s="6" t="n">
        <v>104.083333333333</v>
      </c>
      <c r="F1391" s="7" t="n">
        <v>51</v>
      </c>
      <c r="G1391" s="6" t="n">
        <v>94.110657360406</v>
      </c>
      <c r="H1391" s="8" t="n">
        <v>73904.9589392027</v>
      </c>
      <c r="I1391" s="9" t="n">
        <v>5.55768493675738</v>
      </c>
      <c r="J1391" s="9" t="n">
        <v>15.1901248066542</v>
      </c>
      <c r="K1391" s="3" t="s">
        <v>503</v>
      </c>
      <c r="L1391" s="3" t="s">
        <v>504</v>
      </c>
      <c r="M1391" s="7" t="n">
        <v>2020</v>
      </c>
    </row>
    <row r="1392" customFormat="false" ht="15" hidden="false" customHeight="false" outlineLevel="0" collapsed="false">
      <c r="A1392" s="3" t="n">
        <v>1959</v>
      </c>
      <c r="B1392" s="3" t="s">
        <v>502</v>
      </c>
      <c r="C1392" s="4" t="s">
        <v>21</v>
      </c>
      <c r="D1392" s="5" t="n">
        <v>5567</v>
      </c>
      <c r="E1392" s="6" t="n">
        <v>104.083333333333</v>
      </c>
      <c r="F1392" s="7" t="n">
        <v>51</v>
      </c>
      <c r="G1392" s="6" t="n">
        <v>16.0479999999998</v>
      </c>
      <c r="H1392" s="8" t="n">
        <v>13156.1800792601</v>
      </c>
      <c r="I1392" s="9" t="n">
        <v>1.14329268292682</v>
      </c>
      <c r="J1392" s="9" t="n">
        <v>2.58058024820515</v>
      </c>
      <c r="K1392" s="3" t="s">
        <v>503</v>
      </c>
      <c r="L1392" s="3" t="s">
        <v>504</v>
      </c>
      <c r="M1392" s="7" t="n">
        <v>2021</v>
      </c>
    </row>
    <row r="1393" customFormat="false" ht="15" hidden="false" customHeight="false" outlineLevel="0" collapsed="false">
      <c r="A1393" s="3" t="n">
        <v>1960</v>
      </c>
      <c r="B1393" s="3" t="s">
        <v>502</v>
      </c>
      <c r="C1393" s="4" t="s">
        <v>22</v>
      </c>
      <c r="D1393" s="5" t="n">
        <v>5759</v>
      </c>
      <c r="E1393" s="6" t="n">
        <v>104.1</v>
      </c>
      <c r="F1393" s="7" t="n">
        <v>51</v>
      </c>
      <c r="G1393" s="6" t="n">
        <v>210.243737373737</v>
      </c>
      <c r="H1393" s="8" t="n">
        <v>166983.26988196</v>
      </c>
      <c r="I1393" s="9" t="n">
        <v>10.3774151086074</v>
      </c>
      <c r="J1393" s="9" t="n">
        <v>32.6808741153214</v>
      </c>
      <c r="K1393" s="3" t="s">
        <v>503</v>
      </c>
      <c r="L1393" s="3" t="s">
        <v>504</v>
      </c>
      <c r="M1393" s="7" t="n">
        <v>2022</v>
      </c>
    </row>
    <row r="1394" customFormat="false" ht="15" hidden="false" customHeight="false" outlineLevel="0" collapsed="false">
      <c r="A1394" s="3" t="n">
        <v>1961</v>
      </c>
      <c r="B1394" s="3" t="s">
        <v>502</v>
      </c>
      <c r="C1394" s="4" t="s">
        <v>23</v>
      </c>
      <c r="D1394" s="5" t="n">
        <v>5999</v>
      </c>
      <c r="E1394" s="6" t="n">
        <v>120</v>
      </c>
      <c r="F1394" s="7" t="n">
        <v>51</v>
      </c>
      <c r="G1394" s="6" t="n">
        <v>95.6519368686868</v>
      </c>
      <c r="H1394" s="8" t="n">
        <v>79008.4998535353</v>
      </c>
      <c r="I1394" s="9" t="n">
        <v>5.75474566327951</v>
      </c>
      <c r="J1394" s="9" t="n">
        <v>14.2735690749733</v>
      </c>
      <c r="K1394" s="3" t="s">
        <v>503</v>
      </c>
      <c r="L1394" s="3" t="s">
        <v>504</v>
      </c>
      <c r="M1394" s="7" t="n">
        <v>2023</v>
      </c>
    </row>
    <row r="1395" customFormat="false" ht="15" hidden="false" customHeight="false" outlineLevel="0" collapsed="false">
      <c r="A1395" s="3" t="n">
        <v>1962</v>
      </c>
      <c r="B1395" s="3" t="s">
        <v>502</v>
      </c>
      <c r="C1395" s="4" t="s">
        <v>24</v>
      </c>
      <c r="D1395" s="5" t="n">
        <v>5999</v>
      </c>
      <c r="E1395" s="6" t="n">
        <v>120</v>
      </c>
      <c r="F1395" s="7" t="n">
        <v>51</v>
      </c>
      <c r="G1395" s="6" t="n">
        <v>203.300080050505</v>
      </c>
      <c r="H1395" s="8" t="n">
        <v>167925.866121717</v>
      </c>
      <c r="I1395" s="9" t="n">
        <v>9.79846526655897</v>
      </c>
      <c r="J1395" s="9" t="n">
        <v>30.2541448161621</v>
      </c>
      <c r="K1395" s="3" t="s">
        <v>503</v>
      </c>
      <c r="L1395" s="3" t="s">
        <v>504</v>
      </c>
      <c r="M1395" s="7" t="n">
        <v>2024</v>
      </c>
    </row>
    <row r="1396" customFormat="false" ht="15" hidden="false" customHeight="false" outlineLevel="0" collapsed="false">
      <c r="A1396" s="3" t="n">
        <v>1963</v>
      </c>
      <c r="B1396" s="3" t="s">
        <v>505</v>
      </c>
      <c r="C1396" s="4" t="s">
        <v>14</v>
      </c>
      <c r="D1396" s="5" t="n">
        <v>12773</v>
      </c>
      <c r="E1396" s="6" t="n">
        <v>231.65</v>
      </c>
      <c r="F1396" s="7" t="n">
        <v>52</v>
      </c>
      <c r="G1396" s="6" t="n">
        <v>966.429021901644</v>
      </c>
      <c r="H1396" s="8" t="n">
        <v>265010.883043872</v>
      </c>
      <c r="I1396" s="9" t="n">
        <v>25.3276792598304</v>
      </c>
      <c r="J1396" s="9" t="n">
        <v>67.5465613393991</v>
      </c>
      <c r="K1396" s="3" t="s">
        <v>506</v>
      </c>
      <c r="L1396" s="3" t="s">
        <v>507</v>
      </c>
      <c r="M1396" s="7" t="n">
        <v>2016</v>
      </c>
    </row>
    <row r="1397" customFormat="false" ht="15" hidden="false" customHeight="false" outlineLevel="0" collapsed="false">
      <c r="A1397" s="3" t="n">
        <v>1964</v>
      </c>
      <c r="B1397" s="3" t="s">
        <v>505</v>
      </c>
      <c r="C1397" s="4" t="s">
        <v>17</v>
      </c>
      <c r="D1397" s="5" t="n">
        <v>12972</v>
      </c>
      <c r="E1397" s="6" t="n">
        <v>231.7</v>
      </c>
      <c r="F1397" s="7" t="n">
        <v>52</v>
      </c>
      <c r="G1397" s="6" t="n">
        <v>877.827874262166</v>
      </c>
      <c r="H1397" s="8" t="n">
        <v>264587.962604272</v>
      </c>
      <c r="I1397" s="9" t="n">
        <v>23.0324825433507</v>
      </c>
      <c r="J1397" s="9" t="n">
        <v>60.5787212559683</v>
      </c>
      <c r="K1397" s="3" t="s">
        <v>506</v>
      </c>
      <c r="L1397" s="3" t="s">
        <v>507</v>
      </c>
      <c r="M1397" s="7" t="n">
        <v>2017</v>
      </c>
    </row>
    <row r="1398" customFormat="false" ht="15" hidden="false" customHeight="false" outlineLevel="0" collapsed="false">
      <c r="A1398" s="3" t="n">
        <v>1965</v>
      </c>
      <c r="B1398" s="3" t="s">
        <v>505</v>
      </c>
      <c r="C1398" s="4" t="s">
        <v>18</v>
      </c>
      <c r="D1398" s="5" t="n">
        <v>12868</v>
      </c>
      <c r="E1398" s="6" t="n">
        <v>231.7</v>
      </c>
      <c r="F1398" s="7" t="n">
        <v>52</v>
      </c>
      <c r="G1398" s="6" t="n">
        <v>876.687283693061</v>
      </c>
      <c r="H1398" s="8" t="n">
        <v>269546.198438442</v>
      </c>
      <c r="I1398" s="9" t="n">
        <v>22.196728591518</v>
      </c>
      <c r="J1398" s="9" t="n">
        <v>60.9889742846783</v>
      </c>
      <c r="K1398" s="3" t="s">
        <v>506</v>
      </c>
      <c r="L1398" s="3" t="s">
        <v>507</v>
      </c>
      <c r="M1398" s="7" t="n">
        <v>2018</v>
      </c>
    </row>
    <row r="1399" customFormat="false" ht="15" hidden="false" customHeight="false" outlineLevel="0" collapsed="false">
      <c r="A1399" s="3" t="n">
        <v>1966</v>
      </c>
      <c r="B1399" s="3" t="s">
        <v>505</v>
      </c>
      <c r="C1399" s="4" t="s">
        <v>19</v>
      </c>
      <c r="D1399" s="5" t="n">
        <v>13101</v>
      </c>
      <c r="E1399" s="6" t="n">
        <v>236.83</v>
      </c>
      <c r="F1399" s="7" t="n">
        <v>52</v>
      </c>
      <c r="G1399" s="6" t="n">
        <v>941.21251709348</v>
      </c>
      <c r="H1399" s="8" t="n">
        <v>299696.206706741</v>
      </c>
      <c r="I1399" s="9" t="n">
        <v>24.6542704598957</v>
      </c>
      <c r="J1399" s="9" t="n">
        <v>64.3133189034785</v>
      </c>
      <c r="K1399" s="3" t="s">
        <v>506</v>
      </c>
      <c r="L1399" s="3" t="s">
        <v>507</v>
      </c>
      <c r="M1399" s="7" t="n">
        <v>2019</v>
      </c>
    </row>
    <row r="1400" customFormat="false" ht="15" hidden="false" customHeight="false" outlineLevel="0" collapsed="false">
      <c r="A1400" s="3" t="n">
        <v>1967</v>
      </c>
      <c r="B1400" s="3" t="s">
        <v>505</v>
      </c>
      <c r="C1400" s="4" t="s">
        <v>20</v>
      </c>
      <c r="D1400" s="5" t="n">
        <v>13101</v>
      </c>
      <c r="E1400" s="6" t="n">
        <v>237.92</v>
      </c>
      <c r="F1400" s="7" t="n">
        <v>52</v>
      </c>
      <c r="G1400" s="6" t="n">
        <v>1087.30655635268</v>
      </c>
      <c r="H1400" s="8" t="n">
        <v>318974.044243742</v>
      </c>
      <c r="I1400" s="9" t="n">
        <v>24.9768614624366</v>
      </c>
      <c r="J1400" s="9" t="n">
        <v>74.0924155521072</v>
      </c>
      <c r="K1400" s="3" t="s">
        <v>506</v>
      </c>
      <c r="L1400" s="3" t="s">
        <v>507</v>
      </c>
      <c r="M1400" s="7" t="n">
        <v>2020</v>
      </c>
    </row>
    <row r="1401" customFormat="false" ht="15" hidden="false" customHeight="false" outlineLevel="0" collapsed="false">
      <c r="A1401" s="3" t="n">
        <v>1968</v>
      </c>
      <c r="B1401" s="3" t="s">
        <v>505</v>
      </c>
      <c r="C1401" s="4" t="s">
        <v>21</v>
      </c>
      <c r="D1401" s="5" t="n">
        <v>13482</v>
      </c>
      <c r="E1401" s="6" t="n">
        <v>237.9</v>
      </c>
      <c r="F1401" s="7" t="n">
        <v>58</v>
      </c>
      <c r="G1401" s="6" t="n">
        <v>1138.80165799851</v>
      </c>
      <c r="H1401" s="8" t="n">
        <v>353932.006144311</v>
      </c>
      <c r="I1401" s="9" t="n">
        <v>26.7125668904871</v>
      </c>
      <c r="J1401" s="9" t="n">
        <v>75.6156069428494</v>
      </c>
      <c r="K1401" s="3" t="s">
        <v>506</v>
      </c>
      <c r="L1401" s="3" t="s">
        <v>507</v>
      </c>
      <c r="M1401" s="7" t="n">
        <v>2021</v>
      </c>
    </row>
    <row r="1402" customFormat="false" ht="15" hidden="false" customHeight="false" outlineLevel="0" collapsed="false">
      <c r="A1402" s="3" t="n">
        <v>1969</v>
      </c>
      <c r="B1402" s="3" t="s">
        <v>505</v>
      </c>
      <c r="C1402" s="4" t="s">
        <v>22</v>
      </c>
      <c r="D1402" s="5" t="n">
        <v>13586</v>
      </c>
      <c r="E1402" s="6" t="n">
        <v>239</v>
      </c>
      <c r="F1402" s="7" t="n">
        <v>58</v>
      </c>
      <c r="G1402" s="6" t="n">
        <v>1031.71414089936</v>
      </c>
      <c r="H1402" s="8" t="n">
        <v>308432.951881288</v>
      </c>
      <c r="I1402" s="9" t="n">
        <v>26.4096314351134</v>
      </c>
      <c r="J1402" s="9" t="n">
        <v>67.9806710621222</v>
      </c>
      <c r="K1402" s="3" t="s">
        <v>506</v>
      </c>
      <c r="L1402" s="3" t="s">
        <v>507</v>
      </c>
      <c r="M1402" s="7" t="n">
        <v>2022</v>
      </c>
    </row>
    <row r="1403" customFormat="false" ht="15" hidden="false" customHeight="false" outlineLevel="0" collapsed="false">
      <c r="A1403" s="3" t="n">
        <v>1970</v>
      </c>
      <c r="B1403" s="3" t="s">
        <v>505</v>
      </c>
      <c r="C1403" s="4" t="s">
        <v>23</v>
      </c>
      <c r="D1403" s="5" t="n">
        <v>13586</v>
      </c>
      <c r="E1403" s="6" t="n">
        <v>239</v>
      </c>
      <c r="F1403" s="7" t="n">
        <v>59</v>
      </c>
      <c r="G1403" s="6" t="n">
        <v>1255.58128706085</v>
      </c>
      <c r="H1403" s="8" t="n">
        <v>376234.014471491</v>
      </c>
      <c r="I1403" s="9" t="n">
        <v>32.4323376027791</v>
      </c>
      <c r="J1403" s="9" t="n">
        <v>82.7315000190211</v>
      </c>
      <c r="K1403" s="3" t="s">
        <v>506</v>
      </c>
      <c r="L1403" s="3" t="s">
        <v>507</v>
      </c>
      <c r="M1403" s="7" t="n">
        <v>2023</v>
      </c>
    </row>
    <row r="1404" customFormat="false" ht="15" hidden="false" customHeight="false" outlineLevel="0" collapsed="false">
      <c r="A1404" s="3" t="n">
        <v>1971</v>
      </c>
      <c r="B1404" s="3" t="s">
        <v>505</v>
      </c>
      <c r="C1404" s="4" t="s">
        <v>24</v>
      </c>
      <c r="D1404" s="5" t="n">
        <v>13586</v>
      </c>
      <c r="E1404" s="6" t="n">
        <v>239</v>
      </c>
      <c r="F1404" s="7" t="n">
        <v>65</v>
      </c>
      <c r="G1404" s="6" t="n">
        <v>807.54330224036</v>
      </c>
      <c r="H1404" s="8" t="n">
        <v>233722.466098887</v>
      </c>
      <c r="I1404" s="9" t="n">
        <v>24.524122123008</v>
      </c>
      <c r="J1404" s="9" t="n">
        <v>53.0640511441721</v>
      </c>
      <c r="K1404" s="3" t="s">
        <v>506</v>
      </c>
      <c r="L1404" s="3" t="s">
        <v>507</v>
      </c>
      <c r="M1404" s="7" t="n">
        <v>2024</v>
      </c>
    </row>
    <row r="1405" customFormat="false" ht="15" hidden="false" customHeight="false" outlineLevel="0" collapsed="false">
      <c r="A1405" s="3" t="n">
        <v>1972</v>
      </c>
      <c r="B1405" s="3" t="s">
        <v>508</v>
      </c>
      <c r="C1405" s="4" t="s">
        <v>14</v>
      </c>
      <c r="D1405" s="5" t="n">
        <v>5686</v>
      </c>
      <c r="E1405" s="6" t="n">
        <v>145.5</v>
      </c>
      <c r="F1405" s="7" t="n">
        <v>49</v>
      </c>
      <c r="G1405" s="6" t="n">
        <v>603.145517177084</v>
      </c>
      <c r="H1405" s="8" t="n">
        <v>36070.1668415515</v>
      </c>
      <c r="I1405" s="9" t="n">
        <v>23.0013745654254</v>
      </c>
      <c r="J1405" s="9" t="n">
        <v>94.698138623425</v>
      </c>
      <c r="K1405" s="3" t="s">
        <v>509</v>
      </c>
      <c r="L1405" s="3" t="s">
        <v>510</v>
      </c>
      <c r="M1405" s="7" t="n">
        <v>2016</v>
      </c>
    </row>
    <row r="1406" customFormat="false" ht="15" hidden="false" customHeight="false" outlineLevel="0" collapsed="false">
      <c r="A1406" s="3" t="n">
        <v>1973</v>
      </c>
      <c r="B1406" s="3" t="s">
        <v>508</v>
      </c>
      <c r="C1406" s="4" t="s">
        <v>17</v>
      </c>
      <c r="D1406" s="5" t="n">
        <v>6543</v>
      </c>
      <c r="E1406" s="6" t="n">
        <v>153.2</v>
      </c>
      <c r="F1406" s="7" t="n">
        <v>61</v>
      </c>
      <c r="G1406" s="6" t="n">
        <v>422.092061104466</v>
      </c>
      <c r="H1406" s="8" t="n">
        <v>30509.7087847678</v>
      </c>
      <c r="I1406" s="9" t="n">
        <v>16.2007853868547</v>
      </c>
      <c r="J1406" s="9" t="n">
        <v>57.7494613835066</v>
      </c>
      <c r="K1406" s="3" t="s">
        <v>509</v>
      </c>
      <c r="L1406" s="3" t="s">
        <v>510</v>
      </c>
      <c r="M1406" s="7" t="n">
        <v>2017</v>
      </c>
    </row>
    <row r="1407" customFormat="false" ht="15" hidden="false" customHeight="false" outlineLevel="0" collapsed="false">
      <c r="A1407" s="3" t="n">
        <v>1974</v>
      </c>
      <c r="B1407" s="3" t="s">
        <v>508</v>
      </c>
      <c r="C1407" s="4" t="s">
        <v>18</v>
      </c>
      <c r="D1407" s="5" t="n">
        <v>6555</v>
      </c>
      <c r="E1407" s="6" t="n">
        <v>153.38</v>
      </c>
      <c r="F1407" s="7" t="n">
        <v>71</v>
      </c>
      <c r="G1407" s="6" t="n">
        <v>210.186871228785</v>
      </c>
      <c r="H1407" s="8" t="n">
        <v>19351.7337121632</v>
      </c>
      <c r="I1407" s="9" t="n">
        <v>9.75043093757023</v>
      </c>
      <c r="J1407" s="9" t="n">
        <v>28.7045381751917</v>
      </c>
      <c r="K1407" s="3" t="s">
        <v>509</v>
      </c>
      <c r="L1407" s="3" t="s">
        <v>510</v>
      </c>
      <c r="M1407" s="7" t="n">
        <v>2018</v>
      </c>
    </row>
    <row r="1408" customFormat="false" ht="15" hidden="false" customHeight="false" outlineLevel="0" collapsed="false">
      <c r="A1408" s="3" t="n">
        <v>1975</v>
      </c>
      <c r="B1408" s="3" t="s">
        <v>508</v>
      </c>
      <c r="C1408" s="4" t="s">
        <v>19</v>
      </c>
      <c r="D1408" s="5" t="n">
        <v>6786</v>
      </c>
      <c r="E1408" s="6" t="n">
        <v>152.17</v>
      </c>
      <c r="F1408" s="7" t="n">
        <v>73</v>
      </c>
      <c r="G1408" s="6" t="n">
        <v>236.612965236007</v>
      </c>
      <c r="H1408" s="8" t="n">
        <v>22878.04853295</v>
      </c>
      <c r="I1408" s="9" t="n">
        <v>11.2252056960651</v>
      </c>
      <c r="J1408" s="9" t="n">
        <v>31.213491956257</v>
      </c>
      <c r="K1408" s="3" t="s">
        <v>509</v>
      </c>
      <c r="L1408" s="3" t="s">
        <v>510</v>
      </c>
      <c r="M1408" s="7" t="n">
        <v>2019</v>
      </c>
    </row>
    <row r="1409" customFormat="false" ht="15" hidden="false" customHeight="false" outlineLevel="0" collapsed="false">
      <c r="A1409" s="3" t="n">
        <v>1976</v>
      </c>
      <c r="B1409" s="3" t="s">
        <v>508</v>
      </c>
      <c r="C1409" s="4" t="s">
        <v>20</v>
      </c>
      <c r="D1409" s="5" t="n">
        <v>6786</v>
      </c>
      <c r="E1409" s="6" t="n">
        <v>152.17</v>
      </c>
      <c r="F1409" s="7" t="n">
        <v>76</v>
      </c>
      <c r="G1409" s="6" t="n">
        <v>130.851053509814</v>
      </c>
      <c r="H1409" s="8" t="n">
        <v>14621.4021048653</v>
      </c>
      <c r="I1409" s="9" t="n">
        <v>7.0420459592027</v>
      </c>
      <c r="J1409" s="9" t="n">
        <v>17.2143077154118</v>
      </c>
      <c r="K1409" s="3" t="s">
        <v>509</v>
      </c>
      <c r="L1409" s="3" t="s">
        <v>510</v>
      </c>
      <c r="M1409" s="7" t="n">
        <v>2020</v>
      </c>
    </row>
    <row r="1410" customFormat="false" ht="15" hidden="false" customHeight="false" outlineLevel="0" collapsed="false">
      <c r="A1410" s="3" t="n">
        <v>1977</v>
      </c>
      <c r="B1410" s="3" t="s">
        <v>508</v>
      </c>
      <c r="C1410" s="4" t="s">
        <v>21</v>
      </c>
      <c r="D1410" s="5" t="n">
        <v>6846</v>
      </c>
      <c r="E1410" s="6" t="n">
        <v>152.32</v>
      </c>
      <c r="F1410" s="7" t="n">
        <v>74</v>
      </c>
      <c r="G1410" s="6" t="n">
        <v>135.092192635543</v>
      </c>
      <c r="H1410" s="8" t="n">
        <v>15662.2869551021</v>
      </c>
      <c r="I1410" s="9" t="n">
        <v>7.24013457738771</v>
      </c>
      <c r="J1410" s="9" t="n">
        <v>17.6648937787062</v>
      </c>
      <c r="K1410" s="3" t="s">
        <v>509</v>
      </c>
      <c r="L1410" s="3" t="s">
        <v>510</v>
      </c>
      <c r="M1410" s="7" t="n">
        <v>2021</v>
      </c>
    </row>
    <row r="1411" customFormat="false" ht="15" hidden="false" customHeight="false" outlineLevel="0" collapsed="false">
      <c r="A1411" s="3" t="n">
        <v>1978</v>
      </c>
      <c r="B1411" s="3" t="s">
        <v>508</v>
      </c>
      <c r="C1411" s="4" t="s">
        <v>22</v>
      </c>
      <c r="D1411" s="5" t="n">
        <v>6846</v>
      </c>
      <c r="E1411" s="6" t="n">
        <v>152.32</v>
      </c>
      <c r="F1411" s="7" t="n">
        <v>72</v>
      </c>
      <c r="G1411" s="6" t="n">
        <v>106.332377894075</v>
      </c>
      <c r="H1411" s="8" t="n">
        <v>14940.7821050561</v>
      </c>
      <c r="I1411" s="9" t="n">
        <v>6.82009747819345</v>
      </c>
      <c r="J1411" s="9" t="n">
        <v>13.9042095926563</v>
      </c>
      <c r="K1411" s="3" t="s">
        <v>509</v>
      </c>
      <c r="L1411" s="3" t="s">
        <v>510</v>
      </c>
      <c r="M1411" s="7" t="n">
        <v>2022</v>
      </c>
    </row>
    <row r="1412" customFormat="false" ht="15" hidden="false" customHeight="false" outlineLevel="0" collapsed="false">
      <c r="A1412" s="3" t="n">
        <v>1979</v>
      </c>
      <c r="B1412" s="3" t="s">
        <v>508</v>
      </c>
      <c r="C1412" s="4" t="s">
        <v>23</v>
      </c>
      <c r="D1412" s="5" t="n">
        <v>6894</v>
      </c>
      <c r="E1412" s="6" t="n">
        <v>159.94</v>
      </c>
      <c r="F1412" s="7" t="n">
        <v>72</v>
      </c>
      <c r="G1412" s="6" t="n">
        <v>342.381746260557</v>
      </c>
      <c r="H1412" s="8" t="n">
        <v>45673.7652050756</v>
      </c>
      <c r="I1412" s="9" t="n">
        <v>14.6739448952997</v>
      </c>
      <c r="J1412" s="9" t="n">
        <v>44.4587244206416</v>
      </c>
      <c r="K1412" s="3" t="s">
        <v>509</v>
      </c>
      <c r="L1412" s="3" t="s">
        <v>510</v>
      </c>
      <c r="M1412" s="7" t="n">
        <v>2023</v>
      </c>
    </row>
    <row r="1413" customFormat="false" ht="15" hidden="false" customHeight="false" outlineLevel="0" collapsed="false">
      <c r="A1413" s="3" t="n">
        <v>1980</v>
      </c>
      <c r="B1413" s="3" t="s">
        <v>508</v>
      </c>
      <c r="C1413" s="4" t="s">
        <v>24</v>
      </c>
      <c r="D1413" s="5" t="n">
        <v>6894</v>
      </c>
      <c r="E1413" s="6" t="n">
        <v>159.94</v>
      </c>
      <c r="F1413" s="7" t="n">
        <v>72</v>
      </c>
      <c r="G1413" s="6" t="n">
        <v>169.953776005448</v>
      </c>
      <c r="H1413" s="8" t="n">
        <v>33932.187399438</v>
      </c>
      <c r="I1413" s="9" t="n">
        <v>8.71544281791443</v>
      </c>
      <c r="J1413" s="9" t="n">
        <v>22.0082612496677</v>
      </c>
      <c r="K1413" s="3" t="s">
        <v>509</v>
      </c>
      <c r="L1413" s="3" t="s">
        <v>510</v>
      </c>
      <c r="M1413" s="7" t="n">
        <v>2024</v>
      </c>
    </row>
    <row r="1414" customFormat="false" ht="15" hidden="false" customHeight="false" outlineLevel="0" collapsed="false">
      <c r="A1414" s="3" t="n">
        <v>1981</v>
      </c>
      <c r="B1414" s="3" t="s">
        <v>511</v>
      </c>
      <c r="C1414" s="4" t="s">
        <v>14</v>
      </c>
      <c r="D1414" s="5" t="n">
        <v>4957</v>
      </c>
      <c r="E1414" s="6" t="n">
        <v>115.3</v>
      </c>
      <c r="F1414" s="7" t="n">
        <v>57</v>
      </c>
      <c r="G1414" s="6" t="n">
        <v>23.6909206232773</v>
      </c>
      <c r="H1414" s="8" t="n">
        <v>2702.2139817504</v>
      </c>
      <c r="I1414" s="9" t="n">
        <v>4.04408943458091</v>
      </c>
      <c r="J1414" s="9" t="n">
        <v>4.26667155400307</v>
      </c>
      <c r="K1414" s="3" t="s">
        <v>509</v>
      </c>
      <c r="L1414" s="3" t="s">
        <v>510</v>
      </c>
      <c r="M1414" s="7" t="n">
        <v>2016</v>
      </c>
    </row>
    <row r="1415" customFormat="false" ht="15" hidden="false" customHeight="false" outlineLevel="0" collapsed="false">
      <c r="A1415" s="3" t="n">
        <v>1982</v>
      </c>
      <c r="B1415" s="3" t="s">
        <v>511</v>
      </c>
      <c r="C1415" s="4" t="s">
        <v>17</v>
      </c>
      <c r="D1415" s="5" t="n">
        <v>5320</v>
      </c>
      <c r="E1415" s="6" t="n">
        <v>119.37</v>
      </c>
      <c r="F1415" s="7" t="n">
        <v>60</v>
      </c>
      <c r="G1415" s="6" t="n">
        <v>141.593571952976</v>
      </c>
      <c r="H1415" s="8" t="n">
        <v>11963.9554805462</v>
      </c>
      <c r="I1415" s="9" t="n">
        <v>9.65014566392402</v>
      </c>
      <c r="J1415" s="9" t="n">
        <v>23.8259145534419</v>
      </c>
      <c r="K1415" s="3" t="s">
        <v>509</v>
      </c>
      <c r="L1415" s="3" t="s">
        <v>510</v>
      </c>
      <c r="M1415" s="7" t="n">
        <v>2017</v>
      </c>
    </row>
    <row r="1416" customFormat="false" ht="15" hidden="false" customHeight="false" outlineLevel="0" collapsed="false">
      <c r="A1416" s="3" t="n">
        <v>1983</v>
      </c>
      <c r="B1416" s="3" t="s">
        <v>511</v>
      </c>
      <c r="C1416" s="4" t="s">
        <v>18</v>
      </c>
      <c r="D1416" s="5" t="n">
        <v>5397</v>
      </c>
      <c r="E1416" s="6" t="n">
        <v>121.71</v>
      </c>
      <c r="F1416" s="7" t="n">
        <v>68</v>
      </c>
      <c r="G1416" s="6" t="n">
        <v>328.375582926907</v>
      </c>
      <c r="H1416" s="8" t="n">
        <v>21119.954760847</v>
      </c>
      <c r="I1416" s="9" t="n">
        <v>17.1448736740464</v>
      </c>
      <c r="J1416" s="9" t="n">
        <v>54.467333333494</v>
      </c>
      <c r="K1416" s="3" t="s">
        <v>509</v>
      </c>
      <c r="L1416" s="3" t="s">
        <v>510</v>
      </c>
      <c r="M1416" s="7" t="n">
        <v>2018</v>
      </c>
    </row>
    <row r="1417" customFormat="false" ht="15" hidden="false" customHeight="false" outlineLevel="0" collapsed="false">
      <c r="A1417" s="3" t="n">
        <v>1984</v>
      </c>
      <c r="B1417" s="3" t="s">
        <v>511</v>
      </c>
      <c r="C1417" s="4" t="s">
        <v>19</v>
      </c>
      <c r="D1417" s="5" t="n">
        <v>5560</v>
      </c>
      <c r="E1417" s="6" t="n">
        <v>119.95</v>
      </c>
      <c r="F1417" s="7" t="n">
        <v>70</v>
      </c>
      <c r="G1417" s="6" t="n">
        <v>304.213816776059</v>
      </c>
      <c r="H1417" s="8" t="n">
        <v>21712.08448965</v>
      </c>
      <c r="I1417" s="9" t="n">
        <v>17.3013462275164</v>
      </c>
      <c r="J1417" s="9" t="n">
        <v>48.9803425222822</v>
      </c>
      <c r="K1417" s="3" t="s">
        <v>509</v>
      </c>
      <c r="L1417" s="3" t="s">
        <v>510</v>
      </c>
      <c r="M1417" s="7" t="n">
        <v>2019</v>
      </c>
    </row>
    <row r="1418" customFormat="false" ht="15" hidden="false" customHeight="false" outlineLevel="0" collapsed="false">
      <c r="A1418" s="3" t="n">
        <v>1985</v>
      </c>
      <c r="B1418" s="3" t="s">
        <v>511</v>
      </c>
      <c r="C1418" s="4" t="s">
        <v>20</v>
      </c>
      <c r="D1418" s="5" t="n">
        <v>5589</v>
      </c>
      <c r="E1418" s="6" t="n">
        <v>121.67</v>
      </c>
      <c r="F1418" s="7" t="n">
        <v>74</v>
      </c>
      <c r="G1418" s="6" t="n">
        <v>272.273399934088</v>
      </c>
      <c r="H1418" s="8" t="n">
        <v>23125.8970336174</v>
      </c>
      <c r="I1418" s="9" t="n">
        <v>14.1814957296299</v>
      </c>
      <c r="J1418" s="9" t="n">
        <v>43.4907901979292</v>
      </c>
      <c r="K1418" s="3" t="s">
        <v>509</v>
      </c>
      <c r="L1418" s="3" t="s">
        <v>510</v>
      </c>
      <c r="M1418" s="7" t="n">
        <v>2020</v>
      </c>
    </row>
    <row r="1419" customFormat="false" ht="15" hidden="false" customHeight="false" outlineLevel="0" collapsed="false">
      <c r="A1419" s="3" t="n">
        <v>1986</v>
      </c>
      <c r="B1419" s="3" t="s">
        <v>511</v>
      </c>
      <c r="C1419" s="4" t="s">
        <v>21</v>
      </c>
      <c r="D1419" s="5" t="n">
        <v>5610</v>
      </c>
      <c r="E1419" s="6" t="n">
        <v>120.24</v>
      </c>
      <c r="F1419" s="7" t="n">
        <v>72</v>
      </c>
      <c r="G1419" s="6" t="n">
        <v>330.546133712533</v>
      </c>
      <c r="H1419" s="8" t="n">
        <v>30108.909394653</v>
      </c>
      <c r="I1419" s="9" t="n">
        <v>16.8199437674713</v>
      </c>
      <c r="J1419" s="9" t="n">
        <v>52.7456799163398</v>
      </c>
      <c r="K1419" s="3" t="s">
        <v>509</v>
      </c>
      <c r="L1419" s="3" t="s">
        <v>510</v>
      </c>
      <c r="M1419" s="7" t="n">
        <v>2021</v>
      </c>
    </row>
    <row r="1420" customFormat="false" ht="15" hidden="false" customHeight="false" outlineLevel="0" collapsed="false">
      <c r="A1420" s="3" t="n">
        <v>1987</v>
      </c>
      <c r="B1420" s="3" t="s">
        <v>511</v>
      </c>
      <c r="C1420" s="4" t="s">
        <v>22</v>
      </c>
      <c r="D1420" s="5" t="n">
        <v>5610</v>
      </c>
      <c r="E1420" s="6" t="n">
        <v>120.24</v>
      </c>
      <c r="F1420" s="7" t="n">
        <v>71</v>
      </c>
      <c r="G1420" s="6" t="n">
        <v>406.146330378796</v>
      </c>
      <c r="H1420" s="8" t="n">
        <v>37986.4585825858</v>
      </c>
      <c r="I1420" s="9" t="n">
        <v>21.402427751912</v>
      </c>
      <c r="J1420" s="9" t="n">
        <v>64.8093024134008</v>
      </c>
      <c r="K1420" s="3" t="s">
        <v>509</v>
      </c>
      <c r="L1420" s="3" t="s">
        <v>510</v>
      </c>
      <c r="M1420" s="7" t="n">
        <v>2022</v>
      </c>
    </row>
    <row r="1421" customFormat="false" ht="15" hidden="false" customHeight="false" outlineLevel="0" collapsed="false">
      <c r="A1421" s="3" t="n">
        <v>1988</v>
      </c>
      <c r="B1421" s="3" t="s">
        <v>511</v>
      </c>
      <c r="C1421" s="4" t="s">
        <v>23</v>
      </c>
      <c r="D1421" s="5" t="n">
        <v>5623</v>
      </c>
      <c r="E1421" s="6" t="n">
        <v>126.26</v>
      </c>
      <c r="F1421" s="7" t="n">
        <v>69</v>
      </c>
      <c r="G1421" s="6" t="n">
        <v>263.236337892151</v>
      </c>
      <c r="H1421" s="8" t="n">
        <v>39824.8503346079</v>
      </c>
      <c r="I1421" s="9" t="n">
        <v>15.7290672814477</v>
      </c>
      <c r="J1421" s="9" t="n">
        <v>41.9078548751377</v>
      </c>
      <c r="K1421" s="3" t="s">
        <v>509</v>
      </c>
      <c r="L1421" s="3" t="s">
        <v>510</v>
      </c>
      <c r="M1421" s="7" t="n">
        <v>2023</v>
      </c>
    </row>
    <row r="1422" customFormat="false" ht="15" hidden="false" customHeight="false" outlineLevel="0" collapsed="false">
      <c r="A1422" s="3" t="n">
        <v>1989</v>
      </c>
      <c r="B1422" s="3" t="s">
        <v>511</v>
      </c>
      <c r="C1422" s="4" t="s">
        <v>24</v>
      </c>
      <c r="D1422" s="5" t="n">
        <v>5623</v>
      </c>
      <c r="E1422" s="6" t="n">
        <v>126.26</v>
      </c>
      <c r="F1422" s="7" t="n">
        <v>69</v>
      </c>
      <c r="G1422" s="6" t="n">
        <v>181.000816505202</v>
      </c>
      <c r="H1422" s="8" t="n">
        <v>35901.2816368906</v>
      </c>
      <c r="I1422" s="9" t="n">
        <v>11.4626467236806</v>
      </c>
      <c r="J1422" s="9" t="n">
        <v>28.7368157976591</v>
      </c>
      <c r="K1422" s="3" t="s">
        <v>509</v>
      </c>
      <c r="L1422" s="3" t="s">
        <v>510</v>
      </c>
      <c r="M1422" s="7" t="n">
        <v>2024</v>
      </c>
    </row>
    <row r="1423" customFormat="false" ht="15" hidden="false" customHeight="false" outlineLevel="0" collapsed="false">
      <c r="A1423" s="3" t="n">
        <v>2002</v>
      </c>
      <c r="B1423" s="3" t="s">
        <v>512</v>
      </c>
      <c r="C1423" s="4" t="s">
        <v>14</v>
      </c>
      <c r="D1423" s="5" t="n">
        <v>3215</v>
      </c>
      <c r="E1423" s="6" t="n">
        <v>44.4</v>
      </c>
      <c r="F1423" s="7" t="n">
        <v>63</v>
      </c>
      <c r="G1423" s="6" t="n">
        <v>38.635332064365</v>
      </c>
      <c r="H1423" s="8" t="n">
        <v>2898.20474366627</v>
      </c>
      <c r="I1423" s="9" t="n">
        <v>6.5153035161467</v>
      </c>
      <c r="J1423" s="9" t="n">
        <v>10.7282742184583</v>
      </c>
      <c r="K1423" s="3" t="s">
        <v>509</v>
      </c>
      <c r="L1423" s="3" t="s">
        <v>510</v>
      </c>
      <c r="M1423" s="7" t="n">
        <v>2016</v>
      </c>
    </row>
    <row r="1424" customFormat="false" ht="15" hidden="false" customHeight="false" outlineLevel="0" collapsed="false">
      <c r="A1424" s="3" t="n">
        <v>2003</v>
      </c>
      <c r="B1424" s="3" t="s">
        <v>512</v>
      </c>
      <c r="C1424" s="4" t="s">
        <v>17</v>
      </c>
      <c r="D1424" s="5" t="n">
        <v>3382</v>
      </c>
      <c r="E1424" s="6" t="n">
        <v>44.96</v>
      </c>
      <c r="F1424" s="7" t="n">
        <v>64</v>
      </c>
      <c r="G1424" s="6" t="n">
        <v>68.0438025993997</v>
      </c>
      <c r="H1424" s="8" t="n">
        <v>5531.07421649035</v>
      </c>
      <c r="I1424" s="9" t="n">
        <v>8.88251343065282</v>
      </c>
      <c r="J1424" s="9" t="n">
        <v>18.010785217812</v>
      </c>
      <c r="K1424" s="3" t="s">
        <v>509</v>
      </c>
      <c r="L1424" s="3" t="s">
        <v>510</v>
      </c>
      <c r="M1424" s="7" t="n">
        <v>2017</v>
      </c>
    </row>
    <row r="1425" customFormat="false" ht="15" hidden="false" customHeight="false" outlineLevel="0" collapsed="false">
      <c r="A1425" s="3" t="n">
        <v>2004</v>
      </c>
      <c r="B1425" s="3" t="s">
        <v>512</v>
      </c>
      <c r="C1425" s="4" t="s">
        <v>18</v>
      </c>
      <c r="D1425" s="5" t="n">
        <v>3386</v>
      </c>
      <c r="E1425" s="6" t="n">
        <v>45</v>
      </c>
      <c r="F1425" s="7" t="n">
        <v>68</v>
      </c>
      <c r="G1425" s="6" t="n">
        <v>44.3072625667924</v>
      </c>
      <c r="H1425" s="8" t="n">
        <v>3644.76285276659</v>
      </c>
      <c r="I1425" s="9" t="n">
        <v>6.624665398091</v>
      </c>
      <c r="J1425" s="9" t="n">
        <v>11.7140113254414</v>
      </c>
      <c r="K1425" s="3" t="s">
        <v>509</v>
      </c>
      <c r="L1425" s="3" t="s">
        <v>510</v>
      </c>
      <c r="M1425" s="7" t="n">
        <v>2018</v>
      </c>
    </row>
    <row r="1426" customFormat="false" ht="15" hidden="false" customHeight="false" outlineLevel="0" collapsed="false">
      <c r="A1426" s="3" t="n">
        <v>2005</v>
      </c>
      <c r="B1426" s="3" t="s">
        <v>512</v>
      </c>
      <c r="C1426" s="4" t="s">
        <v>19</v>
      </c>
      <c r="D1426" s="5" t="n">
        <v>3392</v>
      </c>
      <c r="E1426" s="6" t="n">
        <v>44.16</v>
      </c>
      <c r="F1426" s="7" t="n">
        <v>68</v>
      </c>
      <c r="G1426" s="6" t="n">
        <v>45.1440324956011</v>
      </c>
      <c r="H1426" s="8" t="n">
        <v>4160.93440224795</v>
      </c>
      <c r="I1426" s="9" t="n">
        <v>7.1682930638015</v>
      </c>
      <c r="J1426" s="9" t="n">
        <v>11.9141257813505</v>
      </c>
      <c r="K1426" s="3" t="s">
        <v>509</v>
      </c>
      <c r="L1426" s="3" t="s">
        <v>510</v>
      </c>
      <c r="M1426" s="7" t="n">
        <v>2019</v>
      </c>
    </row>
    <row r="1427" customFormat="false" ht="15" hidden="false" customHeight="false" outlineLevel="0" collapsed="false">
      <c r="A1427" s="3" t="n">
        <v>2006</v>
      </c>
      <c r="B1427" s="3" t="s">
        <v>512</v>
      </c>
      <c r="C1427" s="4" t="s">
        <v>20</v>
      </c>
      <c r="D1427" s="5" t="n">
        <v>3431</v>
      </c>
      <c r="E1427" s="6" t="n">
        <v>44.89</v>
      </c>
      <c r="F1427" s="7" t="n">
        <v>74</v>
      </c>
      <c r="G1427" s="6" t="n">
        <v>64.8411868653047</v>
      </c>
      <c r="H1427" s="8" t="n">
        <v>6169.54007122449</v>
      </c>
      <c r="I1427" s="9" t="n">
        <v>7.86474029874857</v>
      </c>
      <c r="J1427" s="9" t="n">
        <v>16.8716062502217</v>
      </c>
      <c r="K1427" s="3" t="s">
        <v>509</v>
      </c>
      <c r="L1427" s="3" t="s">
        <v>510</v>
      </c>
      <c r="M1427" s="7" t="n">
        <v>2020</v>
      </c>
    </row>
    <row r="1428" customFormat="false" ht="15" hidden="false" customHeight="false" outlineLevel="0" collapsed="false">
      <c r="A1428" s="3" t="n">
        <v>2007</v>
      </c>
      <c r="B1428" s="3" t="s">
        <v>512</v>
      </c>
      <c r="C1428" s="4" t="s">
        <v>21</v>
      </c>
      <c r="D1428" s="5" t="n">
        <v>3427</v>
      </c>
      <c r="E1428" s="6" t="n">
        <v>44.11</v>
      </c>
      <c r="F1428" s="7" t="n">
        <v>72</v>
      </c>
      <c r="G1428" s="6" t="n">
        <v>77.4733222088787</v>
      </c>
      <c r="H1428" s="8" t="n">
        <v>7370.20625204083</v>
      </c>
      <c r="I1428" s="9" t="n">
        <v>9.19551636963834</v>
      </c>
      <c r="J1428" s="9" t="n">
        <v>20.2374481854547</v>
      </c>
      <c r="K1428" s="3" t="s">
        <v>509</v>
      </c>
      <c r="L1428" s="3" t="s">
        <v>510</v>
      </c>
      <c r="M1428" s="7" t="n">
        <v>2021</v>
      </c>
    </row>
    <row r="1429" customFormat="false" ht="15" hidden="false" customHeight="false" outlineLevel="0" collapsed="false">
      <c r="A1429" s="3" t="n">
        <v>2008</v>
      </c>
      <c r="B1429" s="3" t="s">
        <v>512</v>
      </c>
      <c r="C1429" s="4" t="s">
        <v>22</v>
      </c>
      <c r="D1429" s="5" t="n">
        <v>3427</v>
      </c>
      <c r="E1429" s="6" t="n">
        <v>44.1</v>
      </c>
      <c r="F1429" s="7" t="n">
        <v>67</v>
      </c>
      <c r="G1429" s="6" t="n">
        <v>79.4852362316544</v>
      </c>
      <c r="H1429" s="8" t="n">
        <v>8100.84908647755</v>
      </c>
      <c r="I1429" s="9" t="n">
        <v>9.8336396467465</v>
      </c>
      <c r="J1429" s="9" t="n">
        <v>20.7629969115018</v>
      </c>
      <c r="K1429" s="3" t="s">
        <v>509</v>
      </c>
      <c r="L1429" s="3" t="s">
        <v>510</v>
      </c>
      <c r="M1429" s="7" t="n">
        <v>2022</v>
      </c>
    </row>
    <row r="1430" customFormat="false" ht="15" hidden="false" customHeight="false" outlineLevel="0" collapsed="false">
      <c r="A1430" s="3" t="n">
        <v>2009</v>
      </c>
      <c r="B1430" s="3" t="s">
        <v>512</v>
      </c>
      <c r="C1430" s="4" t="s">
        <v>23</v>
      </c>
      <c r="D1430" s="5" t="n">
        <v>3431</v>
      </c>
      <c r="E1430" s="6" t="n">
        <v>47.17</v>
      </c>
      <c r="F1430" s="7" t="n">
        <v>72</v>
      </c>
      <c r="G1430" s="6" t="n">
        <v>74.8198131220707</v>
      </c>
      <c r="H1430" s="8" t="n">
        <v>10703.5982285839</v>
      </c>
      <c r="I1430" s="9" t="n">
        <v>9.61725386867232</v>
      </c>
      <c r="J1430" s="9" t="n">
        <v>19.5215175513818</v>
      </c>
      <c r="K1430" s="3" t="s">
        <v>509</v>
      </c>
      <c r="L1430" s="3" t="s">
        <v>510</v>
      </c>
      <c r="M1430" s="7" t="n">
        <v>2023</v>
      </c>
    </row>
    <row r="1431" customFormat="false" ht="15" hidden="false" customHeight="false" outlineLevel="0" collapsed="false">
      <c r="A1431" s="3" t="n">
        <v>2010</v>
      </c>
      <c r="B1431" s="3" t="s">
        <v>512</v>
      </c>
      <c r="C1431" s="4" t="s">
        <v>24</v>
      </c>
      <c r="D1431" s="5" t="n">
        <v>3431</v>
      </c>
      <c r="E1431" s="6" t="n">
        <v>47.17</v>
      </c>
      <c r="F1431" s="7" t="n">
        <v>72</v>
      </c>
      <c r="G1431" s="6" t="n">
        <v>78.6603188016043</v>
      </c>
      <c r="H1431" s="8" t="n">
        <v>11217.3867547275</v>
      </c>
      <c r="I1431" s="9" t="n">
        <v>9.49884534841703</v>
      </c>
      <c r="J1431" s="9" t="n">
        <v>20.4673293395205</v>
      </c>
      <c r="K1431" s="3" t="s">
        <v>509</v>
      </c>
      <c r="L1431" s="3" t="s">
        <v>510</v>
      </c>
      <c r="M1431" s="7" t="n">
        <v>2024</v>
      </c>
    </row>
    <row r="1432" customFormat="false" ht="15" hidden="false" customHeight="false" outlineLevel="0" collapsed="false">
      <c r="A1432" s="3" t="n">
        <v>2011</v>
      </c>
      <c r="B1432" s="3" t="s">
        <v>513</v>
      </c>
      <c r="C1432" s="4" t="s">
        <v>14</v>
      </c>
      <c r="D1432" s="5" t="n">
        <v>63390</v>
      </c>
      <c r="E1432" s="6" t="n">
        <v>796.68</v>
      </c>
      <c r="F1432" s="7" t="n">
        <v>76</v>
      </c>
      <c r="G1432" s="6" t="n">
        <v>1534.9685472573</v>
      </c>
      <c r="H1432" s="8" t="n">
        <v>838706.814221388</v>
      </c>
      <c r="I1432" s="9" t="n">
        <v>5.20591986100151</v>
      </c>
      <c r="J1432" s="9" t="n">
        <v>21.6174728779371</v>
      </c>
      <c r="K1432" s="3" t="s">
        <v>514</v>
      </c>
      <c r="L1432" s="3" t="s">
        <v>515</v>
      </c>
      <c r="M1432" s="7" t="n">
        <v>2016</v>
      </c>
    </row>
    <row r="1433" customFormat="false" ht="15" hidden="false" customHeight="false" outlineLevel="0" collapsed="false">
      <c r="A1433" s="3" t="n">
        <v>2012</v>
      </c>
      <c r="B1433" s="3" t="s">
        <v>513</v>
      </c>
      <c r="C1433" s="4" t="s">
        <v>17</v>
      </c>
      <c r="D1433" s="5" t="n">
        <v>63930</v>
      </c>
      <c r="E1433" s="6" t="n">
        <v>798.6</v>
      </c>
      <c r="F1433" s="7" t="n">
        <v>77</v>
      </c>
      <c r="G1433" s="6" t="n">
        <v>1480.78274050978</v>
      </c>
      <c r="H1433" s="8" t="n">
        <v>1042777.97077867</v>
      </c>
      <c r="I1433" s="9" t="n">
        <v>5.5084065005498</v>
      </c>
      <c r="J1433" s="9" t="n">
        <v>20.735013088571</v>
      </c>
      <c r="K1433" s="3" t="s">
        <v>514</v>
      </c>
      <c r="L1433" s="3" t="s">
        <v>515</v>
      </c>
      <c r="M1433" s="7" t="n">
        <v>2017</v>
      </c>
    </row>
    <row r="1434" customFormat="false" ht="15" hidden="false" customHeight="false" outlineLevel="0" collapsed="false">
      <c r="A1434" s="3" t="n">
        <v>2013</v>
      </c>
      <c r="B1434" s="3" t="s">
        <v>513</v>
      </c>
      <c r="C1434" s="4" t="s">
        <v>18</v>
      </c>
      <c r="D1434" s="5" t="n">
        <v>64096</v>
      </c>
      <c r="E1434" s="6" t="n">
        <v>802.1</v>
      </c>
      <c r="F1434" s="7" t="n">
        <v>63</v>
      </c>
      <c r="G1434" s="6" t="n">
        <v>2017.26582672635</v>
      </c>
      <c r="H1434" s="8" t="n">
        <v>1368912.64499361</v>
      </c>
      <c r="I1434" s="9" t="n">
        <v>6.01687155763732</v>
      </c>
      <c r="J1434" s="9" t="n">
        <v>28.1740887511713</v>
      </c>
      <c r="K1434" s="3" t="s">
        <v>514</v>
      </c>
      <c r="L1434" s="3" t="s">
        <v>515</v>
      </c>
      <c r="M1434" s="7" t="n">
        <v>2018</v>
      </c>
    </row>
    <row r="1435" customFormat="false" ht="15" hidden="false" customHeight="false" outlineLevel="0" collapsed="false">
      <c r="A1435" s="3" t="n">
        <v>2014</v>
      </c>
      <c r="B1435" s="3" t="s">
        <v>513</v>
      </c>
      <c r="C1435" s="4" t="s">
        <v>19</v>
      </c>
      <c r="D1435" s="5" t="n">
        <v>64304</v>
      </c>
      <c r="E1435" s="6" t="n">
        <v>802.4</v>
      </c>
      <c r="F1435" s="7" t="n">
        <v>81</v>
      </c>
      <c r="G1435" s="6" t="n">
        <v>362.140251276815</v>
      </c>
      <c r="H1435" s="8" t="n">
        <v>289618.04455612</v>
      </c>
      <c r="I1435" s="9" t="n">
        <v>3.59266725918218</v>
      </c>
      <c r="J1435" s="9" t="n">
        <v>5.04146183969216</v>
      </c>
      <c r="K1435" s="3" t="s">
        <v>514</v>
      </c>
      <c r="L1435" s="3" t="s">
        <v>515</v>
      </c>
      <c r="M1435" s="7" t="n">
        <v>2019</v>
      </c>
    </row>
    <row r="1436" customFormat="false" ht="15" hidden="false" customHeight="false" outlineLevel="0" collapsed="false">
      <c r="A1436" s="3" t="n">
        <v>2015</v>
      </c>
      <c r="B1436" s="3" t="s">
        <v>513</v>
      </c>
      <c r="C1436" s="4" t="s">
        <v>20</v>
      </c>
      <c r="D1436" s="5" t="n">
        <v>64503</v>
      </c>
      <c r="E1436" s="6" t="n">
        <v>802</v>
      </c>
      <c r="F1436" s="7" t="n">
        <v>78</v>
      </c>
      <c r="G1436" s="6" t="n">
        <v>1829.42021796714</v>
      </c>
      <c r="H1436" s="8" t="n">
        <v>1612450.98011624</v>
      </c>
      <c r="I1436" s="9" t="n">
        <v>6.56019182629001</v>
      </c>
      <c r="J1436" s="9" t="n">
        <v>25.3197698756205</v>
      </c>
      <c r="K1436" s="3" t="s">
        <v>514</v>
      </c>
      <c r="L1436" s="3" t="s">
        <v>515</v>
      </c>
      <c r="M1436" s="7" t="n">
        <v>2020</v>
      </c>
    </row>
    <row r="1437" customFormat="false" ht="15" hidden="false" customHeight="false" outlineLevel="0" collapsed="false">
      <c r="A1437" s="3" t="n">
        <v>2016</v>
      </c>
      <c r="B1437" s="3" t="s">
        <v>513</v>
      </c>
      <c r="C1437" s="4" t="s">
        <v>21</v>
      </c>
      <c r="D1437" s="5" t="n">
        <v>64655</v>
      </c>
      <c r="E1437" s="6" t="n">
        <v>802</v>
      </c>
      <c r="F1437" s="7" t="n">
        <v>78</v>
      </c>
      <c r="G1437" s="6" t="n">
        <v>1325.63329065372</v>
      </c>
      <c r="H1437" s="8" t="n">
        <v>1240395.07006469</v>
      </c>
      <c r="I1437" s="9" t="n">
        <v>5.13718135893297</v>
      </c>
      <c r="J1437" s="9" t="n">
        <v>18.3543479462339</v>
      </c>
      <c r="K1437" s="3" t="s">
        <v>514</v>
      </c>
      <c r="L1437" s="3" t="s">
        <v>515</v>
      </c>
      <c r="M1437" s="7" t="n">
        <v>2021</v>
      </c>
    </row>
    <row r="1438" customFormat="false" ht="15" hidden="false" customHeight="false" outlineLevel="0" collapsed="false">
      <c r="A1438" s="3" t="n">
        <v>2017</v>
      </c>
      <c r="B1438" s="3" t="s">
        <v>513</v>
      </c>
      <c r="C1438" s="4" t="s">
        <v>22</v>
      </c>
      <c r="D1438" s="5" t="n">
        <v>64721</v>
      </c>
      <c r="E1438" s="6" t="n">
        <v>798.716</v>
      </c>
      <c r="F1438" s="7" t="n">
        <v>63</v>
      </c>
      <c r="G1438" s="6" t="n">
        <v>2147.22191091354</v>
      </c>
      <c r="H1438" s="8" t="n">
        <v>2100884.86207602</v>
      </c>
      <c r="I1438" s="9" t="n">
        <v>7.1171323908343</v>
      </c>
      <c r="J1438" s="9" t="n">
        <v>29.6995169499772</v>
      </c>
      <c r="K1438" s="3" t="s">
        <v>514</v>
      </c>
      <c r="L1438" s="3" t="s">
        <v>515</v>
      </c>
      <c r="M1438" s="7" t="n">
        <v>2022</v>
      </c>
    </row>
    <row r="1439" customFormat="false" ht="15" hidden="false" customHeight="false" outlineLevel="0" collapsed="false">
      <c r="A1439" s="3" t="n">
        <v>2018</v>
      </c>
      <c r="B1439" s="3" t="s">
        <v>513</v>
      </c>
      <c r="C1439" s="4" t="s">
        <v>23</v>
      </c>
      <c r="D1439" s="5" t="n">
        <v>64784</v>
      </c>
      <c r="E1439" s="6" t="n">
        <v>797.5</v>
      </c>
      <c r="F1439" s="7" t="n">
        <v>60</v>
      </c>
      <c r="G1439" s="6" t="n">
        <v>454.94596938775</v>
      </c>
      <c r="H1439" s="8" t="n">
        <v>454491.023418362</v>
      </c>
      <c r="I1439" s="9" t="n">
        <v>4.25326413876281</v>
      </c>
      <c r="J1439" s="9" t="n">
        <v>6.28651182488112</v>
      </c>
      <c r="K1439" s="3" t="s">
        <v>514</v>
      </c>
      <c r="L1439" s="3" t="s">
        <v>515</v>
      </c>
      <c r="M1439" s="7" t="n">
        <v>2023</v>
      </c>
    </row>
    <row r="1440" customFormat="false" ht="15" hidden="false" customHeight="false" outlineLevel="0" collapsed="false">
      <c r="A1440" s="3" t="n">
        <v>2019</v>
      </c>
      <c r="B1440" s="3" t="s">
        <v>513</v>
      </c>
      <c r="C1440" s="4" t="s">
        <v>24</v>
      </c>
      <c r="D1440" s="5" t="n">
        <v>64850</v>
      </c>
      <c r="E1440" s="6" t="n">
        <v>790.14</v>
      </c>
      <c r="F1440" s="7" t="n">
        <v>70</v>
      </c>
      <c r="G1440" s="6" t="n">
        <v>343.299141182475</v>
      </c>
      <c r="H1440" s="8" t="n">
        <v>307939.32964068</v>
      </c>
      <c r="I1440" s="9" t="n">
        <v>5.08019162358875</v>
      </c>
      <c r="J1440" s="9" t="n">
        <v>4.72594790732885</v>
      </c>
      <c r="K1440" s="3" t="s">
        <v>514</v>
      </c>
      <c r="L1440" s="3" t="s">
        <v>515</v>
      </c>
      <c r="M1440" s="7" t="n">
        <v>2024</v>
      </c>
    </row>
    <row r="1441" customFormat="false" ht="15" hidden="false" customHeight="false" outlineLevel="0" collapsed="false">
      <c r="A1441" s="3" t="n">
        <v>2020</v>
      </c>
      <c r="B1441" s="3" t="s">
        <v>516</v>
      </c>
      <c r="C1441" s="4" t="s">
        <v>14</v>
      </c>
      <c r="D1441" s="5" t="n">
        <v>13425</v>
      </c>
      <c r="E1441" s="6" t="n">
        <v>215.1</v>
      </c>
      <c r="F1441" s="7" t="n">
        <v>62</v>
      </c>
      <c r="G1441" s="6" t="n">
        <v>316.167641843432</v>
      </c>
      <c r="H1441" s="8" t="n">
        <v>277825.991917079</v>
      </c>
      <c r="I1441" s="9" t="n">
        <v>7.58695334703826</v>
      </c>
      <c r="J1441" s="9" t="n">
        <v>21.024676362812</v>
      </c>
      <c r="K1441" s="3" t="s">
        <v>517</v>
      </c>
      <c r="L1441" s="3" t="s">
        <v>518</v>
      </c>
      <c r="M1441" s="7" t="n">
        <v>2016</v>
      </c>
    </row>
    <row r="1442" customFormat="false" ht="15" hidden="false" customHeight="false" outlineLevel="0" collapsed="false">
      <c r="A1442" s="3" t="n">
        <v>2021</v>
      </c>
      <c r="B1442" s="3" t="s">
        <v>516</v>
      </c>
      <c r="C1442" s="4" t="s">
        <v>17</v>
      </c>
      <c r="D1442" s="5" t="n">
        <v>13668</v>
      </c>
      <c r="E1442" s="6" t="n">
        <v>223.5</v>
      </c>
      <c r="F1442" s="7" t="n">
        <v>62</v>
      </c>
      <c r="G1442" s="6" t="n">
        <v>247.177152626262</v>
      </c>
      <c r="H1442" s="8" t="n">
        <v>216539.544558237</v>
      </c>
      <c r="I1442" s="9" t="n">
        <v>6.93745438254463</v>
      </c>
      <c r="J1442" s="9" t="n">
        <v>16.1890375129082</v>
      </c>
      <c r="K1442" s="3" t="s">
        <v>517</v>
      </c>
      <c r="L1442" s="3" t="s">
        <v>518</v>
      </c>
      <c r="M1442" s="7" t="n">
        <v>2017</v>
      </c>
    </row>
    <row r="1443" customFormat="false" ht="15" hidden="false" customHeight="false" outlineLevel="0" collapsed="false">
      <c r="A1443" s="3" t="n">
        <v>2022</v>
      </c>
      <c r="B1443" s="3" t="s">
        <v>516</v>
      </c>
      <c r="C1443" s="4" t="s">
        <v>18</v>
      </c>
      <c r="D1443" s="5" t="n">
        <v>13626</v>
      </c>
      <c r="E1443" s="6" t="n">
        <v>227.8</v>
      </c>
      <c r="F1443" s="7" t="n">
        <v>69</v>
      </c>
      <c r="G1443" s="6" t="n">
        <v>131.790934015151</v>
      </c>
      <c r="H1443" s="8" t="n">
        <v>139528.379751181</v>
      </c>
      <c r="I1443" s="9" t="n">
        <v>5.81851558964004</v>
      </c>
      <c r="J1443" s="9" t="n">
        <v>8.65834378518664</v>
      </c>
      <c r="K1443" s="3" t="s">
        <v>517</v>
      </c>
      <c r="L1443" s="3" t="s">
        <v>518</v>
      </c>
      <c r="M1443" s="7" t="n">
        <v>2018</v>
      </c>
    </row>
    <row r="1444" customFormat="false" ht="15" hidden="false" customHeight="false" outlineLevel="0" collapsed="false">
      <c r="A1444" s="3" t="n">
        <v>2023</v>
      </c>
      <c r="B1444" s="3" t="s">
        <v>516</v>
      </c>
      <c r="C1444" s="4" t="s">
        <v>19</v>
      </c>
      <c r="D1444" s="5" t="n">
        <v>13851</v>
      </c>
      <c r="E1444" s="6" t="n">
        <v>228.31</v>
      </c>
      <c r="F1444" s="7" t="n">
        <v>69</v>
      </c>
      <c r="G1444" s="6" t="n">
        <v>81.1111761363646</v>
      </c>
      <c r="H1444" s="8" t="n">
        <v>84937.190314717</v>
      </c>
      <c r="I1444" s="9" t="n">
        <v>5.18650026998113</v>
      </c>
      <c r="J1444" s="9" t="n">
        <v>5.24224415407198</v>
      </c>
      <c r="K1444" s="3" t="s">
        <v>517</v>
      </c>
      <c r="L1444" s="3" t="s">
        <v>518</v>
      </c>
      <c r="M1444" s="7" t="n">
        <v>2019</v>
      </c>
    </row>
    <row r="1445" customFormat="false" ht="15" hidden="false" customHeight="false" outlineLevel="0" collapsed="false">
      <c r="A1445" s="3" t="n">
        <v>2024</v>
      </c>
      <c r="B1445" s="3" t="s">
        <v>516</v>
      </c>
      <c r="C1445" s="4" t="s">
        <v>20</v>
      </c>
      <c r="D1445" s="5" t="n">
        <v>13851</v>
      </c>
      <c r="E1445" s="6" t="n">
        <v>228.41</v>
      </c>
      <c r="F1445" s="7" t="n">
        <v>76</v>
      </c>
      <c r="G1445" s="6" t="n">
        <v>159.458232828281</v>
      </c>
      <c r="H1445" s="8" t="n">
        <v>129272.789353888</v>
      </c>
      <c r="I1445" s="9" t="n">
        <v>6.32184389381863</v>
      </c>
      <c r="J1445" s="9" t="n">
        <v>10.2776071012781</v>
      </c>
      <c r="K1445" s="3" t="s">
        <v>517</v>
      </c>
      <c r="L1445" s="3" t="s">
        <v>518</v>
      </c>
      <c r="M1445" s="7" t="n">
        <v>2020</v>
      </c>
    </row>
    <row r="1446" customFormat="false" ht="15" hidden="false" customHeight="false" outlineLevel="0" collapsed="false">
      <c r="A1446" s="3" t="n">
        <v>2025</v>
      </c>
      <c r="B1446" s="3" t="s">
        <v>516</v>
      </c>
      <c r="C1446" s="4" t="s">
        <v>21</v>
      </c>
      <c r="D1446" s="5" t="n">
        <v>13800</v>
      </c>
      <c r="E1446" s="6" t="n">
        <v>216.57</v>
      </c>
      <c r="F1446" s="7" t="n">
        <v>69</v>
      </c>
      <c r="G1446" s="6" t="n">
        <v>66.334900656567</v>
      </c>
      <c r="H1446" s="8" t="n">
        <v>61662.2702543184</v>
      </c>
      <c r="I1446" s="9" t="n">
        <v>2.39908600101243</v>
      </c>
      <c r="J1446" s="9" t="n">
        <v>4.30309239406016</v>
      </c>
      <c r="K1446" s="3" t="s">
        <v>517</v>
      </c>
      <c r="L1446" s="3" t="s">
        <v>518</v>
      </c>
      <c r="M1446" s="7" t="n">
        <v>2021</v>
      </c>
    </row>
    <row r="1447" customFormat="false" ht="15" hidden="false" customHeight="false" outlineLevel="0" collapsed="false">
      <c r="A1447" s="3" t="n">
        <v>2026</v>
      </c>
      <c r="B1447" s="3" t="s">
        <v>516</v>
      </c>
      <c r="C1447" s="4" t="s">
        <v>22</v>
      </c>
      <c r="D1447" s="5" t="n">
        <v>13528</v>
      </c>
      <c r="E1447" s="6" t="n">
        <v>216.57</v>
      </c>
      <c r="F1447" s="7" t="n">
        <v>68</v>
      </c>
      <c r="G1447" s="6" t="n">
        <v>247.027373005051</v>
      </c>
      <c r="H1447" s="8" t="n">
        <v>230661.809543466</v>
      </c>
      <c r="I1447" s="9" t="n">
        <v>4.24259332104926</v>
      </c>
      <c r="J1447" s="9" t="n">
        <v>16.3466648987426</v>
      </c>
      <c r="K1447" s="3" t="s">
        <v>517</v>
      </c>
      <c r="L1447" s="3" t="s">
        <v>518</v>
      </c>
      <c r="M1447" s="7" t="n">
        <v>2022</v>
      </c>
    </row>
    <row r="1448" customFormat="false" ht="15" hidden="false" customHeight="false" outlineLevel="0" collapsed="false">
      <c r="A1448" s="3" t="n">
        <v>2027</v>
      </c>
      <c r="B1448" s="3" t="s">
        <v>516</v>
      </c>
      <c r="C1448" s="4" t="s">
        <v>23</v>
      </c>
      <c r="D1448" s="5" t="n">
        <v>13482</v>
      </c>
      <c r="E1448" s="6" t="n">
        <v>216.57</v>
      </c>
      <c r="F1448" s="7" t="n">
        <v>67</v>
      </c>
      <c r="G1448" s="6" t="n">
        <v>215.734430000001</v>
      </c>
      <c r="H1448" s="8" t="n">
        <v>211029.262081701</v>
      </c>
      <c r="I1448" s="9" t="n">
        <v>4.22109560643346</v>
      </c>
      <c r="J1448" s="9" t="n">
        <v>14.3246102149081</v>
      </c>
      <c r="K1448" s="3" t="s">
        <v>517</v>
      </c>
      <c r="L1448" s="3" t="s">
        <v>518</v>
      </c>
      <c r="M1448" s="7" t="n">
        <v>2023</v>
      </c>
    </row>
    <row r="1449" customFormat="false" ht="15" hidden="false" customHeight="false" outlineLevel="0" collapsed="false">
      <c r="A1449" s="3" t="n">
        <v>2028</v>
      </c>
      <c r="B1449" s="3" t="s">
        <v>516</v>
      </c>
      <c r="C1449" s="4" t="s">
        <v>24</v>
      </c>
      <c r="D1449" s="5" t="n">
        <v>13478</v>
      </c>
      <c r="E1449" s="6" t="n">
        <v>216.57</v>
      </c>
      <c r="F1449" s="7" t="n">
        <v>68</v>
      </c>
      <c r="G1449" s="6" t="n">
        <v>345.225581489899</v>
      </c>
      <c r="H1449" s="8" t="n">
        <v>359769.935238068</v>
      </c>
      <c r="I1449" s="9" t="n">
        <v>5.48690158970645</v>
      </c>
      <c r="J1449" s="9" t="n">
        <v>22.8667114453519</v>
      </c>
      <c r="K1449" s="3" t="s">
        <v>517</v>
      </c>
      <c r="L1449" s="3" t="s">
        <v>518</v>
      </c>
      <c r="M1449" s="7" t="n">
        <v>2024</v>
      </c>
    </row>
    <row r="1450" customFormat="false" ht="15" hidden="false" customHeight="false" outlineLevel="0" collapsed="false">
      <c r="A1450" s="3" t="n">
        <v>2029</v>
      </c>
      <c r="B1450" s="3" t="s">
        <v>519</v>
      </c>
      <c r="C1450" s="4" t="s">
        <v>17</v>
      </c>
      <c r="D1450" s="5" t="n">
        <v>19107</v>
      </c>
      <c r="E1450" s="6" t="n">
        <v>236.2453</v>
      </c>
      <c r="F1450" s="7" t="n">
        <v>60</v>
      </c>
      <c r="G1450" s="6" t="n">
        <v>1072.91575204082</v>
      </c>
      <c r="H1450" s="8" t="n">
        <v>630509.670844306</v>
      </c>
      <c r="I1450" s="9" t="n">
        <v>10.7784950461918</v>
      </c>
      <c r="J1450" s="9" t="n">
        <v>50.2679057727323</v>
      </c>
      <c r="K1450" s="3" t="s">
        <v>520</v>
      </c>
      <c r="L1450" s="3" t="s">
        <v>521</v>
      </c>
      <c r="M1450" s="7" t="n">
        <v>2017</v>
      </c>
    </row>
    <row r="1451" customFormat="false" ht="15" hidden="false" customHeight="false" outlineLevel="0" collapsed="false">
      <c r="A1451" s="3" t="n">
        <v>2030</v>
      </c>
      <c r="B1451" s="3" t="s">
        <v>519</v>
      </c>
      <c r="C1451" s="4" t="s">
        <v>18</v>
      </c>
      <c r="D1451" s="5" t="n">
        <v>19107</v>
      </c>
      <c r="E1451" s="6" t="n">
        <v>236.2453</v>
      </c>
      <c r="F1451" s="7" t="n">
        <v>60</v>
      </c>
      <c r="G1451" s="6" t="n">
        <v>502.328371717171</v>
      </c>
      <c r="H1451" s="8" t="n">
        <v>126461.167579798</v>
      </c>
      <c r="I1451" s="9" t="n">
        <v>5.40462637081623</v>
      </c>
      <c r="J1451" s="9" t="n">
        <v>23.5349282629305</v>
      </c>
      <c r="K1451" s="3" t="s">
        <v>520</v>
      </c>
      <c r="L1451" s="3" t="s">
        <v>521</v>
      </c>
      <c r="M1451" s="7" t="n">
        <v>2018</v>
      </c>
    </row>
    <row r="1452" customFormat="false" ht="15" hidden="false" customHeight="false" outlineLevel="0" collapsed="false">
      <c r="A1452" s="3" t="n">
        <v>2031</v>
      </c>
      <c r="B1452" s="3" t="s">
        <v>519</v>
      </c>
      <c r="C1452" s="4" t="s">
        <v>19</v>
      </c>
      <c r="D1452" s="5" t="n">
        <v>19547</v>
      </c>
      <c r="E1452" s="6" t="n">
        <v>236.2453</v>
      </c>
      <c r="F1452" s="7" t="n">
        <v>64</v>
      </c>
      <c r="G1452" s="6" t="n">
        <v>-351.771742424241</v>
      </c>
      <c r="H1452" s="8" t="n">
        <v>-258738.669705302</v>
      </c>
      <c r="I1452" s="9" t="n">
        <v>1.28932038834952</v>
      </c>
      <c r="J1452" s="9" t="n">
        <v>-16.1101102106505</v>
      </c>
      <c r="K1452" s="3" t="s">
        <v>520</v>
      </c>
      <c r="L1452" s="3" t="s">
        <v>521</v>
      </c>
      <c r="M1452" s="7" t="n">
        <v>2019</v>
      </c>
    </row>
    <row r="1453" customFormat="false" ht="15" hidden="false" customHeight="false" outlineLevel="0" collapsed="false">
      <c r="A1453" s="3" t="n">
        <v>2032</v>
      </c>
      <c r="B1453" s="3" t="s">
        <v>519</v>
      </c>
      <c r="C1453" s="4" t="s">
        <v>20</v>
      </c>
      <c r="D1453" s="5" t="n">
        <v>19207</v>
      </c>
      <c r="E1453" s="6" t="n">
        <v>236.2453</v>
      </c>
      <c r="F1453" s="7" t="n">
        <v>58</v>
      </c>
      <c r="G1453" s="6" t="n">
        <v>50.7786111111112</v>
      </c>
      <c r="H1453" s="8" t="n">
        <v>9944.99098611112</v>
      </c>
      <c r="I1453" s="9" t="n">
        <v>2.12585034013605</v>
      </c>
      <c r="J1453" s="9" t="n">
        <v>2.3601927677861</v>
      </c>
      <c r="K1453" s="3" t="s">
        <v>520</v>
      </c>
      <c r="L1453" s="3" t="s">
        <v>521</v>
      </c>
      <c r="M1453" s="7" t="n">
        <v>2020</v>
      </c>
    </row>
    <row r="1454" customFormat="false" ht="15" hidden="false" customHeight="false" outlineLevel="0" collapsed="false">
      <c r="A1454" s="3" t="n">
        <v>2033</v>
      </c>
      <c r="B1454" s="3" t="s">
        <v>519</v>
      </c>
      <c r="C1454" s="4" t="s">
        <v>21</v>
      </c>
      <c r="D1454" s="5" t="n">
        <v>19207</v>
      </c>
      <c r="E1454" s="6" t="n">
        <v>236.2453</v>
      </c>
      <c r="F1454" s="7" t="n">
        <v>59</v>
      </c>
      <c r="G1454" s="6" t="n">
        <v>474.16904040404</v>
      </c>
      <c r="H1454" s="8" t="n">
        <v>109504.598190909</v>
      </c>
      <c r="I1454" s="9" t="n">
        <v>5.36004331348132</v>
      </c>
      <c r="J1454" s="9" t="n">
        <v>22.0999521100504</v>
      </c>
      <c r="K1454" s="3" t="s">
        <v>520</v>
      </c>
      <c r="L1454" s="3" t="s">
        <v>521</v>
      </c>
      <c r="M1454" s="7" t="n">
        <v>2021</v>
      </c>
    </row>
    <row r="1455" customFormat="false" ht="15" hidden="false" customHeight="false" outlineLevel="0" collapsed="false">
      <c r="A1455" s="3" t="n">
        <v>2034</v>
      </c>
      <c r="B1455" s="3" t="s">
        <v>519</v>
      </c>
      <c r="C1455" s="4" t="s">
        <v>22</v>
      </c>
      <c r="D1455" s="5" t="n">
        <v>19207</v>
      </c>
      <c r="E1455" s="6" t="n">
        <v>236.2</v>
      </c>
      <c r="F1455" s="7" t="n">
        <v>56</v>
      </c>
      <c r="G1455" s="6" t="n">
        <v>827.349797979799</v>
      </c>
      <c r="H1455" s="8" t="n">
        <v>175298.87519596</v>
      </c>
      <c r="I1455" s="9" t="n">
        <v>8.12298498073445</v>
      </c>
      <c r="J1455" s="9" t="n">
        <v>38.5609125767328</v>
      </c>
      <c r="K1455" s="3" t="s">
        <v>520</v>
      </c>
      <c r="L1455" s="3" t="s">
        <v>521</v>
      </c>
      <c r="M1455" s="7" t="n">
        <v>2022</v>
      </c>
    </row>
    <row r="1456" customFormat="false" ht="15" hidden="false" customHeight="false" outlineLevel="0" collapsed="false">
      <c r="A1456" s="3" t="n">
        <v>2035</v>
      </c>
      <c r="B1456" s="3" t="s">
        <v>519</v>
      </c>
      <c r="C1456" s="4" t="s">
        <v>23</v>
      </c>
      <c r="D1456" s="5" t="n">
        <v>19207</v>
      </c>
      <c r="E1456" s="6" t="n">
        <v>236.2</v>
      </c>
      <c r="F1456" s="7" t="n">
        <v>57</v>
      </c>
      <c r="G1456" s="6" t="n">
        <v>818.740278712121</v>
      </c>
      <c r="H1456" s="8" t="n">
        <v>609363.82723707</v>
      </c>
      <c r="I1456" s="9" t="n">
        <v>8.74544617917658</v>
      </c>
      <c r="J1456" s="9" t="n">
        <v>38.1596422547731</v>
      </c>
      <c r="K1456" s="3" t="s">
        <v>520</v>
      </c>
      <c r="L1456" s="3" t="s">
        <v>521</v>
      </c>
      <c r="M1456" s="7" t="n">
        <v>2023</v>
      </c>
    </row>
    <row r="1457" customFormat="false" ht="15" hidden="false" customHeight="false" outlineLevel="0" collapsed="false">
      <c r="A1457" s="3" t="n">
        <v>2036</v>
      </c>
      <c r="B1457" s="3" t="s">
        <v>519</v>
      </c>
      <c r="C1457" s="4" t="s">
        <v>24</v>
      </c>
      <c r="D1457" s="5" t="n">
        <v>19500</v>
      </c>
      <c r="E1457" s="6" t="n">
        <v>237.5</v>
      </c>
      <c r="F1457" s="7" t="n">
        <v>57</v>
      </c>
      <c r="G1457" s="6" t="n">
        <v>695.058670555556</v>
      </c>
      <c r="H1457" s="8" t="n">
        <v>566250.3977282</v>
      </c>
      <c r="I1457" s="9" t="n">
        <v>7.56314994485382</v>
      </c>
      <c r="J1457" s="9" t="n">
        <v>31.8209431484648</v>
      </c>
      <c r="K1457" s="3" t="s">
        <v>520</v>
      </c>
      <c r="L1457" s="3" t="s">
        <v>521</v>
      </c>
      <c r="M1457" s="7" t="n">
        <v>2024</v>
      </c>
    </row>
    <row r="1458" customFormat="false" ht="15" hidden="false" customHeight="false" outlineLevel="0" collapsed="false">
      <c r="A1458" s="3" t="n">
        <v>2037</v>
      </c>
      <c r="B1458" s="3" t="s">
        <v>522</v>
      </c>
      <c r="C1458" s="4" t="s">
        <v>41</v>
      </c>
      <c r="D1458" s="5" t="n">
        <v>24816</v>
      </c>
      <c r="E1458" s="6" t="n">
        <v>328.4</v>
      </c>
      <c r="F1458" s="7" t="n">
        <v>79</v>
      </c>
      <c r="G1458" s="6" t="n">
        <v>653.942116718209</v>
      </c>
      <c r="H1458" s="8" t="n">
        <v>640209.332267126</v>
      </c>
      <c r="I1458" s="9" t="n">
        <v>5.94882970775065</v>
      </c>
      <c r="J1458" s="9" t="n">
        <v>23.589851269602</v>
      </c>
      <c r="K1458" s="3" t="s">
        <v>523</v>
      </c>
      <c r="L1458" s="3" t="s">
        <v>524</v>
      </c>
      <c r="M1458" s="7" t="n">
        <v>2016</v>
      </c>
    </row>
    <row r="1459" customFormat="false" ht="15" hidden="false" customHeight="false" outlineLevel="0" collapsed="false">
      <c r="A1459" s="3" t="n">
        <v>2038</v>
      </c>
      <c r="B1459" s="3" t="s">
        <v>522</v>
      </c>
      <c r="C1459" s="4" t="s">
        <v>42</v>
      </c>
      <c r="D1459" s="5" t="n">
        <v>24928</v>
      </c>
      <c r="E1459" s="6" t="n">
        <v>328.4</v>
      </c>
      <c r="F1459" s="7" t="n">
        <v>78</v>
      </c>
      <c r="G1459" s="6" t="n">
        <v>507.356793705009</v>
      </c>
      <c r="H1459" s="8" t="n">
        <v>300405.957552736</v>
      </c>
      <c r="I1459" s="9" t="n">
        <v>6.20327087791396</v>
      </c>
      <c r="J1459" s="9" t="n">
        <v>18.2198047503812</v>
      </c>
      <c r="K1459" s="3" t="s">
        <v>523</v>
      </c>
      <c r="L1459" s="3" t="s">
        <v>524</v>
      </c>
      <c r="M1459" s="7" t="n">
        <v>2017</v>
      </c>
    </row>
    <row r="1460" customFormat="false" ht="15" hidden="false" customHeight="false" outlineLevel="0" collapsed="false">
      <c r="A1460" s="3" t="n">
        <v>2039</v>
      </c>
      <c r="B1460" s="3" t="s">
        <v>522</v>
      </c>
      <c r="C1460" s="4" t="s">
        <v>43</v>
      </c>
      <c r="D1460" s="5" t="n">
        <v>25013</v>
      </c>
      <c r="E1460" s="6" t="n">
        <v>328.4</v>
      </c>
      <c r="F1460" s="7" t="n">
        <v>84</v>
      </c>
      <c r="G1460" s="6" t="n">
        <v>343.316109657298</v>
      </c>
      <c r="H1460" s="8" t="n">
        <v>210600.401147076</v>
      </c>
      <c r="I1460" s="9" t="n">
        <v>5.046463468239</v>
      </c>
      <c r="J1460" s="9" t="n">
        <v>12.2870061027541</v>
      </c>
      <c r="K1460" s="3" t="s">
        <v>523</v>
      </c>
      <c r="L1460" s="3" t="s">
        <v>524</v>
      </c>
      <c r="M1460" s="7" t="n">
        <v>2018</v>
      </c>
    </row>
    <row r="1461" customFormat="false" ht="15" hidden="false" customHeight="false" outlineLevel="0" collapsed="false">
      <c r="A1461" s="3" t="n">
        <v>2040</v>
      </c>
      <c r="B1461" s="3" t="s">
        <v>522</v>
      </c>
      <c r="C1461" s="4" t="s">
        <v>44</v>
      </c>
      <c r="D1461" s="5" t="n">
        <v>25013</v>
      </c>
      <c r="E1461" s="6" t="n">
        <v>328.4</v>
      </c>
      <c r="F1461" s="7" t="n">
        <v>79</v>
      </c>
      <c r="G1461" s="6" t="n">
        <v>358.17756107153</v>
      </c>
      <c r="H1461" s="8" t="n">
        <v>234964.480062924</v>
      </c>
      <c r="I1461" s="9" t="n">
        <v>5.33286668099632</v>
      </c>
      <c r="J1461" s="9" t="n">
        <v>12.7837652040357</v>
      </c>
      <c r="K1461" s="3" t="s">
        <v>523</v>
      </c>
      <c r="L1461" s="3" t="s">
        <v>524</v>
      </c>
      <c r="M1461" s="7" t="n">
        <v>2019</v>
      </c>
    </row>
    <row r="1462" customFormat="false" ht="15" hidden="false" customHeight="false" outlineLevel="0" collapsed="false">
      <c r="A1462" s="3" t="n">
        <v>2041</v>
      </c>
      <c r="B1462" s="3" t="s">
        <v>522</v>
      </c>
      <c r="C1462" s="4" t="s">
        <v>45</v>
      </c>
      <c r="D1462" s="5" t="n">
        <v>22315</v>
      </c>
      <c r="E1462" s="6" t="n">
        <v>328.4</v>
      </c>
      <c r="F1462" s="7" t="n">
        <v>82</v>
      </c>
      <c r="G1462" s="6" t="n">
        <v>264.649978158377</v>
      </c>
      <c r="H1462" s="8" t="n">
        <v>175452.398389667</v>
      </c>
      <c r="I1462" s="9" t="n">
        <v>5.24147860888496</v>
      </c>
      <c r="J1462" s="9" t="n">
        <v>10.6167757893209</v>
      </c>
      <c r="K1462" s="3" t="s">
        <v>523</v>
      </c>
      <c r="L1462" s="3" t="s">
        <v>524</v>
      </c>
      <c r="M1462" s="7" t="n">
        <v>2020</v>
      </c>
    </row>
    <row r="1463" customFormat="false" ht="15" hidden="false" customHeight="false" outlineLevel="0" collapsed="false">
      <c r="A1463" s="3" t="n">
        <v>2042</v>
      </c>
      <c r="B1463" s="3" t="s">
        <v>522</v>
      </c>
      <c r="C1463" s="4" t="s">
        <v>46</v>
      </c>
      <c r="D1463" s="5" t="n">
        <v>22332</v>
      </c>
      <c r="E1463" s="6" t="n">
        <v>317</v>
      </c>
      <c r="F1463" s="7" t="n">
        <v>79</v>
      </c>
      <c r="G1463" s="6" t="n">
        <v>198.299306332036</v>
      </c>
      <c r="H1463" s="8" t="n">
        <v>140552.565335084</v>
      </c>
      <c r="I1463" s="9" t="n">
        <v>4.03891025954236</v>
      </c>
      <c r="J1463" s="9" t="n">
        <v>7.94897718195743</v>
      </c>
      <c r="K1463" s="3" t="s">
        <v>523</v>
      </c>
      <c r="L1463" s="3" t="s">
        <v>524</v>
      </c>
      <c r="M1463" s="7" t="n">
        <v>2021</v>
      </c>
    </row>
    <row r="1464" customFormat="false" ht="15" hidden="false" customHeight="false" outlineLevel="0" collapsed="false">
      <c r="A1464" s="3" t="n">
        <v>2043</v>
      </c>
      <c r="B1464" s="3" t="s">
        <v>522</v>
      </c>
      <c r="C1464" s="4" t="s">
        <v>47</v>
      </c>
      <c r="D1464" s="5" t="n">
        <v>25644</v>
      </c>
      <c r="E1464" s="6" t="n">
        <v>317.8</v>
      </c>
      <c r="F1464" s="7" t="n">
        <v>82</v>
      </c>
      <c r="G1464" s="6" t="n">
        <v>283.840035431208</v>
      </c>
      <c r="H1464" s="8" t="n">
        <v>220160.523482216</v>
      </c>
      <c r="I1464" s="9" t="n">
        <v>4.31056218283336</v>
      </c>
      <c r="J1464" s="9" t="n">
        <v>9.90844626865725</v>
      </c>
      <c r="K1464" s="3" t="s">
        <v>523</v>
      </c>
      <c r="L1464" s="3" t="s">
        <v>524</v>
      </c>
      <c r="M1464" s="7" t="n">
        <v>2022</v>
      </c>
    </row>
    <row r="1465" customFormat="false" ht="15" hidden="false" customHeight="false" outlineLevel="0" collapsed="false">
      <c r="A1465" s="3" t="n">
        <v>2044</v>
      </c>
      <c r="B1465" s="3" t="s">
        <v>522</v>
      </c>
      <c r="C1465" s="4" t="s">
        <v>48</v>
      </c>
      <c r="D1465" s="5" t="n">
        <v>25680</v>
      </c>
      <c r="E1465" s="6" t="n">
        <v>317.6</v>
      </c>
      <c r="F1465" s="7" t="n">
        <v>82</v>
      </c>
      <c r="G1465" s="6" t="n">
        <v>364.454757933511</v>
      </c>
      <c r="H1465" s="8" t="n">
        <v>311419.301559026</v>
      </c>
      <c r="I1465" s="9" t="n">
        <v>5.27109527363947</v>
      </c>
      <c r="J1465" s="9" t="n">
        <v>12.6699470114147</v>
      </c>
      <c r="K1465" s="3" t="s">
        <v>523</v>
      </c>
      <c r="L1465" s="3" t="s">
        <v>524</v>
      </c>
      <c r="M1465" s="7" t="n">
        <v>2023</v>
      </c>
    </row>
    <row r="1466" customFormat="false" ht="15" hidden="false" customHeight="false" outlineLevel="0" collapsed="false">
      <c r="A1466" s="3" t="n">
        <v>2045</v>
      </c>
      <c r="B1466" s="3" t="s">
        <v>522</v>
      </c>
      <c r="C1466" s="4" t="s">
        <v>49</v>
      </c>
      <c r="D1466" s="5" t="n">
        <v>22529</v>
      </c>
      <c r="E1466" s="6" t="n">
        <v>317.6</v>
      </c>
      <c r="F1466" s="7" t="n">
        <v>82</v>
      </c>
      <c r="G1466" s="6" t="n">
        <v>382.885294562337</v>
      </c>
      <c r="H1466" s="8" t="n">
        <v>355145.254971296</v>
      </c>
      <c r="I1466" s="9" t="n">
        <v>4.80384507419695</v>
      </c>
      <c r="J1466" s="9" t="n">
        <v>15.2140362334496</v>
      </c>
      <c r="K1466" s="3" t="s">
        <v>523</v>
      </c>
      <c r="L1466" s="3" t="s">
        <v>524</v>
      </c>
      <c r="M1466" s="7" t="n">
        <v>2024</v>
      </c>
    </row>
    <row r="1467" customFormat="false" ht="15" hidden="false" customHeight="false" outlineLevel="0" collapsed="false">
      <c r="A1467" s="3" t="n">
        <v>2046</v>
      </c>
      <c r="B1467" s="3" t="s">
        <v>525</v>
      </c>
      <c r="C1467" s="4" t="s">
        <v>14</v>
      </c>
      <c r="D1467" s="5" t="n">
        <v>31820</v>
      </c>
      <c r="E1467" s="6" t="n">
        <v>431.2</v>
      </c>
      <c r="F1467" s="7" t="n">
        <v>69</v>
      </c>
      <c r="G1467" s="6" t="n">
        <v>780.217123159898</v>
      </c>
      <c r="H1467" s="8" t="n">
        <v>734964.530016624</v>
      </c>
      <c r="I1467" s="9" t="n">
        <v>7.37468219536915</v>
      </c>
      <c r="J1467" s="9" t="n">
        <v>21.889784989089</v>
      </c>
      <c r="K1467" s="3" t="s">
        <v>526</v>
      </c>
      <c r="L1467" s="3" t="s">
        <v>527</v>
      </c>
      <c r="M1467" s="7" t="n">
        <v>2016</v>
      </c>
    </row>
    <row r="1468" customFormat="false" ht="15" hidden="false" customHeight="false" outlineLevel="0" collapsed="false">
      <c r="A1468" s="3" t="n">
        <v>2047</v>
      </c>
      <c r="B1468" s="3" t="s">
        <v>525</v>
      </c>
      <c r="C1468" s="4" t="s">
        <v>17</v>
      </c>
      <c r="D1468" s="5" t="n">
        <v>31931</v>
      </c>
      <c r="E1468" s="6" t="n">
        <v>431.5</v>
      </c>
      <c r="F1468" s="7" t="n">
        <v>70</v>
      </c>
      <c r="G1468" s="6" t="n">
        <v>772.766851563213</v>
      </c>
      <c r="H1468" s="8" t="n">
        <v>543139.181621204</v>
      </c>
      <c r="I1468" s="9" t="n">
        <v>7.76418294489832</v>
      </c>
      <c r="J1468" s="9" t="n">
        <v>21.664747867115</v>
      </c>
      <c r="K1468" s="3" t="s">
        <v>526</v>
      </c>
      <c r="L1468" s="3" t="s">
        <v>527</v>
      </c>
      <c r="M1468" s="7" t="n">
        <v>2017</v>
      </c>
    </row>
    <row r="1469" customFormat="false" ht="15" hidden="false" customHeight="false" outlineLevel="0" collapsed="false">
      <c r="A1469" s="3" t="n">
        <v>2048</v>
      </c>
      <c r="B1469" s="3" t="s">
        <v>525</v>
      </c>
      <c r="C1469" s="4" t="s">
        <v>18</v>
      </c>
      <c r="D1469" s="5" t="n">
        <v>31931</v>
      </c>
      <c r="E1469" s="6" t="n">
        <v>431.2</v>
      </c>
      <c r="F1469" s="7" t="n">
        <v>70</v>
      </c>
      <c r="G1469" s="6" t="n">
        <v>416.627277510036</v>
      </c>
      <c r="H1469" s="8" t="n">
        <v>304087.917309025</v>
      </c>
      <c r="I1469" s="9" t="n">
        <v>6.62716025232768</v>
      </c>
      <c r="J1469" s="9" t="n">
        <v>11.6802692863426</v>
      </c>
      <c r="K1469" s="3" t="s">
        <v>526</v>
      </c>
      <c r="L1469" s="3" t="s">
        <v>527</v>
      </c>
      <c r="M1469" s="7" t="n">
        <v>2018</v>
      </c>
    </row>
    <row r="1470" customFormat="false" ht="15" hidden="false" customHeight="false" outlineLevel="0" collapsed="false">
      <c r="A1470" s="3" t="n">
        <v>2049</v>
      </c>
      <c r="B1470" s="3" t="s">
        <v>525</v>
      </c>
      <c r="C1470" s="4" t="s">
        <v>19</v>
      </c>
      <c r="D1470" s="5" t="n">
        <v>32010</v>
      </c>
      <c r="E1470" s="6" t="n">
        <v>431.9</v>
      </c>
      <c r="F1470" s="7" t="n">
        <v>70</v>
      </c>
      <c r="G1470" s="6" t="n">
        <v>581.934669545006</v>
      </c>
      <c r="H1470" s="8" t="n">
        <v>400243.027019664</v>
      </c>
      <c r="I1470" s="9" t="n">
        <v>5.47706389149947</v>
      </c>
      <c r="J1470" s="9" t="n">
        <v>16.2744466878405</v>
      </c>
      <c r="K1470" s="3" t="s">
        <v>526</v>
      </c>
      <c r="L1470" s="3" t="s">
        <v>527</v>
      </c>
      <c r="M1470" s="7" t="n">
        <v>2019</v>
      </c>
    </row>
    <row r="1471" customFormat="false" ht="15" hidden="false" customHeight="false" outlineLevel="0" collapsed="false">
      <c r="A1471" s="3" t="n">
        <v>2050</v>
      </c>
      <c r="B1471" s="3" t="s">
        <v>525</v>
      </c>
      <c r="C1471" s="4" t="s">
        <v>20</v>
      </c>
      <c r="D1471" s="5" t="n">
        <v>32059</v>
      </c>
      <c r="E1471" s="6" t="n">
        <v>431.480297710748</v>
      </c>
      <c r="F1471" s="7" t="n">
        <v>77</v>
      </c>
      <c r="G1471" s="6" t="n">
        <v>300.989514243512</v>
      </c>
      <c r="H1471" s="8" t="n">
        <v>218395.507138466</v>
      </c>
      <c r="I1471" s="9" t="n">
        <v>3.67398554511919</v>
      </c>
      <c r="J1471" s="9" t="n">
        <v>8.3816126863495</v>
      </c>
      <c r="K1471" s="3" t="s">
        <v>526</v>
      </c>
      <c r="L1471" s="3" t="s">
        <v>527</v>
      </c>
      <c r="M1471" s="7" t="n">
        <v>2020</v>
      </c>
    </row>
    <row r="1472" customFormat="false" ht="15" hidden="false" customHeight="false" outlineLevel="0" collapsed="false">
      <c r="A1472" s="3" t="n">
        <v>2051</v>
      </c>
      <c r="B1472" s="3" t="s">
        <v>525</v>
      </c>
      <c r="C1472" s="4" t="s">
        <v>21</v>
      </c>
      <c r="D1472" s="5" t="n">
        <v>32048</v>
      </c>
      <c r="E1472" s="6" t="n">
        <v>431.783143939394</v>
      </c>
      <c r="F1472" s="7" t="n">
        <v>65</v>
      </c>
      <c r="G1472" s="6" t="n">
        <v>270.844832978187</v>
      </c>
      <c r="H1472" s="8" t="n">
        <v>147030.69590658</v>
      </c>
      <c r="I1472" s="9" t="n">
        <v>3.34612161437832</v>
      </c>
      <c r="J1472" s="9" t="n">
        <v>7.56549410694871</v>
      </c>
      <c r="K1472" s="3" t="s">
        <v>526</v>
      </c>
      <c r="L1472" s="3" t="s">
        <v>527</v>
      </c>
      <c r="M1472" s="7" t="n">
        <v>2021</v>
      </c>
    </row>
    <row r="1473" customFormat="false" ht="15" hidden="false" customHeight="false" outlineLevel="0" collapsed="false">
      <c r="A1473" s="3" t="n">
        <v>2052</v>
      </c>
      <c r="B1473" s="3" t="s">
        <v>525</v>
      </c>
      <c r="C1473" s="4" t="s">
        <v>22</v>
      </c>
      <c r="D1473" s="5" t="n">
        <v>32082</v>
      </c>
      <c r="E1473" s="6" t="n">
        <v>431.7</v>
      </c>
      <c r="F1473" s="7" t="n">
        <v>68</v>
      </c>
      <c r="G1473" s="6" t="n">
        <v>781.398847664972</v>
      </c>
      <c r="H1473" s="8" t="n">
        <v>611069.526850961</v>
      </c>
      <c r="I1473" s="9" t="n">
        <v>5.54445187395389</v>
      </c>
      <c r="J1473" s="9" t="n">
        <v>21.8036401835748</v>
      </c>
      <c r="K1473" s="3" t="s">
        <v>526</v>
      </c>
      <c r="L1473" s="3" t="s">
        <v>527</v>
      </c>
      <c r="M1473" s="7" t="n">
        <v>2022</v>
      </c>
    </row>
    <row r="1474" customFormat="false" ht="15" hidden="false" customHeight="false" outlineLevel="0" collapsed="false">
      <c r="A1474" s="3" t="n">
        <v>2053</v>
      </c>
      <c r="B1474" s="3" t="s">
        <v>525</v>
      </c>
      <c r="C1474" s="4" t="s">
        <v>23</v>
      </c>
      <c r="D1474" s="5" t="n">
        <v>32116</v>
      </c>
      <c r="E1474" s="6" t="n">
        <v>434.7</v>
      </c>
      <c r="F1474" s="7" t="n">
        <v>74</v>
      </c>
      <c r="G1474" s="6" t="n">
        <v>513.000624999998</v>
      </c>
      <c r="H1474" s="8" t="n">
        <v>443796.840687498</v>
      </c>
      <c r="I1474" s="9" t="n">
        <v>4.77719303508918</v>
      </c>
      <c r="J1474" s="9" t="n">
        <v>14.2992783249384</v>
      </c>
      <c r="K1474" s="3" t="s">
        <v>526</v>
      </c>
      <c r="L1474" s="3" t="s">
        <v>527</v>
      </c>
      <c r="M1474" s="7" t="n">
        <v>2023</v>
      </c>
    </row>
    <row r="1475" customFormat="false" ht="15" hidden="false" customHeight="false" outlineLevel="0" collapsed="false">
      <c r="A1475" s="3" t="n">
        <v>2054</v>
      </c>
      <c r="B1475" s="3" t="s">
        <v>525</v>
      </c>
      <c r="C1475" s="4" t="s">
        <v>24</v>
      </c>
      <c r="D1475" s="5" t="n">
        <v>32138</v>
      </c>
      <c r="E1475" s="6" t="n">
        <v>434.7</v>
      </c>
      <c r="F1475" s="7" t="n">
        <v>69</v>
      </c>
      <c r="G1475" s="6" t="n">
        <v>208.1259</v>
      </c>
      <c r="H1475" s="8" t="n">
        <v>196934.970357</v>
      </c>
      <c r="I1475" s="9" t="n">
        <v>3.38280285429661</v>
      </c>
      <c r="J1475" s="9" t="n">
        <v>5.78140609724161</v>
      </c>
      <c r="K1475" s="3" t="s">
        <v>526</v>
      </c>
      <c r="L1475" s="3" t="s">
        <v>527</v>
      </c>
      <c r="M1475" s="7" t="n">
        <v>2024</v>
      </c>
    </row>
    <row r="1476" customFormat="false" ht="15" hidden="false" customHeight="false" outlineLevel="0" collapsed="false">
      <c r="A1476" s="3" t="n">
        <v>2055</v>
      </c>
      <c r="B1476" s="3" t="s">
        <v>528</v>
      </c>
      <c r="C1476" s="4" t="s">
        <v>14</v>
      </c>
      <c r="D1476" s="5" t="n">
        <v>8670</v>
      </c>
      <c r="E1476" s="6" t="n">
        <v>134.96</v>
      </c>
      <c r="F1476" s="7" t="n">
        <v>67</v>
      </c>
      <c r="G1476" s="6" t="n">
        <v>307.387118413841</v>
      </c>
      <c r="H1476" s="8" t="n">
        <v>289558.665545838</v>
      </c>
      <c r="I1476" s="9" t="n">
        <v>10.3560502592872</v>
      </c>
      <c r="J1476" s="9" t="n">
        <v>31.6513880084905</v>
      </c>
      <c r="K1476" s="3" t="s">
        <v>529</v>
      </c>
      <c r="L1476" s="3" t="s">
        <v>530</v>
      </c>
      <c r="M1476" s="7" t="n">
        <v>2016</v>
      </c>
    </row>
    <row r="1477" customFormat="false" ht="15" hidden="false" customHeight="false" outlineLevel="0" collapsed="false">
      <c r="A1477" s="3" t="n">
        <v>2056</v>
      </c>
      <c r="B1477" s="3" t="s">
        <v>528</v>
      </c>
      <c r="C1477" s="4" t="s">
        <v>17</v>
      </c>
      <c r="D1477" s="5" t="n">
        <v>8670</v>
      </c>
      <c r="E1477" s="6" t="n">
        <v>134.96</v>
      </c>
      <c r="F1477" s="7" t="n">
        <v>69</v>
      </c>
      <c r="G1477" s="6" t="n">
        <v>264.64239524385</v>
      </c>
      <c r="H1477" s="8" t="n">
        <v>263848.468058118</v>
      </c>
      <c r="I1477" s="9" t="n">
        <v>8.79544445220298</v>
      </c>
      <c r="J1477" s="9" t="n">
        <v>27.3248631546839</v>
      </c>
      <c r="K1477" s="3" t="s">
        <v>529</v>
      </c>
      <c r="L1477" s="3" t="s">
        <v>530</v>
      </c>
      <c r="M1477" s="7" t="n">
        <v>2017</v>
      </c>
    </row>
    <row r="1478" customFormat="false" ht="15" hidden="false" customHeight="false" outlineLevel="0" collapsed="false">
      <c r="A1478" s="3" t="n">
        <v>2057</v>
      </c>
      <c r="B1478" s="3" t="s">
        <v>528</v>
      </c>
      <c r="C1478" s="4" t="s">
        <v>18</v>
      </c>
      <c r="D1478" s="5" t="n">
        <v>8670</v>
      </c>
      <c r="E1478" s="6" t="n">
        <v>134.96</v>
      </c>
      <c r="F1478" s="7" t="n">
        <v>73</v>
      </c>
      <c r="G1478" s="6" t="n">
        <v>139.82463264411</v>
      </c>
      <c r="H1478" s="8" t="n">
        <v>141922.002133772</v>
      </c>
      <c r="I1478" s="9" t="n">
        <v>5.17768729596366</v>
      </c>
      <c r="J1478" s="9" t="n">
        <v>14.4371764362764</v>
      </c>
      <c r="K1478" s="3" t="s">
        <v>529</v>
      </c>
      <c r="L1478" s="3" t="s">
        <v>530</v>
      </c>
      <c r="M1478" s="7" t="n">
        <v>2018</v>
      </c>
    </row>
    <row r="1479" customFormat="false" ht="15" hidden="false" customHeight="false" outlineLevel="0" collapsed="false">
      <c r="A1479" s="3" t="n">
        <v>2058</v>
      </c>
      <c r="B1479" s="3" t="s">
        <v>528</v>
      </c>
      <c r="C1479" s="4" t="s">
        <v>19</v>
      </c>
      <c r="D1479" s="5" t="n">
        <v>8670</v>
      </c>
      <c r="E1479" s="6" t="n">
        <v>134.96</v>
      </c>
      <c r="F1479" s="7" t="n">
        <v>71</v>
      </c>
      <c r="G1479" s="6" t="n">
        <v>147.090729887218</v>
      </c>
      <c r="H1479" s="8" t="n">
        <v>154445.266381579</v>
      </c>
      <c r="I1479" s="9" t="n">
        <v>5.50403352918042</v>
      </c>
      <c r="J1479" s="9" t="n">
        <v>15.1874156889615</v>
      </c>
      <c r="K1479" s="3" t="s">
        <v>529</v>
      </c>
      <c r="L1479" s="3" t="s">
        <v>530</v>
      </c>
      <c r="M1479" s="7" t="n">
        <v>2019</v>
      </c>
    </row>
    <row r="1480" customFormat="false" ht="15" hidden="false" customHeight="false" outlineLevel="0" collapsed="false">
      <c r="A1480" s="3" t="n">
        <v>2059</v>
      </c>
      <c r="B1480" s="3" t="s">
        <v>528</v>
      </c>
      <c r="C1480" s="4" t="s">
        <v>20</v>
      </c>
      <c r="D1480" s="5" t="n">
        <v>8718</v>
      </c>
      <c r="E1480" s="6" t="n">
        <v>134.96</v>
      </c>
      <c r="F1480" s="7" t="n">
        <v>71</v>
      </c>
      <c r="G1480" s="6" t="n">
        <v>197.089490538847</v>
      </c>
      <c r="H1480" s="8" t="n">
        <v>212462.470800877</v>
      </c>
      <c r="I1480" s="9" t="n">
        <v>6.79869387099826</v>
      </c>
      <c r="J1480" s="9" t="n">
        <v>20.182399375744</v>
      </c>
      <c r="K1480" s="3" t="s">
        <v>529</v>
      </c>
      <c r="L1480" s="3" t="s">
        <v>530</v>
      </c>
      <c r="M1480" s="7" t="n">
        <v>2020</v>
      </c>
    </row>
    <row r="1481" customFormat="false" ht="15" hidden="false" customHeight="false" outlineLevel="0" collapsed="false">
      <c r="A1481" s="3" t="n">
        <v>2060</v>
      </c>
      <c r="B1481" s="3" t="s">
        <v>528</v>
      </c>
      <c r="C1481" s="4" t="s">
        <v>21</v>
      </c>
      <c r="D1481" s="5" t="n">
        <v>8718</v>
      </c>
      <c r="E1481" s="6" t="n">
        <v>135</v>
      </c>
      <c r="F1481" s="7" t="n">
        <v>64</v>
      </c>
      <c r="G1481" s="6" t="n">
        <v>79.457601378447</v>
      </c>
      <c r="H1481" s="8" t="n">
        <v>87721.1919218054</v>
      </c>
      <c r="I1481" s="9" t="n">
        <v>3.24522298664992</v>
      </c>
      <c r="J1481" s="9" t="n">
        <v>8.15898736313158</v>
      </c>
      <c r="K1481" s="3" t="s">
        <v>529</v>
      </c>
      <c r="L1481" s="3" t="s">
        <v>530</v>
      </c>
      <c r="M1481" s="7" t="n">
        <v>2021</v>
      </c>
    </row>
    <row r="1482" customFormat="false" ht="15" hidden="false" customHeight="false" outlineLevel="0" collapsed="false">
      <c r="A1482" s="3" t="n">
        <v>2061</v>
      </c>
      <c r="B1482" s="3" t="s">
        <v>528</v>
      </c>
      <c r="C1482" s="4" t="s">
        <v>22</v>
      </c>
      <c r="D1482" s="5" t="n">
        <v>8901</v>
      </c>
      <c r="E1482" s="6" t="n">
        <v>135</v>
      </c>
      <c r="F1482" s="7" t="n">
        <v>73</v>
      </c>
      <c r="G1482" s="6" t="n">
        <v>186.303297117795</v>
      </c>
      <c r="H1482" s="8" t="n">
        <v>212944.668605639</v>
      </c>
      <c r="I1482" s="9" t="n">
        <v>6.34288460383252</v>
      </c>
      <c r="J1482" s="9" t="n">
        <v>18.7369722839916</v>
      </c>
      <c r="K1482" s="3" t="s">
        <v>529</v>
      </c>
      <c r="L1482" s="3" t="s">
        <v>530</v>
      </c>
      <c r="M1482" s="7" t="n">
        <v>2022</v>
      </c>
    </row>
    <row r="1483" customFormat="false" ht="15" hidden="false" customHeight="false" outlineLevel="0" collapsed="false">
      <c r="A1483" s="3" t="n">
        <v>2062</v>
      </c>
      <c r="B1483" s="3" t="s">
        <v>528</v>
      </c>
      <c r="C1483" s="4" t="s">
        <v>23</v>
      </c>
      <c r="D1483" s="5" t="n">
        <v>8901</v>
      </c>
      <c r="E1483" s="6" t="n">
        <v>135</v>
      </c>
      <c r="F1483" s="7" t="n">
        <v>71</v>
      </c>
      <c r="G1483" s="6" t="n">
        <v>188.446258282828</v>
      </c>
      <c r="H1483" s="8" t="n">
        <v>236688.500403232</v>
      </c>
      <c r="I1483" s="9" t="n">
        <v>8.18384209864416</v>
      </c>
      <c r="J1483" s="9" t="n">
        <v>18.9524950609691</v>
      </c>
      <c r="K1483" s="3" t="s">
        <v>529</v>
      </c>
      <c r="L1483" s="3" t="s">
        <v>530</v>
      </c>
      <c r="M1483" s="7" t="n">
        <v>2023</v>
      </c>
    </row>
    <row r="1484" customFormat="false" ht="15" hidden="false" customHeight="false" outlineLevel="0" collapsed="false">
      <c r="A1484" s="3" t="n">
        <v>2063</v>
      </c>
      <c r="B1484" s="3" t="s">
        <v>528</v>
      </c>
      <c r="C1484" s="4" t="s">
        <v>24</v>
      </c>
      <c r="D1484" s="5" t="n">
        <v>8900</v>
      </c>
      <c r="E1484" s="6" t="n">
        <v>132.4</v>
      </c>
      <c r="F1484" s="7" t="n">
        <v>68</v>
      </c>
      <c r="G1484" s="6" t="n">
        <v>208.106947171718</v>
      </c>
      <c r="H1484" s="8" t="n">
        <v>261382.325647677</v>
      </c>
      <c r="I1484" s="9" t="n">
        <v>9.0244865332224</v>
      </c>
      <c r="J1484" s="9" t="n">
        <v>20.8748212537637</v>
      </c>
      <c r="K1484" s="3" t="s">
        <v>529</v>
      </c>
      <c r="L1484" s="3" t="s">
        <v>530</v>
      </c>
      <c r="M1484" s="7" t="n">
        <v>2024</v>
      </c>
    </row>
    <row r="1485" customFormat="false" ht="15" hidden="false" customHeight="false" outlineLevel="0" collapsed="false">
      <c r="A1485" s="3" t="n">
        <v>2064</v>
      </c>
      <c r="B1485" s="3" t="s">
        <v>531</v>
      </c>
      <c r="C1485" s="4" t="s">
        <v>14</v>
      </c>
      <c r="D1485" s="5" t="n">
        <v>13121</v>
      </c>
      <c r="E1485" s="6" t="n">
        <v>165</v>
      </c>
      <c r="F1485" s="7" t="n">
        <v>57</v>
      </c>
      <c r="G1485" s="6" t="n">
        <v>368.470436868686</v>
      </c>
      <c r="H1485" s="8" t="n">
        <v>365913.252036817</v>
      </c>
      <c r="I1485" s="9" t="n">
        <v>6.15312752133849</v>
      </c>
      <c r="J1485" s="9" t="n">
        <v>25.070437189802</v>
      </c>
      <c r="K1485" s="3" t="s">
        <v>532</v>
      </c>
      <c r="L1485" s="3" t="s">
        <v>533</v>
      </c>
      <c r="M1485" s="7" t="n">
        <v>2016</v>
      </c>
    </row>
    <row r="1486" customFormat="false" ht="15" hidden="false" customHeight="false" outlineLevel="0" collapsed="false">
      <c r="A1486" s="3" t="n">
        <v>2065</v>
      </c>
      <c r="B1486" s="3" t="s">
        <v>531</v>
      </c>
      <c r="C1486" s="4" t="s">
        <v>17</v>
      </c>
      <c r="D1486" s="5" t="n">
        <v>13121</v>
      </c>
      <c r="E1486" s="6" t="n">
        <v>165</v>
      </c>
      <c r="F1486" s="7" t="n">
        <v>71</v>
      </c>
      <c r="G1486" s="6" t="n">
        <v>393.246141414141</v>
      </c>
      <c r="H1486" s="8" t="n">
        <v>252027.519570909</v>
      </c>
      <c r="I1486" s="9" t="n">
        <v>6.24600991282748</v>
      </c>
      <c r="J1486" s="9" t="n">
        <v>26.8296624624772</v>
      </c>
      <c r="K1486" s="3" t="s">
        <v>532</v>
      </c>
      <c r="L1486" s="3" t="s">
        <v>533</v>
      </c>
      <c r="M1486" s="7" t="n">
        <v>2017</v>
      </c>
    </row>
    <row r="1487" customFormat="false" ht="15" hidden="false" customHeight="false" outlineLevel="0" collapsed="false">
      <c r="A1487" s="3" t="n">
        <v>2066</v>
      </c>
      <c r="B1487" s="3" t="s">
        <v>531</v>
      </c>
      <c r="C1487" s="4" t="s">
        <v>18</v>
      </c>
      <c r="D1487" s="5" t="n">
        <v>13121</v>
      </c>
      <c r="E1487" s="6" t="n">
        <v>165</v>
      </c>
      <c r="F1487" s="7" t="n">
        <v>61</v>
      </c>
      <c r="G1487" s="6" t="n">
        <v>472.03937059416</v>
      </c>
      <c r="H1487" s="8" t="n">
        <v>186077.919888218</v>
      </c>
      <c r="I1487" s="9" t="n">
        <v>6.70872528586718</v>
      </c>
      <c r="J1487" s="9" t="n">
        <v>32.2054195789397</v>
      </c>
      <c r="K1487" s="3" t="s">
        <v>532</v>
      </c>
      <c r="L1487" s="3" t="s">
        <v>533</v>
      </c>
      <c r="M1487" s="7" t="n">
        <v>2018</v>
      </c>
    </row>
    <row r="1488" customFormat="false" ht="15" hidden="false" customHeight="false" outlineLevel="0" collapsed="false">
      <c r="A1488" s="3" t="n">
        <v>2067</v>
      </c>
      <c r="B1488" s="3" t="s">
        <v>531</v>
      </c>
      <c r="C1488" s="4" t="s">
        <v>19</v>
      </c>
      <c r="D1488" s="5" t="n">
        <v>13121</v>
      </c>
      <c r="E1488" s="6" t="n">
        <v>165</v>
      </c>
      <c r="F1488" s="7" t="n">
        <v>61</v>
      </c>
      <c r="G1488" s="6" t="n">
        <v>510.184842900301</v>
      </c>
      <c r="H1488" s="8" t="n">
        <v>281760.011460115</v>
      </c>
      <c r="I1488" s="9" t="n">
        <v>7.50834393833888</v>
      </c>
      <c r="J1488" s="9" t="n">
        <v>34.8079375407567</v>
      </c>
      <c r="K1488" s="3" t="s">
        <v>532</v>
      </c>
      <c r="L1488" s="3" t="s">
        <v>533</v>
      </c>
      <c r="M1488" s="7" t="n">
        <v>2019</v>
      </c>
    </row>
    <row r="1489" customFormat="false" ht="15" hidden="false" customHeight="false" outlineLevel="0" collapsed="false">
      <c r="A1489" s="3" t="n">
        <v>2068</v>
      </c>
      <c r="B1489" s="3" t="s">
        <v>531</v>
      </c>
      <c r="C1489" s="4" t="s">
        <v>20</v>
      </c>
      <c r="D1489" s="5" t="n">
        <v>13121</v>
      </c>
      <c r="E1489" s="6" t="n">
        <v>165</v>
      </c>
      <c r="F1489" s="7" t="n">
        <v>65</v>
      </c>
      <c r="G1489" s="6" t="n">
        <v>362.142206924231</v>
      </c>
      <c r="H1489" s="8" t="n">
        <v>228044.569122257</v>
      </c>
      <c r="I1489" s="9" t="n">
        <v>5.56133116674884</v>
      </c>
      <c r="J1489" s="9" t="n">
        <v>24.639869427858</v>
      </c>
      <c r="K1489" s="3" t="s">
        <v>532</v>
      </c>
      <c r="L1489" s="3" t="s">
        <v>533</v>
      </c>
      <c r="M1489" s="7" t="n">
        <v>2020</v>
      </c>
    </row>
    <row r="1490" customFormat="false" ht="15" hidden="false" customHeight="false" outlineLevel="0" collapsed="false">
      <c r="A1490" s="3" t="n">
        <v>2069</v>
      </c>
      <c r="B1490" s="3" t="s">
        <v>531</v>
      </c>
      <c r="C1490" s="4" t="s">
        <v>21</v>
      </c>
      <c r="D1490" s="5" t="n">
        <v>13121</v>
      </c>
      <c r="E1490" s="6" t="n">
        <v>165</v>
      </c>
      <c r="F1490" s="7" t="n">
        <v>65</v>
      </c>
      <c r="G1490" s="6" t="n">
        <v>180.840890907001</v>
      </c>
      <c r="H1490" s="8" t="n">
        <v>126729.568815961</v>
      </c>
      <c r="I1490" s="9" t="n">
        <v>3.53648763063556</v>
      </c>
      <c r="J1490" s="9" t="n">
        <v>12.3380741766485</v>
      </c>
      <c r="K1490" s="3" t="s">
        <v>532</v>
      </c>
      <c r="L1490" s="3" t="s">
        <v>533</v>
      </c>
      <c r="M1490" s="7" t="n">
        <v>2021</v>
      </c>
    </row>
    <row r="1491" customFormat="false" ht="15" hidden="false" customHeight="false" outlineLevel="0" collapsed="false">
      <c r="A1491" s="3" t="n">
        <v>2070</v>
      </c>
      <c r="B1491" s="3" t="s">
        <v>531</v>
      </c>
      <c r="C1491" s="4" t="s">
        <v>22</v>
      </c>
      <c r="D1491" s="5" t="n">
        <v>13088</v>
      </c>
      <c r="E1491" s="6" t="n">
        <v>165</v>
      </c>
      <c r="F1491" s="7" t="n">
        <v>70</v>
      </c>
      <c r="G1491" s="6" t="n">
        <v>314.759740433032</v>
      </c>
      <c r="H1491" s="8" t="n">
        <v>207275.58426996</v>
      </c>
      <c r="I1491" s="9" t="n">
        <v>5.2262172955767</v>
      </c>
      <c r="J1491" s="9" t="n">
        <v>21.5289855693337</v>
      </c>
      <c r="K1491" s="3" t="s">
        <v>532</v>
      </c>
      <c r="L1491" s="3" t="s">
        <v>533</v>
      </c>
      <c r="M1491" s="7" t="n">
        <v>2022</v>
      </c>
    </row>
    <row r="1492" customFormat="false" ht="15" hidden="false" customHeight="false" outlineLevel="0" collapsed="false">
      <c r="A1492" s="3" t="n">
        <v>2071</v>
      </c>
      <c r="B1492" s="3" t="s">
        <v>531</v>
      </c>
      <c r="C1492" s="4" t="s">
        <v>23</v>
      </c>
      <c r="D1492" s="5" t="n">
        <v>13088</v>
      </c>
      <c r="E1492" s="6" t="n">
        <v>165</v>
      </c>
      <c r="F1492" s="7" t="n">
        <v>64</v>
      </c>
      <c r="G1492" s="6" t="n">
        <v>129.155185475105</v>
      </c>
      <c r="H1492" s="8" t="n">
        <v>90233.7925414877</v>
      </c>
      <c r="I1492" s="9" t="n">
        <v>3.47433195520878</v>
      </c>
      <c r="J1492" s="9" t="n">
        <v>8.83397641792675</v>
      </c>
      <c r="K1492" s="3" t="s">
        <v>532</v>
      </c>
      <c r="L1492" s="3" t="s">
        <v>533</v>
      </c>
      <c r="M1492" s="7" t="n">
        <v>2023</v>
      </c>
    </row>
    <row r="1493" customFormat="false" ht="15" hidden="false" customHeight="false" outlineLevel="0" collapsed="false">
      <c r="A1493" s="3" t="n">
        <v>2072</v>
      </c>
      <c r="B1493" s="3" t="s">
        <v>531</v>
      </c>
      <c r="C1493" s="4" t="s">
        <v>24</v>
      </c>
      <c r="D1493" s="5" t="n">
        <v>13088</v>
      </c>
      <c r="E1493" s="6" t="n">
        <v>165</v>
      </c>
      <c r="F1493" s="7" t="n">
        <v>71</v>
      </c>
      <c r="G1493" s="6" t="n">
        <v>-162.773510248673</v>
      </c>
      <c r="H1493" s="8" t="n">
        <v>-104069.243777489</v>
      </c>
      <c r="I1493" s="9" t="n">
        <v>-0.994721252569209</v>
      </c>
      <c r="J1493" s="9" t="n">
        <v>-11.1029053253928</v>
      </c>
      <c r="K1493" s="3" t="s">
        <v>532</v>
      </c>
      <c r="L1493" s="3" t="s">
        <v>533</v>
      </c>
      <c r="M1493" s="7" t="n">
        <v>2024</v>
      </c>
    </row>
    <row r="1494" customFormat="false" ht="15" hidden="false" customHeight="false" outlineLevel="0" collapsed="false">
      <c r="A1494" s="3" t="n">
        <v>2073</v>
      </c>
      <c r="B1494" s="3" t="s">
        <v>534</v>
      </c>
      <c r="C1494" s="4" t="s">
        <v>14</v>
      </c>
      <c r="D1494" s="5" t="n">
        <v>27724</v>
      </c>
      <c r="E1494" s="6" t="n">
        <v>245.8</v>
      </c>
      <c r="F1494" s="7" t="n">
        <v>77</v>
      </c>
      <c r="G1494" s="6" t="n">
        <v>601.725211569298</v>
      </c>
      <c r="H1494" s="8" t="n">
        <v>322969.990057705</v>
      </c>
      <c r="I1494" s="9" t="n">
        <v>6.13409178925522</v>
      </c>
      <c r="J1494" s="9" t="n">
        <v>19.3761956818055</v>
      </c>
      <c r="K1494" s="3" t="s">
        <v>535</v>
      </c>
      <c r="L1494" s="3" t="s">
        <v>536</v>
      </c>
      <c r="M1494" s="7" t="n">
        <v>2016</v>
      </c>
    </row>
    <row r="1495" customFormat="false" ht="15" hidden="false" customHeight="false" outlineLevel="0" collapsed="false">
      <c r="A1495" s="3" t="n">
        <v>2074</v>
      </c>
      <c r="B1495" s="3" t="s">
        <v>534</v>
      </c>
      <c r="C1495" s="4" t="s">
        <v>17</v>
      </c>
      <c r="D1495" s="5" t="n">
        <v>27911</v>
      </c>
      <c r="E1495" s="6" t="n">
        <v>245.8</v>
      </c>
      <c r="F1495" s="7" t="n">
        <v>74</v>
      </c>
      <c r="G1495" s="6" t="n">
        <v>763.599689119475</v>
      </c>
      <c r="H1495" s="8" t="n">
        <v>476168.519598111</v>
      </c>
      <c r="I1495" s="9" t="n">
        <v>8.09427590635003</v>
      </c>
      <c r="J1495" s="9" t="n">
        <v>24.4910847213405</v>
      </c>
      <c r="K1495" s="3" t="s">
        <v>535</v>
      </c>
      <c r="L1495" s="3" t="s">
        <v>536</v>
      </c>
      <c r="M1495" s="7" t="n">
        <v>2017</v>
      </c>
    </row>
    <row r="1496" customFormat="false" ht="15" hidden="false" customHeight="false" outlineLevel="0" collapsed="false">
      <c r="A1496" s="3" t="n">
        <v>2075</v>
      </c>
      <c r="B1496" s="3" t="s">
        <v>534</v>
      </c>
      <c r="C1496" s="4" t="s">
        <v>18</v>
      </c>
      <c r="D1496" s="5" t="n">
        <v>28117</v>
      </c>
      <c r="E1496" s="6" t="n">
        <v>289.6</v>
      </c>
      <c r="F1496" s="7" t="n">
        <v>71</v>
      </c>
      <c r="G1496" s="6" t="n">
        <v>467.810502222222</v>
      </c>
      <c r="H1496" s="8" t="n">
        <v>278328.536402133</v>
      </c>
      <c r="I1496" s="9" t="n">
        <v>5.97395789317081</v>
      </c>
      <c r="J1496" s="9" t="n">
        <v>14.8942507465482</v>
      </c>
      <c r="K1496" s="3" t="s">
        <v>535</v>
      </c>
      <c r="L1496" s="3" t="s">
        <v>536</v>
      </c>
      <c r="M1496" s="7" t="n">
        <v>2018</v>
      </c>
    </row>
    <row r="1497" customFormat="false" ht="15" hidden="false" customHeight="false" outlineLevel="0" collapsed="false">
      <c r="A1497" s="3" t="n">
        <v>2076</v>
      </c>
      <c r="B1497" s="3" t="s">
        <v>534</v>
      </c>
      <c r="C1497" s="4" t="s">
        <v>19</v>
      </c>
      <c r="D1497" s="5" t="n">
        <v>28395</v>
      </c>
      <c r="E1497" s="6" t="n">
        <v>290.6</v>
      </c>
      <c r="F1497" s="7" t="n">
        <v>74</v>
      </c>
      <c r="G1497" s="6" t="n">
        <v>786.657171666666</v>
      </c>
      <c r="H1497" s="8" t="n">
        <v>468887.007171916</v>
      </c>
      <c r="I1497" s="9" t="n">
        <v>7.62428422720609</v>
      </c>
      <c r="J1497" s="9" t="n">
        <v>24.8005497451334</v>
      </c>
      <c r="K1497" s="3" t="s">
        <v>535</v>
      </c>
      <c r="L1497" s="3" t="s">
        <v>536</v>
      </c>
      <c r="M1497" s="7" t="n">
        <v>2019</v>
      </c>
    </row>
    <row r="1498" customFormat="false" ht="15" hidden="false" customHeight="false" outlineLevel="0" collapsed="false">
      <c r="A1498" s="3" t="n">
        <v>2077</v>
      </c>
      <c r="B1498" s="3" t="s">
        <v>534</v>
      </c>
      <c r="C1498" s="4" t="s">
        <v>20</v>
      </c>
      <c r="D1498" s="5" t="n">
        <v>28550</v>
      </c>
      <c r="E1498" s="6" t="n">
        <v>270</v>
      </c>
      <c r="F1498" s="7" t="n">
        <v>70</v>
      </c>
      <c r="G1498" s="6" t="n">
        <v>879.735157639593</v>
      </c>
      <c r="H1498" s="8" t="n">
        <v>542031.222676482</v>
      </c>
      <c r="I1498" s="9" t="n">
        <v>8.27972037010682</v>
      </c>
      <c r="J1498" s="9" t="n">
        <v>27.5088243026672</v>
      </c>
      <c r="K1498" s="3" t="s">
        <v>535</v>
      </c>
      <c r="L1498" s="3" t="s">
        <v>536</v>
      </c>
      <c r="M1498" s="7" t="n">
        <v>2020</v>
      </c>
    </row>
    <row r="1499" customFormat="false" ht="15" hidden="false" customHeight="false" outlineLevel="0" collapsed="false">
      <c r="A1499" s="3" t="n">
        <v>2078</v>
      </c>
      <c r="B1499" s="3" t="s">
        <v>534</v>
      </c>
      <c r="C1499" s="4" t="s">
        <v>21</v>
      </c>
      <c r="D1499" s="5" t="n">
        <v>28671</v>
      </c>
      <c r="E1499" s="6" t="n">
        <v>270.6</v>
      </c>
      <c r="F1499" s="7" t="n">
        <v>72</v>
      </c>
      <c r="G1499" s="6" t="n">
        <v>579.219095448357</v>
      </c>
      <c r="H1499" s="8" t="n">
        <v>361340.040504503</v>
      </c>
      <c r="I1499" s="9" t="n">
        <v>6.14856682875813</v>
      </c>
      <c r="J1499" s="9" t="n">
        <v>18.0849663414292</v>
      </c>
      <c r="K1499" s="3" t="s">
        <v>535</v>
      </c>
      <c r="L1499" s="3" t="s">
        <v>536</v>
      </c>
      <c r="M1499" s="7" t="n">
        <v>2021</v>
      </c>
    </row>
    <row r="1500" customFormat="false" ht="15" hidden="false" customHeight="false" outlineLevel="0" collapsed="false">
      <c r="A1500" s="3" t="n">
        <v>2079</v>
      </c>
      <c r="B1500" s="3" t="s">
        <v>534</v>
      </c>
      <c r="C1500" s="4" t="s">
        <v>22</v>
      </c>
      <c r="D1500" s="5" t="n">
        <v>28735</v>
      </c>
      <c r="E1500" s="6" t="n">
        <v>269.8</v>
      </c>
      <c r="F1500" s="7" t="n">
        <v>72</v>
      </c>
      <c r="G1500" s="6" t="n">
        <v>667.726433857071</v>
      </c>
      <c r="H1500" s="8" t="n">
        <v>455625.433364629</v>
      </c>
      <c r="I1500" s="9" t="n">
        <v>6.84468302720475</v>
      </c>
      <c r="J1500" s="9" t="n">
        <v>20.8019976211918</v>
      </c>
      <c r="K1500" s="3" t="s">
        <v>535</v>
      </c>
      <c r="L1500" s="3" t="s">
        <v>536</v>
      </c>
      <c r="M1500" s="7" t="n">
        <v>2022</v>
      </c>
    </row>
    <row r="1501" customFormat="false" ht="15" hidden="false" customHeight="false" outlineLevel="0" collapsed="false">
      <c r="A1501" s="3" t="n">
        <v>2080</v>
      </c>
      <c r="B1501" s="3" t="s">
        <v>534</v>
      </c>
      <c r="C1501" s="4" t="s">
        <v>23</v>
      </c>
      <c r="D1501" s="5" t="n">
        <v>28900</v>
      </c>
      <c r="E1501" s="6" t="n">
        <v>269.267919468032</v>
      </c>
      <c r="F1501" s="7" t="n">
        <v>73</v>
      </c>
      <c r="G1501" s="6" t="n">
        <v>634.603728718145</v>
      </c>
      <c r="H1501" s="8" t="n">
        <v>558189.870953633</v>
      </c>
      <c r="I1501" s="9" t="n">
        <v>6.50389088814362</v>
      </c>
      <c r="J1501" s="9" t="n">
        <v>19.6572359791757</v>
      </c>
      <c r="K1501" s="3" t="s">
        <v>535</v>
      </c>
      <c r="L1501" s="3" t="s">
        <v>536</v>
      </c>
      <c r="M1501" s="7" t="n">
        <v>2023</v>
      </c>
    </row>
    <row r="1502" customFormat="false" ht="15" hidden="false" customHeight="false" outlineLevel="0" collapsed="false">
      <c r="A1502" s="3" t="n">
        <v>2081</v>
      </c>
      <c r="B1502" s="3" t="s">
        <v>534</v>
      </c>
      <c r="C1502" s="4" t="s">
        <v>24</v>
      </c>
      <c r="D1502" s="5" t="n">
        <v>28970</v>
      </c>
      <c r="E1502" s="6" t="n">
        <v>303.991358964015</v>
      </c>
      <c r="F1502" s="7" t="n">
        <v>73</v>
      </c>
      <c r="G1502" s="6" t="n">
        <v>718.14544521255</v>
      </c>
      <c r="H1502" s="8" t="n">
        <v>680134.721676423</v>
      </c>
      <c r="I1502" s="9" t="n">
        <v>7.54922891539602</v>
      </c>
      <c r="J1502" s="9" t="n">
        <v>22.1304430627768</v>
      </c>
      <c r="K1502" s="3" t="s">
        <v>535</v>
      </c>
      <c r="L1502" s="3" t="s">
        <v>536</v>
      </c>
      <c r="M1502" s="7" t="n">
        <v>2024</v>
      </c>
    </row>
    <row r="1503" customFormat="false" ht="15" hidden="false" customHeight="false" outlineLevel="0" collapsed="false">
      <c r="A1503" s="3" t="n">
        <v>2082</v>
      </c>
      <c r="B1503" s="3" t="s">
        <v>537</v>
      </c>
      <c r="C1503" s="4" t="s">
        <v>14</v>
      </c>
      <c r="D1503" s="5" t="n">
        <v>26577</v>
      </c>
      <c r="E1503" s="6" t="n">
        <v>303</v>
      </c>
      <c r="F1503" s="7" t="n">
        <v>62</v>
      </c>
      <c r="G1503" s="6" t="n">
        <v>619.841535913392</v>
      </c>
      <c r="H1503" s="8" t="n">
        <v>768051.845565643</v>
      </c>
      <c r="I1503" s="9" t="n">
        <v>6.4522639435971</v>
      </c>
      <c r="J1503" s="9" t="n">
        <v>20.8209677972575</v>
      </c>
      <c r="K1503" s="3" t="s">
        <v>538</v>
      </c>
      <c r="L1503" s="3" t="s">
        <v>539</v>
      </c>
      <c r="M1503" s="7" t="n">
        <v>2016</v>
      </c>
    </row>
    <row r="1504" customFormat="false" ht="15" hidden="false" customHeight="false" outlineLevel="0" collapsed="false">
      <c r="A1504" s="3" t="n">
        <v>2083</v>
      </c>
      <c r="B1504" s="3" t="s">
        <v>537</v>
      </c>
      <c r="C1504" s="4" t="s">
        <v>17</v>
      </c>
      <c r="D1504" s="5" t="n">
        <v>26618</v>
      </c>
      <c r="E1504" s="6" t="n">
        <v>303</v>
      </c>
      <c r="F1504" s="7" t="n">
        <v>60</v>
      </c>
      <c r="G1504" s="6" t="n">
        <v>880.607096826453</v>
      </c>
      <c r="H1504" s="8" t="n">
        <v>1123751.5223312</v>
      </c>
      <c r="I1504" s="9" t="n">
        <v>7.89764509602846</v>
      </c>
      <c r="J1504" s="9" t="n">
        <v>29.6158658963319</v>
      </c>
      <c r="K1504" s="3" t="s">
        <v>538</v>
      </c>
      <c r="L1504" s="3" t="s">
        <v>539</v>
      </c>
      <c r="M1504" s="7" t="n">
        <v>2017</v>
      </c>
    </row>
    <row r="1505" customFormat="false" ht="15" hidden="false" customHeight="false" outlineLevel="0" collapsed="false">
      <c r="A1505" s="3" t="n">
        <v>2084</v>
      </c>
      <c r="B1505" s="3" t="s">
        <v>537</v>
      </c>
      <c r="C1505" s="4" t="s">
        <v>18</v>
      </c>
      <c r="D1505" s="5" t="n">
        <v>26721</v>
      </c>
      <c r="E1505" s="6" t="n">
        <v>300.7</v>
      </c>
      <c r="F1505" s="7" t="n">
        <v>64</v>
      </c>
      <c r="G1505" s="6" t="n">
        <v>846.16957727273</v>
      </c>
      <c r="H1505" s="8" t="n">
        <v>858862.120931821</v>
      </c>
      <c r="I1505" s="9" t="n">
        <v>7.33444279624836</v>
      </c>
      <c r="J1505" s="9" t="n">
        <v>28.3479967523482</v>
      </c>
      <c r="K1505" s="3" t="s">
        <v>538</v>
      </c>
      <c r="L1505" s="3" t="s">
        <v>539</v>
      </c>
      <c r="M1505" s="7" t="n">
        <v>2018</v>
      </c>
    </row>
    <row r="1506" customFormat="false" ht="15" hidden="false" customHeight="false" outlineLevel="0" collapsed="false">
      <c r="A1506" s="3" t="n">
        <v>2085</v>
      </c>
      <c r="B1506" s="3" t="s">
        <v>537</v>
      </c>
      <c r="C1506" s="4" t="s">
        <v>43</v>
      </c>
      <c r="D1506" s="5" t="n">
        <v>26817</v>
      </c>
      <c r="E1506" s="6" t="n">
        <v>300.556742424242</v>
      </c>
      <c r="F1506" s="7" t="n">
        <v>63</v>
      </c>
      <c r="G1506" s="6" t="n">
        <v>685.663276262629</v>
      </c>
      <c r="H1506" s="8" t="n">
        <v>707947.332741164</v>
      </c>
      <c r="I1506" s="9" t="n">
        <v>6.44540795010349</v>
      </c>
      <c r="J1506" s="9" t="n">
        <v>22.8885548073137</v>
      </c>
      <c r="K1506" s="3" t="s">
        <v>538</v>
      </c>
      <c r="L1506" s="3" t="s">
        <v>539</v>
      </c>
      <c r="M1506" s="7" t="n">
        <v>2018</v>
      </c>
    </row>
    <row r="1507" customFormat="false" ht="15" hidden="false" customHeight="false" outlineLevel="0" collapsed="false">
      <c r="A1507" s="3" t="n">
        <v>2086</v>
      </c>
      <c r="B1507" s="3" t="s">
        <v>537</v>
      </c>
      <c r="C1507" s="4" t="s">
        <v>44</v>
      </c>
      <c r="D1507" s="5" t="n">
        <v>27480</v>
      </c>
      <c r="E1507" s="6" t="n">
        <v>300.556742424242</v>
      </c>
      <c r="F1507" s="7" t="n">
        <v>68</v>
      </c>
      <c r="G1507" s="6" t="n">
        <v>354.406140155949</v>
      </c>
      <c r="H1507" s="8" t="n">
        <v>377088.13312593</v>
      </c>
      <c r="I1507" s="9" t="n">
        <v>4.14101331388687</v>
      </c>
      <c r="J1507" s="9" t="n">
        <v>11.5135884803849</v>
      </c>
      <c r="K1507" s="3" t="s">
        <v>538</v>
      </c>
      <c r="L1507" s="3" t="s">
        <v>539</v>
      </c>
      <c r="M1507" s="7" t="n">
        <v>2019</v>
      </c>
    </row>
    <row r="1508" customFormat="false" ht="15" hidden="false" customHeight="false" outlineLevel="0" collapsed="false">
      <c r="A1508" s="3" t="n">
        <v>2087</v>
      </c>
      <c r="B1508" s="3" t="s">
        <v>537</v>
      </c>
      <c r="C1508" s="4" t="s">
        <v>45</v>
      </c>
      <c r="D1508" s="5" t="n">
        <v>26817</v>
      </c>
      <c r="E1508" s="6" t="n">
        <v>301.22</v>
      </c>
      <c r="F1508" s="7" t="n">
        <v>75</v>
      </c>
      <c r="G1508" s="6" t="n">
        <v>674.099515261624</v>
      </c>
      <c r="H1508" s="8" t="n">
        <v>739637.375863984</v>
      </c>
      <c r="I1508" s="9" t="n">
        <v>6.62087178679382</v>
      </c>
      <c r="J1508" s="9" t="n">
        <v>22.5025376665199</v>
      </c>
      <c r="K1508" s="3" t="s">
        <v>538</v>
      </c>
      <c r="L1508" s="3" t="s">
        <v>539</v>
      </c>
      <c r="M1508" s="7" t="n">
        <v>2020</v>
      </c>
    </row>
    <row r="1509" customFormat="false" ht="15" hidden="false" customHeight="false" outlineLevel="0" collapsed="false">
      <c r="A1509" s="3" t="n">
        <v>2088</v>
      </c>
      <c r="B1509" s="3" t="s">
        <v>537</v>
      </c>
      <c r="C1509" s="4" t="s">
        <v>46</v>
      </c>
      <c r="D1509" s="5" t="n">
        <v>26877</v>
      </c>
      <c r="E1509" s="6" t="n">
        <v>301.22</v>
      </c>
      <c r="F1509" s="7" t="n">
        <v>74</v>
      </c>
      <c r="G1509" s="6" t="n">
        <v>191.600307422462</v>
      </c>
      <c r="H1509" s="8" t="n">
        <v>215431.553659667</v>
      </c>
      <c r="I1509" s="9" t="n">
        <v>3.5778152715316</v>
      </c>
      <c r="J1509" s="9" t="n">
        <v>6.38165151358188</v>
      </c>
      <c r="K1509" s="3" t="s">
        <v>538</v>
      </c>
      <c r="L1509" s="3" t="s">
        <v>539</v>
      </c>
      <c r="M1509" s="7" t="n">
        <v>2021</v>
      </c>
    </row>
    <row r="1510" customFormat="false" ht="15" hidden="false" customHeight="false" outlineLevel="0" collapsed="false">
      <c r="A1510" s="3" t="n">
        <v>2089</v>
      </c>
      <c r="B1510" s="3" t="s">
        <v>537</v>
      </c>
      <c r="C1510" s="4" t="s">
        <v>47</v>
      </c>
      <c r="D1510" s="5" t="n">
        <v>26935</v>
      </c>
      <c r="E1510" s="6" t="n">
        <v>301.5</v>
      </c>
      <c r="F1510" s="7" t="n">
        <v>76</v>
      </c>
      <c r="G1510" s="6" t="n">
        <v>349.769104725846</v>
      </c>
      <c r="H1510" s="8" t="n">
        <v>409572.717311523</v>
      </c>
      <c r="I1510" s="9" t="n">
        <v>4.94215195733275</v>
      </c>
      <c r="J1510" s="9" t="n">
        <v>11.624710336853</v>
      </c>
      <c r="K1510" s="3" t="s">
        <v>538</v>
      </c>
      <c r="L1510" s="3" t="s">
        <v>539</v>
      </c>
      <c r="M1510" s="7" t="n">
        <v>2022</v>
      </c>
    </row>
    <row r="1511" customFormat="false" ht="15" hidden="false" customHeight="false" outlineLevel="0" collapsed="false">
      <c r="A1511" s="3" t="n">
        <v>2090</v>
      </c>
      <c r="B1511" s="3" t="s">
        <v>537</v>
      </c>
      <c r="C1511" s="4" t="s">
        <v>48</v>
      </c>
      <c r="D1511" s="5" t="n">
        <v>26935</v>
      </c>
      <c r="E1511" s="6" t="n">
        <v>301.1</v>
      </c>
      <c r="F1511" s="7" t="n">
        <v>76</v>
      </c>
      <c r="G1511" s="6" t="n">
        <v>424.727614593907</v>
      </c>
      <c r="H1511" s="8" t="n">
        <v>525175.695445366</v>
      </c>
      <c r="I1511" s="9" t="n">
        <v>5.58780219291535</v>
      </c>
      <c r="J1511" s="9" t="n">
        <v>14.0773112279983</v>
      </c>
      <c r="K1511" s="3" t="s">
        <v>538</v>
      </c>
      <c r="L1511" s="3" t="s">
        <v>539</v>
      </c>
      <c r="M1511" s="7" t="n">
        <v>2023</v>
      </c>
    </row>
    <row r="1512" customFormat="false" ht="15" hidden="false" customHeight="false" outlineLevel="0" collapsed="false">
      <c r="A1512" s="3" t="n">
        <v>2091</v>
      </c>
      <c r="B1512" s="3" t="s">
        <v>537</v>
      </c>
      <c r="C1512" s="4" t="s">
        <v>49</v>
      </c>
      <c r="D1512" s="5" t="n">
        <v>26769</v>
      </c>
      <c r="E1512" s="6" t="n">
        <v>301.1</v>
      </c>
      <c r="F1512" s="7" t="n">
        <v>77</v>
      </c>
      <c r="G1512" s="6" t="n">
        <v>432.848554235282</v>
      </c>
      <c r="H1512" s="8" t="n">
        <v>574632.279655417</v>
      </c>
      <c r="I1512" s="9" t="n">
        <v>5.43080976135983</v>
      </c>
      <c r="J1512" s="9" t="n">
        <v>14.4750975117315</v>
      </c>
      <c r="K1512" s="3" t="s">
        <v>538</v>
      </c>
      <c r="L1512" s="3" t="s">
        <v>539</v>
      </c>
      <c r="M1512" s="7" t="n">
        <v>2024</v>
      </c>
    </row>
    <row r="1513" customFormat="false" ht="15" hidden="false" customHeight="false" outlineLevel="0" collapsed="false">
      <c r="A1513" s="3" t="n">
        <v>2092</v>
      </c>
      <c r="B1513" s="3" t="s">
        <v>540</v>
      </c>
      <c r="C1513" s="4" t="s">
        <v>14</v>
      </c>
      <c r="D1513" s="5" t="n">
        <v>36386</v>
      </c>
      <c r="E1513" s="6" t="n">
        <v>462</v>
      </c>
      <c r="F1513" s="7" t="n">
        <v>80</v>
      </c>
      <c r="G1513" s="6" t="n">
        <v>2067.94069373073</v>
      </c>
      <c r="H1513" s="8" t="n">
        <v>2067361.72404718</v>
      </c>
      <c r="I1513" s="9" t="n">
        <v>12.6389366334365</v>
      </c>
      <c r="J1513" s="9" t="n">
        <v>50.7376044069977</v>
      </c>
      <c r="K1513" s="3" t="s">
        <v>541</v>
      </c>
      <c r="L1513" s="3" t="s">
        <v>542</v>
      </c>
      <c r="M1513" s="7" t="n">
        <v>2016</v>
      </c>
    </row>
    <row r="1514" customFormat="false" ht="15" hidden="false" customHeight="false" outlineLevel="0" collapsed="false">
      <c r="A1514" s="3" t="n">
        <v>2093</v>
      </c>
      <c r="B1514" s="3" t="s">
        <v>540</v>
      </c>
      <c r="C1514" s="4" t="s">
        <v>17</v>
      </c>
      <c r="D1514" s="5" t="n">
        <v>36410</v>
      </c>
      <c r="E1514" s="6" t="n">
        <v>462</v>
      </c>
      <c r="F1514" s="7" t="n">
        <v>75</v>
      </c>
      <c r="G1514" s="6" t="n">
        <v>818.824452723534</v>
      </c>
      <c r="H1514" s="8" t="n">
        <v>602425.526357758</v>
      </c>
      <c r="I1514" s="9" t="n">
        <v>8.47625329815304</v>
      </c>
      <c r="J1514" s="9" t="n">
        <v>20.1320406741609</v>
      </c>
      <c r="K1514" s="3" t="s">
        <v>541</v>
      </c>
      <c r="L1514" s="3" t="s">
        <v>542</v>
      </c>
      <c r="M1514" s="7" t="n">
        <v>2017</v>
      </c>
    </row>
    <row r="1515" customFormat="false" ht="15" hidden="false" customHeight="false" outlineLevel="0" collapsed="false">
      <c r="A1515" s="3" t="n">
        <v>2094</v>
      </c>
      <c r="B1515" s="3" t="s">
        <v>540</v>
      </c>
      <c r="C1515" s="4" t="s">
        <v>18</v>
      </c>
      <c r="D1515" s="5" t="n">
        <v>36410</v>
      </c>
      <c r="E1515" s="6" t="n">
        <v>462</v>
      </c>
      <c r="F1515" s="7" t="n">
        <v>72</v>
      </c>
      <c r="G1515" s="6" t="n">
        <v>911.700789733057</v>
      </c>
      <c r="H1515" s="8" t="n">
        <v>553256.507241608</v>
      </c>
      <c r="I1515" s="9" t="n">
        <v>8.58462666329766</v>
      </c>
      <c r="J1515" s="9" t="n">
        <v>22.4155462389051</v>
      </c>
      <c r="K1515" s="3" t="s">
        <v>541</v>
      </c>
      <c r="L1515" s="3" t="s">
        <v>542</v>
      </c>
      <c r="M1515" s="7" t="n">
        <v>2018</v>
      </c>
    </row>
    <row r="1516" customFormat="false" ht="15" hidden="false" customHeight="false" outlineLevel="0" collapsed="false">
      <c r="A1516" s="3" t="n">
        <v>2095</v>
      </c>
      <c r="B1516" s="3" t="s">
        <v>540</v>
      </c>
      <c r="C1516" s="4" t="s">
        <v>19</v>
      </c>
      <c r="D1516" s="5" t="n">
        <v>36410</v>
      </c>
      <c r="E1516" s="6" t="n">
        <v>462</v>
      </c>
      <c r="F1516" s="7" t="n">
        <v>74</v>
      </c>
      <c r="G1516" s="6" t="n">
        <v>1390.73553783254</v>
      </c>
      <c r="H1516" s="8" t="n">
        <v>912016.55099982</v>
      </c>
      <c r="I1516" s="9" t="n">
        <v>10.2869056363866</v>
      </c>
      <c r="J1516" s="9" t="n">
        <v>34.1933418347718</v>
      </c>
      <c r="K1516" s="3" t="s">
        <v>541</v>
      </c>
      <c r="L1516" s="3" t="s">
        <v>542</v>
      </c>
      <c r="M1516" s="7" t="n">
        <v>2019</v>
      </c>
    </row>
    <row r="1517" customFormat="false" ht="15" hidden="false" customHeight="false" outlineLevel="0" collapsed="false">
      <c r="A1517" s="3" t="n">
        <v>2096</v>
      </c>
      <c r="B1517" s="3" t="s">
        <v>540</v>
      </c>
      <c r="C1517" s="4" t="s">
        <v>20</v>
      </c>
      <c r="D1517" s="5" t="n">
        <v>36410</v>
      </c>
      <c r="E1517" s="6" t="n">
        <v>462</v>
      </c>
      <c r="F1517" s="7" t="n">
        <v>74</v>
      </c>
      <c r="G1517" s="6" t="n">
        <v>1305.17812032518</v>
      </c>
      <c r="H1517" s="8" t="n">
        <v>977108.548000244</v>
      </c>
      <c r="I1517" s="9" t="n">
        <v>9.93668487554188</v>
      </c>
      <c r="J1517" s="9" t="n">
        <v>32.0018657892481</v>
      </c>
      <c r="K1517" s="3" t="s">
        <v>541</v>
      </c>
      <c r="L1517" s="3" t="s">
        <v>542</v>
      </c>
      <c r="M1517" s="7" t="n">
        <v>2020</v>
      </c>
    </row>
    <row r="1518" customFormat="false" ht="15" hidden="false" customHeight="false" outlineLevel="0" collapsed="false">
      <c r="A1518" s="3" t="n">
        <v>2097</v>
      </c>
      <c r="B1518" s="3" t="s">
        <v>540</v>
      </c>
      <c r="C1518" s="4" t="s">
        <v>21</v>
      </c>
      <c r="D1518" s="5" t="n">
        <v>36410</v>
      </c>
      <c r="E1518" s="6" t="n">
        <v>462</v>
      </c>
      <c r="F1518" s="7" t="n">
        <v>75</v>
      </c>
      <c r="G1518" s="6" t="n">
        <v>1123.83699606026</v>
      </c>
      <c r="H1518" s="8" t="n">
        <v>978397.477251876</v>
      </c>
      <c r="I1518" s="9" t="n">
        <v>9.84891745677886</v>
      </c>
      <c r="J1518" s="9" t="n">
        <v>27.6312365129758</v>
      </c>
      <c r="K1518" s="3" t="s">
        <v>541</v>
      </c>
      <c r="L1518" s="3" t="s">
        <v>542</v>
      </c>
      <c r="M1518" s="7" t="n">
        <v>2021</v>
      </c>
    </row>
    <row r="1519" customFormat="false" ht="15" hidden="false" customHeight="false" outlineLevel="0" collapsed="false">
      <c r="A1519" s="3" t="n">
        <v>2098</v>
      </c>
      <c r="B1519" s="3" t="s">
        <v>540</v>
      </c>
      <c r="C1519" s="4" t="s">
        <v>22</v>
      </c>
      <c r="D1519" s="5" t="n">
        <v>36410</v>
      </c>
      <c r="E1519" s="6" t="n">
        <v>462</v>
      </c>
      <c r="F1519" s="7" t="n">
        <v>57</v>
      </c>
      <c r="G1519" s="6" t="n">
        <v>539.24840386204</v>
      </c>
      <c r="H1519" s="8" t="n">
        <v>476010.743541139</v>
      </c>
      <c r="I1519" s="9" t="n">
        <v>7.93247300151211</v>
      </c>
      <c r="J1519" s="9" t="n">
        <v>13.2582396189045</v>
      </c>
      <c r="K1519" s="3" t="s">
        <v>541</v>
      </c>
      <c r="L1519" s="3" t="s">
        <v>542</v>
      </c>
      <c r="M1519" s="7" t="n">
        <v>2022</v>
      </c>
    </row>
    <row r="1520" customFormat="false" ht="15" hidden="false" customHeight="false" outlineLevel="0" collapsed="false">
      <c r="A1520" s="3" t="n">
        <v>2099</v>
      </c>
      <c r="B1520" s="3" t="s">
        <v>540</v>
      </c>
      <c r="C1520" s="4" t="s">
        <v>23</v>
      </c>
      <c r="D1520" s="5" t="n">
        <v>36570</v>
      </c>
      <c r="E1520" s="6" t="n">
        <v>462</v>
      </c>
      <c r="F1520" s="7" t="n">
        <v>71</v>
      </c>
      <c r="G1520" s="6" t="n">
        <v>558.007356951421</v>
      </c>
      <c r="H1520" s="8" t="n">
        <v>471678.038757466</v>
      </c>
      <c r="I1520" s="9" t="n">
        <v>7.29775196061209</v>
      </c>
      <c r="J1520" s="9" t="n">
        <v>13.6594319542213</v>
      </c>
      <c r="K1520" s="3" t="s">
        <v>541</v>
      </c>
      <c r="L1520" s="3" t="s">
        <v>542</v>
      </c>
      <c r="M1520" s="7" t="n">
        <v>2023</v>
      </c>
    </row>
    <row r="1521" customFormat="false" ht="15" hidden="false" customHeight="false" outlineLevel="0" collapsed="false">
      <c r="A1521" s="3" t="n">
        <v>2100</v>
      </c>
      <c r="B1521" s="3" t="s">
        <v>540</v>
      </c>
      <c r="C1521" s="4" t="s">
        <v>24</v>
      </c>
      <c r="D1521" s="5" t="n">
        <v>36570</v>
      </c>
      <c r="E1521" s="6" t="n">
        <v>462</v>
      </c>
      <c r="F1521" s="7" t="n">
        <v>69</v>
      </c>
      <c r="G1521" s="6" t="n">
        <v>559.143011407287</v>
      </c>
      <c r="H1521" s="8" t="n">
        <v>538547.271625279</v>
      </c>
      <c r="I1521" s="9" t="n">
        <v>7.27972537987242</v>
      </c>
      <c r="J1521" s="9" t="n">
        <v>13.6497323137144</v>
      </c>
      <c r="K1521" s="3" t="s">
        <v>541</v>
      </c>
      <c r="L1521" s="3" t="s">
        <v>542</v>
      </c>
      <c r="M1521" s="7" t="n">
        <v>2024</v>
      </c>
    </row>
    <row r="1522" customFormat="false" ht="15" hidden="false" customHeight="false" outlineLevel="0" collapsed="false">
      <c r="A1522" s="3" t="n">
        <v>2101</v>
      </c>
      <c r="B1522" s="3" t="s">
        <v>543</v>
      </c>
      <c r="C1522" s="4" t="s">
        <v>41</v>
      </c>
      <c r="D1522" s="5" t="n">
        <v>11672</v>
      </c>
      <c r="E1522" s="6" t="n">
        <v>208.9</v>
      </c>
      <c r="F1522" s="7" t="n">
        <v>66</v>
      </c>
      <c r="G1522" s="6" t="n">
        <v>244.47833419379</v>
      </c>
      <c r="H1522" s="8" t="n">
        <v>220763.935776993</v>
      </c>
      <c r="I1522" s="9" t="n">
        <v>8.0984354041581</v>
      </c>
      <c r="J1522" s="9" t="n">
        <v>18.7504965568442</v>
      </c>
      <c r="K1522" s="3" t="s">
        <v>544</v>
      </c>
      <c r="L1522" s="3" t="s">
        <v>545</v>
      </c>
      <c r="M1522" s="7" t="n">
        <v>2016</v>
      </c>
    </row>
    <row r="1523" customFormat="false" ht="15" hidden="false" customHeight="false" outlineLevel="0" collapsed="false">
      <c r="A1523" s="3" t="n">
        <v>2102</v>
      </c>
      <c r="B1523" s="3" t="s">
        <v>543</v>
      </c>
      <c r="C1523" s="4" t="s">
        <v>42</v>
      </c>
      <c r="D1523" s="5" t="n">
        <v>11718</v>
      </c>
      <c r="E1523" s="6" t="n">
        <v>208.9</v>
      </c>
      <c r="F1523" s="7" t="n">
        <v>62</v>
      </c>
      <c r="G1523" s="6" t="n">
        <v>100.263398801387</v>
      </c>
      <c r="H1523" s="8" t="n">
        <v>84421.7817907675</v>
      </c>
      <c r="I1523" s="9" t="n">
        <v>2.93369703745634</v>
      </c>
      <c r="J1523" s="9" t="n">
        <v>7.6596090458257</v>
      </c>
      <c r="K1523" s="3" t="s">
        <v>544</v>
      </c>
      <c r="L1523" s="3" t="s">
        <v>545</v>
      </c>
      <c r="M1523" s="7" t="n">
        <v>2017</v>
      </c>
    </row>
    <row r="1524" customFormat="false" ht="15" hidden="false" customHeight="false" outlineLevel="0" collapsed="false">
      <c r="A1524" s="3" t="n">
        <v>2103</v>
      </c>
      <c r="B1524" s="3" t="s">
        <v>543</v>
      </c>
      <c r="C1524" s="4" t="s">
        <v>43</v>
      </c>
      <c r="D1524" s="5" t="n">
        <v>11813</v>
      </c>
      <c r="E1524" s="6" t="n">
        <v>204</v>
      </c>
      <c r="F1524" s="7" t="n">
        <v>65</v>
      </c>
      <c r="G1524" s="6" t="n">
        <v>173.024257562445</v>
      </c>
      <c r="H1524" s="8" t="n">
        <v>157279.050124263</v>
      </c>
      <c r="I1524" s="9" t="n">
        <v>3.55499340965749</v>
      </c>
      <c r="J1524" s="9" t="n">
        <v>13.111864873905</v>
      </c>
      <c r="K1524" s="3" t="s">
        <v>544</v>
      </c>
      <c r="L1524" s="3" t="s">
        <v>545</v>
      </c>
      <c r="M1524" s="7" t="n">
        <v>2018</v>
      </c>
    </row>
    <row r="1525" customFormat="false" ht="15" hidden="false" customHeight="false" outlineLevel="0" collapsed="false">
      <c r="A1525" s="3" t="n">
        <v>2104</v>
      </c>
      <c r="B1525" s="3" t="s">
        <v>543</v>
      </c>
      <c r="C1525" s="4" t="s">
        <v>44</v>
      </c>
      <c r="D1525" s="5" t="n">
        <v>11910</v>
      </c>
      <c r="E1525" s="6" t="n">
        <v>204</v>
      </c>
      <c r="F1525" s="7" t="n">
        <v>60</v>
      </c>
      <c r="G1525" s="6" t="n">
        <v>287.006282967586</v>
      </c>
      <c r="H1525" s="8" t="n">
        <v>255722.598124119</v>
      </c>
      <c r="I1525" s="9" t="n">
        <v>5.03013145025258</v>
      </c>
      <c r="J1525" s="9" t="n">
        <v>21.5132407005212</v>
      </c>
      <c r="K1525" s="3" t="s">
        <v>544</v>
      </c>
      <c r="L1525" s="3" t="s">
        <v>545</v>
      </c>
      <c r="M1525" s="7" t="n">
        <v>2019</v>
      </c>
    </row>
    <row r="1526" customFormat="false" ht="15" hidden="false" customHeight="false" outlineLevel="0" collapsed="false">
      <c r="A1526" s="3" t="n">
        <v>2105</v>
      </c>
      <c r="B1526" s="3" t="s">
        <v>543</v>
      </c>
      <c r="C1526" s="4" t="s">
        <v>45</v>
      </c>
      <c r="D1526" s="5" t="n">
        <v>11999</v>
      </c>
      <c r="E1526" s="6" t="n">
        <v>204</v>
      </c>
      <c r="F1526" s="7" t="n">
        <v>64</v>
      </c>
      <c r="G1526" s="6" t="n">
        <v>227.254784696363</v>
      </c>
      <c r="H1526" s="8" t="n">
        <v>224527.727280006</v>
      </c>
      <c r="I1526" s="9" t="n">
        <v>4.80616942798849</v>
      </c>
      <c r="J1526" s="9" t="n">
        <v>16.9545261665795</v>
      </c>
      <c r="K1526" s="3" t="s">
        <v>544</v>
      </c>
      <c r="L1526" s="3" t="s">
        <v>545</v>
      </c>
      <c r="M1526" s="7" t="n">
        <v>2020</v>
      </c>
    </row>
    <row r="1527" customFormat="false" ht="15" hidden="false" customHeight="false" outlineLevel="0" collapsed="false">
      <c r="A1527" s="3" t="n">
        <v>2106</v>
      </c>
      <c r="B1527" s="3" t="s">
        <v>543</v>
      </c>
      <c r="C1527" s="4" t="s">
        <v>46</v>
      </c>
      <c r="D1527" s="5" t="n">
        <v>10821</v>
      </c>
      <c r="E1527" s="6" t="n">
        <v>181</v>
      </c>
      <c r="F1527" s="7" t="n">
        <v>53</v>
      </c>
      <c r="G1527" s="6" t="n">
        <v>217.601131021075</v>
      </c>
      <c r="H1527" s="8" t="n">
        <v>265103.457922976</v>
      </c>
      <c r="I1527" s="9" t="n">
        <v>4.95654348730345</v>
      </c>
      <c r="J1527" s="9" t="n">
        <v>18.0016132003066</v>
      </c>
      <c r="K1527" s="3" t="s">
        <v>544</v>
      </c>
      <c r="L1527" s="3" t="s">
        <v>545</v>
      </c>
      <c r="M1527" s="7" t="n">
        <v>2021</v>
      </c>
    </row>
    <row r="1528" customFormat="false" ht="15" hidden="false" customHeight="false" outlineLevel="0" collapsed="false">
      <c r="A1528" s="3" t="n">
        <v>2107</v>
      </c>
      <c r="B1528" s="3" t="s">
        <v>543</v>
      </c>
      <c r="C1528" s="4" t="s">
        <v>47</v>
      </c>
      <c r="D1528" s="5" t="n">
        <v>11084</v>
      </c>
      <c r="E1528" s="6" t="n">
        <v>178.5</v>
      </c>
      <c r="F1528" s="7" t="n">
        <v>46</v>
      </c>
      <c r="G1528" s="6" t="n">
        <v>274.60316702381</v>
      </c>
      <c r="H1528" s="8" t="n">
        <v>419843.528094373</v>
      </c>
      <c r="I1528" s="9" t="n">
        <v>5.40586922666279</v>
      </c>
      <c r="J1528" s="9" t="n">
        <v>22.1782206055545</v>
      </c>
      <c r="K1528" s="3" t="s">
        <v>544</v>
      </c>
      <c r="L1528" s="3" t="s">
        <v>545</v>
      </c>
      <c r="M1528" s="7" t="n">
        <v>2022</v>
      </c>
    </row>
    <row r="1529" customFormat="false" ht="15" hidden="false" customHeight="false" outlineLevel="0" collapsed="false">
      <c r="A1529" s="3" t="n">
        <v>2108</v>
      </c>
      <c r="B1529" s="3" t="s">
        <v>543</v>
      </c>
      <c r="C1529" s="4" t="s">
        <v>48</v>
      </c>
      <c r="D1529" s="5" t="n">
        <v>11167</v>
      </c>
      <c r="E1529" s="6" t="n">
        <v>182.5</v>
      </c>
      <c r="F1529" s="7" t="n">
        <v>50</v>
      </c>
      <c r="G1529" s="6" t="n">
        <v>403.148338345865</v>
      </c>
      <c r="H1529" s="8" t="n">
        <v>582698.513794963</v>
      </c>
      <c r="I1529" s="9" t="n">
        <v>7.52364433681317</v>
      </c>
      <c r="J1529" s="9" t="n">
        <v>32.2295729953688</v>
      </c>
      <c r="K1529" s="3" t="s">
        <v>544</v>
      </c>
      <c r="L1529" s="3" t="s">
        <v>545</v>
      </c>
      <c r="M1529" s="7" t="n">
        <v>2023</v>
      </c>
    </row>
    <row r="1530" customFormat="false" ht="15" hidden="false" customHeight="false" outlineLevel="0" collapsed="false">
      <c r="A1530" s="3" t="n">
        <v>2109</v>
      </c>
      <c r="B1530" s="3" t="s">
        <v>543</v>
      </c>
      <c r="C1530" s="4" t="s">
        <v>49</v>
      </c>
      <c r="D1530" s="5" t="n">
        <v>11210</v>
      </c>
      <c r="E1530" s="6" t="n">
        <v>179.7</v>
      </c>
      <c r="F1530" s="7" t="n">
        <v>50</v>
      </c>
      <c r="G1530" s="6" t="n">
        <v>339.450077694235</v>
      </c>
      <c r="H1530" s="8" t="n">
        <v>528330.284425638</v>
      </c>
      <c r="I1530" s="9" t="n">
        <v>5.75465147586049</v>
      </c>
      <c r="J1530" s="9" t="n">
        <v>27.1074068646382</v>
      </c>
      <c r="K1530" s="3" t="s">
        <v>544</v>
      </c>
      <c r="L1530" s="3" t="s">
        <v>545</v>
      </c>
      <c r="M1530" s="7" t="n">
        <v>2024</v>
      </c>
    </row>
    <row r="1531" customFormat="false" ht="15" hidden="false" customHeight="false" outlineLevel="0" collapsed="false">
      <c r="A1531" s="3" t="n">
        <v>2110</v>
      </c>
      <c r="B1531" s="3" t="s">
        <v>546</v>
      </c>
      <c r="C1531" s="4" t="s">
        <v>14</v>
      </c>
      <c r="D1531" s="5" t="n">
        <v>13049</v>
      </c>
      <c r="E1531" s="6" t="n">
        <v>142.2</v>
      </c>
      <c r="F1531" s="7" t="n">
        <v>73</v>
      </c>
      <c r="G1531" s="6" t="n">
        <v>282.758563646216</v>
      </c>
      <c r="H1531" s="8" t="n">
        <v>203077.200410712</v>
      </c>
      <c r="I1531" s="9" t="n">
        <v>6.07877783220259</v>
      </c>
      <c r="J1531" s="9" t="n">
        <v>19.3448216202329</v>
      </c>
      <c r="K1531" s="3" t="s">
        <v>547</v>
      </c>
      <c r="L1531" s="3" t="s">
        <v>536</v>
      </c>
      <c r="M1531" s="7" t="n">
        <v>2016</v>
      </c>
    </row>
    <row r="1532" customFormat="false" ht="15" hidden="false" customHeight="false" outlineLevel="0" collapsed="false">
      <c r="A1532" s="3" t="n">
        <v>2111</v>
      </c>
      <c r="B1532" s="3" t="s">
        <v>546</v>
      </c>
      <c r="C1532" s="4" t="s">
        <v>17</v>
      </c>
      <c r="D1532" s="5" t="n">
        <v>13082</v>
      </c>
      <c r="E1532" s="6" t="n">
        <v>142.2</v>
      </c>
      <c r="F1532" s="7" t="n">
        <v>73</v>
      </c>
      <c r="G1532" s="6" t="n">
        <v>520.553911275288</v>
      </c>
      <c r="H1532" s="8" t="n">
        <v>350054.801225363</v>
      </c>
      <c r="I1532" s="9" t="n">
        <v>10.2580128171384</v>
      </c>
      <c r="J1532" s="9" t="n">
        <v>35.6212572394087</v>
      </c>
      <c r="K1532" s="3" t="s">
        <v>547</v>
      </c>
      <c r="L1532" s="3" t="s">
        <v>536</v>
      </c>
      <c r="M1532" s="7" t="n">
        <v>2017</v>
      </c>
    </row>
    <row r="1533" customFormat="false" ht="15" hidden="false" customHeight="false" outlineLevel="0" collapsed="false">
      <c r="A1533" s="3" t="n">
        <v>2112</v>
      </c>
      <c r="B1533" s="3" t="s">
        <v>546</v>
      </c>
      <c r="C1533" s="4" t="s">
        <v>18</v>
      </c>
      <c r="D1533" s="5" t="n">
        <v>13096</v>
      </c>
      <c r="E1533" s="6" t="n">
        <v>148.6</v>
      </c>
      <c r="F1533" s="7" t="n">
        <v>69</v>
      </c>
      <c r="G1533" s="6" t="n">
        <v>397.557541641415</v>
      </c>
      <c r="H1533" s="8" t="n">
        <v>269094.773210824</v>
      </c>
      <c r="I1533" s="9" t="n">
        <v>8.33059475145908</v>
      </c>
      <c r="J1533" s="9" t="n">
        <v>27.1755914274212</v>
      </c>
      <c r="K1533" s="3" t="s">
        <v>547</v>
      </c>
      <c r="L1533" s="3" t="s">
        <v>536</v>
      </c>
      <c r="M1533" s="7" t="n">
        <v>2018</v>
      </c>
    </row>
    <row r="1534" customFormat="false" ht="15" hidden="false" customHeight="false" outlineLevel="0" collapsed="false">
      <c r="A1534" s="3" t="n">
        <v>2113</v>
      </c>
      <c r="B1534" s="3" t="s">
        <v>546</v>
      </c>
      <c r="C1534" s="4" t="s">
        <v>19</v>
      </c>
      <c r="D1534" s="5" t="n">
        <v>13107</v>
      </c>
      <c r="E1534" s="6" t="n">
        <v>148.6</v>
      </c>
      <c r="F1534" s="7" t="n">
        <v>72</v>
      </c>
      <c r="G1534" s="6" t="n">
        <v>539.597102626263</v>
      </c>
      <c r="H1534" s="8" t="n">
        <v>439124.122117253</v>
      </c>
      <c r="I1534" s="9" t="n">
        <v>9.81070574194671</v>
      </c>
      <c r="J1534" s="9" t="n">
        <v>36.8539450624636</v>
      </c>
      <c r="K1534" s="3" t="s">
        <v>547</v>
      </c>
      <c r="L1534" s="3" t="s">
        <v>536</v>
      </c>
      <c r="M1534" s="7" t="n">
        <v>2019</v>
      </c>
    </row>
    <row r="1535" customFormat="false" ht="15" hidden="false" customHeight="false" outlineLevel="0" collapsed="false">
      <c r="A1535" s="3" t="n">
        <v>2114</v>
      </c>
      <c r="B1535" s="3" t="s">
        <v>546</v>
      </c>
      <c r="C1535" s="4" t="s">
        <v>20</v>
      </c>
      <c r="D1535" s="5" t="n">
        <v>13129</v>
      </c>
      <c r="E1535" s="6" t="n">
        <v>138.1</v>
      </c>
      <c r="F1535" s="7" t="n">
        <v>70</v>
      </c>
      <c r="G1535" s="6" t="n">
        <v>584.973778210658</v>
      </c>
      <c r="H1535" s="8" t="n">
        <v>512747.065814988</v>
      </c>
      <c r="I1535" s="9" t="n">
        <v>10.2570748440259</v>
      </c>
      <c r="J1535" s="9" t="n">
        <v>39.7769009948115</v>
      </c>
      <c r="K1535" s="3" t="s">
        <v>547</v>
      </c>
      <c r="L1535" s="3" t="s">
        <v>536</v>
      </c>
      <c r="M1535" s="7" t="n">
        <v>2020</v>
      </c>
    </row>
    <row r="1536" customFormat="false" ht="15" hidden="false" customHeight="false" outlineLevel="0" collapsed="false">
      <c r="A1536" s="3" t="n">
        <v>2115</v>
      </c>
      <c r="B1536" s="3" t="s">
        <v>546</v>
      </c>
      <c r="C1536" s="4" t="s">
        <v>21</v>
      </c>
      <c r="D1536" s="5" t="n">
        <v>13143</v>
      </c>
      <c r="E1536" s="6" t="n">
        <v>138.3</v>
      </c>
      <c r="F1536" s="7" t="n">
        <v>72</v>
      </c>
      <c r="G1536" s="6" t="n">
        <v>355.810289786745</v>
      </c>
      <c r="H1536" s="8" t="n">
        <v>384691.411008736</v>
      </c>
      <c r="I1536" s="9" t="n">
        <v>7.06232633521444</v>
      </c>
      <c r="J1536" s="9" t="n">
        <v>24.2349244400564</v>
      </c>
      <c r="K1536" s="3" t="s">
        <v>547</v>
      </c>
      <c r="L1536" s="3" t="s">
        <v>536</v>
      </c>
      <c r="M1536" s="7" t="n">
        <v>2021</v>
      </c>
    </row>
    <row r="1537" customFormat="false" ht="15" hidden="false" customHeight="false" outlineLevel="0" collapsed="false">
      <c r="A1537" s="3" t="n">
        <v>2116</v>
      </c>
      <c r="B1537" s="3" t="s">
        <v>546</v>
      </c>
      <c r="C1537" s="4" t="s">
        <v>22</v>
      </c>
      <c r="D1537" s="5" t="n">
        <v>13196</v>
      </c>
      <c r="E1537" s="6" t="n">
        <v>138.2</v>
      </c>
      <c r="F1537" s="7" t="n">
        <v>72</v>
      </c>
      <c r="G1537" s="6" t="n">
        <v>307.438538324723</v>
      </c>
      <c r="H1537" s="8" t="n">
        <v>357195.524219625</v>
      </c>
      <c r="I1537" s="9" t="n">
        <v>6.33192846090929</v>
      </c>
      <c r="J1537" s="9" t="n">
        <v>20.8561275543974</v>
      </c>
      <c r="K1537" s="3" t="s">
        <v>547</v>
      </c>
      <c r="L1537" s="3" t="s">
        <v>536</v>
      </c>
      <c r="M1537" s="7" t="n">
        <v>2022</v>
      </c>
    </row>
    <row r="1538" customFormat="false" ht="15" hidden="false" customHeight="false" outlineLevel="0" collapsed="false">
      <c r="A1538" s="3" t="n">
        <v>2117</v>
      </c>
      <c r="B1538" s="3" t="s">
        <v>546</v>
      </c>
      <c r="C1538" s="4" t="s">
        <v>23</v>
      </c>
      <c r="D1538" s="5" t="n">
        <v>13271</v>
      </c>
      <c r="E1538" s="6" t="n">
        <v>139.067773242822</v>
      </c>
      <c r="F1538" s="7" t="n">
        <v>72</v>
      </c>
      <c r="G1538" s="6" t="n">
        <v>516.451766947277</v>
      </c>
      <c r="H1538" s="8" t="n">
        <v>583511.611897636</v>
      </c>
      <c r="I1538" s="9" t="n">
        <v>10.1458155136447</v>
      </c>
      <c r="J1538" s="9" t="n">
        <v>34.8372442083369</v>
      </c>
      <c r="K1538" s="3" t="s">
        <v>547</v>
      </c>
      <c r="L1538" s="3" t="s">
        <v>536</v>
      </c>
      <c r="M1538" s="7" t="n">
        <v>2023</v>
      </c>
    </row>
    <row r="1539" customFormat="false" ht="15" hidden="false" customHeight="false" outlineLevel="0" collapsed="false">
      <c r="A1539" s="3" t="n">
        <v>2118</v>
      </c>
      <c r="B1539" s="3" t="s">
        <v>546</v>
      </c>
      <c r="C1539" s="4" t="s">
        <v>24</v>
      </c>
      <c r="D1539" s="5" t="n">
        <v>13315</v>
      </c>
      <c r="E1539" s="6" t="n">
        <v>158.503720680492</v>
      </c>
      <c r="F1539" s="7" t="n">
        <v>72</v>
      </c>
      <c r="G1539" s="6" t="n">
        <v>416.015527056542</v>
      </c>
      <c r="H1539" s="8" t="n">
        <v>474984.683885961</v>
      </c>
      <c r="I1539" s="9" t="n">
        <v>8.78064065431951</v>
      </c>
      <c r="J1539" s="9" t="n">
        <v>27.8929573725999</v>
      </c>
      <c r="K1539" s="3" t="s">
        <v>547</v>
      </c>
      <c r="L1539" s="3" t="s">
        <v>536</v>
      </c>
      <c r="M1539" s="7" t="n">
        <v>2024</v>
      </c>
    </row>
    <row r="1540" customFormat="false" ht="15" hidden="false" customHeight="false" outlineLevel="0" collapsed="false">
      <c r="A1540" s="3" t="n">
        <v>2119</v>
      </c>
      <c r="B1540" s="3" t="s">
        <v>548</v>
      </c>
      <c r="C1540" s="4" t="s">
        <v>41</v>
      </c>
      <c r="D1540" s="5" t="n">
        <v>17279</v>
      </c>
      <c r="E1540" s="6" t="n">
        <v>212.61</v>
      </c>
      <c r="F1540" s="7" t="n">
        <v>73</v>
      </c>
      <c r="G1540" s="6" t="n">
        <v>1023.57208979798</v>
      </c>
      <c r="H1540" s="8" t="n">
        <v>1072140.2012378</v>
      </c>
      <c r="I1540" s="9" t="n">
        <v>15.2833504999663</v>
      </c>
      <c r="J1540" s="9" t="n">
        <v>53.0294966819218</v>
      </c>
      <c r="K1540" s="3" t="s">
        <v>549</v>
      </c>
      <c r="L1540" s="3" t="s">
        <v>550</v>
      </c>
      <c r="M1540" s="7" t="n">
        <v>2016</v>
      </c>
    </row>
    <row r="1541" customFormat="false" ht="15" hidden="false" customHeight="false" outlineLevel="0" collapsed="false">
      <c r="A1541" s="3" t="n">
        <v>2120</v>
      </c>
      <c r="B1541" s="3" t="s">
        <v>548</v>
      </c>
      <c r="C1541" s="4" t="s">
        <v>42</v>
      </c>
      <c r="D1541" s="5" t="n">
        <v>17652</v>
      </c>
      <c r="E1541" s="6" t="n">
        <v>212.61</v>
      </c>
      <c r="F1541" s="7" t="n">
        <v>70</v>
      </c>
      <c r="G1541" s="6" t="n">
        <v>223.3688475</v>
      </c>
      <c r="H1541" s="8" t="n">
        <v>262143.445737524</v>
      </c>
      <c r="I1541" s="9" t="n">
        <v>4.4040788540048</v>
      </c>
      <c r="J1541" s="9" t="n">
        <v>11.3278205138668</v>
      </c>
      <c r="K1541" s="3" t="s">
        <v>549</v>
      </c>
      <c r="L1541" s="3" t="s">
        <v>550</v>
      </c>
      <c r="M1541" s="7" t="n">
        <v>2017</v>
      </c>
    </row>
    <row r="1542" customFormat="false" ht="15" hidden="false" customHeight="false" outlineLevel="0" collapsed="false">
      <c r="A1542" s="3" t="n">
        <v>2121</v>
      </c>
      <c r="B1542" s="3" t="s">
        <v>548</v>
      </c>
      <c r="C1542" s="4" t="s">
        <v>43</v>
      </c>
      <c r="D1542" s="5" t="n">
        <v>17652</v>
      </c>
      <c r="E1542" s="6" t="n">
        <v>212.61</v>
      </c>
      <c r="F1542" s="7" t="n">
        <v>70</v>
      </c>
      <c r="G1542" s="6" t="n">
        <v>223.3688475</v>
      </c>
      <c r="H1542" s="8" t="n">
        <v>262143.445737524</v>
      </c>
      <c r="I1542" s="9" t="n">
        <v>4.4040788540048</v>
      </c>
      <c r="J1542" s="9" t="n">
        <v>11.3278205138668</v>
      </c>
      <c r="K1542" s="3" t="s">
        <v>549</v>
      </c>
      <c r="L1542" s="3" t="s">
        <v>550</v>
      </c>
      <c r="M1542" s="7" t="n">
        <v>2018</v>
      </c>
    </row>
    <row r="1543" customFormat="false" ht="15" hidden="false" customHeight="false" outlineLevel="0" collapsed="false">
      <c r="A1543" s="3" t="n">
        <v>2122</v>
      </c>
      <c r="B1543" s="3" t="s">
        <v>548</v>
      </c>
      <c r="C1543" s="4" t="s">
        <v>44</v>
      </c>
      <c r="D1543" s="5" t="n">
        <v>17652</v>
      </c>
      <c r="E1543" s="6" t="n">
        <v>212.6</v>
      </c>
      <c r="F1543" s="7" t="n">
        <v>74</v>
      </c>
      <c r="G1543" s="6" t="n">
        <v>82.2875240018893</v>
      </c>
      <c r="H1543" s="8" t="n">
        <v>89976.3465346903</v>
      </c>
      <c r="I1543" s="9" t="n">
        <v>2.21136355999865</v>
      </c>
      <c r="J1543" s="9" t="n">
        <v>4.16165687050707</v>
      </c>
      <c r="K1543" s="3" t="s">
        <v>549</v>
      </c>
      <c r="L1543" s="3" t="s">
        <v>550</v>
      </c>
      <c r="M1543" s="7" t="n">
        <v>2019</v>
      </c>
    </row>
    <row r="1544" customFormat="false" ht="15" hidden="false" customHeight="false" outlineLevel="0" collapsed="false">
      <c r="A1544" s="3" t="n">
        <v>2123</v>
      </c>
      <c r="B1544" s="3" t="s">
        <v>548</v>
      </c>
      <c r="C1544" s="4" t="s">
        <v>45</v>
      </c>
      <c r="D1544" s="5" t="n">
        <v>17653</v>
      </c>
      <c r="E1544" s="6" t="n">
        <v>212.6</v>
      </c>
      <c r="F1544" s="7" t="n">
        <v>68</v>
      </c>
      <c r="G1544" s="6" t="n">
        <v>311.122664456044</v>
      </c>
      <c r="H1544" s="8" t="n">
        <v>364000.28065081</v>
      </c>
      <c r="I1544" s="9" t="n">
        <v>4.9833437044102</v>
      </c>
      <c r="J1544" s="9" t="n">
        <v>15.7772316718054</v>
      </c>
      <c r="K1544" s="3" t="s">
        <v>549</v>
      </c>
      <c r="L1544" s="3" t="s">
        <v>550</v>
      </c>
      <c r="M1544" s="7" t="n">
        <v>2020</v>
      </c>
    </row>
    <row r="1545" customFormat="false" ht="15" hidden="false" customHeight="false" outlineLevel="0" collapsed="false">
      <c r="A1545" s="3" t="n">
        <v>2124</v>
      </c>
      <c r="B1545" s="3" t="s">
        <v>548</v>
      </c>
      <c r="C1545" s="4" t="s">
        <v>46</v>
      </c>
      <c r="D1545" s="5" t="n">
        <v>17800</v>
      </c>
      <c r="E1545" s="6" t="n">
        <v>212.8</v>
      </c>
      <c r="F1545" s="7" t="n">
        <v>67</v>
      </c>
      <c r="G1545" s="6" t="n">
        <v>2.63882278860677</v>
      </c>
      <c r="H1545" s="8" t="n">
        <v>3170.50440590025</v>
      </c>
      <c r="I1545" s="9" t="n">
        <v>0.984015357136016</v>
      </c>
      <c r="J1545" s="9" t="n">
        <v>0.132711298384107</v>
      </c>
      <c r="K1545" s="3" t="s">
        <v>549</v>
      </c>
      <c r="L1545" s="3" t="s">
        <v>550</v>
      </c>
      <c r="M1545" s="7" t="n">
        <v>2021</v>
      </c>
    </row>
    <row r="1546" customFormat="false" ht="15" hidden="false" customHeight="false" outlineLevel="0" collapsed="false">
      <c r="A1546" s="3" t="n">
        <v>2125</v>
      </c>
      <c r="B1546" s="3" t="s">
        <v>548</v>
      </c>
      <c r="C1546" s="4" t="s">
        <v>47</v>
      </c>
      <c r="D1546" s="5" t="n">
        <v>17867</v>
      </c>
      <c r="E1546" s="6" t="n">
        <v>212.8</v>
      </c>
      <c r="F1546" s="7" t="n">
        <v>72</v>
      </c>
      <c r="G1546" s="6" t="n">
        <v>91.8990000000005</v>
      </c>
      <c r="H1546" s="8" t="n">
        <v>117684.021420001</v>
      </c>
      <c r="I1546" s="9" t="n">
        <v>2.46157038695297</v>
      </c>
      <c r="J1546" s="9" t="n">
        <v>4.60444004893916</v>
      </c>
      <c r="K1546" s="3" t="s">
        <v>549</v>
      </c>
      <c r="L1546" s="3" t="s">
        <v>550</v>
      </c>
      <c r="M1546" s="7" t="n">
        <v>2022</v>
      </c>
    </row>
    <row r="1547" customFormat="false" ht="15" hidden="false" customHeight="false" outlineLevel="0" collapsed="false">
      <c r="A1547" s="3" t="n">
        <v>2126</v>
      </c>
      <c r="B1547" s="3" t="s">
        <v>548</v>
      </c>
      <c r="C1547" s="4" t="s">
        <v>48</v>
      </c>
      <c r="D1547" s="5" t="n">
        <v>17867</v>
      </c>
      <c r="E1547" s="6" t="n">
        <v>212.8</v>
      </c>
      <c r="F1547" s="7" t="n">
        <v>76</v>
      </c>
      <c r="G1547" s="6" t="n">
        <v>86.9469530767649</v>
      </c>
      <c r="H1547" s="8" t="n">
        <v>116601.950362657</v>
      </c>
      <c r="I1547" s="9" t="n">
        <v>2.40695668999751</v>
      </c>
      <c r="J1547" s="9" t="n">
        <v>4.3443911837185</v>
      </c>
      <c r="K1547" s="3" t="s">
        <v>549</v>
      </c>
      <c r="L1547" s="3" t="s">
        <v>550</v>
      </c>
      <c r="M1547" s="7" t="n">
        <v>2023</v>
      </c>
    </row>
    <row r="1548" customFormat="false" ht="15" hidden="false" customHeight="false" outlineLevel="0" collapsed="false">
      <c r="A1548" s="3" t="n">
        <v>2127</v>
      </c>
      <c r="B1548" s="3" t="s">
        <v>548</v>
      </c>
      <c r="C1548" s="4" t="s">
        <v>49</v>
      </c>
      <c r="D1548" s="5" t="n">
        <v>17967</v>
      </c>
      <c r="E1548" s="6" t="n">
        <v>212.8</v>
      </c>
      <c r="F1548" s="7" t="n">
        <v>74</v>
      </c>
      <c r="G1548" s="6" t="n">
        <v>128.735987161792</v>
      </c>
      <c r="H1548" s="8" t="n">
        <v>183648.322485655</v>
      </c>
      <c r="I1548" s="9" t="n">
        <v>3.96482853780662</v>
      </c>
      <c r="J1548" s="9" t="n">
        <v>6.41419374969145</v>
      </c>
      <c r="K1548" s="3" t="s">
        <v>549</v>
      </c>
      <c r="L1548" s="3" t="s">
        <v>550</v>
      </c>
      <c r="M1548" s="7" t="n">
        <v>2024</v>
      </c>
    </row>
    <row r="1549" customFormat="false" ht="15" hidden="false" customHeight="false" outlineLevel="0" collapsed="false">
      <c r="A1549" s="3" t="n">
        <v>2128</v>
      </c>
      <c r="B1549" s="3" t="s">
        <v>551</v>
      </c>
      <c r="C1549" s="4" t="s">
        <v>14</v>
      </c>
      <c r="D1549" s="5" t="n">
        <v>24812</v>
      </c>
      <c r="E1549" s="6" t="n">
        <v>363.5</v>
      </c>
      <c r="F1549" s="7" t="n">
        <v>64</v>
      </c>
      <c r="G1549" s="6" t="n">
        <v>1140.6437538267</v>
      </c>
      <c r="H1549" s="8" t="n">
        <v>786745.238117731</v>
      </c>
      <c r="I1549" s="9" t="n">
        <v>8.24902768589012</v>
      </c>
      <c r="J1549" s="9" t="n">
        <v>41.0406705359298</v>
      </c>
      <c r="K1549" s="3" t="s">
        <v>552</v>
      </c>
      <c r="L1549" s="3" t="s">
        <v>553</v>
      </c>
      <c r="M1549" s="7" t="n">
        <v>2016</v>
      </c>
    </row>
    <row r="1550" customFormat="false" ht="15" hidden="false" customHeight="false" outlineLevel="0" collapsed="false">
      <c r="A1550" s="3" t="n">
        <v>2129</v>
      </c>
      <c r="B1550" s="3" t="s">
        <v>551</v>
      </c>
      <c r="C1550" s="4" t="s">
        <v>17</v>
      </c>
      <c r="D1550" s="5" t="n">
        <v>25021</v>
      </c>
      <c r="E1550" s="6" t="n">
        <v>367.1</v>
      </c>
      <c r="F1550" s="7" t="n">
        <v>64</v>
      </c>
      <c r="G1550" s="6" t="n">
        <v>1188.14360828283</v>
      </c>
      <c r="H1550" s="8" t="n">
        <v>871871.661194021</v>
      </c>
      <c r="I1550" s="9" t="n">
        <v>7.82989418889494</v>
      </c>
      <c r="J1550" s="9" t="n">
        <v>42.5091036608994</v>
      </c>
      <c r="K1550" s="3" t="s">
        <v>552</v>
      </c>
      <c r="L1550" s="3" t="s">
        <v>553</v>
      </c>
      <c r="M1550" s="7" t="n">
        <v>2017</v>
      </c>
    </row>
    <row r="1551" customFormat="false" ht="15" hidden="false" customHeight="false" outlineLevel="0" collapsed="false">
      <c r="A1551" s="3" t="n">
        <v>2130</v>
      </c>
      <c r="B1551" s="3" t="s">
        <v>551</v>
      </c>
      <c r="C1551" s="4" t="s">
        <v>18</v>
      </c>
      <c r="D1551" s="5" t="n">
        <v>25093</v>
      </c>
      <c r="E1551" s="6" t="n">
        <v>368.264513257576</v>
      </c>
      <c r="F1551" s="7" t="n">
        <v>63</v>
      </c>
      <c r="G1551" s="6" t="n">
        <v>1032.16302494949</v>
      </c>
      <c r="H1551" s="8" t="n">
        <v>783019.513987185</v>
      </c>
      <c r="I1551" s="9" t="n">
        <v>6.75108795337742</v>
      </c>
      <c r="J1551" s="9" t="n">
        <v>36.8225096972029</v>
      </c>
      <c r="K1551" s="3" t="s">
        <v>552</v>
      </c>
      <c r="L1551" s="3" t="s">
        <v>553</v>
      </c>
      <c r="M1551" s="7" t="n">
        <v>2018</v>
      </c>
    </row>
    <row r="1552" customFormat="false" ht="15" hidden="false" customHeight="false" outlineLevel="0" collapsed="false">
      <c r="A1552" s="3" t="n">
        <v>2131</v>
      </c>
      <c r="B1552" s="3" t="s">
        <v>551</v>
      </c>
      <c r="C1552" s="4" t="s">
        <v>19</v>
      </c>
      <c r="D1552" s="5" t="n">
        <v>25300</v>
      </c>
      <c r="E1552" s="6" t="n">
        <v>369.5</v>
      </c>
      <c r="F1552" s="7" t="n">
        <v>75</v>
      </c>
      <c r="G1552" s="6" t="n">
        <v>1005.10879929293</v>
      </c>
      <c r="H1552" s="8" t="n">
        <v>766234.642052972</v>
      </c>
      <c r="I1552" s="9" t="n">
        <v>7.65463028002024</v>
      </c>
      <c r="J1552" s="9" t="n">
        <v>35.5639694390827</v>
      </c>
      <c r="K1552" s="3" t="s">
        <v>552</v>
      </c>
      <c r="L1552" s="3" t="s">
        <v>553</v>
      </c>
      <c r="M1552" s="7" t="n">
        <v>2019</v>
      </c>
    </row>
    <row r="1553" customFormat="false" ht="15" hidden="false" customHeight="false" outlineLevel="0" collapsed="false">
      <c r="A1553" s="3" t="n">
        <v>2132</v>
      </c>
      <c r="B1553" s="3" t="s">
        <v>551</v>
      </c>
      <c r="C1553" s="4" t="s">
        <v>20</v>
      </c>
      <c r="D1553" s="5" t="n">
        <v>25385</v>
      </c>
      <c r="E1553" s="6" t="n">
        <v>378.09</v>
      </c>
      <c r="F1553" s="7" t="n">
        <v>73</v>
      </c>
      <c r="G1553" s="6" t="n">
        <v>1023.79247078283</v>
      </c>
      <c r="H1553" s="8" t="n">
        <v>905206.588892055</v>
      </c>
      <c r="I1553" s="9" t="n">
        <v>8.8493156674428</v>
      </c>
      <c r="J1553" s="9" t="n">
        <v>36.0048459636185</v>
      </c>
      <c r="K1553" s="3" t="s">
        <v>552</v>
      </c>
      <c r="L1553" s="3" t="s">
        <v>553</v>
      </c>
      <c r="M1553" s="7" t="n">
        <v>2020</v>
      </c>
    </row>
    <row r="1554" customFormat="false" ht="15" hidden="false" customHeight="false" outlineLevel="0" collapsed="false">
      <c r="A1554" s="3" t="n">
        <v>2133</v>
      </c>
      <c r="B1554" s="3" t="s">
        <v>551</v>
      </c>
      <c r="C1554" s="4" t="s">
        <v>21</v>
      </c>
      <c r="D1554" s="5" t="n">
        <v>25437</v>
      </c>
      <c r="E1554" s="6" t="n">
        <v>379.53</v>
      </c>
      <c r="F1554" s="7" t="n">
        <v>71</v>
      </c>
      <c r="G1554" s="6" t="n">
        <v>659.9053050695</v>
      </c>
      <c r="H1554" s="8" t="n">
        <v>767053.646907096</v>
      </c>
      <c r="I1554" s="9" t="n">
        <v>4.86388437775502</v>
      </c>
      <c r="J1554" s="9" t="n">
        <v>23.2238064956648</v>
      </c>
      <c r="K1554" s="3" t="s">
        <v>552</v>
      </c>
      <c r="L1554" s="3" t="s">
        <v>553</v>
      </c>
      <c r="M1554" s="7" t="n">
        <v>2021</v>
      </c>
    </row>
    <row r="1555" customFormat="false" ht="15" hidden="false" customHeight="false" outlineLevel="0" collapsed="false">
      <c r="A1555" s="3" t="n">
        <v>2134</v>
      </c>
      <c r="B1555" s="3" t="s">
        <v>551</v>
      </c>
      <c r="C1555" s="4" t="s">
        <v>22</v>
      </c>
      <c r="D1555" s="5" t="n">
        <v>25471</v>
      </c>
      <c r="E1555" s="6" t="n">
        <v>379.3</v>
      </c>
      <c r="F1555" s="7" t="n">
        <v>82</v>
      </c>
      <c r="G1555" s="6" t="n">
        <v>691.072439393939</v>
      </c>
      <c r="H1555" s="8" t="n">
        <v>635330.536432424</v>
      </c>
      <c r="I1555" s="9" t="n">
        <v>5.27474886227548</v>
      </c>
      <c r="J1555" s="9" t="n">
        <v>24.2881956088992</v>
      </c>
      <c r="K1555" s="3" t="s">
        <v>552</v>
      </c>
      <c r="L1555" s="3" t="s">
        <v>553</v>
      </c>
      <c r="M1555" s="7" t="n">
        <v>2022</v>
      </c>
    </row>
    <row r="1556" customFormat="false" ht="15" hidden="false" customHeight="false" outlineLevel="0" collapsed="false">
      <c r="A1556" s="3" t="n">
        <v>2135</v>
      </c>
      <c r="B1556" s="3" t="s">
        <v>551</v>
      </c>
      <c r="C1556" s="4" t="s">
        <v>23</v>
      </c>
      <c r="D1556" s="5" t="n">
        <v>25497</v>
      </c>
      <c r="E1556" s="6" t="n">
        <v>380.393039501804</v>
      </c>
      <c r="F1556" s="7" t="n">
        <v>80</v>
      </c>
      <c r="G1556" s="6" t="n">
        <v>930.178803427357</v>
      </c>
      <c r="H1556" s="8" t="n">
        <v>966372.923408009</v>
      </c>
      <c r="I1556" s="9" t="n">
        <v>7.44936444845551</v>
      </c>
      <c r="J1556" s="9" t="n">
        <v>32.6584094223979</v>
      </c>
      <c r="K1556" s="3" t="s">
        <v>552</v>
      </c>
      <c r="L1556" s="3" t="s">
        <v>553</v>
      </c>
      <c r="M1556" s="7" t="n">
        <v>2023</v>
      </c>
    </row>
    <row r="1557" customFormat="false" ht="15" hidden="false" customHeight="false" outlineLevel="0" collapsed="false">
      <c r="A1557" s="3" t="n">
        <v>2136</v>
      </c>
      <c r="B1557" s="3" t="s">
        <v>551</v>
      </c>
      <c r="C1557" s="4" t="s">
        <v>24</v>
      </c>
      <c r="D1557" s="5" t="n">
        <v>25543</v>
      </c>
      <c r="E1557" s="6" t="n">
        <v>378.98</v>
      </c>
      <c r="F1557" s="7" t="n">
        <v>74</v>
      </c>
      <c r="G1557" s="6" t="n">
        <v>937.220363948986</v>
      </c>
      <c r="H1557" s="8" t="n">
        <v>999083.769008295</v>
      </c>
      <c r="I1557" s="9" t="n">
        <v>7.19652474337337</v>
      </c>
      <c r="J1557" s="9" t="n">
        <v>32.7563879993008</v>
      </c>
      <c r="K1557" s="3" t="s">
        <v>552</v>
      </c>
      <c r="L1557" s="3" t="s">
        <v>553</v>
      </c>
      <c r="M1557" s="7" t="n">
        <v>2024</v>
      </c>
    </row>
    <row r="1558" customFormat="false" ht="15" hidden="false" customHeight="false" outlineLevel="0" collapsed="false">
      <c r="A1558" s="3" t="n">
        <v>2137</v>
      </c>
      <c r="B1558" s="3" t="s">
        <v>554</v>
      </c>
      <c r="C1558" s="4" t="s">
        <v>41</v>
      </c>
      <c r="D1558" s="5" t="n">
        <v>44553</v>
      </c>
      <c r="E1558" s="6" t="n">
        <v>499.68</v>
      </c>
      <c r="F1558" s="7" t="n">
        <v>60</v>
      </c>
      <c r="G1558" s="6" t="n">
        <v>973.673312856864</v>
      </c>
      <c r="H1558" s="8" t="n">
        <v>581733.974393274</v>
      </c>
      <c r="I1558" s="9" t="n">
        <v>5.58472210892348</v>
      </c>
      <c r="J1558" s="9" t="n">
        <v>19.5638348663712</v>
      </c>
      <c r="K1558" s="3" t="s">
        <v>555</v>
      </c>
      <c r="L1558" s="3" t="s">
        <v>556</v>
      </c>
      <c r="M1558" s="7" t="n">
        <v>2016</v>
      </c>
    </row>
    <row r="1559" customFormat="false" ht="15" hidden="false" customHeight="false" outlineLevel="0" collapsed="false">
      <c r="A1559" s="3" t="n">
        <v>2138</v>
      </c>
      <c r="B1559" s="3" t="s">
        <v>554</v>
      </c>
      <c r="C1559" s="4" t="s">
        <v>42</v>
      </c>
      <c r="D1559" s="5" t="n">
        <v>39346</v>
      </c>
      <c r="E1559" s="6" t="n">
        <v>508.8</v>
      </c>
      <c r="F1559" s="7" t="n">
        <v>62</v>
      </c>
      <c r="G1559" s="6" t="n">
        <v>787.811353092954</v>
      </c>
      <c r="H1559" s="8" t="n">
        <v>479149.94430255</v>
      </c>
      <c r="I1559" s="9" t="n">
        <v>4.92898901686645</v>
      </c>
      <c r="J1559" s="9" t="n">
        <v>17.924181048096</v>
      </c>
      <c r="K1559" s="3" t="s">
        <v>555</v>
      </c>
      <c r="L1559" s="3" t="s">
        <v>556</v>
      </c>
      <c r="M1559" s="7" t="n">
        <v>2017</v>
      </c>
    </row>
    <row r="1560" customFormat="false" ht="15" hidden="false" customHeight="false" outlineLevel="0" collapsed="false">
      <c r="A1560" s="3" t="n">
        <v>2139</v>
      </c>
      <c r="B1560" s="3" t="s">
        <v>554</v>
      </c>
      <c r="C1560" s="4" t="s">
        <v>43</v>
      </c>
      <c r="D1560" s="5" t="n">
        <v>45851</v>
      </c>
      <c r="E1560" s="6" t="n">
        <v>507.4</v>
      </c>
      <c r="F1560" s="7" t="n">
        <v>62</v>
      </c>
      <c r="G1560" s="6" t="n">
        <v>791.878953075436</v>
      </c>
      <c r="H1560" s="8" t="n">
        <v>512139.794112007</v>
      </c>
      <c r="I1560" s="9" t="n">
        <v>5.18332140076641</v>
      </c>
      <c r="J1560" s="9" t="n">
        <v>15.4606469413578</v>
      </c>
      <c r="K1560" s="3" t="s">
        <v>555</v>
      </c>
      <c r="L1560" s="3" t="s">
        <v>556</v>
      </c>
      <c r="M1560" s="7" t="n">
        <v>2018</v>
      </c>
    </row>
    <row r="1561" customFormat="false" ht="15" hidden="false" customHeight="false" outlineLevel="0" collapsed="false">
      <c r="A1561" s="3" t="n">
        <v>2140</v>
      </c>
      <c r="B1561" s="3" t="s">
        <v>554</v>
      </c>
      <c r="C1561" s="4" t="s">
        <v>44</v>
      </c>
      <c r="D1561" s="5" t="n">
        <v>45870</v>
      </c>
      <c r="E1561" s="6" t="n">
        <v>510.1</v>
      </c>
      <c r="F1561" s="7" t="n">
        <v>68</v>
      </c>
      <c r="G1561" s="6" t="n">
        <v>1006.52679773924</v>
      </c>
      <c r="H1561" s="8" t="n">
        <v>682086.497205354</v>
      </c>
      <c r="I1561" s="9" t="n">
        <v>5.80198900087793</v>
      </c>
      <c r="J1561" s="9" t="n">
        <v>19.5894749348295</v>
      </c>
      <c r="K1561" s="3" t="s">
        <v>555</v>
      </c>
      <c r="L1561" s="3" t="s">
        <v>556</v>
      </c>
      <c r="M1561" s="7" t="n">
        <v>2019</v>
      </c>
    </row>
    <row r="1562" customFormat="false" ht="15" hidden="false" customHeight="false" outlineLevel="0" collapsed="false">
      <c r="A1562" s="3" t="n">
        <v>2141</v>
      </c>
      <c r="B1562" s="3" t="s">
        <v>554</v>
      </c>
      <c r="C1562" s="4" t="s">
        <v>45</v>
      </c>
      <c r="D1562" s="5" t="n">
        <v>45681</v>
      </c>
      <c r="E1562" s="6" t="n">
        <v>521.2</v>
      </c>
      <c r="F1562" s="7" t="n">
        <v>68</v>
      </c>
      <c r="G1562" s="6" t="n">
        <v>830.943016157018</v>
      </c>
      <c r="H1562" s="8" t="n">
        <v>568807.75294479</v>
      </c>
      <c r="I1562" s="9" t="n">
        <v>4.60982195352454</v>
      </c>
      <c r="J1562" s="9" t="n">
        <v>16.2837083033404</v>
      </c>
      <c r="K1562" s="3" t="s">
        <v>555</v>
      </c>
      <c r="L1562" s="3" t="s">
        <v>556</v>
      </c>
      <c r="M1562" s="7" t="n">
        <v>2020</v>
      </c>
    </row>
    <row r="1563" customFormat="false" ht="15" hidden="false" customHeight="false" outlineLevel="0" collapsed="false">
      <c r="A1563" s="3" t="n">
        <v>2142</v>
      </c>
      <c r="B1563" s="3" t="s">
        <v>554</v>
      </c>
      <c r="C1563" s="4" t="s">
        <v>46</v>
      </c>
      <c r="D1563" s="5" t="n">
        <v>45831</v>
      </c>
      <c r="E1563" s="6" t="n">
        <v>514.42</v>
      </c>
      <c r="F1563" s="7" t="n">
        <v>68</v>
      </c>
      <c r="G1563" s="6" t="n">
        <v>823.459140658391</v>
      </c>
      <c r="H1563" s="8" t="n">
        <v>601767.470810339</v>
      </c>
      <c r="I1563" s="9" t="n">
        <v>4.64377056950926</v>
      </c>
      <c r="J1563" s="9" t="n">
        <v>16.0842344846653</v>
      </c>
      <c r="K1563" s="3" t="s">
        <v>555</v>
      </c>
      <c r="L1563" s="3" t="s">
        <v>556</v>
      </c>
      <c r="M1563" s="7" t="n">
        <v>2021</v>
      </c>
    </row>
    <row r="1564" customFormat="false" ht="15" hidden="false" customHeight="false" outlineLevel="0" collapsed="false">
      <c r="A1564" s="3" t="n">
        <v>2143</v>
      </c>
      <c r="B1564" s="3" t="s">
        <v>554</v>
      </c>
      <c r="C1564" s="4" t="s">
        <v>47</v>
      </c>
      <c r="D1564" s="5" t="n">
        <v>46776</v>
      </c>
      <c r="E1564" s="6" t="n">
        <v>496.251355628406</v>
      </c>
      <c r="F1564" s="7" t="n">
        <v>72</v>
      </c>
      <c r="G1564" s="6" t="n">
        <v>754.009612298627</v>
      </c>
      <c r="H1564" s="8" t="n">
        <v>612896.713356939</v>
      </c>
      <c r="I1564" s="9" t="n">
        <v>4.72535374852249</v>
      </c>
      <c r="J1564" s="9" t="n">
        <v>14.4301709490074</v>
      </c>
      <c r="K1564" s="3" t="s">
        <v>555</v>
      </c>
      <c r="L1564" s="3" t="s">
        <v>556</v>
      </c>
      <c r="M1564" s="7" t="n">
        <v>2022</v>
      </c>
    </row>
    <row r="1565" customFormat="false" ht="15" hidden="false" customHeight="false" outlineLevel="0" collapsed="false">
      <c r="A1565" s="3" t="n">
        <v>2144</v>
      </c>
      <c r="B1565" s="3" t="s">
        <v>554</v>
      </c>
      <c r="C1565" s="4" t="s">
        <v>48</v>
      </c>
      <c r="D1565" s="5" t="n">
        <v>46800</v>
      </c>
      <c r="E1565" s="6" t="n">
        <v>494.5</v>
      </c>
      <c r="F1565" s="7" t="n">
        <v>74</v>
      </c>
      <c r="G1565" s="6" t="n">
        <v>792.8416675</v>
      </c>
      <c r="H1565" s="8" t="n">
        <v>648726.837598525</v>
      </c>
      <c r="I1565" s="9" t="n">
        <v>4.70140100002502</v>
      </c>
      <c r="J1565" s="9" t="n">
        <v>15.1240048118805</v>
      </c>
      <c r="K1565" s="3" t="s">
        <v>555</v>
      </c>
      <c r="L1565" s="3" t="s">
        <v>556</v>
      </c>
      <c r="M1565" s="7" t="n">
        <v>2023</v>
      </c>
    </row>
    <row r="1566" customFormat="false" ht="15" hidden="false" customHeight="false" outlineLevel="0" collapsed="false">
      <c r="A1566" s="3" t="n">
        <v>2145</v>
      </c>
      <c r="B1566" s="3" t="s">
        <v>554</v>
      </c>
      <c r="C1566" s="4" t="s">
        <v>49</v>
      </c>
      <c r="D1566" s="5" t="n">
        <v>46743</v>
      </c>
      <c r="E1566" s="6" t="n">
        <v>493.9</v>
      </c>
      <c r="F1566" s="7" t="n">
        <v>74</v>
      </c>
      <c r="G1566" s="6" t="n">
        <v>824.693349999998</v>
      </c>
      <c r="H1566" s="8" t="n">
        <v>643021.651928498</v>
      </c>
      <c r="I1566" s="9" t="n">
        <v>4.65211753509581</v>
      </c>
      <c r="J1566" s="9" t="n">
        <v>15.7940527729515</v>
      </c>
      <c r="K1566" s="3" t="s">
        <v>555</v>
      </c>
      <c r="L1566" s="3" t="s">
        <v>556</v>
      </c>
      <c r="M1566" s="7" t="n">
        <v>2024</v>
      </c>
    </row>
    <row r="1567" customFormat="false" ht="15" hidden="false" customHeight="false" outlineLevel="0" collapsed="false">
      <c r="A1567" s="3" t="n">
        <v>2146</v>
      </c>
      <c r="B1567" s="3" t="s">
        <v>557</v>
      </c>
      <c r="C1567" s="4" t="s">
        <v>14</v>
      </c>
      <c r="D1567" s="5" t="n">
        <v>5794</v>
      </c>
      <c r="E1567" s="6" t="n">
        <v>74.79</v>
      </c>
      <c r="F1567" s="7" t="n">
        <v>67</v>
      </c>
      <c r="G1567" s="6" t="n">
        <v>196.12015361584</v>
      </c>
      <c r="H1567" s="8" t="n">
        <v>56482.2825472955</v>
      </c>
      <c r="I1567" s="9" t="n">
        <v>11.5658393586396</v>
      </c>
      <c r="J1567" s="9" t="n">
        <v>30.2182929794521</v>
      </c>
      <c r="K1567" s="3" t="s">
        <v>558</v>
      </c>
      <c r="L1567" s="3" t="s">
        <v>559</v>
      </c>
      <c r="M1567" s="7" t="n">
        <v>2016</v>
      </c>
    </row>
    <row r="1568" customFormat="false" ht="15" hidden="false" customHeight="false" outlineLevel="0" collapsed="false">
      <c r="A1568" s="3" t="n">
        <v>2147</v>
      </c>
      <c r="B1568" s="3" t="s">
        <v>557</v>
      </c>
      <c r="C1568" s="4" t="s">
        <v>17</v>
      </c>
      <c r="D1568" s="5" t="n">
        <v>5373</v>
      </c>
      <c r="E1568" s="6" t="n">
        <v>74.79</v>
      </c>
      <c r="F1568" s="7" t="n">
        <v>58</v>
      </c>
      <c r="G1568" s="6" t="n">
        <v>188.402705000001</v>
      </c>
      <c r="H1568" s="8" t="n">
        <v>130459.45307725</v>
      </c>
      <c r="I1568" s="9" t="n">
        <v>10.2853234962265</v>
      </c>
      <c r="J1568" s="9" t="n">
        <v>31.3897580223847</v>
      </c>
      <c r="K1568" s="3" t="s">
        <v>558</v>
      </c>
      <c r="L1568" s="3" t="s">
        <v>559</v>
      </c>
      <c r="M1568" s="7" t="n">
        <v>2017</v>
      </c>
    </row>
    <row r="1569" customFormat="false" ht="15" hidden="false" customHeight="false" outlineLevel="0" collapsed="false">
      <c r="A1569" s="3" t="n">
        <v>2148</v>
      </c>
      <c r="B1569" s="3" t="s">
        <v>557</v>
      </c>
      <c r="C1569" s="4" t="s">
        <v>18</v>
      </c>
      <c r="D1569" s="5" t="n">
        <v>5373</v>
      </c>
      <c r="E1569" s="6" t="n">
        <v>74.79</v>
      </c>
      <c r="F1569" s="7" t="n">
        <v>71</v>
      </c>
      <c r="G1569" s="6" t="n">
        <v>102.61014</v>
      </c>
      <c r="H1569" s="8" t="n">
        <v>57455.5217915998</v>
      </c>
      <c r="I1569" s="9" t="n">
        <v>8.86338296497437</v>
      </c>
      <c r="J1569" s="9" t="n">
        <v>17.0958663531025</v>
      </c>
      <c r="K1569" s="3" t="s">
        <v>558</v>
      </c>
      <c r="L1569" s="3" t="s">
        <v>559</v>
      </c>
      <c r="M1569" s="7" t="n">
        <v>2018</v>
      </c>
    </row>
    <row r="1570" customFormat="false" ht="15" hidden="false" customHeight="false" outlineLevel="0" collapsed="false">
      <c r="A1570" s="3" t="n">
        <v>2149</v>
      </c>
      <c r="B1570" s="3" t="s">
        <v>557</v>
      </c>
      <c r="C1570" s="4" t="s">
        <v>19</v>
      </c>
      <c r="D1570" s="5" t="n">
        <v>5428</v>
      </c>
      <c r="E1570" s="6" t="n">
        <v>74.8</v>
      </c>
      <c r="F1570" s="7" t="n">
        <v>72</v>
      </c>
      <c r="G1570" s="6" t="n">
        <v>189.820832500001</v>
      </c>
      <c r="H1570" s="8" t="n">
        <v>139719.521969951</v>
      </c>
      <c r="I1570" s="9" t="n">
        <v>10.6775136412246</v>
      </c>
      <c r="J1570" s="9" t="n">
        <v>31.3055767464176</v>
      </c>
      <c r="K1570" s="3" t="s">
        <v>558</v>
      </c>
      <c r="L1570" s="3" t="s">
        <v>559</v>
      </c>
      <c r="M1570" s="7" t="n">
        <v>2019</v>
      </c>
    </row>
    <row r="1571" customFormat="false" ht="15" hidden="false" customHeight="false" outlineLevel="0" collapsed="false">
      <c r="A1571" s="3" t="n">
        <v>2150</v>
      </c>
      <c r="B1571" s="3" t="s">
        <v>557</v>
      </c>
      <c r="C1571" s="4" t="s">
        <v>20</v>
      </c>
      <c r="D1571" s="5" t="n">
        <v>5428</v>
      </c>
      <c r="E1571" s="6" t="n">
        <v>74.8</v>
      </c>
      <c r="F1571" s="7" t="n">
        <v>68</v>
      </c>
      <c r="G1571" s="6" t="n">
        <v>121.136175337851</v>
      </c>
      <c r="H1571" s="8" t="n">
        <v>90285.4605086122</v>
      </c>
      <c r="I1571" s="9" t="n">
        <v>8.40742247502019</v>
      </c>
      <c r="J1571" s="9" t="n">
        <v>19.9232512643796</v>
      </c>
      <c r="K1571" s="3" t="s">
        <v>558</v>
      </c>
      <c r="L1571" s="3" t="s">
        <v>559</v>
      </c>
      <c r="M1571" s="7" t="n">
        <v>2020</v>
      </c>
    </row>
    <row r="1572" customFormat="false" ht="15" hidden="false" customHeight="false" outlineLevel="0" collapsed="false">
      <c r="A1572" s="3" t="n">
        <v>2151</v>
      </c>
      <c r="B1572" s="3" t="s">
        <v>557</v>
      </c>
      <c r="C1572" s="4" t="s">
        <v>21</v>
      </c>
      <c r="D1572" s="5" t="n">
        <v>5428</v>
      </c>
      <c r="E1572" s="6" t="n">
        <v>74.8</v>
      </c>
      <c r="F1572" s="7" t="n">
        <v>73</v>
      </c>
      <c r="G1572" s="6" t="n">
        <v>122.063207943614</v>
      </c>
      <c r="H1572" s="8" t="n">
        <v>85078.0559366987</v>
      </c>
      <c r="I1572" s="9" t="n">
        <v>9.96038989912154</v>
      </c>
      <c r="J1572" s="9" t="n">
        <v>20.1308732759494</v>
      </c>
      <c r="K1572" s="3" t="s">
        <v>558</v>
      </c>
      <c r="L1572" s="3" t="s">
        <v>559</v>
      </c>
      <c r="M1572" s="7" t="n">
        <v>2021</v>
      </c>
    </row>
    <row r="1573" customFormat="false" ht="15" hidden="false" customHeight="false" outlineLevel="0" collapsed="false">
      <c r="A1573" s="3" t="n">
        <v>2152</v>
      </c>
      <c r="B1573" s="3" t="s">
        <v>557</v>
      </c>
      <c r="C1573" s="4" t="s">
        <v>22</v>
      </c>
      <c r="D1573" s="5" t="n">
        <v>5346</v>
      </c>
      <c r="E1573" s="6" t="n">
        <v>74.7</v>
      </c>
      <c r="F1573" s="7" t="n">
        <v>53</v>
      </c>
      <c r="G1573" s="6" t="n">
        <v>-61.2243650000001</v>
      </c>
      <c r="H1573" s="8" t="n">
        <v>-45689.2946249</v>
      </c>
      <c r="I1573" s="9" t="n">
        <v>4.94030331852892</v>
      </c>
      <c r="J1573" s="9" t="n">
        <v>-10.2521041507952</v>
      </c>
      <c r="K1573" s="3" t="s">
        <v>558</v>
      </c>
      <c r="L1573" s="3" t="s">
        <v>559</v>
      </c>
      <c r="M1573" s="7" t="n">
        <v>2022</v>
      </c>
    </row>
    <row r="1574" customFormat="false" ht="15" hidden="false" customHeight="false" outlineLevel="0" collapsed="false">
      <c r="A1574" s="3" t="n">
        <v>2153</v>
      </c>
      <c r="B1574" s="3" t="s">
        <v>557</v>
      </c>
      <c r="C1574" s="4" t="s">
        <v>23</v>
      </c>
      <c r="D1574" s="5" t="n">
        <v>5394</v>
      </c>
      <c r="E1574" s="6" t="n">
        <v>74.7</v>
      </c>
      <c r="F1574" s="7" t="n">
        <v>62</v>
      </c>
      <c r="G1574" s="6" t="n">
        <v>17.6660649999998</v>
      </c>
      <c r="H1574" s="8" t="n">
        <v>12600.6741825499</v>
      </c>
      <c r="I1574" s="9" t="n">
        <v>5.93747415900595</v>
      </c>
      <c r="J1574" s="9" t="n">
        <v>2.93188246724838</v>
      </c>
      <c r="K1574" s="3" t="s">
        <v>558</v>
      </c>
      <c r="L1574" s="3" t="s">
        <v>559</v>
      </c>
      <c r="M1574" s="7" t="n">
        <v>2023</v>
      </c>
    </row>
    <row r="1575" customFormat="false" ht="15" hidden="false" customHeight="false" outlineLevel="0" collapsed="false">
      <c r="A1575" s="3" t="n">
        <v>2154</v>
      </c>
      <c r="B1575" s="3" t="s">
        <v>557</v>
      </c>
      <c r="C1575" s="4" t="s">
        <v>24</v>
      </c>
      <c r="D1575" s="5" t="n">
        <v>5423</v>
      </c>
      <c r="E1575" s="6" t="n">
        <v>74.7</v>
      </c>
      <c r="F1575" s="7" t="n">
        <v>63</v>
      </c>
      <c r="G1575" s="6" t="n">
        <v>595.213503074354</v>
      </c>
      <c r="H1575" s="8" t="n">
        <v>551292.698682497</v>
      </c>
      <c r="I1575" s="9" t="n">
        <v>18.5587498594873</v>
      </c>
      <c r="J1575" s="9" t="n">
        <v>97.9849475169339</v>
      </c>
      <c r="K1575" s="3" t="s">
        <v>558</v>
      </c>
      <c r="L1575" s="3" t="s">
        <v>559</v>
      </c>
      <c r="M1575" s="7" t="n">
        <v>2024</v>
      </c>
    </row>
    <row r="1576" customFormat="false" ht="15" hidden="false" customHeight="false" outlineLevel="0" collapsed="false">
      <c r="A1576" s="3" t="n">
        <v>2155</v>
      </c>
      <c r="B1576" s="3" t="s">
        <v>560</v>
      </c>
      <c r="C1576" s="4" t="s">
        <v>14</v>
      </c>
      <c r="D1576" s="5" t="n">
        <v>12331</v>
      </c>
      <c r="E1576" s="6" t="n">
        <v>160.8</v>
      </c>
      <c r="F1576" s="7" t="n">
        <v>72</v>
      </c>
      <c r="G1576" s="6" t="n">
        <v>115.735577657005</v>
      </c>
      <c r="H1576" s="8" t="n">
        <v>115002.971450436</v>
      </c>
      <c r="I1576" s="9" t="n">
        <v>3.37075595773491</v>
      </c>
      <c r="J1576" s="9" t="n">
        <v>8.3790499532002</v>
      </c>
      <c r="K1576" s="3" t="s">
        <v>561</v>
      </c>
      <c r="L1576" s="3" t="s">
        <v>530</v>
      </c>
      <c r="M1576" s="7" t="n">
        <v>2016</v>
      </c>
    </row>
    <row r="1577" customFormat="false" ht="15" hidden="false" customHeight="false" outlineLevel="0" collapsed="false">
      <c r="A1577" s="3" t="n">
        <v>2156</v>
      </c>
      <c r="B1577" s="3" t="s">
        <v>560</v>
      </c>
      <c r="C1577" s="4" t="s">
        <v>17</v>
      </c>
      <c r="D1577" s="5" t="n">
        <v>13380</v>
      </c>
      <c r="E1577" s="6" t="n">
        <v>160.8</v>
      </c>
      <c r="F1577" s="7" t="n">
        <v>74</v>
      </c>
      <c r="G1577" s="6" t="n">
        <v>163.934210568724</v>
      </c>
      <c r="H1577" s="8" t="n">
        <v>142442.413312593</v>
      </c>
      <c r="I1577" s="9" t="n">
        <v>4.00502275843833</v>
      </c>
      <c r="J1577" s="9" t="n">
        <v>10.9680937696146</v>
      </c>
      <c r="K1577" s="3" t="s">
        <v>561</v>
      </c>
      <c r="L1577" s="3" t="s">
        <v>530</v>
      </c>
      <c r="M1577" s="7" t="n">
        <v>2017</v>
      </c>
    </row>
    <row r="1578" customFormat="false" ht="15" hidden="false" customHeight="false" outlineLevel="0" collapsed="false">
      <c r="A1578" s="3" t="n">
        <v>2157</v>
      </c>
      <c r="B1578" s="3" t="s">
        <v>560</v>
      </c>
      <c r="C1578" s="4" t="s">
        <v>18</v>
      </c>
      <c r="D1578" s="5" t="n">
        <v>13631</v>
      </c>
      <c r="E1578" s="6" t="n">
        <v>168.4</v>
      </c>
      <c r="F1578" s="7" t="n">
        <v>75</v>
      </c>
      <c r="G1578" s="6" t="n">
        <v>78.511194582412</v>
      </c>
      <c r="H1578" s="8" t="n">
        <v>92329.1648289165</v>
      </c>
      <c r="I1578" s="9" t="n">
        <v>3.75893079682396</v>
      </c>
      <c r="J1578" s="9" t="n">
        <v>5.15610249783612</v>
      </c>
      <c r="K1578" s="3" t="s">
        <v>561</v>
      </c>
      <c r="L1578" s="3" t="s">
        <v>530</v>
      </c>
      <c r="M1578" s="7" t="n">
        <v>2018</v>
      </c>
    </row>
    <row r="1579" customFormat="false" ht="15" hidden="false" customHeight="false" outlineLevel="0" collapsed="false">
      <c r="A1579" s="3" t="n">
        <v>2158</v>
      </c>
      <c r="B1579" s="3" t="s">
        <v>560</v>
      </c>
      <c r="C1579" s="4" t="s">
        <v>19</v>
      </c>
      <c r="D1579" s="5" t="n">
        <v>13631</v>
      </c>
      <c r="E1579" s="6" t="n">
        <v>165.4</v>
      </c>
      <c r="F1579" s="7" t="n">
        <v>74</v>
      </c>
      <c r="G1579" s="6" t="n">
        <v>85.2972555833828</v>
      </c>
      <c r="H1579" s="8" t="n">
        <v>120018.356441155</v>
      </c>
      <c r="I1579" s="9" t="n">
        <v>3.09219362941194</v>
      </c>
      <c r="J1579" s="9" t="n">
        <v>5.60176666412066</v>
      </c>
      <c r="K1579" s="3" t="s">
        <v>561</v>
      </c>
      <c r="L1579" s="3" t="s">
        <v>530</v>
      </c>
      <c r="M1579" s="7" t="n">
        <v>2019</v>
      </c>
    </row>
    <row r="1580" customFormat="false" ht="15" hidden="false" customHeight="false" outlineLevel="0" collapsed="false">
      <c r="A1580" s="3" t="n">
        <v>2159</v>
      </c>
      <c r="B1580" s="3" t="s">
        <v>560</v>
      </c>
      <c r="C1580" s="4" t="s">
        <v>20</v>
      </c>
      <c r="D1580" s="5" t="n">
        <v>12985</v>
      </c>
      <c r="E1580" s="6" t="n">
        <v>178.4</v>
      </c>
      <c r="F1580" s="7" t="n">
        <v>75</v>
      </c>
      <c r="G1580" s="6" t="n">
        <v>223.04704575</v>
      </c>
      <c r="H1580" s="8" t="n">
        <v>269295.850686263</v>
      </c>
      <c r="I1580" s="9" t="n">
        <v>5.43564115485832</v>
      </c>
      <c r="J1580" s="9" t="n">
        <v>15.3348917675681</v>
      </c>
      <c r="K1580" s="3" t="s">
        <v>561</v>
      </c>
      <c r="L1580" s="3" t="s">
        <v>530</v>
      </c>
      <c r="M1580" s="7" t="n">
        <v>2020</v>
      </c>
    </row>
    <row r="1581" customFormat="false" ht="15" hidden="false" customHeight="false" outlineLevel="0" collapsed="false">
      <c r="A1581" s="3" t="n">
        <v>2160</v>
      </c>
      <c r="B1581" s="3" t="s">
        <v>560</v>
      </c>
      <c r="C1581" s="4" t="s">
        <v>21</v>
      </c>
      <c r="D1581" s="5" t="n">
        <v>12985</v>
      </c>
      <c r="E1581" s="6" t="n">
        <v>178.4</v>
      </c>
      <c r="F1581" s="7" t="n">
        <v>75</v>
      </c>
      <c r="G1581" s="6" t="n">
        <v>197.35902194622</v>
      </c>
      <c r="H1581" s="8" t="n">
        <v>252683.365948743</v>
      </c>
      <c r="I1581" s="9" t="n">
        <v>5.48080085604875</v>
      </c>
      <c r="J1581" s="9" t="n">
        <v>13.6060701189872</v>
      </c>
      <c r="K1581" s="3" t="s">
        <v>561</v>
      </c>
      <c r="L1581" s="3" t="s">
        <v>530</v>
      </c>
      <c r="M1581" s="7" t="n">
        <v>2021</v>
      </c>
    </row>
    <row r="1582" customFormat="false" ht="15" hidden="false" customHeight="false" outlineLevel="0" collapsed="false">
      <c r="A1582" s="3" t="n">
        <v>2161</v>
      </c>
      <c r="B1582" s="3" t="s">
        <v>560</v>
      </c>
      <c r="C1582" s="4" t="s">
        <v>22</v>
      </c>
      <c r="D1582" s="5" t="n">
        <v>13704</v>
      </c>
      <c r="E1582" s="6" t="n">
        <v>178.6</v>
      </c>
      <c r="F1582" s="7" t="n">
        <v>75</v>
      </c>
      <c r="G1582" s="6" t="n">
        <v>193.168080962207</v>
      </c>
      <c r="H1582" s="8" t="n">
        <v>295199.461326445</v>
      </c>
      <c r="I1582" s="9" t="n">
        <v>7.16757922188043</v>
      </c>
      <c r="J1582" s="9" t="n">
        <v>12.6184406633533</v>
      </c>
      <c r="K1582" s="3" t="s">
        <v>561</v>
      </c>
      <c r="L1582" s="3" t="s">
        <v>530</v>
      </c>
      <c r="M1582" s="7" t="n">
        <v>2022</v>
      </c>
    </row>
    <row r="1583" customFormat="false" ht="15" hidden="false" customHeight="false" outlineLevel="0" collapsed="false">
      <c r="A1583" s="3" t="n">
        <v>2162</v>
      </c>
      <c r="B1583" s="3" t="s">
        <v>560</v>
      </c>
      <c r="C1583" s="4" t="s">
        <v>23</v>
      </c>
      <c r="D1583" s="5" t="n">
        <v>13704</v>
      </c>
      <c r="E1583" s="6" t="n">
        <v>178.6</v>
      </c>
      <c r="F1583" s="7" t="n">
        <v>72</v>
      </c>
      <c r="G1583" s="6" t="n">
        <v>130.818958191106</v>
      </c>
      <c r="H1583" s="8" t="n">
        <v>244634.068196532</v>
      </c>
      <c r="I1583" s="9" t="n">
        <v>7.04358721770948</v>
      </c>
      <c r="J1583" s="9" t="n">
        <v>8.54556950275408</v>
      </c>
      <c r="K1583" s="3" t="s">
        <v>561</v>
      </c>
      <c r="L1583" s="3" t="s">
        <v>530</v>
      </c>
      <c r="M1583" s="7" t="n">
        <v>2023</v>
      </c>
    </row>
    <row r="1584" customFormat="false" ht="15" hidden="false" customHeight="false" outlineLevel="0" collapsed="false">
      <c r="A1584" s="3" t="n">
        <v>2163</v>
      </c>
      <c r="B1584" s="3" t="s">
        <v>560</v>
      </c>
      <c r="C1584" s="4" t="s">
        <v>24</v>
      </c>
      <c r="D1584" s="5" t="n">
        <v>13704</v>
      </c>
      <c r="E1584" s="6" t="n">
        <v>178.6</v>
      </c>
      <c r="F1584" s="7" t="n">
        <v>63</v>
      </c>
      <c r="G1584" s="6" t="n">
        <v>279.896904198021</v>
      </c>
      <c r="H1584" s="8" t="n">
        <v>515558.901656586</v>
      </c>
      <c r="I1584" s="9" t="n">
        <v>13.0865080562915</v>
      </c>
      <c r="J1584" s="9" t="n">
        <v>18.2337895804503</v>
      </c>
      <c r="K1584" s="3" t="s">
        <v>561</v>
      </c>
      <c r="L1584" s="3" t="s">
        <v>530</v>
      </c>
      <c r="M1584" s="7" t="n">
        <v>2024</v>
      </c>
    </row>
    <row r="1585" customFormat="false" ht="15" hidden="false" customHeight="false" outlineLevel="0" collapsed="false">
      <c r="A1585" s="3" t="n">
        <v>2164</v>
      </c>
      <c r="B1585" s="3" t="s">
        <v>562</v>
      </c>
      <c r="C1585" s="4" t="s">
        <v>14</v>
      </c>
      <c r="D1585" s="5" t="n">
        <v>14165</v>
      </c>
      <c r="E1585" s="6" t="n">
        <v>172</v>
      </c>
      <c r="F1585" s="7" t="n">
        <v>58</v>
      </c>
      <c r="G1585" s="6" t="n">
        <v>626.370303807105</v>
      </c>
      <c r="H1585" s="8" t="n">
        <v>484985.511449145</v>
      </c>
      <c r="I1585" s="9" t="n">
        <v>8.260182806116</v>
      </c>
      <c r="J1585" s="9" t="n">
        <v>39.4766939283782</v>
      </c>
      <c r="K1585" s="3" t="s">
        <v>563</v>
      </c>
      <c r="L1585" s="3" t="s">
        <v>564</v>
      </c>
      <c r="M1585" s="7" t="n">
        <v>2016</v>
      </c>
    </row>
    <row r="1586" customFormat="false" ht="15" hidden="false" customHeight="false" outlineLevel="0" collapsed="false">
      <c r="A1586" s="3" t="n">
        <v>2165</v>
      </c>
      <c r="B1586" s="3" t="s">
        <v>562</v>
      </c>
      <c r="C1586" s="4" t="s">
        <v>17</v>
      </c>
      <c r="D1586" s="5" t="n">
        <v>14165</v>
      </c>
      <c r="E1586" s="6" t="n">
        <v>172</v>
      </c>
      <c r="F1586" s="7" t="n">
        <v>56</v>
      </c>
      <c r="G1586" s="6" t="n">
        <v>798.511301269036</v>
      </c>
      <c r="H1586" s="8" t="n">
        <v>478036.775617721</v>
      </c>
      <c r="I1586" s="9" t="n">
        <v>9.67184767636112</v>
      </c>
      <c r="J1586" s="9" t="n">
        <v>50.4640570570972</v>
      </c>
      <c r="K1586" s="3" t="s">
        <v>563</v>
      </c>
      <c r="L1586" s="3" t="s">
        <v>564</v>
      </c>
      <c r="M1586" s="7" t="n">
        <v>2017</v>
      </c>
    </row>
    <row r="1587" customFormat="false" ht="15" hidden="false" customHeight="false" outlineLevel="0" collapsed="false">
      <c r="A1587" s="3" t="n">
        <v>2166</v>
      </c>
      <c r="B1587" s="3" t="s">
        <v>562</v>
      </c>
      <c r="C1587" s="4" t="s">
        <v>18</v>
      </c>
      <c r="D1587" s="5" t="n">
        <v>14165</v>
      </c>
      <c r="E1587" s="6" t="n">
        <v>172</v>
      </c>
      <c r="F1587" s="7" t="n">
        <v>58</v>
      </c>
      <c r="G1587" s="6" t="n">
        <v>177.321813832486</v>
      </c>
      <c r="H1587" s="8" t="n">
        <v>178015.142124571</v>
      </c>
      <c r="I1587" s="9" t="n">
        <v>4.8771859564811</v>
      </c>
      <c r="J1587" s="9" t="n">
        <v>11.2063262179124</v>
      </c>
      <c r="K1587" s="3" t="s">
        <v>563</v>
      </c>
      <c r="L1587" s="3" t="s">
        <v>564</v>
      </c>
      <c r="M1587" s="7" t="n">
        <v>2018</v>
      </c>
    </row>
    <row r="1588" customFormat="false" ht="15" hidden="false" customHeight="false" outlineLevel="0" collapsed="false">
      <c r="A1588" s="3" t="n">
        <v>2167</v>
      </c>
      <c r="B1588" s="3" t="s">
        <v>562</v>
      </c>
      <c r="C1588" s="4" t="s">
        <v>19</v>
      </c>
      <c r="D1588" s="5" t="n">
        <v>14165</v>
      </c>
      <c r="E1588" s="6" t="n">
        <v>172</v>
      </c>
      <c r="F1588" s="7" t="n">
        <v>58</v>
      </c>
      <c r="G1588" s="6" t="n">
        <v>244.060549619288</v>
      </c>
      <c r="H1588" s="8" t="n">
        <v>157553.287806731</v>
      </c>
      <c r="I1588" s="9" t="n">
        <v>5.64307331045859</v>
      </c>
      <c r="J1588" s="9" t="n">
        <v>15.4240590982251</v>
      </c>
      <c r="K1588" s="3" t="s">
        <v>563</v>
      </c>
      <c r="L1588" s="3" t="s">
        <v>564</v>
      </c>
      <c r="M1588" s="7" t="n">
        <v>2019</v>
      </c>
    </row>
    <row r="1589" customFormat="false" ht="15" hidden="false" customHeight="false" outlineLevel="0" collapsed="false">
      <c r="A1589" s="3" t="n">
        <v>2168</v>
      </c>
      <c r="B1589" s="3" t="s">
        <v>562</v>
      </c>
      <c r="C1589" s="4" t="s">
        <v>20</v>
      </c>
      <c r="D1589" s="5" t="n">
        <v>14165</v>
      </c>
      <c r="E1589" s="6" t="n">
        <v>172</v>
      </c>
      <c r="F1589" s="7" t="n">
        <v>59</v>
      </c>
      <c r="G1589" s="6" t="n">
        <v>606.849791116751</v>
      </c>
      <c r="H1589" s="8" t="n">
        <v>388717.633699835</v>
      </c>
      <c r="I1589" s="9" t="n">
        <v>8.90345103874549</v>
      </c>
      <c r="J1589" s="9" t="n">
        <v>38.2464227930476</v>
      </c>
      <c r="K1589" s="3" t="s">
        <v>563</v>
      </c>
      <c r="L1589" s="3" t="s">
        <v>564</v>
      </c>
      <c r="M1589" s="7" t="n">
        <v>2020</v>
      </c>
    </row>
    <row r="1590" customFormat="false" ht="15" hidden="false" customHeight="false" outlineLevel="0" collapsed="false">
      <c r="A1590" s="3" t="n">
        <v>2169</v>
      </c>
      <c r="B1590" s="3" t="s">
        <v>562</v>
      </c>
      <c r="C1590" s="4" t="s">
        <v>21</v>
      </c>
      <c r="D1590" s="5" t="n">
        <v>14342</v>
      </c>
      <c r="E1590" s="6" t="n">
        <v>172</v>
      </c>
      <c r="F1590" s="7" t="n">
        <v>65</v>
      </c>
      <c r="G1590" s="6" t="n">
        <v>377.288840609137</v>
      </c>
      <c r="H1590" s="8" t="n">
        <v>237586.328708386</v>
      </c>
      <c r="I1590" s="9" t="n">
        <v>6.72215496368038</v>
      </c>
      <c r="J1590" s="9" t="n">
        <v>23.5495122297624</v>
      </c>
      <c r="K1590" s="3" t="s">
        <v>563</v>
      </c>
      <c r="L1590" s="3" t="s">
        <v>564</v>
      </c>
      <c r="M1590" s="7" t="n">
        <v>2021</v>
      </c>
    </row>
    <row r="1591" customFormat="false" ht="15" hidden="false" customHeight="false" outlineLevel="0" collapsed="false">
      <c r="A1591" s="3" t="n">
        <v>2170</v>
      </c>
      <c r="B1591" s="3" t="s">
        <v>562</v>
      </c>
      <c r="C1591" s="4" t="s">
        <v>22</v>
      </c>
      <c r="D1591" s="5" t="n">
        <v>14341</v>
      </c>
      <c r="E1591" s="6" t="n">
        <v>183</v>
      </c>
      <c r="F1591" s="7" t="n">
        <v>65</v>
      </c>
      <c r="G1591" s="6" t="n">
        <v>653.45498857868</v>
      </c>
      <c r="H1591" s="8" t="n">
        <v>821098.86589854</v>
      </c>
      <c r="I1591" s="9" t="n">
        <v>8.40485751608689</v>
      </c>
      <c r="J1591" s="9" t="n">
        <v>40.7900198315886</v>
      </c>
      <c r="K1591" s="3" t="s">
        <v>563</v>
      </c>
      <c r="L1591" s="3" t="s">
        <v>564</v>
      </c>
      <c r="M1591" s="7" t="n">
        <v>2022</v>
      </c>
    </row>
    <row r="1592" customFormat="false" ht="15" hidden="false" customHeight="false" outlineLevel="0" collapsed="false">
      <c r="A1592" s="3" t="n">
        <v>2171</v>
      </c>
      <c r="B1592" s="3" t="s">
        <v>562</v>
      </c>
      <c r="C1592" s="4" t="s">
        <v>23</v>
      </c>
      <c r="D1592" s="5" t="n">
        <v>14392</v>
      </c>
      <c r="E1592" s="6" t="n">
        <v>183</v>
      </c>
      <c r="F1592" s="7" t="n">
        <v>71</v>
      </c>
      <c r="G1592" s="6" t="n">
        <v>74.2145750000009</v>
      </c>
      <c r="H1592" s="8" t="n">
        <v>69919.0353990008</v>
      </c>
      <c r="I1592" s="9" t="n">
        <v>7.04936991980799</v>
      </c>
      <c r="J1592" s="9" t="n">
        <v>4.61621182218244</v>
      </c>
      <c r="K1592" s="3" t="s">
        <v>563</v>
      </c>
      <c r="L1592" s="3" t="s">
        <v>564</v>
      </c>
      <c r="M1592" s="7" t="n">
        <v>2023</v>
      </c>
    </row>
    <row r="1593" customFormat="false" ht="15" hidden="false" customHeight="false" outlineLevel="0" collapsed="false">
      <c r="A1593" s="3" t="n">
        <v>2172</v>
      </c>
      <c r="B1593" s="3" t="s">
        <v>562</v>
      </c>
      <c r="C1593" s="4" t="s">
        <v>24</v>
      </c>
      <c r="D1593" s="5" t="n">
        <v>14419</v>
      </c>
      <c r="E1593" s="6" t="n">
        <v>183</v>
      </c>
      <c r="F1593" s="7" t="n">
        <v>72</v>
      </c>
      <c r="G1593" s="6" t="n">
        <v>280.389849999998</v>
      </c>
      <c r="H1593" s="8" t="n">
        <v>278648.629031498</v>
      </c>
      <c r="I1593" s="9" t="n">
        <v>7.57037565133515</v>
      </c>
      <c r="J1593" s="9" t="n">
        <v>17.3601446744733</v>
      </c>
      <c r="K1593" s="3" t="s">
        <v>563</v>
      </c>
      <c r="L1593" s="3" t="s">
        <v>564</v>
      </c>
      <c r="M1593" s="7" t="n">
        <v>2024</v>
      </c>
    </row>
    <row r="1594" customFormat="false" ht="15" hidden="false" customHeight="false" outlineLevel="0" collapsed="false">
      <c r="A1594" s="3" t="n">
        <v>2182</v>
      </c>
      <c r="B1594" s="3" t="s">
        <v>565</v>
      </c>
      <c r="C1594" s="4" t="s">
        <v>14</v>
      </c>
      <c r="D1594" s="5" t="n">
        <v>55605</v>
      </c>
      <c r="E1594" s="6" t="n">
        <v>607.2</v>
      </c>
      <c r="F1594" s="7" t="n">
        <v>59</v>
      </c>
      <c r="G1594" s="6" t="n">
        <v>-85.1251227633545</v>
      </c>
      <c r="H1594" s="8" t="n">
        <v>-49135.9233614635</v>
      </c>
      <c r="I1594" s="9" t="n">
        <v>0.664914535080208</v>
      </c>
      <c r="J1594" s="9" t="n">
        <v>-1.36669026154698</v>
      </c>
      <c r="K1594" s="3" t="s">
        <v>566</v>
      </c>
      <c r="L1594" s="3" t="s">
        <v>567</v>
      </c>
      <c r="M1594" s="7" t="n">
        <v>2016</v>
      </c>
    </row>
    <row r="1595" customFormat="false" ht="15" hidden="false" customHeight="false" outlineLevel="0" collapsed="false">
      <c r="A1595" s="3" t="n">
        <v>2183</v>
      </c>
      <c r="B1595" s="3" t="s">
        <v>565</v>
      </c>
      <c r="C1595" s="4" t="s">
        <v>17</v>
      </c>
      <c r="D1595" s="5" t="n">
        <v>54624</v>
      </c>
      <c r="E1595" s="6" t="n">
        <v>607.2</v>
      </c>
      <c r="F1595" s="7" t="n">
        <v>66</v>
      </c>
      <c r="G1595" s="6" t="n">
        <v>-2530.60171979949</v>
      </c>
      <c r="H1595" s="8" t="n">
        <v>-1883349.71792638</v>
      </c>
      <c r="I1595" s="9" t="n">
        <v>-8.49145820507391</v>
      </c>
      <c r="J1595" s="9" t="n">
        <v>-41.4722859109541</v>
      </c>
      <c r="K1595" s="3" t="s">
        <v>566</v>
      </c>
      <c r="L1595" s="3" t="s">
        <v>567</v>
      </c>
      <c r="M1595" s="7" t="n">
        <v>2017</v>
      </c>
    </row>
    <row r="1596" customFormat="false" ht="15" hidden="false" customHeight="false" outlineLevel="0" collapsed="false">
      <c r="A1596" s="3" t="n">
        <v>2184</v>
      </c>
      <c r="B1596" s="3" t="s">
        <v>565</v>
      </c>
      <c r="C1596" s="4" t="s">
        <v>18</v>
      </c>
      <c r="D1596" s="5" t="n">
        <v>53091</v>
      </c>
      <c r="E1596" s="6" t="n">
        <v>607.2</v>
      </c>
      <c r="F1596" s="7" t="n">
        <v>66</v>
      </c>
      <c r="G1596" s="6" t="n">
        <v>902.148753132831</v>
      </c>
      <c r="H1596" s="8" t="n">
        <v>608147.495974373</v>
      </c>
      <c r="I1596" s="9" t="n">
        <v>4.28333363854451</v>
      </c>
      <c r="J1596" s="9" t="n">
        <v>15.2116008858254</v>
      </c>
      <c r="K1596" s="3" t="s">
        <v>566</v>
      </c>
      <c r="L1596" s="3" t="s">
        <v>567</v>
      </c>
      <c r="M1596" s="7" t="n">
        <v>2018</v>
      </c>
    </row>
    <row r="1597" customFormat="false" ht="15" hidden="false" customHeight="false" outlineLevel="0" collapsed="false">
      <c r="A1597" s="3" t="n">
        <v>2185</v>
      </c>
      <c r="B1597" s="3" t="s">
        <v>565</v>
      </c>
      <c r="C1597" s="4" t="s">
        <v>19</v>
      </c>
      <c r="D1597" s="5" t="n">
        <v>55088</v>
      </c>
      <c r="E1597" s="6" t="n">
        <v>607.2</v>
      </c>
      <c r="F1597" s="7" t="n">
        <v>66</v>
      </c>
      <c r="G1597" s="6" t="n">
        <v>1389.11326207291</v>
      </c>
      <c r="H1597" s="8" t="n">
        <v>1055087.08707486</v>
      </c>
      <c r="I1597" s="9" t="n">
        <v>6.36885044937878</v>
      </c>
      <c r="J1597" s="9" t="n">
        <v>22.5734701380748</v>
      </c>
      <c r="K1597" s="3" t="s">
        <v>566</v>
      </c>
      <c r="L1597" s="3" t="s">
        <v>567</v>
      </c>
      <c r="M1597" s="7" t="n">
        <v>2019</v>
      </c>
    </row>
    <row r="1598" customFormat="false" ht="15" hidden="false" customHeight="false" outlineLevel="0" collapsed="false">
      <c r="A1598" s="3" t="n">
        <v>2186</v>
      </c>
      <c r="B1598" s="3" t="s">
        <v>565</v>
      </c>
      <c r="C1598" s="4" t="s">
        <v>20</v>
      </c>
      <c r="D1598" s="5" t="n">
        <v>55088</v>
      </c>
      <c r="E1598" s="6" t="n">
        <v>607.2</v>
      </c>
      <c r="F1598" s="7" t="n">
        <v>60</v>
      </c>
      <c r="G1598" s="6" t="n">
        <v>1261.16471691729</v>
      </c>
      <c r="H1598" s="8" t="n">
        <v>800650.420534945</v>
      </c>
      <c r="I1598" s="9" t="n">
        <v>5.74089619965967</v>
      </c>
      <c r="J1598" s="9" t="n">
        <v>20.4381226238375</v>
      </c>
      <c r="K1598" s="3" t="s">
        <v>566</v>
      </c>
      <c r="L1598" s="3" t="s">
        <v>567</v>
      </c>
      <c r="M1598" s="7" t="n">
        <v>2020</v>
      </c>
    </row>
    <row r="1599" customFormat="false" ht="15" hidden="false" customHeight="false" outlineLevel="0" collapsed="false">
      <c r="A1599" s="3" t="n">
        <v>2187</v>
      </c>
      <c r="B1599" s="3" t="s">
        <v>565</v>
      </c>
      <c r="C1599" s="4" t="s">
        <v>21</v>
      </c>
      <c r="D1599" s="5" t="n">
        <v>54605</v>
      </c>
      <c r="E1599" s="6" t="n">
        <v>600.159017045455</v>
      </c>
      <c r="F1599" s="7" t="n">
        <v>68</v>
      </c>
      <c r="G1599" s="6" t="n">
        <v>1651.94733121843</v>
      </c>
      <c r="H1599" s="8" t="n">
        <v>1050399.30890238</v>
      </c>
      <c r="I1599" s="9" t="n">
        <v>7.20244267372495</v>
      </c>
      <c r="J1599" s="9" t="n">
        <v>27.0820452694152</v>
      </c>
      <c r="K1599" s="3" t="s">
        <v>566</v>
      </c>
      <c r="L1599" s="3" t="s">
        <v>567</v>
      </c>
      <c r="M1599" s="7" t="n">
        <v>2021</v>
      </c>
    </row>
    <row r="1600" customFormat="false" ht="15" hidden="false" customHeight="false" outlineLevel="0" collapsed="false">
      <c r="A1600" s="3" t="n">
        <v>2188</v>
      </c>
      <c r="B1600" s="3" t="s">
        <v>565</v>
      </c>
      <c r="C1600" s="4" t="s">
        <v>22</v>
      </c>
      <c r="D1600" s="5" t="n">
        <v>54223</v>
      </c>
      <c r="E1600" s="6" t="n">
        <v>579.77</v>
      </c>
      <c r="F1600" s="7" t="n">
        <v>73</v>
      </c>
      <c r="G1600" s="6" t="n">
        <v>1185.59568364662</v>
      </c>
      <c r="H1600" s="8" t="n">
        <v>953337.489220245</v>
      </c>
      <c r="I1600" s="9" t="n">
        <v>5.6004633902099</v>
      </c>
      <c r="J1600" s="9" t="n">
        <v>19.5736014821138</v>
      </c>
      <c r="K1600" s="3" t="s">
        <v>566</v>
      </c>
      <c r="L1600" s="3" t="s">
        <v>567</v>
      </c>
      <c r="M1600" s="7" t="n">
        <v>2022</v>
      </c>
    </row>
    <row r="1601" customFormat="false" ht="15" hidden="false" customHeight="false" outlineLevel="0" collapsed="false">
      <c r="A1601" s="3" t="n">
        <v>2189</v>
      </c>
      <c r="B1601" s="3" t="s">
        <v>565</v>
      </c>
      <c r="C1601" s="4" t="s">
        <v>23</v>
      </c>
      <c r="D1601" s="5" t="n">
        <v>54363</v>
      </c>
      <c r="E1601" s="6" t="n">
        <v>558.51</v>
      </c>
      <c r="F1601" s="7" t="n">
        <v>74</v>
      </c>
      <c r="G1601" s="6" t="n">
        <v>600.728767775686</v>
      </c>
      <c r="H1601" s="8" t="n">
        <v>464777.840340371</v>
      </c>
      <c r="I1601" s="9" t="n">
        <v>3.58604454296335</v>
      </c>
      <c r="J1601" s="9" t="n">
        <v>9.89219546890404</v>
      </c>
      <c r="K1601" s="3" t="s">
        <v>566</v>
      </c>
      <c r="L1601" s="3" t="s">
        <v>567</v>
      </c>
      <c r="M1601" s="7" t="n">
        <v>2023</v>
      </c>
    </row>
    <row r="1602" customFormat="false" ht="15" hidden="false" customHeight="false" outlineLevel="0" collapsed="false">
      <c r="A1602" s="3" t="n">
        <v>2190</v>
      </c>
      <c r="B1602" s="3" t="s">
        <v>565</v>
      </c>
      <c r="C1602" s="4" t="s">
        <v>24</v>
      </c>
      <c r="D1602" s="5" t="n">
        <v>54526</v>
      </c>
      <c r="E1602" s="6" t="n">
        <v>558.51</v>
      </c>
      <c r="F1602" s="7" t="n">
        <v>72</v>
      </c>
      <c r="G1602" s="6" t="n">
        <v>704.477150461584</v>
      </c>
      <c r="H1602" s="8" t="n">
        <v>581665.648821616</v>
      </c>
      <c r="I1602" s="9" t="n">
        <v>3.91970476668181</v>
      </c>
      <c r="J1602" s="9" t="n">
        <v>11.534252803617</v>
      </c>
      <c r="K1602" s="3" t="s">
        <v>566</v>
      </c>
      <c r="L1602" s="3" t="s">
        <v>567</v>
      </c>
      <c r="M1602" s="7" t="n">
        <v>2024</v>
      </c>
    </row>
    <row r="1603" customFormat="false" ht="15" hidden="false" customHeight="false" outlineLevel="0" collapsed="false">
      <c r="A1603" s="3" t="n">
        <v>2191</v>
      </c>
      <c r="B1603" s="3" t="s">
        <v>568</v>
      </c>
      <c r="C1603" s="4" t="s">
        <v>14</v>
      </c>
      <c r="D1603" s="5" t="n">
        <v>33835</v>
      </c>
      <c r="E1603" s="6" t="n">
        <v>440</v>
      </c>
      <c r="F1603" s="7" t="n">
        <v>56</v>
      </c>
      <c r="G1603" s="6" t="n">
        <v>849.355716666669</v>
      </c>
      <c r="H1603" s="8" t="n">
        <v>527730.187436502</v>
      </c>
      <c r="I1603" s="9" t="n">
        <v>6.52714700911797</v>
      </c>
      <c r="J1603" s="9" t="n">
        <v>22.410400969374</v>
      </c>
      <c r="K1603" s="3" t="s">
        <v>569</v>
      </c>
      <c r="L1603" s="3" t="s">
        <v>570</v>
      </c>
      <c r="M1603" s="7" t="n">
        <v>2016</v>
      </c>
    </row>
    <row r="1604" customFormat="false" ht="15" hidden="false" customHeight="false" outlineLevel="0" collapsed="false">
      <c r="A1604" s="3" t="n">
        <v>2192</v>
      </c>
      <c r="B1604" s="3" t="s">
        <v>568</v>
      </c>
      <c r="C1604" s="4" t="s">
        <v>17</v>
      </c>
      <c r="D1604" s="5" t="n">
        <v>33639</v>
      </c>
      <c r="E1604" s="6" t="n">
        <v>440</v>
      </c>
      <c r="F1604" s="7" t="n">
        <v>56</v>
      </c>
      <c r="G1604" s="6" t="n">
        <v>1104.21638888889</v>
      </c>
      <c r="H1604" s="8" t="n">
        <v>734767.669494445</v>
      </c>
      <c r="I1604" s="9" t="n">
        <v>7.48516061452514</v>
      </c>
      <c r="J1604" s="9" t="n">
        <v>29.3852091596843</v>
      </c>
      <c r="K1604" s="3" t="s">
        <v>569</v>
      </c>
      <c r="L1604" s="3" t="s">
        <v>570</v>
      </c>
      <c r="M1604" s="7" t="n">
        <v>2017</v>
      </c>
    </row>
    <row r="1605" customFormat="false" ht="15" hidden="false" customHeight="false" outlineLevel="0" collapsed="false">
      <c r="A1605" s="3" t="n">
        <v>2193</v>
      </c>
      <c r="B1605" s="3" t="s">
        <v>568</v>
      </c>
      <c r="C1605" s="4" t="s">
        <v>18</v>
      </c>
      <c r="D1605" s="5" t="n">
        <v>33632</v>
      </c>
      <c r="E1605" s="6" t="n">
        <v>440</v>
      </c>
      <c r="F1605" s="7" t="n">
        <v>63</v>
      </c>
      <c r="G1605" s="6" t="n">
        <v>635.402170146467</v>
      </c>
      <c r="H1605" s="8" t="n">
        <v>433388.758191801</v>
      </c>
      <c r="I1605" s="9" t="n">
        <v>4.40834227001801</v>
      </c>
      <c r="J1605" s="9" t="n">
        <v>16.9127283722786</v>
      </c>
      <c r="K1605" s="3" t="s">
        <v>569</v>
      </c>
      <c r="L1605" s="3" t="s">
        <v>570</v>
      </c>
      <c r="M1605" s="7" t="n">
        <v>2018</v>
      </c>
    </row>
    <row r="1606" customFormat="false" ht="15" hidden="false" customHeight="false" outlineLevel="0" collapsed="false">
      <c r="A1606" s="3" t="n">
        <v>2194</v>
      </c>
      <c r="B1606" s="3" t="s">
        <v>568</v>
      </c>
      <c r="C1606" s="4" t="s">
        <v>19</v>
      </c>
      <c r="D1606" s="5" t="n">
        <v>34028</v>
      </c>
      <c r="E1606" s="6" t="n">
        <v>440</v>
      </c>
      <c r="F1606" s="7" t="n">
        <v>63</v>
      </c>
      <c r="G1606" s="6" t="n">
        <v>1262.98810068889</v>
      </c>
      <c r="H1606" s="8" t="n">
        <v>981783.80007051</v>
      </c>
      <c r="I1606" s="9" t="n">
        <v>7.45077224271952</v>
      </c>
      <c r="J1606" s="9" t="n">
        <v>33.2261873219449</v>
      </c>
      <c r="K1606" s="3" t="s">
        <v>569</v>
      </c>
      <c r="L1606" s="3" t="s">
        <v>570</v>
      </c>
      <c r="M1606" s="7" t="n">
        <v>2019</v>
      </c>
    </row>
    <row r="1607" customFormat="false" ht="15" hidden="false" customHeight="false" outlineLevel="0" collapsed="false">
      <c r="A1607" s="3" t="n">
        <v>2195</v>
      </c>
      <c r="B1607" s="3" t="s">
        <v>568</v>
      </c>
      <c r="C1607" s="4" t="s">
        <v>20</v>
      </c>
      <c r="D1607" s="5" t="n">
        <v>34135</v>
      </c>
      <c r="E1607" s="6" t="n">
        <v>440</v>
      </c>
      <c r="F1607" s="7" t="n">
        <v>63</v>
      </c>
      <c r="G1607" s="6" t="n">
        <v>1205.16256484849</v>
      </c>
      <c r="H1607" s="8" t="n">
        <v>902425.728558548</v>
      </c>
      <c r="I1607" s="9" t="n">
        <v>7.08042239366735</v>
      </c>
      <c r="J1607" s="9" t="n">
        <v>31.5189629347169</v>
      </c>
      <c r="K1607" s="3" t="s">
        <v>569</v>
      </c>
      <c r="L1607" s="3" t="s">
        <v>570</v>
      </c>
      <c r="M1607" s="7" t="n">
        <v>2020</v>
      </c>
    </row>
    <row r="1608" customFormat="false" ht="15" hidden="false" customHeight="false" outlineLevel="0" collapsed="false">
      <c r="A1608" s="3" t="n">
        <v>2196</v>
      </c>
      <c r="B1608" s="3" t="s">
        <v>568</v>
      </c>
      <c r="C1608" s="4" t="s">
        <v>21</v>
      </c>
      <c r="D1608" s="5" t="n">
        <v>34141</v>
      </c>
      <c r="E1608" s="6" t="n">
        <v>440</v>
      </c>
      <c r="F1608" s="7" t="n">
        <v>61</v>
      </c>
      <c r="G1608" s="6" t="n">
        <v>974.084036122548</v>
      </c>
      <c r="H1608" s="8" t="n">
        <v>629686.88431106</v>
      </c>
      <c r="I1608" s="9" t="n">
        <v>6.04238930919257</v>
      </c>
      <c r="J1608" s="9" t="n">
        <v>25.5409979859355</v>
      </c>
      <c r="K1608" s="3" t="s">
        <v>569</v>
      </c>
      <c r="L1608" s="3" t="s">
        <v>570</v>
      </c>
      <c r="M1608" s="7" t="n">
        <v>2021</v>
      </c>
    </row>
    <row r="1609" customFormat="false" ht="15" hidden="false" customHeight="false" outlineLevel="0" collapsed="false">
      <c r="A1609" s="3" t="n">
        <v>2197</v>
      </c>
      <c r="B1609" s="3" t="s">
        <v>568</v>
      </c>
      <c r="C1609" s="4" t="s">
        <v>22</v>
      </c>
      <c r="D1609" s="5" t="n">
        <v>34400</v>
      </c>
      <c r="E1609" s="6" t="n">
        <v>440.8</v>
      </c>
      <c r="F1609" s="7" t="n">
        <v>66</v>
      </c>
      <c r="G1609" s="6" t="n">
        <v>588.494354116162</v>
      </c>
      <c r="H1609" s="8" t="n">
        <v>469230.08831098</v>
      </c>
      <c r="I1609" s="9" t="n">
        <v>4.43382704118224</v>
      </c>
      <c r="J1609" s="9" t="n">
        <v>15.3144545252288</v>
      </c>
      <c r="K1609" s="3" t="s">
        <v>569</v>
      </c>
      <c r="L1609" s="3" t="s">
        <v>570</v>
      </c>
      <c r="M1609" s="7" t="n">
        <v>2022</v>
      </c>
    </row>
    <row r="1610" customFormat="false" ht="15" hidden="false" customHeight="false" outlineLevel="0" collapsed="false">
      <c r="A1610" s="3" t="n">
        <v>2198</v>
      </c>
      <c r="B1610" s="3" t="s">
        <v>568</v>
      </c>
      <c r="C1610" s="4" t="s">
        <v>23</v>
      </c>
      <c r="D1610" s="5" t="n">
        <v>34577</v>
      </c>
      <c r="E1610" s="6" t="n">
        <v>440.8</v>
      </c>
      <c r="F1610" s="7" t="n">
        <v>69</v>
      </c>
      <c r="G1610" s="6" t="n">
        <v>1239.69719752835</v>
      </c>
      <c r="H1610" s="8" t="n">
        <v>894808.882774694</v>
      </c>
      <c r="I1610" s="9" t="n">
        <v>7.78532808696895</v>
      </c>
      <c r="J1610" s="9" t="n">
        <v>32.0956358520584</v>
      </c>
      <c r="K1610" s="3" t="s">
        <v>569</v>
      </c>
      <c r="L1610" s="3" t="s">
        <v>570</v>
      </c>
      <c r="M1610" s="7" t="n">
        <v>2023</v>
      </c>
    </row>
    <row r="1611" customFormat="false" ht="15" hidden="false" customHeight="false" outlineLevel="0" collapsed="false">
      <c r="A1611" s="3" t="n">
        <v>2199</v>
      </c>
      <c r="B1611" s="3" t="s">
        <v>568</v>
      </c>
      <c r="C1611" s="4" t="s">
        <v>24</v>
      </c>
      <c r="D1611" s="5" t="n">
        <v>34693</v>
      </c>
      <c r="E1611" s="6" t="n">
        <v>440.8</v>
      </c>
      <c r="F1611" s="7" t="n">
        <v>65</v>
      </c>
      <c r="G1611" s="6" t="n">
        <v>1287.37766559219</v>
      </c>
      <c r="H1611" s="8" t="n">
        <v>1017079.85092445</v>
      </c>
      <c r="I1611" s="9" t="n">
        <v>7.73326648519955</v>
      </c>
      <c r="J1611" s="9" t="n">
        <v>33.1276255018782</v>
      </c>
      <c r="K1611" s="3" t="s">
        <v>569</v>
      </c>
      <c r="L1611" s="3" t="s">
        <v>570</v>
      </c>
      <c r="M1611" s="7" t="n">
        <v>2024</v>
      </c>
    </row>
    <row r="1612" customFormat="false" ht="15" hidden="false" customHeight="false" outlineLevel="0" collapsed="false">
      <c r="A1612" s="3" t="n">
        <v>2200</v>
      </c>
      <c r="B1612" s="3" t="s">
        <v>571</v>
      </c>
      <c r="C1612" s="4" t="s">
        <v>14</v>
      </c>
      <c r="D1612" s="5" t="n">
        <v>20533</v>
      </c>
      <c r="E1612" s="6" t="n">
        <v>253</v>
      </c>
      <c r="F1612" s="7" t="n">
        <v>70</v>
      </c>
      <c r="G1612" s="6" t="n">
        <v>419.767401722672</v>
      </c>
      <c r="H1612" s="8" t="n">
        <v>138011.12633838</v>
      </c>
      <c r="I1612" s="9" t="n">
        <v>5.93802986604876</v>
      </c>
      <c r="J1612" s="9" t="n">
        <v>18.2508247823896</v>
      </c>
      <c r="K1612" s="3" t="s">
        <v>572</v>
      </c>
      <c r="L1612" s="3" t="s">
        <v>573</v>
      </c>
      <c r="M1612" s="7" t="n">
        <v>2016</v>
      </c>
    </row>
    <row r="1613" customFormat="false" ht="15" hidden="false" customHeight="false" outlineLevel="0" collapsed="false">
      <c r="A1613" s="3" t="n">
        <v>2201</v>
      </c>
      <c r="B1613" s="3" t="s">
        <v>571</v>
      </c>
      <c r="C1613" s="4" t="s">
        <v>17</v>
      </c>
      <c r="D1613" s="5" t="n">
        <v>20655</v>
      </c>
      <c r="E1613" s="6" t="n">
        <v>250</v>
      </c>
      <c r="F1613" s="7" t="n">
        <v>75</v>
      </c>
      <c r="G1613" s="6" t="n">
        <v>240.205486868688</v>
      </c>
      <c r="H1613" s="8" t="n">
        <v>76752.8592191517</v>
      </c>
      <c r="I1613" s="9" t="n">
        <v>3.9998592707261</v>
      </c>
      <c r="J1613" s="9" t="n">
        <v>10.4105913345688</v>
      </c>
      <c r="K1613" s="3" t="s">
        <v>572</v>
      </c>
      <c r="L1613" s="3" t="s">
        <v>573</v>
      </c>
      <c r="M1613" s="7" t="n">
        <v>2017</v>
      </c>
    </row>
    <row r="1614" customFormat="false" ht="15" hidden="false" customHeight="false" outlineLevel="0" collapsed="false">
      <c r="A1614" s="3" t="n">
        <v>2202</v>
      </c>
      <c r="B1614" s="3" t="s">
        <v>571</v>
      </c>
      <c r="C1614" s="4" t="s">
        <v>18</v>
      </c>
      <c r="D1614" s="5" t="n">
        <v>20726</v>
      </c>
      <c r="E1614" s="6" t="n">
        <v>250</v>
      </c>
      <c r="F1614" s="7" t="n">
        <v>76</v>
      </c>
      <c r="G1614" s="6" t="n">
        <v>347.318273232323</v>
      </c>
      <c r="H1614" s="8" t="n">
        <v>105115.875393763</v>
      </c>
      <c r="I1614" s="9" t="n">
        <v>4.84272459832541</v>
      </c>
      <c r="J1614" s="9" t="n">
        <v>15.0013316939897</v>
      </c>
      <c r="K1614" s="3" t="s">
        <v>572</v>
      </c>
      <c r="L1614" s="3" t="s">
        <v>573</v>
      </c>
      <c r="M1614" s="7" t="n">
        <v>2018</v>
      </c>
    </row>
    <row r="1615" customFormat="false" ht="15" hidden="false" customHeight="false" outlineLevel="0" collapsed="false">
      <c r="A1615" s="3" t="n">
        <v>2203</v>
      </c>
      <c r="B1615" s="3" t="s">
        <v>571</v>
      </c>
      <c r="C1615" s="4" t="s">
        <v>19</v>
      </c>
      <c r="D1615" s="5" t="n">
        <v>20787</v>
      </c>
      <c r="E1615" s="6" t="n">
        <v>258.5</v>
      </c>
      <c r="F1615" s="7" t="n">
        <v>78</v>
      </c>
      <c r="G1615" s="6" t="n">
        <v>286.044083391961</v>
      </c>
      <c r="H1615" s="8" t="n">
        <v>90816.1360361136</v>
      </c>
      <c r="I1615" s="9" t="n">
        <v>3.82420226631335</v>
      </c>
      <c r="J1615" s="9" t="n">
        <v>12.3185283566063</v>
      </c>
      <c r="K1615" s="3" t="s">
        <v>572</v>
      </c>
      <c r="L1615" s="3" t="s">
        <v>573</v>
      </c>
      <c r="M1615" s="7" t="n">
        <v>2019</v>
      </c>
    </row>
    <row r="1616" customFormat="false" ht="15" hidden="false" customHeight="false" outlineLevel="0" collapsed="false">
      <c r="A1616" s="3" t="n">
        <v>2204</v>
      </c>
      <c r="B1616" s="3" t="s">
        <v>571</v>
      </c>
      <c r="C1616" s="4" t="s">
        <v>20</v>
      </c>
      <c r="D1616" s="5" t="n">
        <v>20530</v>
      </c>
      <c r="E1616" s="6" t="n">
        <v>251.5</v>
      </c>
      <c r="F1616" s="7" t="n">
        <v>80</v>
      </c>
      <c r="G1616" s="6" t="n">
        <v>443.667579545457</v>
      </c>
      <c r="H1616" s="8" t="n">
        <v>72020.558187614</v>
      </c>
      <c r="I1616" s="9" t="n">
        <v>5.63769785917886</v>
      </c>
      <c r="J1616" s="9" t="n">
        <v>19.2927856277772</v>
      </c>
      <c r="K1616" s="3" t="s">
        <v>572</v>
      </c>
      <c r="L1616" s="3" t="s">
        <v>573</v>
      </c>
      <c r="M1616" s="7" t="n">
        <v>2020</v>
      </c>
    </row>
    <row r="1617" customFormat="false" ht="15" hidden="false" customHeight="false" outlineLevel="0" collapsed="false">
      <c r="A1617" s="3" t="n">
        <v>2205</v>
      </c>
      <c r="B1617" s="3" t="s">
        <v>571</v>
      </c>
      <c r="C1617" s="4" t="s">
        <v>21</v>
      </c>
      <c r="D1617" s="5" t="n">
        <v>20726</v>
      </c>
      <c r="E1617" s="6" t="n">
        <v>251</v>
      </c>
      <c r="F1617" s="7" t="n">
        <v>77</v>
      </c>
      <c r="G1617" s="6" t="n">
        <v>363.567741666669</v>
      </c>
      <c r="H1617" s="8" t="n">
        <v>26085.9854645835</v>
      </c>
      <c r="I1617" s="9" t="n">
        <v>4.78854565448892</v>
      </c>
      <c r="J1617" s="9" t="n">
        <v>15.7031769023228</v>
      </c>
      <c r="K1617" s="3" t="s">
        <v>572</v>
      </c>
      <c r="L1617" s="3" t="s">
        <v>573</v>
      </c>
      <c r="M1617" s="7" t="n">
        <v>2021</v>
      </c>
    </row>
    <row r="1618" customFormat="false" ht="15" hidden="false" customHeight="false" outlineLevel="0" collapsed="false">
      <c r="A1618" s="3" t="n">
        <v>2206</v>
      </c>
      <c r="B1618" s="3" t="s">
        <v>571</v>
      </c>
      <c r="C1618" s="4" t="s">
        <v>22</v>
      </c>
      <c r="D1618" s="5" t="n">
        <v>20896</v>
      </c>
      <c r="E1618" s="6" t="n">
        <v>255</v>
      </c>
      <c r="F1618" s="7" t="n">
        <v>69</v>
      </c>
      <c r="G1618" s="6" t="n">
        <v>483.114048737374</v>
      </c>
      <c r="H1618" s="8" t="n">
        <v>307941.725805689</v>
      </c>
      <c r="I1618" s="9" t="n">
        <v>6.28210762327565</v>
      </c>
      <c r="J1618" s="9" t="n">
        <v>20.6968466407055</v>
      </c>
      <c r="K1618" s="3" t="s">
        <v>572</v>
      </c>
      <c r="L1618" s="3" t="s">
        <v>573</v>
      </c>
      <c r="M1618" s="7" t="n">
        <v>2022</v>
      </c>
    </row>
    <row r="1619" customFormat="false" ht="15" hidden="false" customHeight="false" outlineLevel="0" collapsed="false">
      <c r="A1619" s="3" t="n">
        <v>2207</v>
      </c>
      <c r="B1619" s="3" t="s">
        <v>571</v>
      </c>
      <c r="C1619" s="4" t="s">
        <v>23</v>
      </c>
      <c r="D1619" s="5" t="n">
        <v>20781</v>
      </c>
      <c r="E1619" s="6" t="n">
        <v>255</v>
      </c>
      <c r="F1619" s="7" t="n">
        <v>70</v>
      </c>
      <c r="G1619" s="6" t="n">
        <v>305.796314141412</v>
      </c>
      <c r="H1619" s="8" t="n">
        <v>210935.239531605</v>
      </c>
      <c r="I1619" s="9" t="n">
        <v>4.82958462732119</v>
      </c>
      <c r="J1619" s="9" t="n">
        <v>13.1729631990673</v>
      </c>
      <c r="K1619" s="3" t="s">
        <v>572</v>
      </c>
      <c r="L1619" s="3" t="s">
        <v>573</v>
      </c>
      <c r="M1619" s="7" t="n">
        <v>2023</v>
      </c>
    </row>
    <row r="1620" customFormat="false" ht="15" hidden="false" customHeight="false" outlineLevel="0" collapsed="false">
      <c r="A1620" s="3" t="n">
        <v>2208</v>
      </c>
      <c r="B1620" s="3" t="s">
        <v>571</v>
      </c>
      <c r="C1620" s="4" t="s">
        <v>24</v>
      </c>
      <c r="D1620" s="5" t="n">
        <v>21086</v>
      </c>
      <c r="E1620" s="6" t="n">
        <v>255.2</v>
      </c>
      <c r="F1620" s="7" t="n">
        <v>71</v>
      </c>
      <c r="G1620" s="6" t="n">
        <v>612.327233906962</v>
      </c>
      <c r="H1620" s="8" t="n">
        <v>460672.147885225</v>
      </c>
      <c r="I1620" s="9" t="n">
        <v>7.70013840261849</v>
      </c>
      <c r="J1620" s="9" t="n">
        <v>25.9248090982678</v>
      </c>
      <c r="K1620" s="3" t="s">
        <v>572</v>
      </c>
      <c r="L1620" s="3" t="s">
        <v>573</v>
      </c>
      <c r="M1620" s="7" t="n">
        <v>2024</v>
      </c>
    </row>
    <row r="1621" customFormat="false" ht="15" hidden="false" customHeight="false" outlineLevel="0" collapsed="false">
      <c r="A1621" s="3" t="n">
        <v>2218</v>
      </c>
      <c r="B1621" s="3" t="s">
        <v>574</v>
      </c>
      <c r="C1621" s="4" t="s">
        <v>14</v>
      </c>
      <c r="D1621" s="5" t="n">
        <v>17189</v>
      </c>
      <c r="E1621" s="6" t="n">
        <v>217</v>
      </c>
      <c r="F1621" s="7" t="n">
        <v>62</v>
      </c>
      <c r="G1621" s="6" t="n">
        <v>330.527590909091</v>
      </c>
      <c r="H1621" s="8" t="n">
        <v>185756.506090909</v>
      </c>
      <c r="I1621" s="9" t="n">
        <v>6.01332463086339</v>
      </c>
      <c r="J1621" s="9" t="n">
        <v>17.1665609696737</v>
      </c>
      <c r="K1621" s="3" t="s">
        <v>575</v>
      </c>
      <c r="L1621" s="3" t="s">
        <v>576</v>
      </c>
      <c r="M1621" s="7" t="n">
        <v>2016</v>
      </c>
    </row>
    <row r="1622" customFormat="false" ht="15" hidden="false" customHeight="false" outlineLevel="0" collapsed="false">
      <c r="A1622" s="3" t="n">
        <v>2219</v>
      </c>
      <c r="B1622" s="3" t="s">
        <v>574</v>
      </c>
      <c r="C1622" s="4" t="s">
        <v>17</v>
      </c>
      <c r="D1622" s="5" t="n">
        <v>17189</v>
      </c>
      <c r="E1622" s="6" t="n">
        <v>217</v>
      </c>
      <c r="F1622" s="7" t="n">
        <v>65</v>
      </c>
      <c r="G1622" s="6" t="n">
        <v>202.639965811966</v>
      </c>
      <c r="H1622" s="8" t="n">
        <v>134684.653276923</v>
      </c>
      <c r="I1622" s="9" t="n">
        <v>3.95942015049162</v>
      </c>
      <c r="J1622" s="9" t="n">
        <v>10.5533943410965</v>
      </c>
      <c r="K1622" s="3" t="s">
        <v>575</v>
      </c>
      <c r="L1622" s="3" t="s">
        <v>576</v>
      </c>
      <c r="M1622" s="7" t="n">
        <v>2017</v>
      </c>
    </row>
    <row r="1623" customFormat="false" ht="15" hidden="false" customHeight="false" outlineLevel="0" collapsed="false">
      <c r="A1623" s="3" t="n">
        <v>2220</v>
      </c>
      <c r="B1623" s="3" t="s">
        <v>574</v>
      </c>
      <c r="C1623" s="4" t="s">
        <v>18</v>
      </c>
      <c r="D1623" s="5" t="n">
        <v>17156</v>
      </c>
      <c r="E1623" s="6" t="n">
        <v>217</v>
      </c>
      <c r="F1623" s="7" t="n">
        <v>64</v>
      </c>
      <c r="G1623" s="6" t="n">
        <v>150.936357753665</v>
      </c>
      <c r="H1623" s="8" t="n">
        <v>89132.4473442718</v>
      </c>
      <c r="I1623" s="9" t="n">
        <v>3.93940393091374</v>
      </c>
      <c r="J1623" s="9" t="n">
        <v>7.87581493777679</v>
      </c>
      <c r="K1623" s="3" t="s">
        <v>575</v>
      </c>
      <c r="L1623" s="3" t="s">
        <v>576</v>
      </c>
      <c r="M1623" s="7" t="n">
        <v>2018</v>
      </c>
    </row>
    <row r="1624" customFormat="false" ht="15" hidden="false" customHeight="false" outlineLevel="0" collapsed="false">
      <c r="A1624" s="3" t="n">
        <v>2221</v>
      </c>
      <c r="B1624" s="3" t="s">
        <v>574</v>
      </c>
      <c r="C1624" s="4" t="s">
        <v>19</v>
      </c>
      <c r="D1624" s="5" t="n">
        <v>17156</v>
      </c>
      <c r="E1624" s="6" t="n">
        <v>217</v>
      </c>
      <c r="F1624" s="7" t="n">
        <v>63</v>
      </c>
      <c r="G1624" s="6" t="n">
        <v>431.119788297347</v>
      </c>
      <c r="H1624" s="8" t="n">
        <v>281637.624101008</v>
      </c>
      <c r="I1624" s="9" t="n">
        <v>7.02783585309784</v>
      </c>
      <c r="J1624" s="9" t="n">
        <v>22.4957042767979</v>
      </c>
      <c r="K1624" s="3" t="s">
        <v>575</v>
      </c>
      <c r="L1624" s="3" t="s">
        <v>576</v>
      </c>
      <c r="M1624" s="7" t="n">
        <v>2019</v>
      </c>
    </row>
    <row r="1625" customFormat="false" ht="15" hidden="false" customHeight="false" outlineLevel="0" collapsed="false">
      <c r="A1625" s="3" t="n">
        <v>2222</v>
      </c>
      <c r="B1625" s="3" t="s">
        <v>574</v>
      </c>
      <c r="C1625" s="4" t="s">
        <v>20</v>
      </c>
      <c r="D1625" s="5" t="n">
        <v>17156</v>
      </c>
      <c r="E1625" s="6" t="n">
        <v>217</v>
      </c>
      <c r="F1625" s="7" t="n">
        <v>67</v>
      </c>
      <c r="G1625" s="6" t="n">
        <v>601.462138171555</v>
      </c>
      <c r="H1625" s="8" t="n">
        <v>414330.618366961</v>
      </c>
      <c r="I1625" s="9" t="n">
        <v>8.84845712121408</v>
      </c>
      <c r="J1625" s="9" t="n">
        <v>31.2981343138611</v>
      </c>
      <c r="K1625" s="3" t="s">
        <v>575</v>
      </c>
      <c r="L1625" s="3" t="s">
        <v>576</v>
      </c>
      <c r="M1625" s="7" t="n">
        <v>2020</v>
      </c>
    </row>
    <row r="1626" customFormat="false" ht="15" hidden="false" customHeight="false" outlineLevel="0" collapsed="false">
      <c r="A1626" s="3" t="n">
        <v>2223</v>
      </c>
      <c r="B1626" s="3" t="s">
        <v>574</v>
      </c>
      <c r="C1626" s="4" t="s">
        <v>21</v>
      </c>
      <c r="D1626" s="5" t="n">
        <v>17201</v>
      </c>
      <c r="E1626" s="6" t="n">
        <v>217</v>
      </c>
      <c r="F1626" s="7" t="n">
        <v>69</v>
      </c>
      <c r="G1626" s="6" t="n">
        <v>373.439846082504</v>
      </c>
      <c r="H1626" s="8" t="n">
        <v>243949.116949999</v>
      </c>
      <c r="I1626" s="9" t="n">
        <v>5.62069028220869</v>
      </c>
      <c r="J1626" s="9" t="n">
        <v>19.435003984216</v>
      </c>
      <c r="K1626" s="3" t="s">
        <v>575</v>
      </c>
      <c r="L1626" s="3" t="s">
        <v>576</v>
      </c>
      <c r="M1626" s="7" t="n">
        <v>2021</v>
      </c>
    </row>
    <row r="1627" customFormat="false" ht="15" hidden="false" customHeight="false" outlineLevel="0" collapsed="false">
      <c r="A1627" s="3" t="n">
        <v>2224</v>
      </c>
      <c r="B1627" s="3" t="s">
        <v>574</v>
      </c>
      <c r="C1627" s="4" t="s">
        <v>22</v>
      </c>
      <c r="D1627" s="5" t="n">
        <v>17253</v>
      </c>
      <c r="E1627" s="6" t="n">
        <v>217</v>
      </c>
      <c r="F1627" s="7" t="n">
        <v>62</v>
      </c>
      <c r="G1627" s="6" t="n">
        <v>361.409152143391</v>
      </c>
      <c r="H1627" s="8" t="n">
        <v>252532.799931591</v>
      </c>
      <c r="I1627" s="9" t="n">
        <v>5.33685808503418</v>
      </c>
      <c r="J1627" s="9" t="n">
        <v>18.7521987950298</v>
      </c>
      <c r="K1627" s="3" t="s">
        <v>575</v>
      </c>
      <c r="L1627" s="3" t="s">
        <v>576</v>
      </c>
      <c r="M1627" s="7" t="n">
        <v>2022</v>
      </c>
    </row>
    <row r="1628" customFormat="false" ht="15" hidden="false" customHeight="false" outlineLevel="0" collapsed="false">
      <c r="A1628" s="3" t="n">
        <v>2225</v>
      </c>
      <c r="B1628" s="3" t="s">
        <v>574</v>
      </c>
      <c r="C1628" s="4" t="s">
        <v>23</v>
      </c>
      <c r="D1628" s="5" t="n">
        <v>17331</v>
      </c>
      <c r="E1628" s="6" t="n">
        <v>217</v>
      </c>
      <c r="F1628" s="7" t="n">
        <v>77</v>
      </c>
      <c r="G1628" s="6" t="n">
        <v>523.230415003008</v>
      </c>
      <c r="H1628" s="8" t="n">
        <v>408161.582135547</v>
      </c>
      <c r="I1628" s="9" t="n">
        <v>7.64110953837246</v>
      </c>
      <c r="J1628" s="9" t="n">
        <v>27.0263273964308</v>
      </c>
      <c r="K1628" s="3" t="s">
        <v>575</v>
      </c>
      <c r="L1628" s="3" t="s">
        <v>576</v>
      </c>
      <c r="M1628" s="7" t="n">
        <v>2023</v>
      </c>
    </row>
    <row r="1629" customFormat="false" ht="15" hidden="false" customHeight="false" outlineLevel="0" collapsed="false">
      <c r="A1629" s="3" t="n">
        <v>2226</v>
      </c>
      <c r="B1629" s="3" t="s">
        <v>574</v>
      </c>
      <c r="C1629" s="4" t="s">
        <v>24</v>
      </c>
      <c r="D1629" s="5" t="n">
        <v>17391</v>
      </c>
      <c r="E1629" s="6" t="n">
        <v>218</v>
      </c>
      <c r="F1629" s="7" t="n">
        <v>79</v>
      </c>
      <c r="G1629" s="6" t="n">
        <v>405.278735176481</v>
      </c>
      <c r="H1629" s="8" t="n">
        <v>342930.654556931</v>
      </c>
      <c r="I1629" s="9" t="n">
        <v>5.88577172919542</v>
      </c>
      <c r="J1629" s="9" t="n">
        <v>20.804412475354</v>
      </c>
      <c r="K1629" s="3" t="s">
        <v>575</v>
      </c>
      <c r="L1629" s="3" t="s">
        <v>576</v>
      </c>
      <c r="M1629" s="7" t="n">
        <v>2024</v>
      </c>
    </row>
    <row r="1630" customFormat="false" ht="15" hidden="false" customHeight="false" outlineLevel="0" collapsed="false">
      <c r="A1630" s="3" t="n">
        <v>2227</v>
      </c>
      <c r="B1630" s="3" t="s">
        <v>577</v>
      </c>
      <c r="C1630" s="4" t="s">
        <v>41</v>
      </c>
      <c r="D1630" s="5" t="n">
        <v>53688</v>
      </c>
      <c r="E1630" s="6" t="n">
        <v>663</v>
      </c>
      <c r="F1630" s="7" t="n">
        <v>77</v>
      </c>
      <c r="G1630" s="6" t="n">
        <v>1721.00675</v>
      </c>
      <c r="H1630" s="8" t="n">
        <v>1573435.64167849</v>
      </c>
      <c r="I1630" s="9" t="n">
        <v>8.31402232880514</v>
      </c>
      <c r="J1630" s="9" t="n">
        <v>28.696109598552</v>
      </c>
      <c r="K1630" s="3" t="s">
        <v>578</v>
      </c>
      <c r="L1630" s="3" t="s">
        <v>579</v>
      </c>
      <c r="M1630" s="7" t="n">
        <v>2016</v>
      </c>
    </row>
    <row r="1631" customFormat="false" ht="15" hidden="false" customHeight="false" outlineLevel="0" collapsed="false">
      <c r="A1631" s="3" t="n">
        <v>2228</v>
      </c>
      <c r="B1631" s="3" t="s">
        <v>577</v>
      </c>
      <c r="C1631" s="4" t="s">
        <v>42</v>
      </c>
      <c r="D1631" s="5" t="n">
        <v>53600</v>
      </c>
      <c r="E1631" s="6" t="n">
        <v>683</v>
      </c>
      <c r="F1631" s="7" t="n">
        <v>77</v>
      </c>
      <c r="G1631" s="6" t="n">
        <v>1257.17107908163</v>
      </c>
      <c r="H1631" s="8" t="n">
        <v>1158634.00990321</v>
      </c>
      <c r="I1631" s="9" t="n">
        <v>7.16552289870151</v>
      </c>
      <c r="J1631" s="9" t="n">
        <v>20.9965174107055</v>
      </c>
      <c r="K1631" s="3" t="s">
        <v>578</v>
      </c>
      <c r="L1631" s="3" t="s">
        <v>579</v>
      </c>
      <c r="M1631" s="7" t="n">
        <v>2017</v>
      </c>
    </row>
    <row r="1632" customFormat="false" ht="15" hidden="false" customHeight="false" outlineLevel="0" collapsed="false">
      <c r="A1632" s="3" t="n">
        <v>2229</v>
      </c>
      <c r="B1632" s="3" t="s">
        <v>577</v>
      </c>
      <c r="C1632" s="4" t="s">
        <v>43</v>
      </c>
      <c r="D1632" s="5" t="n">
        <v>53734</v>
      </c>
      <c r="E1632" s="6" t="n">
        <v>683</v>
      </c>
      <c r="F1632" s="7" t="n">
        <v>81</v>
      </c>
      <c r="G1632" s="6" t="n">
        <v>1472.19462368208</v>
      </c>
      <c r="H1632" s="8" t="n">
        <v>1402618.70576686</v>
      </c>
      <c r="I1632" s="9" t="n">
        <v>7.92986936279619</v>
      </c>
      <c r="J1632" s="9" t="n">
        <v>24.5263957091766</v>
      </c>
      <c r="K1632" s="3" t="s">
        <v>578</v>
      </c>
      <c r="L1632" s="3" t="s">
        <v>579</v>
      </c>
      <c r="M1632" s="7" t="n">
        <v>2018</v>
      </c>
    </row>
    <row r="1633" customFormat="false" ht="15" hidden="false" customHeight="false" outlineLevel="0" collapsed="false">
      <c r="A1633" s="3" t="n">
        <v>2230</v>
      </c>
      <c r="B1633" s="3" t="s">
        <v>577</v>
      </c>
      <c r="C1633" s="4" t="s">
        <v>44</v>
      </c>
      <c r="D1633" s="5" t="n">
        <v>53931</v>
      </c>
      <c r="E1633" s="6" t="n">
        <v>676</v>
      </c>
      <c r="F1633" s="7" t="n">
        <v>77</v>
      </c>
      <c r="G1633" s="6" t="n">
        <v>1966.24212444534</v>
      </c>
      <c r="H1633" s="8" t="n">
        <v>1944475.82412773</v>
      </c>
      <c r="I1633" s="9" t="n">
        <v>9.76508848479677</v>
      </c>
      <c r="J1633" s="9" t="n">
        <v>32.5480306770797</v>
      </c>
      <c r="K1633" s="3" t="s">
        <v>578</v>
      </c>
      <c r="L1633" s="3" t="s">
        <v>579</v>
      </c>
      <c r="M1633" s="7" t="n">
        <v>2019</v>
      </c>
    </row>
    <row r="1634" customFormat="false" ht="15" hidden="false" customHeight="false" outlineLevel="0" collapsed="false">
      <c r="A1634" s="3" t="n">
        <v>2231</v>
      </c>
      <c r="B1634" s="3" t="s">
        <v>577</v>
      </c>
      <c r="C1634" s="4" t="s">
        <v>45</v>
      </c>
      <c r="D1634" s="5" t="n">
        <v>53984</v>
      </c>
      <c r="E1634" s="6" t="n">
        <v>676</v>
      </c>
      <c r="F1634" s="7" t="n">
        <v>74</v>
      </c>
      <c r="G1634" s="6" t="n">
        <v>1657.26874271057</v>
      </c>
      <c r="H1634" s="8" t="n">
        <v>1614610.6452732</v>
      </c>
      <c r="I1634" s="9" t="n">
        <v>7.49138740496971</v>
      </c>
      <c r="J1634" s="9" t="n">
        <v>27.4818239328229</v>
      </c>
      <c r="K1634" s="3" t="s">
        <v>578</v>
      </c>
      <c r="L1634" s="3" t="s">
        <v>579</v>
      </c>
      <c r="M1634" s="7" t="n">
        <v>2020</v>
      </c>
    </row>
    <row r="1635" customFormat="false" ht="15" hidden="false" customHeight="false" outlineLevel="0" collapsed="false">
      <c r="A1635" s="3" t="n">
        <v>2232</v>
      </c>
      <c r="B1635" s="3" t="s">
        <v>577</v>
      </c>
      <c r="C1635" s="4" t="s">
        <v>46</v>
      </c>
      <c r="D1635" s="5" t="n">
        <v>54020</v>
      </c>
      <c r="E1635" s="6" t="n">
        <v>676</v>
      </c>
      <c r="F1635" s="7" t="n">
        <v>76</v>
      </c>
      <c r="G1635" s="6" t="n">
        <v>1552.63294158323</v>
      </c>
      <c r="H1635" s="8" t="n">
        <v>1611524.30905748</v>
      </c>
      <c r="I1635" s="9" t="n">
        <v>8.07185967777426</v>
      </c>
      <c r="J1635" s="9" t="n">
        <v>25.7295322371363</v>
      </c>
      <c r="K1635" s="3" t="s">
        <v>578</v>
      </c>
      <c r="L1635" s="3" t="s">
        <v>579</v>
      </c>
      <c r="M1635" s="7" t="n">
        <v>2021</v>
      </c>
    </row>
    <row r="1636" customFormat="false" ht="15" hidden="false" customHeight="false" outlineLevel="0" collapsed="false">
      <c r="A1636" s="3" t="n">
        <v>2233</v>
      </c>
      <c r="B1636" s="3" t="s">
        <v>577</v>
      </c>
      <c r="C1636" s="4" t="s">
        <v>47</v>
      </c>
      <c r="D1636" s="5" t="n">
        <v>54006</v>
      </c>
      <c r="E1636" s="6" t="n">
        <v>675</v>
      </c>
      <c r="F1636" s="7" t="n">
        <v>82</v>
      </c>
      <c r="G1636" s="6" t="n">
        <v>990.615000000002</v>
      </c>
      <c r="H1636" s="8" t="n">
        <v>1064059.1961</v>
      </c>
      <c r="I1636" s="9" t="n">
        <v>5.64201855025422</v>
      </c>
      <c r="J1636" s="9" t="n">
        <v>16.4202801421027</v>
      </c>
      <c r="K1636" s="3" t="s">
        <v>578</v>
      </c>
      <c r="L1636" s="3" t="s">
        <v>579</v>
      </c>
      <c r="M1636" s="7" t="n">
        <v>2022</v>
      </c>
    </row>
    <row r="1637" customFormat="false" ht="15" hidden="false" customHeight="false" outlineLevel="0" collapsed="false">
      <c r="A1637" s="3" t="n">
        <v>2234</v>
      </c>
      <c r="B1637" s="3" t="s">
        <v>577</v>
      </c>
      <c r="C1637" s="4" t="s">
        <v>48</v>
      </c>
      <c r="D1637" s="5" t="n">
        <v>54043</v>
      </c>
      <c r="E1637" s="6" t="n">
        <v>655</v>
      </c>
      <c r="F1637" s="7" t="n">
        <v>77</v>
      </c>
      <c r="G1637" s="6" t="n">
        <v>956.065999999998</v>
      </c>
      <c r="H1637" s="8" t="n">
        <v>1092812.11998</v>
      </c>
      <c r="I1637" s="9" t="n">
        <v>6.32682220068873</v>
      </c>
      <c r="J1637" s="9" t="n">
        <v>15.7933630306055</v>
      </c>
      <c r="K1637" s="3" t="s">
        <v>578</v>
      </c>
      <c r="L1637" s="3" t="s">
        <v>579</v>
      </c>
      <c r="M1637" s="7" t="n">
        <v>2023</v>
      </c>
    </row>
    <row r="1638" customFormat="false" ht="15" hidden="false" customHeight="false" outlineLevel="0" collapsed="false">
      <c r="A1638" s="3" t="n">
        <v>2235</v>
      </c>
      <c r="B1638" s="3" t="s">
        <v>577</v>
      </c>
      <c r="C1638" s="4" t="s">
        <v>49</v>
      </c>
      <c r="D1638" s="5" t="n">
        <v>54089</v>
      </c>
      <c r="E1638" s="6" t="n">
        <v>681</v>
      </c>
      <c r="F1638" s="7" t="n">
        <v>84</v>
      </c>
      <c r="G1638" s="6" t="n">
        <v>1036.64</v>
      </c>
      <c r="H1638" s="8" t="n">
        <v>1244745.47999999</v>
      </c>
      <c r="I1638" s="9" t="n">
        <v>5.78939780575292</v>
      </c>
      <c r="J1638" s="9" t="n">
        <v>17.156815651209</v>
      </c>
      <c r="K1638" s="3" t="s">
        <v>578</v>
      </c>
      <c r="L1638" s="3" t="s">
        <v>579</v>
      </c>
      <c r="M1638" s="7" t="n">
        <v>2024</v>
      </c>
    </row>
    <row r="1639" customFormat="false" ht="15" hidden="false" customHeight="false" outlineLevel="0" collapsed="false">
      <c r="A1639" s="3" t="n">
        <v>2236</v>
      </c>
      <c r="B1639" s="3" t="s">
        <v>580</v>
      </c>
      <c r="C1639" s="4" t="s">
        <v>14</v>
      </c>
      <c r="D1639" s="5" t="n">
        <v>10033</v>
      </c>
      <c r="E1639" s="6" t="n">
        <v>180.62</v>
      </c>
      <c r="F1639" s="7" t="n">
        <v>65</v>
      </c>
      <c r="G1639" s="6" t="n">
        <v>243.040832155641</v>
      </c>
      <c r="H1639" s="8" t="n">
        <v>239169.191699401</v>
      </c>
      <c r="I1639" s="9" t="n">
        <v>4.78711161526054</v>
      </c>
      <c r="J1639" s="9" t="n">
        <v>21.6259216363392</v>
      </c>
      <c r="K1639" s="3" t="s">
        <v>581</v>
      </c>
      <c r="L1639" s="3" t="s">
        <v>582</v>
      </c>
      <c r="M1639" s="7" t="n">
        <v>2016</v>
      </c>
    </row>
    <row r="1640" customFormat="false" ht="15" hidden="false" customHeight="false" outlineLevel="0" collapsed="false">
      <c r="A1640" s="3" t="n">
        <v>2237</v>
      </c>
      <c r="B1640" s="3" t="s">
        <v>580</v>
      </c>
      <c r="C1640" s="4" t="s">
        <v>17</v>
      </c>
      <c r="D1640" s="5" t="n">
        <v>10049</v>
      </c>
      <c r="E1640" s="6" t="n">
        <v>179.9</v>
      </c>
      <c r="F1640" s="7" t="n">
        <v>67</v>
      </c>
      <c r="G1640" s="6" t="n">
        <v>285.457850841708</v>
      </c>
      <c r="H1640" s="8" t="n">
        <v>261156.823999553</v>
      </c>
      <c r="I1640" s="9" t="n">
        <v>5.61518509259386</v>
      </c>
      <c r="J1640" s="9" t="n">
        <v>25.429441384092</v>
      </c>
      <c r="K1640" s="3" t="s">
        <v>581</v>
      </c>
      <c r="L1640" s="3" t="s">
        <v>582</v>
      </c>
      <c r="M1640" s="7" t="n">
        <v>2017</v>
      </c>
    </row>
    <row r="1641" customFormat="false" ht="15" hidden="false" customHeight="false" outlineLevel="0" collapsed="false">
      <c r="A1641" s="3" t="n">
        <v>2238</v>
      </c>
      <c r="B1641" s="3" t="s">
        <v>580</v>
      </c>
      <c r="C1641" s="4" t="s">
        <v>18</v>
      </c>
      <c r="D1641" s="5" t="n">
        <v>10051</v>
      </c>
      <c r="E1641" s="6" t="n">
        <v>180</v>
      </c>
      <c r="F1641" s="7" t="n">
        <v>61</v>
      </c>
      <c r="G1641" s="6" t="n">
        <v>288.971307864321</v>
      </c>
      <c r="H1641" s="8" t="n">
        <v>271326.719806125</v>
      </c>
      <c r="I1641" s="9" t="n">
        <v>5.97296436950702</v>
      </c>
      <c r="J1641" s="9" t="n">
        <v>25.7373083097349</v>
      </c>
      <c r="K1641" s="3" t="s">
        <v>581</v>
      </c>
      <c r="L1641" s="3" t="s">
        <v>582</v>
      </c>
      <c r="M1641" s="7" t="n">
        <v>2018</v>
      </c>
    </row>
    <row r="1642" customFormat="false" ht="15" hidden="false" customHeight="false" outlineLevel="0" collapsed="false">
      <c r="A1642" s="3" t="n">
        <v>2239</v>
      </c>
      <c r="B1642" s="3" t="s">
        <v>580</v>
      </c>
      <c r="C1642" s="4" t="s">
        <v>19</v>
      </c>
      <c r="D1642" s="5" t="n">
        <v>10049</v>
      </c>
      <c r="E1642" s="6" t="n">
        <v>179.973002181408</v>
      </c>
      <c r="F1642" s="7" t="n">
        <v>61</v>
      </c>
      <c r="G1642" s="6" t="n">
        <v>281.582532251038</v>
      </c>
      <c r="H1642" s="8" t="n">
        <v>306925.429367311</v>
      </c>
      <c r="I1642" s="9" t="n">
        <v>5.4429911868436</v>
      </c>
      <c r="J1642" s="9" t="n">
        <v>25.0842163827282</v>
      </c>
      <c r="K1642" s="3" t="s">
        <v>581</v>
      </c>
      <c r="L1642" s="3" t="s">
        <v>582</v>
      </c>
      <c r="M1642" s="7" t="n">
        <v>2019</v>
      </c>
    </row>
    <row r="1643" customFormat="false" ht="15" hidden="false" customHeight="false" outlineLevel="0" collapsed="false">
      <c r="A1643" s="3" t="n">
        <v>2240</v>
      </c>
      <c r="B1643" s="3" t="s">
        <v>580</v>
      </c>
      <c r="C1643" s="4" t="s">
        <v>20</v>
      </c>
      <c r="D1643" s="5" t="n">
        <v>10082</v>
      </c>
      <c r="E1643" s="6" t="n">
        <v>179.973002181408</v>
      </c>
      <c r="F1643" s="7" t="n">
        <v>61</v>
      </c>
      <c r="G1643" s="6" t="n">
        <v>347.120439368687</v>
      </c>
      <c r="H1643" s="8" t="n">
        <v>336762.365457925</v>
      </c>
      <c r="I1643" s="9" t="n">
        <v>6.79175544454509</v>
      </c>
      <c r="J1643" s="9" t="n">
        <v>30.7368733342009</v>
      </c>
      <c r="K1643" s="3" t="s">
        <v>581</v>
      </c>
      <c r="L1643" s="3" t="s">
        <v>582</v>
      </c>
      <c r="M1643" s="7" t="n">
        <v>2020</v>
      </c>
    </row>
    <row r="1644" customFormat="false" ht="15" hidden="false" customHeight="false" outlineLevel="0" collapsed="false">
      <c r="A1644" s="3" t="n">
        <v>2241</v>
      </c>
      <c r="B1644" s="3" t="s">
        <v>580</v>
      </c>
      <c r="C1644" s="4" t="s">
        <v>21</v>
      </c>
      <c r="D1644" s="5" t="n">
        <v>9773</v>
      </c>
      <c r="E1644" s="6" t="n">
        <v>179.973002181408</v>
      </c>
      <c r="F1644" s="7" t="n">
        <v>61</v>
      </c>
      <c r="G1644" s="6" t="n">
        <v>268.387220201005</v>
      </c>
      <c r="H1644" s="8" t="n">
        <v>283293.446410969</v>
      </c>
      <c r="I1644" s="9" t="n">
        <v>5.68122471488007</v>
      </c>
      <c r="J1644" s="9" t="n">
        <v>24.5839468263982</v>
      </c>
      <c r="K1644" s="3" t="s">
        <v>581</v>
      </c>
      <c r="L1644" s="3" t="s">
        <v>582</v>
      </c>
      <c r="M1644" s="7" t="n">
        <v>2021</v>
      </c>
    </row>
    <row r="1645" customFormat="false" ht="15" hidden="false" customHeight="false" outlineLevel="0" collapsed="false">
      <c r="A1645" s="3" t="n">
        <v>2242</v>
      </c>
      <c r="B1645" s="3" t="s">
        <v>580</v>
      </c>
      <c r="C1645" s="4" t="s">
        <v>22</v>
      </c>
      <c r="D1645" s="5" t="n">
        <v>9971</v>
      </c>
      <c r="E1645" s="6" t="n">
        <v>180</v>
      </c>
      <c r="F1645" s="7" t="n">
        <v>59</v>
      </c>
      <c r="G1645" s="6" t="n">
        <v>269.425583592966</v>
      </c>
      <c r="H1645" s="8" t="n">
        <v>334669.682915838</v>
      </c>
      <c r="I1645" s="9" t="n">
        <v>5.79776937565498</v>
      </c>
      <c r="J1645" s="9" t="n">
        <v>24.1889930907741</v>
      </c>
      <c r="K1645" s="3" t="s">
        <v>581</v>
      </c>
      <c r="L1645" s="3" t="s">
        <v>582</v>
      </c>
      <c r="M1645" s="7" t="n">
        <v>2022</v>
      </c>
    </row>
    <row r="1646" customFormat="false" ht="15" hidden="false" customHeight="false" outlineLevel="0" collapsed="false">
      <c r="A1646" s="3" t="n">
        <v>2243</v>
      </c>
      <c r="B1646" s="3" t="s">
        <v>580</v>
      </c>
      <c r="C1646" s="4" t="s">
        <v>23</v>
      </c>
      <c r="D1646" s="5" t="n">
        <v>9971</v>
      </c>
      <c r="E1646" s="6" t="n">
        <v>180</v>
      </c>
      <c r="F1646" s="7" t="n">
        <v>59</v>
      </c>
      <c r="G1646" s="6" t="n">
        <v>257.628793216081</v>
      </c>
      <c r="H1646" s="8" t="n">
        <v>329867.90683387</v>
      </c>
      <c r="I1646" s="9" t="n">
        <v>6.09799564076916</v>
      </c>
      <c r="J1646" s="9" t="n">
        <v>23.1298788184232</v>
      </c>
      <c r="K1646" s="3" t="s">
        <v>581</v>
      </c>
      <c r="L1646" s="3" t="s">
        <v>582</v>
      </c>
      <c r="M1646" s="7" t="n">
        <v>2023</v>
      </c>
    </row>
    <row r="1647" customFormat="false" ht="15" hidden="false" customHeight="false" outlineLevel="0" collapsed="false">
      <c r="A1647" s="3" t="n">
        <v>2244</v>
      </c>
      <c r="B1647" s="3" t="s">
        <v>580</v>
      </c>
      <c r="C1647" s="4" t="s">
        <v>24</v>
      </c>
      <c r="D1647" s="5" t="n">
        <v>9971</v>
      </c>
      <c r="E1647" s="6" t="n">
        <v>180</v>
      </c>
      <c r="F1647" s="7" t="n">
        <v>69</v>
      </c>
      <c r="G1647" s="6" t="n">
        <v>250.11588994975</v>
      </c>
      <c r="H1647" s="8" t="n">
        <v>353308.703825217</v>
      </c>
      <c r="I1647" s="9" t="n">
        <v>5.58983842252535</v>
      </c>
      <c r="J1647" s="9" t="n">
        <v>22.3938497961942</v>
      </c>
      <c r="K1647" s="3" t="s">
        <v>581</v>
      </c>
      <c r="L1647" s="3" t="s">
        <v>582</v>
      </c>
      <c r="M1647" s="7" t="n">
        <v>2024</v>
      </c>
    </row>
    <row r="1648" customFormat="false" ht="15" hidden="false" customHeight="false" outlineLevel="0" collapsed="false">
      <c r="A1648" s="3" t="n">
        <v>2245</v>
      </c>
      <c r="B1648" s="3" t="s">
        <v>583</v>
      </c>
      <c r="C1648" s="4" t="s">
        <v>41</v>
      </c>
      <c r="D1648" s="5" t="n">
        <v>110863</v>
      </c>
      <c r="E1648" s="6" t="n">
        <v>1833.8</v>
      </c>
      <c r="F1648" s="7" t="n">
        <v>76</v>
      </c>
      <c r="G1648" s="6" t="n">
        <v>2579.006305</v>
      </c>
      <c r="H1648" s="8" t="n">
        <v>3200546.824505</v>
      </c>
      <c r="I1648" s="9" t="n">
        <v>6.80710082825451</v>
      </c>
      <c r="J1648" s="9" t="n">
        <v>20.8249252763151</v>
      </c>
      <c r="K1648" s="3" t="s">
        <v>584</v>
      </c>
      <c r="L1648" s="3" t="s">
        <v>585</v>
      </c>
      <c r="M1648" s="7" t="n">
        <v>2016</v>
      </c>
    </row>
    <row r="1649" customFormat="false" ht="15" hidden="false" customHeight="false" outlineLevel="0" collapsed="false">
      <c r="A1649" s="3" t="n">
        <v>2246</v>
      </c>
      <c r="B1649" s="3" t="s">
        <v>583</v>
      </c>
      <c r="C1649" s="4" t="s">
        <v>42</v>
      </c>
      <c r="D1649" s="5" t="n">
        <v>114680</v>
      </c>
      <c r="E1649" s="6" t="n">
        <v>1662.41</v>
      </c>
      <c r="F1649" s="7" t="n">
        <v>78</v>
      </c>
      <c r="G1649" s="6" t="n">
        <v>2520.27508499999</v>
      </c>
      <c r="H1649" s="8" t="n">
        <v>3019289.55182999</v>
      </c>
      <c r="I1649" s="9" t="n">
        <v>6.73776221088691</v>
      </c>
      <c r="J1649" s="9" t="n">
        <v>19.673332692651</v>
      </c>
      <c r="K1649" s="3" t="s">
        <v>584</v>
      </c>
      <c r="L1649" s="3" t="s">
        <v>585</v>
      </c>
      <c r="M1649" s="7" t="n">
        <v>2017</v>
      </c>
    </row>
    <row r="1650" customFormat="false" ht="15" hidden="false" customHeight="false" outlineLevel="0" collapsed="false">
      <c r="A1650" s="3" t="n">
        <v>2247</v>
      </c>
      <c r="B1650" s="3" t="s">
        <v>583</v>
      </c>
      <c r="C1650" s="4" t="s">
        <v>43</v>
      </c>
      <c r="D1650" s="5" t="n">
        <v>117461</v>
      </c>
      <c r="E1650" s="6" t="n">
        <v>1673.35</v>
      </c>
      <c r="F1650" s="7" t="n">
        <v>78</v>
      </c>
      <c r="G1650" s="6" t="n">
        <v>2235.4086525</v>
      </c>
      <c r="H1650" s="8" t="n">
        <v>2347179.085125</v>
      </c>
      <c r="I1650" s="9" t="n">
        <v>6.45485851825504</v>
      </c>
      <c r="J1650" s="9" t="n">
        <v>17.0365208154144</v>
      </c>
      <c r="K1650" s="3" t="s">
        <v>584</v>
      </c>
      <c r="L1650" s="3" t="s">
        <v>585</v>
      </c>
      <c r="M1650" s="7" t="n">
        <v>2018</v>
      </c>
    </row>
    <row r="1651" customFormat="false" ht="15" hidden="false" customHeight="false" outlineLevel="0" collapsed="false">
      <c r="A1651" s="3" t="n">
        <v>2248</v>
      </c>
      <c r="B1651" s="3" t="s">
        <v>583</v>
      </c>
      <c r="C1651" s="4" t="s">
        <v>44</v>
      </c>
      <c r="D1651" s="5" t="n">
        <v>119272</v>
      </c>
      <c r="E1651" s="6" t="n">
        <v>1701.02</v>
      </c>
      <c r="F1651" s="7" t="n">
        <v>79</v>
      </c>
      <c r="G1651" s="6" t="n">
        <v>3046.157325</v>
      </c>
      <c r="H1651" s="8" t="n">
        <v>3369050.00145</v>
      </c>
      <c r="I1651" s="9" t="n">
        <v>8.96847035595645</v>
      </c>
      <c r="J1651" s="9" t="n">
        <v>22.80027165968</v>
      </c>
      <c r="K1651" s="3" t="s">
        <v>584</v>
      </c>
      <c r="L1651" s="3" t="s">
        <v>585</v>
      </c>
      <c r="M1651" s="7" t="n">
        <v>2019</v>
      </c>
    </row>
    <row r="1652" customFormat="false" ht="15" hidden="false" customHeight="false" outlineLevel="0" collapsed="false">
      <c r="A1652" s="3" t="n">
        <v>2249</v>
      </c>
      <c r="B1652" s="3" t="s">
        <v>583</v>
      </c>
      <c r="C1652" s="4" t="s">
        <v>45</v>
      </c>
      <c r="D1652" s="5" t="n">
        <v>121588</v>
      </c>
      <c r="E1652" s="6" t="n">
        <v>1823.28</v>
      </c>
      <c r="F1652" s="7" t="n">
        <v>80</v>
      </c>
      <c r="G1652" s="6" t="n">
        <v>2391.48083746494</v>
      </c>
      <c r="H1652" s="8" t="n">
        <v>2723896.67387257</v>
      </c>
      <c r="I1652" s="9" t="n">
        <v>6.30992614845772</v>
      </c>
      <c r="J1652" s="9" t="n">
        <v>17.6073446367608</v>
      </c>
      <c r="K1652" s="3" t="s">
        <v>584</v>
      </c>
      <c r="L1652" s="3" t="s">
        <v>585</v>
      </c>
      <c r="M1652" s="7" t="n">
        <v>2020</v>
      </c>
    </row>
    <row r="1653" customFormat="false" ht="15" hidden="false" customHeight="false" outlineLevel="0" collapsed="false">
      <c r="A1653" s="3" t="n">
        <v>2250</v>
      </c>
      <c r="B1653" s="3" t="s">
        <v>583</v>
      </c>
      <c r="C1653" s="4" t="s">
        <v>46</v>
      </c>
      <c r="D1653" s="5" t="n">
        <v>123526</v>
      </c>
      <c r="E1653" s="6" t="n">
        <v>1718.1</v>
      </c>
      <c r="F1653" s="7" t="n">
        <v>74</v>
      </c>
      <c r="G1653" s="6" t="n">
        <v>2658.36965</v>
      </c>
      <c r="H1653" s="8" t="n">
        <v>3179410.1014</v>
      </c>
      <c r="I1653" s="9" t="n">
        <v>6.85106522611246</v>
      </c>
      <c r="J1653" s="9" t="n">
        <v>19.2652507560839</v>
      </c>
      <c r="K1653" s="3" t="s">
        <v>584</v>
      </c>
      <c r="L1653" s="3" t="s">
        <v>585</v>
      </c>
      <c r="M1653" s="7" t="n">
        <v>2021</v>
      </c>
    </row>
    <row r="1654" customFormat="false" ht="15" hidden="false" customHeight="false" outlineLevel="0" collapsed="false">
      <c r="A1654" s="3" t="n">
        <v>2251</v>
      </c>
      <c r="B1654" s="3" t="s">
        <v>583</v>
      </c>
      <c r="C1654" s="4" t="s">
        <v>47</v>
      </c>
      <c r="D1654" s="5" t="n">
        <v>124836</v>
      </c>
      <c r="E1654" s="6" t="n">
        <v>1740.92046956826</v>
      </c>
      <c r="F1654" s="7" t="n">
        <v>76</v>
      </c>
      <c r="G1654" s="6" t="n">
        <v>1501.9422528385</v>
      </c>
      <c r="H1654" s="8" t="n">
        <v>1840053.59727422</v>
      </c>
      <c r="I1654" s="9" t="n">
        <v>5.63345847530369</v>
      </c>
      <c r="J1654" s="9" t="n">
        <v>10.7703809602523</v>
      </c>
      <c r="K1654" s="3" t="s">
        <v>584</v>
      </c>
      <c r="L1654" s="3" t="s">
        <v>585</v>
      </c>
      <c r="M1654" s="7" t="n">
        <v>2022</v>
      </c>
    </row>
    <row r="1655" customFormat="false" ht="15" hidden="false" customHeight="false" outlineLevel="0" collapsed="false">
      <c r="A1655" s="3" t="n">
        <v>2252</v>
      </c>
      <c r="B1655" s="3" t="s">
        <v>583</v>
      </c>
      <c r="C1655" s="4" t="s">
        <v>48</v>
      </c>
      <c r="D1655" s="5" t="n">
        <v>125867</v>
      </c>
      <c r="E1655" s="6" t="n">
        <v>1973.1</v>
      </c>
      <c r="F1655" s="7" t="n">
        <v>77</v>
      </c>
      <c r="G1655" s="6" t="n">
        <v>2130.73657207698</v>
      </c>
      <c r="H1655" s="8" t="n">
        <v>2680466.60767284</v>
      </c>
      <c r="I1655" s="9" t="n">
        <v>6.26775096398675</v>
      </c>
      <c r="J1655" s="9" t="n">
        <v>15.112769997116</v>
      </c>
      <c r="K1655" s="3" t="s">
        <v>584</v>
      </c>
      <c r="L1655" s="3" t="s">
        <v>585</v>
      </c>
      <c r="M1655" s="7" t="n">
        <v>2023</v>
      </c>
    </row>
    <row r="1656" customFormat="false" ht="15" hidden="false" customHeight="false" outlineLevel="0" collapsed="false">
      <c r="A1656" s="3" t="n">
        <v>2253</v>
      </c>
      <c r="B1656" s="3" t="s">
        <v>583</v>
      </c>
      <c r="C1656" s="4" t="s">
        <v>49</v>
      </c>
      <c r="D1656" s="5" t="n">
        <v>125929</v>
      </c>
      <c r="E1656" s="6" t="n">
        <v>1766.77960933513</v>
      </c>
      <c r="F1656" s="7" t="n">
        <v>76</v>
      </c>
      <c r="G1656" s="6" t="n">
        <v>1825.68064175254</v>
      </c>
      <c r="H1656" s="8" t="n">
        <v>2470145.90829119</v>
      </c>
      <c r="I1656" s="9" t="n">
        <v>6.12401783359214</v>
      </c>
      <c r="J1656" s="9" t="n">
        <v>12.9782677731562</v>
      </c>
      <c r="K1656" s="3" t="s">
        <v>584</v>
      </c>
      <c r="L1656" s="3" t="s">
        <v>585</v>
      </c>
      <c r="M1656" s="7" t="n">
        <v>2024</v>
      </c>
    </row>
    <row r="1657" customFormat="false" ht="15" hidden="false" customHeight="false" outlineLevel="0" collapsed="false">
      <c r="A1657" s="3" t="n">
        <v>2254</v>
      </c>
      <c r="B1657" s="3" t="s">
        <v>586</v>
      </c>
      <c r="C1657" s="4" t="s">
        <v>14</v>
      </c>
      <c r="D1657" s="5" t="n">
        <v>3968</v>
      </c>
      <c r="E1657" s="6" t="n">
        <v>66.1</v>
      </c>
      <c r="F1657" s="7" t="n">
        <v>66</v>
      </c>
      <c r="G1657" s="6" t="n">
        <v>79.568765808544</v>
      </c>
      <c r="H1657" s="8" t="n">
        <v>68947.742534069</v>
      </c>
      <c r="I1657" s="9" t="n">
        <v>5.17726962654332</v>
      </c>
      <c r="J1657" s="9" t="n">
        <v>17.9018185949789</v>
      </c>
      <c r="K1657" s="3" t="s">
        <v>587</v>
      </c>
      <c r="L1657" s="3" t="s">
        <v>588</v>
      </c>
      <c r="M1657" s="7" t="n">
        <v>2016</v>
      </c>
    </row>
    <row r="1658" customFormat="false" ht="15" hidden="false" customHeight="false" outlineLevel="0" collapsed="false">
      <c r="A1658" s="3" t="n">
        <v>2255</v>
      </c>
      <c r="B1658" s="3" t="s">
        <v>586</v>
      </c>
      <c r="C1658" s="4" t="s">
        <v>17</v>
      </c>
      <c r="D1658" s="5" t="n">
        <v>3968</v>
      </c>
      <c r="E1658" s="6" t="n">
        <v>66.1</v>
      </c>
      <c r="F1658" s="7" t="n">
        <v>72</v>
      </c>
      <c r="G1658" s="6" t="n">
        <v>67.9388500377811</v>
      </c>
      <c r="H1658" s="8" t="n">
        <v>56574.0900916085</v>
      </c>
      <c r="I1658" s="9" t="n">
        <v>6.02861409926192</v>
      </c>
      <c r="J1658" s="9" t="n">
        <v>15.3272486372166</v>
      </c>
      <c r="K1658" s="3" t="s">
        <v>587</v>
      </c>
      <c r="L1658" s="3" t="s">
        <v>588</v>
      </c>
      <c r="M1658" s="7" t="n">
        <v>2017</v>
      </c>
    </row>
    <row r="1659" customFormat="false" ht="15" hidden="false" customHeight="false" outlineLevel="0" collapsed="false">
      <c r="A1659" s="3" t="n">
        <v>2256</v>
      </c>
      <c r="B1659" s="3" t="s">
        <v>586</v>
      </c>
      <c r="C1659" s="4" t="s">
        <v>18</v>
      </c>
      <c r="D1659" s="5" t="n">
        <v>4033</v>
      </c>
      <c r="E1659" s="6" t="n">
        <v>67.3</v>
      </c>
      <c r="F1659" s="7" t="n">
        <v>71</v>
      </c>
      <c r="G1659" s="6" t="n">
        <v>123.9375251229</v>
      </c>
      <c r="H1659" s="8" t="n">
        <v>118487.992143246</v>
      </c>
      <c r="I1659" s="9" t="n">
        <v>7.64807631210458</v>
      </c>
      <c r="J1659" s="9" t="n">
        <v>27.5101065242124</v>
      </c>
      <c r="K1659" s="3" t="s">
        <v>587</v>
      </c>
      <c r="L1659" s="3" t="s">
        <v>588</v>
      </c>
      <c r="M1659" s="7" t="n">
        <v>2018</v>
      </c>
    </row>
    <row r="1660" customFormat="false" ht="15" hidden="false" customHeight="false" outlineLevel="0" collapsed="false">
      <c r="A1660" s="3" t="n">
        <v>2257</v>
      </c>
      <c r="B1660" s="3" t="s">
        <v>586</v>
      </c>
      <c r="C1660" s="4" t="s">
        <v>19</v>
      </c>
      <c r="D1660" s="5" t="n">
        <v>3968</v>
      </c>
      <c r="E1660" s="6" t="n">
        <v>66.1247727272727</v>
      </c>
      <c r="F1660" s="7" t="n">
        <v>66</v>
      </c>
      <c r="G1660" s="6" t="n">
        <v>9.58474835711016</v>
      </c>
      <c r="H1660" s="8" t="n">
        <v>7853.19303155396</v>
      </c>
      <c r="I1660" s="9" t="n">
        <v>2.93337683704851</v>
      </c>
      <c r="J1660" s="9" t="n">
        <v>2.16235366234318</v>
      </c>
      <c r="K1660" s="3" t="s">
        <v>587</v>
      </c>
      <c r="L1660" s="3" t="s">
        <v>588</v>
      </c>
      <c r="M1660" s="7" t="n">
        <v>2019</v>
      </c>
    </row>
    <row r="1661" customFormat="false" ht="15" hidden="false" customHeight="false" outlineLevel="0" collapsed="false">
      <c r="A1661" s="3" t="n">
        <v>2258</v>
      </c>
      <c r="B1661" s="3" t="s">
        <v>586</v>
      </c>
      <c r="C1661" s="4" t="s">
        <v>20</v>
      </c>
      <c r="D1661" s="5" t="n">
        <v>4118</v>
      </c>
      <c r="E1661" s="6" t="n">
        <v>66.1247727272727</v>
      </c>
      <c r="F1661" s="7" t="n">
        <v>66</v>
      </c>
      <c r="G1661" s="6" t="n">
        <v>195.2914075</v>
      </c>
      <c r="H1661" s="8" t="n">
        <v>210563.1955665</v>
      </c>
      <c r="I1661" s="9" t="n">
        <v>10.8766582261954</v>
      </c>
      <c r="J1661" s="9" t="n">
        <v>42.3372833103465</v>
      </c>
      <c r="K1661" s="3" t="s">
        <v>587</v>
      </c>
      <c r="L1661" s="3" t="s">
        <v>588</v>
      </c>
      <c r="M1661" s="7" t="n">
        <v>2020</v>
      </c>
    </row>
    <row r="1662" customFormat="false" ht="15" hidden="false" customHeight="false" outlineLevel="0" collapsed="false">
      <c r="A1662" s="3" t="n">
        <v>2259</v>
      </c>
      <c r="B1662" s="3" t="s">
        <v>586</v>
      </c>
      <c r="C1662" s="4" t="s">
        <v>21</v>
      </c>
      <c r="D1662" s="5" t="n">
        <v>4167</v>
      </c>
      <c r="E1662" s="6" t="n">
        <v>66.1247727272727</v>
      </c>
      <c r="F1662" s="7" t="n">
        <v>72</v>
      </c>
      <c r="G1662" s="6" t="n">
        <v>127.082535</v>
      </c>
      <c r="H1662" s="8" t="n">
        <v>159268.72863945</v>
      </c>
      <c r="I1662" s="9" t="n">
        <v>8.00381597815895</v>
      </c>
      <c r="J1662" s="9" t="n">
        <v>27.3010935689661</v>
      </c>
      <c r="K1662" s="3" t="s">
        <v>587</v>
      </c>
      <c r="L1662" s="3" t="s">
        <v>588</v>
      </c>
      <c r="M1662" s="7" t="n">
        <v>2021</v>
      </c>
    </row>
    <row r="1663" customFormat="false" ht="15" hidden="false" customHeight="false" outlineLevel="0" collapsed="false">
      <c r="A1663" s="3" t="n">
        <v>2260</v>
      </c>
      <c r="B1663" s="3" t="s">
        <v>586</v>
      </c>
      <c r="C1663" s="4" t="s">
        <v>22</v>
      </c>
      <c r="D1663" s="5" t="n">
        <v>4179</v>
      </c>
      <c r="E1663" s="6" t="n">
        <v>64.3</v>
      </c>
      <c r="F1663" s="7" t="n">
        <v>71</v>
      </c>
      <c r="G1663" s="6" t="n">
        <v>41.1147850000001</v>
      </c>
      <c r="H1663" s="8" t="n">
        <v>51644.6925863502</v>
      </c>
      <c r="I1663" s="9" t="n">
        <v>4.33234434775535</v>
      </c>
      <c r="J1663" s="9" t="n">
        <v>8.80731089187107</v>
      </c>
      <c r="K1663" s="3" t="s">
        <v>587</v>
      </c>
      <c r="L1663" s="3" t="s">
        <v>588</v>
      </c>
      <c r="M1663" s="7" t="n">
        <v>2022</v>
      </c>
    </row>
    <row r="1664" customFormat="false" ht="15" hidden="false" customHeight="false" outlineLevel="0" collapsed="false">
      <c r="A1664" s="3" t="n">
        <v>2261</v>
      </c>
      <c r="B1664" s="3" t="s">
        <v>586</v>
      </c>
      <c r="C1664" s="4" t="s">
        <v>23</v>
      </c>
      <c r="D1664" s="5" t="n">
        <v>4241</v>
      </c>
      <c r="E1664" s="6" t="n">
        <v>64.3</v>
      </c>
      <c r="F1664" s="7" t="n">
        <v>69</v>
      </c>
      <c r="G1664" s="6" t="n">
        <v>81.567304748744</v>
      </c>
      <c r="H1664" s="8" t="n">
        <v>129255.629470097</v>
      </c>
      <c r="I1664" s="9" t="n">
        <v>6.27816908997887</v>
      </c>
      <c r="J1664" s="9" t="n">
        <v>17.217318523054</v>
      </c>
      <c r="K1664" s="3" t="s">
        <v>587</v>
      </c>
      <c r="L1664" s="3" t="s">
        <v>588</v>
      </c>
      <c r="M1664" s="7" t="n">
        <v>2023</v>
      </c>
    </row>
    <row r="1665" customFormat="false" ht="15" hidden="false" customHeight="false" outlineLevel="0" collapsed="false">
      <c r="A1665" s="3" t="n">
        <v>2262</v>
      </c>
      <c r="B1665" s="3" t="s">
        <v>586</v>
      </c>
      <c r="C1665" s="4" t="s">
        <v>24</v>
      </c>
      <c r="D1665" s="5" t="n">
        <v>4309</v>
      </c>
      <c r="E1665" s="6" t="n">
        <v>64.3</v>
      </c>
      <c r="F1665" s="7" t="n">
        <v>70</v>
      </c>
      <c r="G1665" s="6" t="n">
        <v>58.189772007574</v>
      </c>
      <c r="H1665" s="8" t="n">
        <v>161181.59517694</v>
      </c>
      <c r="I1665" s="9" t="n">
        <v>6.21318377515603</v>
      </c>
      <c r="J1665" s="9" t="n">
        <v>12.0558088985081</v>
      </c>
      <c r="K1665" s="3" t="s">
        <v>587</v>
      </c>
      <c r="L1665" s="3" t="s">
        <v>588</v>
      </c>
      <c r="M1665" s="7" t="n">
        <v>2024</v>
      </c>
    </row>
    <row r="1666" customFormat="false" ht="15" hidden="false" customHeight="false" outlineLevel="0" collapsed="false">
      <c r="A1666" s="3" t="n">
        <v>2263</v>
      </c>
      <c r="B1666" s="3" t="s">
        <v>589</v>
      </c>
      <c r="C1666" s="4" t="s">
        <v>14</v>
      </c>
      <c r="D1666" s="5" t="n">
        <v>4408</v>
      </c>
      <c r="E1666" s="6" t="n">
        <v>39.4325757575758</v>
      </c>
      <c r="F1666" s="7" t="n">
        <v>65</v>
      </c>
      <c r="G1666" s="6" t="n">
        <v>363.975413618108</v>
      </c>
      <c r="H1666" s="8" t="n">
        <v>224391.765113807</v>
      </c>
      <c r="I1666" s="9" t="n">
        <v>21.1522248671132</v>
      </c>
      <c r="J1666" s="9" t="n">
        <v>73.7151334453386</v>
      </c>
      <c r="K1666" s="3" t="s">
        <v>590</v>
      </c>
      <c r="L1666" s="3" t="s">
        <v>591</v>
      </c>
      <c r="M1666" s="7" t="n">
        <v>2016</v>
      </c>
    </row>
    <row r="1667" customFormat="false" ht="15" hidden="false" customHeight="false" outlineLevel="0" collapsed="false">
      <c r="A1667" s="3" t="n">
        <v>2264</v>
      </c>
      <c r="B1667" s="3" t="s">
        <v>589</v>
      </c>
      <c r="C1667" s="4" t="s">
        <v>17</v>
      </c>
      <c r="D1667" s="5" t="n">
        <v>4408</v>
      </c>
      <c r="E1667" s="6" t="n">
        <v>39.4325757575758</v>
      </c>
      <c r="F1667" s="7" t="n">
        <v>63</v>
      </c>
      <c r="G1667" s="6" t="n">
        <v>109.608181475254</v>
      </c>
      <c r="H1667" s="8" t="n">
        <v>64858.4492243519</v>
      </c>
      <c r="I1667" s="9" t="n">
        <v>9.5853832079643</v>
      </c>
      <c r="J1667" s="9" t="n">
        <v>22.2596873952286</v>
      </c>
      <c r="K1667" s="3" t="s">
        <v>590</v>
      </c>
      <c r="L1667" s="3" t="s">
        <v>591</v>
      </c>
      <c r="M1667" s="7" t="n">
        <v>2017</v>
      </c>
    </row>
    <row r="1668" customFormat="false" ht="15" hidden="false" customHeight="false" outlineLevel="0" collapsed="false">
      <c r="A1668" s="3" t="n">
        <v>2265</v>
      </c>
      <c r="B1668" s="3" t="s">
        <v>589</v>
      </c>
      <c r="C1668" s="4" t="s">
        <v>18</v>
      </c>
      <c r="D1668" s="5" t="n">
        <v>4408</v>
      </c>
      <c r="E1668" s="6" t="n">
        <v>39.4</v>
      </c>
      <c r="F1668" s="7" t="n">
        <v>59</v>
      </c>
      <c r="G1668" s="6" t="n">
        <v>77.3388753628041</v>
      </c>
      <c r="H1668" s="8" t="n">
        <v>24156.7977195719</v>
      </c>
      <c r="I1668" s="9" t="n">
        <v>8.64289563044856</v>
      </c>
      <c r="J1668" s="9" t="n">
        <v>15.7063019010422</v>
      </c>
      <c r="K1668" s="3" t="s">
        <v>590</v>
      </c>
      <c r="L1668" s="3" t="s">
        <v>591</v>
      </c>
      <c r="M1668" s="7" t="n">
        <v>2018</v>
      </c>
    </row>
    <row r="1669" customFormat="false" ht="15" hidden="false" customHeight="false" outlineLevel="0" collapsed="false">
      <c r="A1669" s="3" t="n">
        <v>2266</v>
      </c>
      <c r="B1669" s="3" t="s">
        <v>589</v>
      </c>
      <c r="C1669" s="4" t="s">
        <v>19</v>
      </c>
      <c r="D1669" s="5" t="n">
        <v>4452</v>
      </c>
      <c r="E1669" s="6" t="n">
        <v>39.68</v>
      </c>
      <c r="F1669" s="7" t="n">
        <v>72</v>
      </c>
      <c r="G1669" s="6" t="n">
        <v>89.930589566148</v>
      </c>
      <c r="H1669" s="8" t="n">
        <v>46840.2004932112</v>
      </c>
      <c r="I1669" s="9" t="n">
        <v>8.46465902921614</v>
      </c>
      <c r="J1669" s="9" t="n">
        <v>18.0829782272931</v>
      </c>
      <c r="K1669" s="3" t="s">
        <v>590</v>
      </c>
      <c r="L1669" s="3" t="s">
        <v>591</v>
      </c>
      <c r="M1669" s="7" t="n">
        <v>2019</v>
      </c>
    </row>
    <row r="1670" customFormat="false" ht="15" hidden="false" customHeight="false" outlineLevel="0" collapsed="false">
      <c r="A1670" s="3" t="n">
        <v>2267</v>
      </c>
      <c r="B1670" s="3" t="s">
        <v>589</v>
      </c>
      <c r="C1670" s="4" t="s">
        <v>20</v>
      </c>
      <c r="D1670" s="5" t="n">
        <v>4450</v>
      </c>
      <c r="E1670" s="6" t="n">
        <v>39.68</v>
      </c>
      <c r="F1670" s="7" t="n">
        <v>65</v>
      </c>
      <c r="G1670" s="6" t="n">
        <v>78.7573983830315</v>
      </c>
      <c r="H1670" s="8" t="n">
        <v>41867.4253519465</v>
      </c>
      <c r="I1670" s="9" t="n">
        <v>7.2641625115181</v>
      </c>
      <c r="J1670" s="9" t="n">
        <v>15.8000166356837</v>
      </c>
      <c r="K1670" s="3" t="s">
        <v>590</v>
      </c>
      <c r="L1670" s="3" t="s">
        <v>591</v>
      </c>
      <c r="M1670" s="7" t="n">
        <v>2020</v>
      </c>
    </row>
    <row r="1671" customFormat="false" ht="15" hidden="false" customHeight="false" outlineLevel="0" collapsed="false">
      <c r="A1671" s="3" t="n">
        <v>2268</v>
      </c>
      <c r="B1671" s="3" t="s">
        <v>589</v>
      </c>
      <c r="C1671" s="4" t="s">
        <v>21</v>
      </c>
      <c r="D1671" s="5" t="n">
        <v>4452</v>
      </c>
      <c r="E1671" s="6" t="n">
        <v>39.68</v>
      </c>
      <c r="F1671" s="7" t="n">
        <v>65</v>
      </c>
      <c r="G1671" s="6" t="n">
        <v>56.528625</v>
      </c>
      <c r="H1671" s="8" t="n">
        <v>37906.9653525</v>
      </c>
      <c r="I1671" s="9" t="n">
        <v>5.30647375171576</v>
      </c>
      <c r="J1671" s="9" t="n">
        <v>11.3666095154635</v>
      </c>
      <c r="K1671" s="3" t="s">
        <v>590</v>
      </c>
      <c r="L1671" s="3" t="s">
        <v>591</v>
      </c>
      <c r="M1671" s="7" t="n">
        <v>2021</v>
      </c>
    </row>
    <row r="1672" customFormat="false" ht="15" hidden="false" customHeight="false" outlineLevel="0" collapsed="false">
      <c r="A1672" s="3" t="n">
        <v>2269</v>
      </c>
      <c r="B1672" s="3" t="s">
        <v>589</v>
      </c>
      <c r="C1672" s="4" t="s">
        <v>22</v>
      </c>
      <c r="D1672" s="5" t="n">
        <v>4382</v>
      </c>
      <c r="E1672" s="6" t="n">
        <v>40.68</v>
      </c>
      <c r="F1672" s="7" t="n">
        <v>71</v>
      </c>
      <c r="G1672" s="6" t="n">
        <v>6.97583390800017</v>
      </c>
      <c r="H1672" s="8" t="n">
        <v>4627.55893955007</v>
      </c>
      <c r="I1672" s="9" t="n">
        <v>2.44717635834393</v>
      </c>
      <c r="J1672" s="9" t="n">
        <v>1.42508717904149</v>
      </c>
      <c r="K1672" s="3" t="s">
        <v>590</v>
      </c>
      <c r="L1672" s="3" t="s">
        <v>591</v>
      </c>
      <c r="M1672" s="7" t="n">
        <v>2022</v>
      </c>
    </row>
    <row r="1673" customFormat="false" ht="15" hidden="false" customHeight="false" outlineLevel="0" collapsed="false">
      <c r="A1673" s="3" t="n">
        <v>2270</v>
      </c>
      <c r="B1673" s="3" t="s">
        <v>589</v>
      </c>
      <c r="C1673" s="4" t="s">
        <v>23</v>
      </c>
      <c r="D1673" s="5" t="n">
        <v>4382</v>
      </c>
      <c r="E1673" s="6" t="n">
        <v>39.152</v>
      </c>
      <c r="F1673" s="7" t="n">
        <v>71</v>
      </c>
      <c r="G1673" s="6" t="n">
        <v>23.6412506592294</v>
      </c>
      <c r="H1673" s="8" t="n">
        <v>18340.409436417</v>
      </c>
      <c r="I1673" s="9" t="n">
        <v>3.666822563463</v>
      </c>
      <c r="J1673" s="9" t="n">
        <v>4.82965100019596</v>
      </c>
      <c r="K1673" s="3" t="s">
        <v>590</v>
      </c>
      <c r="L1673" s="3" t="s">
        <v>591</v>
      </c>
      <c r="M1673" s="7" t="n">
        <v>2023</v>
      </c>
    </row>
    <row r="1674" customFormat="false" ht="15" hidden="false" customHeight="false" outlineLevel="0" collapsed="false">
      <c r="A1674" s="3" t="n">
        <v>2271</v>
      </c>
      <c r="B1674" s="3" t="s">
        <v>589</v>
      </c>
      <c r="C1674" s="4" t="s">
        <v>24</v>
      </c>
      <c r="D1674" s="5" t="n">
        <v>4452</v>
      </c>
      <c r="E1674" s="6" t="n">
        <v>39.152</v>
      </c>
      <c r="F1674" s="7" t="n">
        <v>67</v>
      </c>
      <c r="G1674" s="6" t="n">
        <v>18.3065677574514</v>
      </c>
      <c r="H1674" s="8" t="n">
        <v>15974.6771565072</v>
      </c>
      <c r="I1674" s="9" t="n">
        <v>3.26168376271225</v>
      </c>
      <c r="J1674" s="9" t="n">
        <v>3.67094574107577</v>
      </c>
      <c r="K1674" s="3" t="s">
        <v>590</v>
      </c>
      <c r="L1674" s="3" t="s">
        <v>591</v>
      </c>
      <c r="M1674" s="7" t="n">
        <v>2024</v>
      </c>
    </row>
    <row r="1675" customFormat="false" ht="15" hidden="false" customHeight="false" outlineLevel="0" collapsed="false">
      <c r="A1675" s="3" t="n">
        <v>2272</v>
      </c>
      <c r="B1675" s="3" t="s">
        <v>592</v>
      </c>
      <c r="C1675" s="4" t="s">
        <v>41</v>
      </c>
      <c r="D1675" s="5" t="n">
        <v>54214</v>
      </c>
      <c r="E1675" s="6" t="n">
        <v>615</v>
      </c>
      <c r="F1675" s="7" t="n">
        <v>68</v>
      </c>
      <c r="G1675" s="6" t="n">
        <v>1112.01186892231</v>
      </c>
      <c r="H1675" s="8" t="n">
        <v>1033615.03216328</v>
      </c>
      <c r="I1675" s="9" t="n">
        <v>5.66031659534934</v>
      </c>
      <c r="J1675" s="9" t="n">
        <v>18.3618166174689</v>
      </c>
      <c r="K1675" s="3" t="s">
        <v>545</v>
      </c>
      <c r="L1675" s="3" t="s">
        <v>545</v>
      </c>
      <c r="M1675" s="7" t="n">
        <v>2016</v>
      </c>
    </row>
    <row r="1676" customFormat="false" ht="15" hidden="false" customHeight="false" outlineLevel="0" collapsed="false">
      <c r="A1676" s="3" t="n">
        <v>2273</v>
      </c>
      <c r="B1676" s="3" t="s">
        <v>592</v>
      </c>
      <c r="C1676" s="4" t="s">
        <v>42</v>
      </c>
      <c r="D1676" s="5" t="n">
        <v>54924</v>
      </c>
      <c r="E1676" s="6" t="n">
        <v>626.7</v>
      </c>
      <c r="F1676" s="7" t="n">
        <v>61</v>
      </c>
      <c r="G1676" s="6" t="n">
        <v>1262.31414773801</v>
      </c>
      <c r="H1676" s="8" t="n">
        <v>1199981.07512271</v>
      </c>
      <c r="I1676" s="9" t="n">
        <v>6.10191034501992</v>
      </c>
      <c r="J1676" s="9" t="n">
        <v>20.5742004013227</v>
      </c>
      <c r="K1676" s="3" t="s">
        <v>545</v>
      </c>
      <c r="L1676" s="3" t="s">
        <v>545</v>
      </c>
      <c r="M1676" s="7" t="n">
        <v>2017</v>
      </c>
    </row>
    <row r="1677" customFormat="false" ht="15" hidden="false" customHeight="false" outlineLevel="0" collapsed="false">
      <c r="A1677" s="3" t="n">
        <v>2274</v>
      </c>
      <c r="B1677" s="3" t="s">
        <v>592</v>
      </c>
      <c r="C1677" s="4" t="s">
        <v>43</v>
      </c>
      <c r="D1677" s="5" t="n">
        <v>57807</v>
      </c>
      <c r="E1677" s="6" t="n">
        <v>633.6</v>
      </c>
      <c r="F1677" s="7" t="n">
        <v>65</v>
      </c>
      <c r="G1677" s="6" t="n">
        <v>1535.98613345865</v>
      </c>
      <c r="H1677" s="8" t="n">
        <v>1502132.99907722</v>
      </c>
      <c r="I1677" s="9" t="n">
        <v>7.76281405281366</v>
      </c>
      <c r="J1677" s="9" t="n">
        <v>23.7861710716065</v>
      </c>
      <c r="K1677" s="3" t="s">
        <v>545</v>
      </c>
      <c r="L1677" s="3" t="s">
        <v>545</v>
      </c>
      <c r="M1677" s="7" t="n">
        <v>2018</v>
      </c>
    </row>
    <row r="1678" customFormat="false" ht="15" hidden="false" customHeight="false" outlineLevel="0" collapsed="false">
      <c r="A1678" s="3" t="n">
        <v>2275</v>
      </c>
      <c r="B1678" s="3" t="s">
        <v>592</v>
      </c>
      <c r="C1678" s="4" t="s">
        <v>44</v>
      </c>
      <c r="D1678" s="5" t="n">
        <v>57383</v>
      </c>
      <c r="E1678" s="6" t="n">
        <v>638.1</v>
      </c>
      <c r="F1678" s="7" t="n">
        <v>60</v>
      </c>
      <c r="G1678" s="6" t="n">
        <v>1331.34189223057</v>
      </c>
      <c r="H1678" s="8" t="n">
        <v>1355958.40381792</v>
      </c>
      <c r="I1678" s="9" t="n">
        <v>6.82904865027123</v>
      </c>
      <c r="J1678" s="9" t="n">
        <v>20.7125009781773</v>
      </c>
      <c r="K1678" s="3" t="s">
        <v>545</v>
      </c>
      <c r="L1678" s="3" t="s">
        <v>545</v>
      </c>
      <c r="M1678" s="7" t="n">
        <v>2019</v>
      </c>
    </row>
    <row r="1679" customFormat="false" ht="15" hidden="false" customHeight="false" outlineLevel="0" collapsed="false">
      <c r="A1679" s="3" t="n">
        <v>2276</v>
      </c>
      <c r="B1679" s="3" t="s">
        <v>592</v>
      </c>
      <c r="C1679" s="4" t="s">
        <v>45</v>
      </c>
      <c r="D1679" s="5" t="n">
        <v>57577</v>
      </c>
      <c r="E1679" s="6" t="n">
        <v>646.4</v>
      </c>
      <c r="F1679" s="7" t="n">
        <v>58</v>
      </c>
      <c r="G1679" s="6" t="n">
        <v>733.683144736842</v>
      </c>
      <c r="H1679" s="8" t="n">
        <v>768679.83074079</v>
      </c>
      <c r="I1679" s="9" t="n">
        <v>4.96806052994713</v>
      </c>
      <c r="J1679" s="9" t="n">
        <v>11.407150825242</v>
      </c>
      <c r="K1679" s="3" t="s">
        <v>545</v>
      </c>
      <c r="L1679" s="3" t="s">
        <v>545</v>
      </c>
      <c r="M1679" s="7" t="n">
        <v>2020</v>
      </c>
    </row>
    <row r="1680" customFormat="false" ht="15" hidden="false" customHeight="false" outlineLevel="0" collapsed="false">
      <c r="A1680" s="3" t="n">
        <v>2277</v>
      </c>
      <c r="B1680" s="3" t="s">
        <v>592</v>
      </c>
      <c r="C1680" s="4" t="s">
        <v>46</v>
      </c>
      <c r="D1680" s="5" t="n">
        <v>57785</v>
      </c>
      <c r="E1680" s="6" t="n">
        <v>662</v>
      </c>
      <c r="F1680" s="7" t="n">
        <v>58</v>
      </c>
      <c r="G1680" s="6" t="n">
        <v>501.855060499104</v>
      </c>
      <c r="H1680" s="8" t="n">
        <v>555397.976903753</v>
      </c>
      <c r="I1680" s="9" t="n">
        <v>3.10505524709815</v>
      </c>
      <c r="J1680" s="9" t="n">
        <v>7.7746503150982</v>
      </c>
      <c r="K1680" s="3" t="s">
        <v>545</v>
      </c>
      <c r="L1680" s="3" t="s">
        <v>545</v>
      </c>
      <c r="M1680" s="7" t="n">
        <v>2021</v>
      </c>
    </row>
    <row r="1681" customFormat="false" ht="15" hidden="false" customHeight="false" outlineLevel="0" collapsed="false">
      <c r="A1681" s="3" t="n">
        <v>2278</v>
      </c>
      <c r="B1681" s="3" t="s">
        <v>592</v>
      </c>
      <c r="C1681" s="4" t="s">
        <v>47</v>
      </c>
      <c r="D1681" s="5" t="n">
        <v>56545</v>
      </c>
      <c r="E1681" s="6" t="n">
        <v>676.1</v>
      </c>
      <c r="F1681" s="7" t="n">
        <v>50</v>
      </c>
      <c r="G1681" s="6" t="n">
        <v>757.335819611528</v>
      </c>
      <c r="H1681" s="8" t="n">
        <v>837174.161714976</v>
      </c>
      <c r="I1681" s="9" t="n">
        <v>4.72628116167213</v>
      </c>
      <c r="J1681" s="9" t="n">
        <v>11.9898007011937</v>
      </c>
      <c r="K1681" s="3" t="s">
        <v>545</v>
      </c>
      <c r="L1681" s="3" t="s">
        <v>545</v>
      </c>
      <c r="M1681" s="7" t="n">
        <v>2022</v>
      </c>
    </row>
    <row r="1682" customFormat="false" ht="15" hidden="false" customHeight="false" outlineLevel="0" collapsed="false">
      <c r="A1682" s="3" t="n">
        <v>2279</v>
      </c>
      <c r="B1682" s="3" t="s">
        <v>592</v>
      </c>
      <c r="C1682" s="4" t="s">
        <v>48</v>
      </c>
      <c r="D1682" s="5" t="n">
        <v>57105</v>
      </c>
      <c r="E1682" s="6" t="n">
        <v>679.7</v>
      </c>
      <c r="F1682" s="7" t="n">
        <v>49</v>
      </c>
      <c r="G1682" s="6" t="n">
        <v>347.553956140349</v>
      </c>
      <c r="H1682" s="8" t="n">
        <v>415855.25960105</v>
      </c>
      <c r="I1682" s="9" t="n">
        <v>2.96428181755059</v>
      </c>
      <c r="J1682" s="9" t="n">
        <v>5.43343272545474</v>
      </c>
      <c r="K1682" s="3" t="s">
        <v>545</v>
      </c>
      <c r="L1682" s="3" t="s">
        <v>545</v>
      </c>
      <c r="M1682" s="7" t="n">
        <v>2023</v>
      </c>
    </row>
    <row r="1683" customFormat="false" ht="15" hidden="false" customHeight="false" outlineLevel="0" collapsed="false">
      <c r="A1683" s="3" t="n">
        <v>2280</v>
      </c>
      <c r="B1683" s="3" t="s">
        <v>592</v>
      </c>
      <c r="C1683" s="4" t="s">
        <v>49</v>
      </c>
      <c r="D1683" s="5" t="n">
        <v>57650</v>
      </c>
      <c r="E1683" s="6" t="n">
        <v>636</v>
      </c>
      <c r="F1683" s="7" t="n">
        <v>49</v>
      </c>
      <c r="G1683" s="6" t="n">
        <v>607.286912280703</v>
      </c>
      <c r="H1683" s="8" t="n">
        <v>769025.635628422</v>
      </c>
      <c r="I1683" s="9" t="n">
        <v>3.71210219748834</v>
      </c>
      <c r="J1683" s="9" t="n">
        <v>9.43001285007002</v>
      </c>
      <c r="K1683" s="3" t="s">
        <v>545</v>
      </c>
      <c r="L1683" s="3" t="s">
        <v>545</v>
      </c>
      <c r="M1683" s="7" t="n">
        <v>2024</v>
      </c>
    </row>
    <row r="1684" customFormat="false" ht="15" hidden="false" customHeight="false" outlineLevel="0" collapsed="false">
      <c r="A1684" s="3" t="n">
        <v>2286</v>
      </c>
      <c r="B1684" s="3" t="s">
        <v>593</v>
      </c>
      <c r="C1684" s="4" t="s">
        <v>14</v>
      </c>
      <c r="D1684" s="5" t="n">
        <v>3247</v>
      </c>
      <c r="E1684" s="6" t="n">
        <v>46</v>
      </c>
      <c r="F1684" s="7" t="n">
        <v>51</v>
      </c>
      <c r="G1684" s="6" t="n">
        <v>245.002462266949</v>
      </c>
      <c r="H1684" s="8" t="n">
        <v>44502.135984818</v>
      </c>
      <c r="I1684" s="9" t="n">
        <v>27.5569402664375</v>
      </c>
      <c r="J1684" s="9" t="n">
        <v>67.361903997492</v>
      </c>
      <c r="K1684" s="3" t="s">
        <v>594</v>
      </c>
      <c r="L1684" s="3" t="s">
        <v>595</v>
      </c>
      <c r="M1684" s="7" t="n">
        <v>2016</v>
      </c>
    </row>
    <row r="1685" customFormat="false" ht="15" hidden="false" customHeight="false" outlineLevel="0" collapsed="false">
      <c r="A1685" s="3" t="n">
        <v>2287</v>
      </c>
      <c r="B1685" s="3" t="s">
        <v>593</v>
      </c>
      <c r="C1685" s="4" t="s">
        <v>17</v>
      </c>
      <c r="D1685" s="5" t="n">
        <v>3277</v>
      </c>
      <c r="E1685" s="6" t="n">
        <v>46</v>
      </c>
      <c r="F1685" s="7" t="n">
        <v>45</v>
      </c>
      <c r="G1685" s="6" t="n">
        <v>255.985914832476</v>
      </c>
      <c r="H1685" s="8" t="n">
        <v>30946.3164002062</v>
      </c>
      <c r="I1685" s="9" t="n">
        <v>27.8833993447462</v>
      </c>
      <c r="J1685" s="9" t="n">
        <v>69.9289975873111</v>
      </c>
      <c r="K1685" s="3" t="s">
        <v>594</v>
      </c>
      <c r="L1685" s="3" t="s">
        <v>595</v>
      </c>
      <c r="M1685" s="7" t="n">
        <v>2017</v>
      </c>
    </row>
    <row r="1686" customFormat="false" ht="15" hidden="false" customHeight="false" outlineLevel="0" collapsed="false">
      <c r="A1686" s="3" t="n">
        <v>2288</v>
      </c>
      <c r="B1686" s="3" t="s">
        <v>593</v>
      </c>
      <c r="C1686" s="4" t="s">
        <v>18</v>
      </c>
      <c r="D1686" s="5" t="n">
        <v>3287</v>
      </c>
      <c r="E1686" s="6" t="n">
        <v>46</v>
      </c>
      <c r="F1686" s="7" t="n">
        <v>60</v>
      </c>
      <c r="G1686" s="6" t="n">
        <v>207.88231956416</v>
      </c>
      <c r="H1686" s="8" t="n">
        <v>35423.9269499788</v>
      </c>
      <c r="I1686" s="9" t="n">
        <v>24.6606840823661</v>
      </c>
      <c r="J1686" s="9" t="n">
        <v>56.6155231166242</v>
      </c>
      <c r="K1686" s="3" t="s">
        <v>594</v>
      </c>
      <c r="L1686" s="3" t="s">
        <v>595</v>
      </c>
      <c r="M1686" s="7" t="n">
        <v>2018</v>
      </c>
    </row>
    <row r="1687" customFormat="false" ht="15" hidden="false" customHeight="false" outlineLevel="0" collapsed="false">
      <c r="A1687" s="3" t="n">
        <v>2289</v>
      </c>
      <c r="B1687" s="3" t="s">
        <v>593</v>
      </c>
      <c r="C1687" s="4" t="s">
        <v>19</v>
      </c>
      <c r="D1687" s="5" t="n">
        <v>3388</v>
      </c>
      <c r="E1687" s="6" t="n">
        <v>46</v>
      </c>
      <c r="F1687" s="7" t="n">
        <v>62</v>
      </c>
      <c r="G1687" s="6" t="n">
        <v>199.209191513791</v>
      </c>
      <c r="H1687" s="8" t="n">
        <v>33928.4670244395</v>
      </c>
      <c r="I1687" s="9" t="n">
        <v>22.6267044848278</v>
      </c>
      <c r="J1687" s="9" t="n">
        <v>52.6360930173401</v>
      </c>
      <c r="K1687" s="3" t="s">
        <v>594</v>
      </c>
      <c r="L1687" s="3" t="s">
        <v>595</v>
      </c>
      <c r="M1687" s="7" t="n">
        <v>2019</v>
      </c>
    </row>
    <row r="1688" customFormat="false" ht="15" hidden="false" customHeight="false" outlineLevel="0" collapsed="false">
      <c r="A1688" s="3" t="n">
        <v>2290</v>
      </c>
      <c r="B1688" s="3" t="s">
        <v>593</v>
      </c>
      <c r="C1688" s="4" t="s">
        <v>20</v>
      </c>
      <c r="D1688" s="5" t="n">
        <v>3390</v>
      </c>
      <c r="E1688" s="6" t="n">
        <v>46</v>
      </c>
      <c r="F1688" s="7" t="n">
        <v>73</v>
      </c>
      <c r="G1688" s="6" t="n">
        <v>167.439993732508</v>
      </c>
      <c r="H1688" s="8" t="n">
        <v>26695.8971906969</v>
      </c>
      <c r="I1688" s="9" t="n">
        <v>18.4280592509749</v>
      </c>
      <c r="J1688" s="9" t="n">
        <v>44.0946291653384</v>
      </c>
      <c r="K1688" s="3" t="s">
        <v>594</v>
      </c>
      <c r="L1688" s="3" t="s">
        <v>595</v>
      </c>
      <c r="M1688" s="7" t="n">
        <v>2020</v>
      </c>
    </row>
    <row r="1689" customFormat="false" ht="15" hidden="false" customHeight="false" outlineLevel="0" collapsed="false">
      <c r="A1689" s="3" t="n">
        <v>2291</v>
      </c>
      <c r="B1689" s="3" t="s">
        <v>593</v>
      </c>
      <c r="C1689" s="4" t="s">
        <v>21</v>
      </c>
      <c r="D1689" s="5" t="n">
        <v>3578</v>
      </c>
      <c r="E1689" s="6" t="n">
        <v>45.9</v>
      </c>
      <c r="F1689" s="7" t="n">
        <v>64</v>
      </c>
      <c r="G1689" s="6" t="n">
        <v>194.848987651732</v>
      </c>
      <c r="H1689" s="8" t="n">
        <v>43689.2918367913</v>
      </c>
      <c r="I1689" s="9" t="n">
        <v>21.2643340351194</v>
      </c>
      <c r="J1689" s="9" t="n">
        <v>48.7500978778314</v>
      </c>
      <c r="K1689" s="3" t="s">
        <v>594</v>
      </c>
      <c r="L1689" s="3" t="s">
        <v>595</v>
      </c>
      <c r="M1689" s="7" t="n">
        <v>2021</v>
      </c>
    </row>
    <row r="1690" customFormat="false" ht="15" hidden="false" customHeight="false" outlineLevel="0" collapsed="false">
      <c r="A1690" s="3" t="n">
        <v>2292</v>
      </c>
      <c r="B1690" s="3" t="s">
        <v>593</v>
      </c>
      <c r="C1690" s="4" t="s">
        <v>596</v>
      </c>
      <c r="D1690" s="5" t="n">
        <v>3555</v>
      </c>
      <c r="E1690" s="6" t="n">
        <v>45.928</v>
      </c>
      <c r="F1690" s="7" t="n">
        <v>62</v>
      </c>
      <c r="G1690" s="6" t="n">
        <v>215.362385412424</v>
      </c>
      <c r="H1690" s="8" t="n">
        <v>46002.4971291819</v>
      </c>
      <c r="I1690" s="9" t="n">
        <v>24.3695177969624</v>
      </c>
      <c r="J1690" s="9" t="n">
        <v>54.082460473594</v>
      </c>
      <c r="K1690" s="3" t="s">
        <v>594</v>
      </c>
      <c r="L1690" s="3" t="s">
        <v>595</v>
      </c>
      <c r="M1690" s="7" t="n">
        <v>2021</v>
      </c>
    </row>
    <row r="1691" customFormat="false" ht="15" hidden="false" customHeight="false" outlineLevel="0" collapsed="false">
      <c r="A1691" s="3" t="n">
        <v>2293</v>
      </c>
      <c r="B1691" s="3" t="s">
        <v>593</v>
      </c>
      <c r="C1691" s="4" t="s">
        <v>22</v>
      </c>
      <c r="D1691" s="5" t="n">
        <v>3555</v>
      </c>
      <c r="E1691" s="6" t="n">
        <v>45.928</v>
      </c>
      <c r="F1691" s="7" t="n">
        <v>62</v>
      </c>
      <c r="G1691" s="6" t="n">
        <v>206.86806137572</v>
      </c>
      <c r="H1691" s="8" t="n">
        <v>44188.0664598499</v>
      </c>
      <c r="I1691" s="9" t="n">
        <v>23.5872350409211</v>
      </c>
      <c r="J1691" s="9" t="n">
        <v>52.0920578254894</v>
      </c>
      <c r="K1691" s="3" t="s">
        <v>594</v>
      </c>
      <c r="L1691" s="3" t="s">
        <v>595</v>
      </c>
      <c r="M1691" s="7" t="n">
        <v>2022</v>
      </c>
    </row>
    <row r="1692" customFormat="false" ht="15" hidden="false" customHeight="false" outlineLevel="0" collapsed="false">
      <c r="A1692" s="3" t="n">
        <v>2294</v>
      </c>
      <c r="B1692" s="3" t="s">
        <v>593</v>
      </c>
      <c r="C1692" s="4" t="s">
        <v>597</v>
      </c>
      <c r="D1692" s="5" t="n">
        <v>3569</v>
      </c>
      <c r="E1692" s="6" t="n">
        <v>45.928</v>
      </c>
      <c r="F1692" s="7" t="n">
        <v>62</v>
      </c>
      <c r="G1692" s="6" t="n">
        <v>195.050459597852</v>
      </c>
      <c r="H1692" s="8" t="n">
        <v>51639.7325886831</v>
      </c>
      <c r="I1692" s="9" t="n">
        <v>23.6967679797805</v>
      </c>
      <c r="J1692" s="9" t="n">
        <v>48.7895287889395</v>
      </c>
      <c r="K1692" s="3" t="s">
        <v>594</v>
      </c>
      <c r="L1692" s="3" t="s">
        <v>595</v>
      </c>
      <c r="M1692" s="7" t="n">
        <v>2022</v>
      </c>
    </row>
    <row r="1693" customFormat="false" ht="15" hidden="false" customHeight="false" outlineLevel="0" collapsed="false">
      <c r="A1693" s="3" t="n">
        <v>2295</v>
      </c>
      <c r="B1693" s="3" t="s">
        <v>593</v>
      </c>
      <c r="C1693" s="4" t="s">
        <v>23</v>
      </c>
      <c r="D1693" s="5" t="n">
        <v>3569</v>
      </c>
      <c r="E1693" s="6" t="n">
        <v>45.928</v>
      </c>
      <c r="F1693" s="7" t="n">
        <v>62</v>
      </c>
      <c r="G1693" s="6" t="n">
        <v>187.125657525189</v>
      </c>
      <c r="H1693" s="8" t="n">
        <v>49541.6362258532</v>
      </c>
      <c r="I1693" s="9" t="n">
        <v>22.8984558212408</v>
      </c>
      <c r="J1693" s="9" t="n">
        <v>46.9358260773021</v>
      </c>
      <c r="K1693" s="3" t="s">
        <v>594</v>
      </c>
      <c r="L1693" s="3" t="s">
        <v>595</v>
      </c>
      <c r="M1693" s="7" t="n">
        <v>2023</v>
      </c>
    </row>
    <row r="1694" customFormat="false" ht="15" hidden="false" customHeight="false" outlineLevel="0" collapsed="false">
      <c r="A1694" s="3" t="n">
        <v>2296</v>
      </c>
      <c r="B1694" s="3" t="s">
        <v>593</v>
      </c>
      <c r="C1694" s="4" t="s">
        <v>24</v>
      </c>
      <c r="D1694" s="5" t="n">
        <v>3586</v>
      </c>
      <c r="E1694" s="6" t="n">
        <v>47.8</v>
      </c>
      <c r="F1694" s="7" t="n">
        <v>62</v>
      </c>
      <c r="G1694" s="6" t="n">
        <v>179.541589181495</v>
      </c>
      <c r="H1694" s="8" t="n">
        <v>74884.8590711173</v>
      </c>
      <c r="I1694" s="9" t="n">
        <v>20.7780242985946</v>
      </c>
      <c r="J1694" s="9" t="n">
        <v>44.697267437584</v>
      </c>
      <c r="K1694" s="3" t="s">
        <v>594</v>
      </c>
      <c r="L1694" s="3" t="s">
        <v>595</v>
      </c>
      <c r="M1694" s="7" t="n">
        <v>2024</v>
      </c>
    </row>
    <row r="1695" customFormat="false" ht="15" hidden="false" customHeight="false" outlineLevel="0" collapsed="false">
      <c r="A1695" s="3" t="n">
        <v>2297</v>
      </c>
      <c r="B1695" s="3" t="s">
        <v>598</v>
      </c>
      <c r="C1695" s="4" t="s">
        <v>14</v>
      </c>
      <c r="D1695" s="5" t="n">
        <v>18348</v>
      </c>
      <c r="E1695" s="6" t="n">
        <v>245</v>
      </c>
      <c r="F1695" s="7" t="n">
        <v>55</v>
      </c>
      <c r="G1695" s="6" t="n">
        <v>801.567428858646</v>
      </c>
      <c r="H1695" s="8" t="n">
        <v>658121.617191336</v>
      </c>
      <c r="I1695" s="9" t="n">
        <v>16.4920581527031</v>
      </c>
      <c r="J1695" s="9" t="n">
        <v>39.0011599578646</v>
      </c>
      <c r="K1695" s="3" t="s">
        <v>599</v>
      </c>
      <c r="L1695" s="3" t="s">
        <v>600</v>
      </c>
      <c r="M1695" s="7" t="n">
        <v>2016</v>
      </c>
    </row>
    <row r="1696" customFormat="false" ht="15" hidden="false" customHeight="false" outlineLevel="0" collapsed="false">
      <c r="A1696" s="3" t="n">
        <v>2298</v>
      </c>
      <c r="B1696" s="3" t="s">
        <v>598</v>
      </c>
      <c r="C1696" s="4" t="s">
        <v>17</v>
      </c>
      <c r="D1696" s="5" t="n">
        <v>18648</v>
      </c>
      <c r="E1696" s="6" t="n">
        <v>241</v>
      </c>
      <c r="F1696" s="7" t="n">
        <v>59</v>
      </c>
      <c r="G1696" s="6" t="n">
        <v>785.341462690622</v>
      </c>
      <c r="H1696" s="8" t="n">
        <v>826034.786719373</v>
      </c>
      <c r="I1696" s="9" t="n">
        <v>12.4379879052224</v>
      </c>
      <c r="J1696" s="9" t="n">
        <v>37.7002248951073</v>
      </c>
      <c r="K1696" s="3" t="s">
        <v>599</v>
      </c>
      <c r="L1696" s="3" t="s">
        <v>600</v>
      </c>
      <c r="M1696" s="7" t="n">
        <v>2017</v>
      </c>
    </row>
    <row r="1697" customFormat="false" ht="15" hidden="false" customHeight="false" outlineLevel="0" collapsed="false">
      <c r="A1697" s="3" t="n">
        <v>2299</v>
      </c>
      <c r="B1697" s="3" t="s">
        <v>598</v>
      </c>
      <c r="C1697" s="4" t="s">
        <v>18</v>
      </c>
      <c r="D1697" s="5" t="n">
        <v>18156</v>
      </c>
      <c r="E1697" s="6" t="n">
        <v>247</v>
      </c>
      <c r="F1697" s="7" t="n">
        <v>60</v>
      </c>
      <c r="G1697" s="6" t="n">
        <v>587.780799937464</v>
      </c>
      <c r="H1697" s="8" t="n">
        <v>493727.101071743</v>
      </c>
      <c r="I1697" s="9" t="n">
        <v>8.86431367716928</v>
      </c>
      <c r="J1697" s="9" t="n">
        <v>28.9809685776419</v>
      </c>
      <c r="K1697" s="3" t="s">
        <v>599</v>
      </c>
      <c r="L1697" s="3" t="s">
        <v>600</v>
      </c>
      <c r="M1697" s="7" t="n">
        <v>2018</v>
      </c>
    </row>
    <row r="1698" customFormat="false" ht="15" hidden="false" customHeight="false" outlineLevel="0" collapsed="false">
      <c r="A1698" s="3" t="n">
        <v>2300</v>
      </c>
      <c r="B1698" s="3" t="s">
        <v>598</v>
      </c>
      <c r="C1698" s="4" t="s">
        <v>19</v>
      </c>
      <c r="D1698" s="5" t="n">
        <v>18982</v>
      </c>
      <c r="E1698" s="6" t="n">
        <v>252</v>
      </c>
      <c r="F1698" s="7" t="n">
        <v>57</v>
      </c>
      <c r="G1698" s="6" t="n">
        <v>730.01506733026</v>
      </c>
      <c r="H1698" s="8" t="n">
        <v>627801.88453378</v>
      </c>
      <c r="I1698" s="9" t="n">
        <v>10.2543431432707</v>
      </c>
      <c r="J1698" s="9" t="n">
        <v>34.427661906513</v>
      </c>
      <c r="K1698" s="3" t="s">
        <v>599</v>
      </c>
      <c r="L1698" s="3" t="s">
        <v>600</v>
      </c>
      <c r="M1698" s="7" t="n">
        <v>2019</v>
      </c>
    </row>
    <row r="1699" customFormat="false" ht="15" hidden="false" customHeight="false" outlineLevel="0" collapsed="false">
      <c r="A1699" s="3" t="n">
        <v>2301</v>
      </c>
      <c r="B1699" s="3" t="s">
        <v>598</v>
      </c>
      <c r="C1699" s="4" t="s">
        <v>20</v>
      </c>
      <c r="D1699" s="5" t="n">
        <v>19643</v>
      </c>
      <c r="E1699" s="6" t="n">
        <v>252</v>
      </c>
      <c r="F1699" s="7" t="n">
        <v>58</v>
      </c>
      <c r="G1699" s="6" t="n">
        <v>719.728049696712</v>
      </c>
      <c r="H1699" s="8" t="n">
        <v>635426.533977044</v>
      </c>
      <c r="I1699" s="9" t="n">
        <v>9.38751385082781</v>
      </c>
      <c r="J1699" s="9" t="n">
        <v>32.7104716060758</v>
      </c>
      <c r="K1699" s="3" t="s">
        <v>599</v>
      </c>
      <c r="L1699" s="3" t="s">
        <v>600</v>
      </c>
      <c r="M1699" s="7" t="n">
        <v>2020</v>
      </c>
    </row>
    <row r="1700" customFormat="false" ht="15" hidden="false" customHeight="false" outlineLevel="0" collapsed="false">
      <c r="A1700" s="3" t="n">
        <v>2302</v>
      </c>
      <c r="B1700" s="3" t="s">
        <v>598</v>
      </c>
      <c r="C1700" s="4" t="s">
        <v>21</v>
      </c>
      <c r="D1700" s="5" t="n">
        <v>22746</v>
      </c>
      <c r="E1700" s="6" t="n">
        <v>252</v>
      </c>
      <c r="F1700" s="7" t="n">
        <v>72</v>
      </c>
      <c r="G1700" s="6" t="n">
        <v>562.641847598822</v>
      </c>
      <c r="H1700" s="8" t="n">
        <v>486940.405588793</v>
      </c>
      <c r="I1700" s="9" t="n">
        <v>8.03623677695251</v>
      </c>
      <c r="J1700" s="9" t="n">
        <v>22.1434186087934</v>
      </c>
      <c r="K1700" s="3" t="s">
        <v>599</v>
      </c>
      <c r="L1700" s="3" t="s">
        <v>600</v>
      </c>
      <c r="M1700" s="7" t="n">
        <v>2021</v>
      </c>
    </row>
    <row r="1701" customFormat="false" ht="15" hidden="false" customHeight="false" outlineLevel="0" collapsed="false">
      <c r="A1701" s="3" t="n">
        <v>2303</v>
      </c>
      <c r="B1701" s="3" t="s">
        <v>598</v>
      </c>
      <c r="C1701" s="4" t="s">
        <v>22</v>
      </c>
      <c r="D1701" s="5" t="n">
        <v>25166</v>
      </c>
      <c r="E1701" s="6" t="n">
        <v>268</v>
      </c>
      <c r="F1701" s="7" t="n">
        <v>72</v>
      </c>
      <c r="G1701" s="6" t="n">
        <v>580.439705952411</v>
      </c>
      <c r="H1701" s="8" t="n">
        <v>507960.989673269</v>
      </c>
      <c r="I1701" s="9" t="n">
        <v>8.00985862399391</v>
      </c>
      <c r="J1701" s="9" t="n">
        <v>20.6471729501057</v>
      </c>
      <c r="K1701" s="3" t="s">
        <v>599</v>
      </c>
      <c r="L1701" s="3" t="s">
        <v>600</v>
      </c>
      <c r="M1701" s="7" t="n">
        <v>2022</v>
      </c>
    </row>
    <row r="1702" customFormat="false" ht="15" hidden="false" customHeight="false" outlineLevel="0" collapsed="false">
      <c r="A1702" s="3" t="n">
        <v>2304</v>
      </c>
      <c r="B1702" s="3" t="s">
        <v>598</v>
      </c>
      <c r="C1702" s="4" t="s">
        <v>23</v>
      </c>
      <c r="D1702" s="5" t="n">
        <v>22300</v>
      </c>
      <c r="E1702" s="6" t="n">
        <v>275</v>
      </c>
      <c r="F1702" s="7" t="n">
        <v>73</v>
      </c>
      <c r="G1702" s="6" t="n">
        <v>507.107813293832</v>
      </c>
      <c r="H1702" s="8" t="n">
        <v>497041.652777714</v>
      </c>
      <c r="I1702" s="9" t="n">
        <v>7.48847139450844</v>
      </c>
      <c r="J1702" s="9" t="n">
        <v>20.3569689141094</v>
      </c>
      <c r="K1702" s="3" t="s">
        <v>599</v>
      </c>
      <c r="L1702" s="3" t="s">
        <v>600</v>
      </c>
      <c r="M1702" s="7" t="n">
        <v>2023</v>
      </c>
    </row>
    <row r="1703" customFormat="false" ht="15" hidden="false" customHeight="false" outlineLevel="0" collapsed="false">
      <c r="A1703" s="3" t="n">
        <v>2305</v>
      </c>
      <c r="B1703" s="3" t="s">
        <v>598</v>
      </c>
      <c r="C1703" s="4" t="s">
        <v>24</v>
      </c>
      <c r="D1703" s="5" t="n">
        <v>22851</v>
      </c>
      <c r="E1703" s="6" t="n">
        <v>311</v>
      </c>
      <c r="F1703" s="7" t="n">
        <v>73</v>
      </c>
      <c r="G1703" s="6" t="n">
        <v>939.534975881814</v>
      </c>
      <c r="H1703" s="8" t="n">
        <v>926080.413770719</v>
      </c>
      <c r="I1703" s="9" t="n">
        <v>10.7143432672268</v>
      </c>
      <c r="J1703" s="9" t="n">
        <v>36.7057358990992</v>
      </c>
      <c r="K1703" s="3" t="s">
        <v>599</v>
      </c>
      <c r="L1703" s="3" t="s">
        <v>600</v>
      </c>
      <c r="M1703" s="7" t="n">
        <v>2024</v>
      </c>
    </row>
    <row r="1704" customFormat="false" ht="15" hidden="false" customHeight="false" outlineLevel="0" collapsed="false">
      <c r="A1704" s="3" t="n">
        <v>2306</v>
      </c>
      <c r="B1704" s="3" t="s">
        <v>601</v>
      </c>
      <c r="C1704" s="4" t="s">
        <v>14</v>
      </c>
      <c r="D1704" s="5" t="n">
        <v>8765</v>
      </c>
      <c r="E1704" s="6" t="n">
        <v>155.93</v>
      </c>
      <c r="F1704" s="7" t="n">
        <v>56</v>
      </c>
      <c r="G1704" s="6" t="n">
        <v>217.241884585493</v>
      </c>
      <c r="H1704" s="8" t="n">
        <v>106883.007216063</v>
      </c>
      <c r="I1704" s="9" t="n">
        <v>9.95679560149548</v>
      </c>
      <c r="J1704" s="9" t="n">
        <v>22.1267604917027</v>
      </c>
      <c r="K1704" s="3" t="s">
        <v>602</v>
      </c>
      <c r="L1704" s="3" t="s">
        <v>603</v>
      </c>
      <c r="M1704" s="7" t="n">
        <v>2016</v>
      </c>
    </row>
    <row r="1705" customFormat="false" ht="15" hidden="false" customHeight="false" outlineLevel="0" collapsed="false">
      <c r="A1705" s="3" t="n">
        <v>2307</v>
      </c>
      <c r="B1705" s="3" t="s">
        <v>601</v>
      </c>
      <c r="C1705" s="4" t="s">
        <v>17</v>
      </c>
      <c r="D1705" s="5" t="n">
        <v>10536</v>
      </c>
      <c r="E1705" s="6" t="n">
        <v>156.29</v>
      </c>
      <c r="F1705" s="7" t="n">
        <v>53</v>
      </c>
      <c r="G1705" s="6" t="n">
        <v>842.078646689941</v>
      </c>
      <c r="H1705" s="8" t="n">
        <v>127153.875650181</v>
      </c>
      <c r="I1705" s="9" t="n">
        <v>18.3952526000854</v>
      </c>
      <c r="J1705" s="9" t="n">
        <v>71.5475171214559</v>
      </c>
      <c r="K1705" s="3" t="s">
        <v>602</v>
      </c>
      <c r="L1705" s="3" t="s">
        <v>603</v>
      </c>
      <c r="M1705" s="7" t="n">
        <v>2017</v>
      </c>
    </row>
    <row r="1706" customFormat="false" ht="15" hidden="false" customHeight="false" outlineLevel="0" collapsed="false">
      <c r="A1706" s="3" t="n">
        <v>2308</v>
      </c>
      <c r="B1706" s="3" t="s">
        <v>601</v>
      </c>
      <c r="C1706" s="4" t="s">
        <v>18</v>
      </c>
      <c r="D1706" s="5" t="n">
        <v>8869</v>
      </c>
      <c r="E1706" s="6" t="n">
        <v>156.05</v>
      </c>
      <c r="F1706" s="7" t="n">
        <v>49</v>
      </c>
      <c r="G1706" s="6" t="n">
        <v>735.076220224131</v>
      </c>
      <c r="H1706" s="8" t="n">
        <v>111731.585474068</v>
      </c>
      <c r="I1706" s="9" t="n">
        <v>16.4800192269054</v>
      </c>
      <c r="J1706" s="9" t="n">
        <v>74.1951288028351</v>
      </c>
      <c r="K1706" s="3" t="s">
        <v>602</v>
      </c>
      <c r="L1706" s="3" t="s">
        <v>603</v>
      </c>
      <c r="M1706" s="7" t="n">
        <v>2018</v>
      </c>
    </row>
    <row r="1707" customFormat="false" ht="15" hidden="false" customHeight="false" outlineLevel="0" collapsed="false">
      <c r="A1707" s="3" t="n">
        <v>2309</v>
      </c>
      <c r="B1707" s="3" t="s">
        <v>601</v>
      </c>
      <c r="C1707" s="4" t="s">
        <v>19</v>
      </c>
      <c r="D1707" s="5" t="n">
        <v>8971</v>
      </c>
      <c r="E1707" s="6" t="n">
        <v>163.69</v>
      </c>
      <c r="F1707" s="7" t="n">
        <v>51</v>
      </c>
      <c r="G1707" s="6" t="n">
        <v>253.704682470352</v>
      </c>
      <c r="H1707" s="8" t="n">
        <v>38816.8164179638</v>
      </c>
      <c r="I1707" s="9" t="n">
        <v>11.6260005581361</v>
      </c>
      <c r="J1707" s="9" t="n">
        <v>25.3165953811018</v>
      </c>
      <c r="K1707" s="3" t="s">
        <v>602</v>
      </c>
      <c r="L1707" s="3" t="s">
        <v>603</v>
      </c>
      <c r="M1707" s="7" t="n">
        <v>2019</v>
      </c>
    </row>
    <row r="1708" customFormat="false" ht="15" hidden="false" customHeight="false" outlineLevel="0" collapsed="false">
      <c r="A1708" s="3" t="n">
        <v>2310</v>
      </c>
      <c r="B1708" s="3" t="s">
        <v>601</v>
      </c>
      <c r="C1708" s="4" t="s">
        <v>20</v>
      </c>
      <c r="D1708" s="5" t="n">
        <v>8934</v>
      </c>
      <c r="E1708" s="6" t="n">
        <v>164.31</v>
      </c>
      <c r="F1708" s="7" t="n">
        <v>50</v>
      </c>
      <c r="G1708" s="6" t="n">
        <v>467.366504710314</v>
      </c>
      <c r="H1708" s="8" t="n">
        <v>72208.1249777436</v>
      </c>
      <c r="I1708" s="9" t="n">
        <v>13.4374169920333</v>
      </c>
      <c r="J1708" s="9" t="n">
        <v>46.7022527228168</v>
      </c>
      <c r="K1708" s="3" t="s">
        <v>602</v>
      </c>
      <c r="L1708" s="3" t="s">
        <v>603</v>
      </c>
      <c r="M1708" s="7" t="n">
        <v>2020</v>
      </c>
    </row>
    <row r="1709" customFormat="false" ht="15" hidden="false" customHeight="false" outlineLevel="0" collapsed="false">
      <c r="A1709" s="3" t="n">
        <v>2311</v>
      </c>
      <c r="B1709" s="3" t="s">
        <v>601</v>
      </c>
      <c r="C1709" s="4" t="s">
        <v>21</v>
      </c>
      <c r="D1709" s="5" t="n">
        <v>8975</v>
      </c>
      <c r="E1709" s="6" t="n">
        <v>164.46</v>
      </c>
      <c r="F1709" s="7" t="n">
        <v>55</v>
      </c>
      <c r="G1709" s="6" t="n">
        <v>363.014338860103</v>
      </c>
      <c r="H1709" s="8" t="n">
        <v>57443.3889812227</v>
      </c>
      <c r="I1709" s="9" t="n">
        <v>13.5699844178589</v>
      </c>
      <c r="J1709" s="9" t="n">
        <v>36.2082051277674</v>
      </c>
      <c r="K1709" s="3" t="s">
        <v>602</v>
      </c>
      <c r="L1709" s="3" t="s">
        <v>603</v>
      </c>
      <c r="M1709" s="7" t="n">
        <v>2021</v>
      </c>
    </row>
    <row r="1710" customFormat="false" ht="15" hidden="false" customHeight="false" outlineLevel="0" collapsed="false">
      <c r="A1710" s="3" t="n">
        <v>2312</v>
      </c>
      <c r="B1710" s="3" t="s">
        <v>601</v>
      </c>
      <c r="C1710" s="4" t="s">
        <v>22</v>
      </c>
      <c r="D1710" s="5" t="n">
        <v>8971</v>
      </c>
      <c r="E1710" s="6" t="n">
        <v>175.42</v>
      </c>
      <c r="F1710" s="7" t="n">
        <v>69</v>
      </c>
      <c r="G1710" s="6" t="n">
        <v>38.2267755375317</v>
      </c>
      <c r="H1710" s="8" t="n">
        <v>6973.71066131191</v>
      </c>
      <c r="I1710" s="9" t="n">
        <v>5.9253147025137</v>
      </c>
      <c r="J1710" s="9" t="n">
        <v>3.81456029736852</v>
      </c>
      <c r="K1710" s="3" t="s">
        <v>602</v>
      </c>
      <c r="L1710" s="3" t="s">
        <v>603</v>
      </c>
      <c r="M1710" s="7" t="n">
        <v>2022</v>
      </c>
    </row>
    <row r="1711" customFormat="false" ht="15" hidden="false" customHeight="false" outlineLevel="0" collapsed="false">
      <c r="A1711" s="3" t="n">
        <v>2313</v>
      </c>
      <c r="B1711" s="3" t="s">
        <v>601</v>
      </c>
      <c r="C1711" s="4" t="s">
        <v>23</v>
      </c>
      <c r="D1711" s="5" t="n">
        <v>9031</v>
      </c>
      <c r="E1711" s="6" t="n">
        <v>176.06</v>
      </c>
      <c r="F1711" s="7" t="n">
        <v>61</v>
      </c>
      <c r="G1711" s="6" t="n">
        <v>47.8424953924878</v>
      </c>
      <c r="H1711" s="8" t="n">
        <v>9390.04657068357</v>
      </c>
      <c r="I1711" s="9" t="n">
        <v>6.39617721382872</v>
      </c>
      <c r="J1711" s="9" t="n">
        <v>4.74237241629794</v>
      </c>
      <c r="K1711" s="3" t="s">
        <v>602</v>
      </c>
      <c r="L1711" s="3" t="s">
        <v>603</v>
      </c>
      <c r="M1711" s="7" t="n">
        <v>2023</v>
      </c>
    </row>
    <row r="1712" customFormat="false" ht="15" hidden="false" customHeight="false" outlineLevel="0" collapsed="false">
      <c r="A1712" s="3" t="n">
        <v>2314</v>
      </c>
      <c r="B1712" s="3" t="s">
        <v>601</v>
      </c>
      <c r="C1712" s="4" t="s">
        <v>24</v>
      </c>
      <c r="D1712" s="5" t="n">
        <v>9349</v>
      </c>
      <c r="E1712" s="6" t="n">
        <v>174.654910169818</v>
      </c>
      <c r="F1712" s="7" t="n">
        <v>59</v>
      </c>
      <c r="G1712" s="6" t="n">
        <v>18.4592940158938</v>
      </c>
      <c r="H1712" s="8" t="n">
        <v>3875.24022033119</v>
      </c>
      <c r="I1712" s="9" t="n">
        <v>5.06862474484605</v>
      </c>
      <c r="J1712" s="9" t="n">
        <v>1.7626907322512</v>
      </c>
      <c r="K1712" s="3" t="s">
        <v>602</v>
      </c>
      <c r="L1712" s="3" t="s">
        <v>603</v>
      </c>
      <c r="M1712" s="7" t="n">
        <v>2024</v>
      </c>
    </row>
    <row r="1713" customFormat="false" ht="15" hidden="false" customHeight="false" outlineLevel="0" collapsed="false">
      <c r="A1713" s="3" t="n">
        <v>2324</v>
      </c>
      <c r="B1713" s="3" t="s">
        <v>604</v>
      </c>
      <c r="C1713" s="4" t="s">
        <v>14</v>
      </c>
      <c r="D1713" s="5" t="n">
        <v>42655</v>
      </c>
      <c r="E1713" s="6" t="n">
        <v>600</v>
      </c>
      <c r="F1713" s="7" t="n">
        <v>67</v>
      </c>
      <c r="G1713" s="6" t="n">
        <v>1973.66791792929</v>
      </c>
      <c r="H1713" s="8" t="n">
        <v>215129.803054293</v>
      </c>
      <c r="I1713" s="9" t="n">
        <v>10.2591167293848</v>
      </c>
      <c r="J1713" s="9" t="n">
        <v>41.3076348289913</v>
      </c>
      <c r="K1713" s="3" t="s">
        <v>605</v>
      </c>
      <c r="L1713" s="3" t="s">
        <v>606</v>
      </c>
      <c r="M1713" s="7" t="n">
        <v>2016</v>
      </c>
    </row>
    <row r="1714" customFormat="false" ht="15" hidden="false" customHeight="false" outlineLevel="0" collapsed="false">
      <c r="A1714" s="3" t="n">
        <v>2325</v>
      </c>
      <c r="B1714" s="3" t="s">
        <v>604</v>
      </c>
      <c r="C1714" s="4" t="s">
        <v>17</v>
      </c>
      <c r="D1714" s="5" t="n">
        <v>43618</v>
      </c>
      <c r="E1714" s="6" t="n">
        <v>615</v>
      </c>
      <c r="F1714" s="7" t="n">
        <v>67</v>
      </c>
      <c r="G1714" s="6" t="n">
        <v>2290.95741739066</v>
      </c>
      <c r="H1714" s="8" t="n">
        <v>257503.61371471</v>
      </c>
      <c r="I1714" s="9" t="n">
        <v>9.54810969834413</v>
      </c>
      <c r="J1714" s="9" t="n">
        <v>47.0185187568851</v>
      </c>
      <c r="K1714" s="3" t="s">
        <v>605</v>
      </c>
      <c r="L1714" s="3" t="s">
        <v>606</v>
      </c>
      <c r="M1714" s="7" t="n">
        <v>2017</v>
      </c>
    </row>
    <row r="1715" customFormat="false" ht="15" hidden="false" customHeight="false" outlineLevel="0" collapsed="false">
      <c r="A1715" s="3" t="n">
        <v>2326</v>
      </c>
      <c r="B1715" s="3" t="s">
        <v>604</v>
      </c>
      <c r="C1715" s="4" t="s">
        <v>18</v>
      </c>
      <c r="D1715" s="5" t="n">
        <v>44467</v>
      </c>
      <c r="E1715" s="6" t="n">
        <v>627.46</v>
      </c>
      <c r="F1715" s="7" t="n">
        <v>68</v>
      </c>
      <c r="G1715" s="6" t="n">
        <v>1742.0163040404</v>
      </c>
      <c r="H1715" s="8" t="n">
        <v>312988.069346938</v>
      </c>
      <c r="I1715" s="9" t="n">
        <v>7.81435007185565</v>
      </c>
      <c r="J1715" s="9" t="n">
        <v>35.0697006996341</v>
      </c>
      <c r="K1715" s="3" t="s">
        <v>605</v>
      </c>
      <c r="L1715" s="3" t="s">
        <v>606</v>
      </c>
      <c r="M1715" s="7" t="n">
        <v>2018</v>
      </c>
    </row>
    <row r="1716" customFormat="false" ht="15" hidden="false" customHeight="false" outlineLevel="0" collapsed="false">
      <c r="A1716" s="3" t="n">
        <v>2327</v>
      </c>
      <c r="B1716" s="3" t="s">
        <v>604</v>
      </c>
      <c r="C1716" s="4" t="s">
        <v>19</v>
      </c>
      <c r="D1716" s="5" t="n">
        <v>45395</v>
      </c>
      <c r="E1716" s="6" t="n">
        <v>633.43</v>
      </c>
      <c r="F1716" s="7" t="n">
        <v>70</v>
      </c>
      <c r="G1716" s="6" t="n">
        <v>1463.37778272728</v>
      </c>
      <c r="H1716" s="8" t="n">
        <v>304382.578807273</v>
      </c>
      <c r="I1716" s="9" t="n">
        <v>6.67423249026254</v>
      </c>
      <c r="J1716" s="9" t="n">
        <v>28.8579921712506</v>
      </c>
      <c r="K1716" s="3" t="s">
        <v>605</v>
      </c>
      <c r="L1716" s="3" t="s">
        <v>606</v>
      </c>
      <c r="M1716" s="7" t="n">
        <v>2019</v>
      </c>
    </row>
    <row r="1717" customFormat="false" ht="15" hidden="false" customHeight="false" outlineLevel="0" collapsed="false">
      <c r="A1717" s="3" t="n">
        <v>2328</v>
      </c>
      <c r="B1717" s="3" t="s">
        <v>604</v>
      </c>
      <c r="C1717" s="4" t="s">
        <v>20</v>
      </c>
      <c r="D1717" s="5" t="n">
        <v>46426</v>
      </c>
      <c r="E1717" s="6" t="n">
        <v>660.76</v>
      </c>
      <c r="F1717" s="7" t="n">
        <v>75</v>
      </c>
      <c r="G1717" s="6" t="n">
        <v>628.333548232317</v>
      </c>
      <c r="H1717" s="8" t="n">
        <v>70373.3574020195</v>
      </c>
      <c r="I1717" s="9" t="n">
        <v>3.71165836559002</v>
      </c>
      <c r="J1717" s="9" t="n">
        <v>12.0824546841106</v>
      </c>
      <c r="K1717" s="3" t="s">
        <v>605</v>
      </c>
      <c r="L1717" s="3" t="s">
        <v>606</v>
      </c>
      <c r="M1717" s="7" t="n">
        <v>2020</v>
      </c>
    </row>
    <row r="1718" customFormat="false" ht="15" hidden="false" customHeight="false" outlineLevel="0" collapsed="false">
      <c r="A1718" s="3" t="n">
        <v>2329</v>
      </c>
      <c r="B1718" s="3" t="s">
        <v>604</v>
      </c>
      <c r="C1718" s="4" t="s">
        <v>21</v>
      </c>
      <c r="D1718" s="5" t="n">
        <v>47930</v>
      </c>
      <c r="E1718" s="6" t="n">
        <v>686</v>
      </c>
      <c r="F1718" s="7" t="n">
        <v>72</v>
      </c>
      <c r="G1718" s="6" t="n">
        <v>277.53373458494</v>
      </c>
      <c r="H1718" s="8" t="n">
        <v>30317.7851660588</v>
      </c>
      <c r="I1718" s="9" t="n">
        <v>2.84912099517328</v>
      </c>
      <c r="J1718" s="9" t="n">
        <v>5.18353487963429</v>
      </c>
      <c r="K1718" s="3" t="s">
        <v>605</v>
      </c>
      <c r="L1718" s="3" t="s">
        <v>606</v>
      </c>
      <c r="M1718" s="7" t="n">
        <v>2021</v>
      </c>
    </row>
    <row r="1719" customFormat="false" ht="15" hidden="false" customHeight="false" outlineLevel="0" collapsed="false">
      <c r="A1719" s="3" t="n">
        <v>2330</v>
      </c>
      <c r="B1719" s="3" t="s">
        <v>604</v>
      </c>
      <c r="C1719" s="4" t="s">
        <v>22</v>
      </c>
      <c r="D1719" s="5" t="n">
        <v>49482</v>
      </c>
      <c r="E1719" s="6" t="n">
        <v>690</v>
      </c>
      <c r="F1719" s="7" t="n">
        <v>74</v>
      </c>
      <c r="G1719" s="6" t="n">
        <v>1248.56545454545</v>
      </c>
      <c r="H1719" s="8" t="n">
        <v>147592.922381818</v>
      </c>
      <c r="I1719" s="9" t="n">
        <v>7.22922962897784</v>
      </c>
      <c r="J1719" s="9" t="n">
        <v>22.5882062302314</v>
      </c>
      <c r="K1719" s="3" t="s">
        <v>605</v>
      </c>
      <c r="L1719" s="3" t="s">
        <v>606</v>
      </c>
      <c r="M1719" s="7" t="n">
        <v>2022</v>
      </c>
    </row>
    <row r="1720" customFormat="false" ht="15" hidden="false" customHeight="false" outlineLevel="0" collapsed="false">
      <c r="A1720" s="3" t="n">
        <v>2331</v>
      </c>
      <c r="B1720" s="3" t="s">
        <v>604</v>
      </c>
      <c r="C1720" s="4" t="s">
        <v>23</v>
      </c>
      <c r="D1720" s="5" t="n">
        <v>50757</v>
      </c>
      <c r="E1720" s="6" t="n">
        <v>704</v>
      </c>
      <c r="F1720" s="7" t="n">
        <v>74</v>
      </c>
      <c r="G1720" s="6" t="n">
        <v>940.183875252523</v>
      </c>
      <c r="H1720" s="8" t="n">
        <v>135640.327682681</v>
      </c>
      <c r="I1720" s="9" t="n">
        <v>6.19589016019253</v>
      </c>
      <c r="J1720" s="9" t="n">
        <v>16.5819090148184</v>
      </c>
      <c r="K1720" s="3" t="s">
        <v>605</v>
      </c>
      <c r="L1720" s="3" t="s">
        <v>606</v>
      </c>
      <c r="M1720" s="7" t="n">
        <v>2023</v>
      </c>
    </row>
    <row r="1721" customFormat="false" ht="15" hidden="false" customHeight="false" outlineLevel="0" collapsed="false">
      <c r="A1721" s="3" t="n">
        <v>2332</v>
      </c>
      <c r="B1721" s="3" t="s">
        <v>604</v>
      </c>
      <c r="C1721" s="4" t="s">
        <v>24</v>
      </c>
      <c r="D1721" s="5" t="n">
        <v>52102</v>
      </c>
      <c r="E1721" s="6" t="n">
        <v>715</v>
      </c>
      <c r="F1721" s="7" t="n">
        <v>74</v>
      </c>
      <c r="G1721" s="6" t="n">
        <v>2098.72888888888</v>
      </c>
      <c r="H1721" s="8" t="n">
        <v>289876.434133332</v>
      </c>
      <c r="I1721" s="9" t="n">
        <v>9.64102880087904</v>
      </c>
      <c r="J1721" s="9" t="n">
        <v>35.9607002267591</v>
      </c>
      <c r="K1721" s="3" t="s">
        <v>605</v>
      </c>
      <c r="L1721" s="3" t="s">
        <v>606</v>
      </c>
      <c r="M1721" s="7" t="n">
        <v>2024</v>
      </c>
    </row>
    <row r="1722" customFormat="false" ht="15" hidden="false" customHeight="false" outlineLevel="0" collapsed="false">
      <c r="A1722" s="3" t="n">
        <v>2333</v>
      </c>
      <c r="B1722" s="3" t="s">
        <v>607</v>
      </c>
      <c r="C1722" s="4" t="s">
        <v>20</v>
      </c>
      <c r="D1722" s="5" t="n">
        <v>3207</v>
      </c>
      <c r="E1722" s="6" t="n">
        <v>39.4</v>
      </c>
      <c r="F1722" s="7" t="n">
        <v>56</v>
      </c>
      <c r="G1722" s="6" t="n">
        <v>22.5259228656385</v>
      </c>
      <c r="H1722" s="8" t="n">
        <v>3430.61276382</v>
      </c>
      <c r="I1722" s="9" t="n">
        <v>5.15121978101463</v>
      </c>
      <c r="J1722" s="9" t="n">
        <v>6.27061051526086</v>
      </c>
      <c r="K1722" s="3" t="s">
        <v>608</v>
      </c>
      <c r="L1722" s="3" t="s">
        <v>609</v>
      </c>
      <c r="M1722" s="7" t="n">
        <v>2020</v>
      </c>
    </row>
    <row r="1723" customFormat="false" ht="15" hidden="false" customHeight="false" outlineLevel="0" collapsed="false">
      <c r="A1723" s="3" t="n">
        <v>2334</v>
      </c>
      <c r="B1723" s="3" t="s">
        <v>607</v>
      </c>
      <c r="C1723" s="4" t="s">
        <v>21</v>
      </c>
      <c r="D1723" s="5" t="n">
        <v>3207</v>
      </c>
      <c r="E1723" s="6" t="n">
        <v>39.4</v>
      </c>
      <c r="F1723" s="7" t="n">
        <v>56</v>
      </c>
      <c r="G1723" s="6" t="n">
        <v>33.056262796429</v>
      </c>
      <c r="H1723" s="8" t="n">
        <v>5854.69458597877</v>
      </c>
      <c r="I1723" s="9" t="n">
        <v>7.22301942558524</v>
      </c>
      <c r="J1723" s="9" t="n">
        <v>9.22725381675318</v>
      </c>
      <c r="K1723" s="3" t="s">
        <v>608</v>
      </c>
      <c r="L1723" s="3" t="s">
        <v>609</v>
      </c>
      <c r="M1723" s="7" t="n">
        <v>2021</v>
      </c>
    </row>
    <row r="1724" customFormat="false" ht="15" hidden="false" customHeight="false" outlineLevel="0" collapsed="false">
      <c r="A1724" s="3" t="n">
        <v>2335</v>
      </c>
      <c r="B1724" s="3" t="s">
        <v>607</v>
      </c>
      <c r="C1724" s="4" t="s">
        <v>610</v>
      </c>
      <c r="D1724" s="5" t="n">
        <v>3207</v>
      </c>
      <c r="E1724" s="6" t="n">
        <v>39.4</v>
      </c>
      <c r="F1724" s="7" t="n">
        <v>51</v>
      </c>
      <c r="G1724" s="6" t="n">
        <v>60.7535288164709</v>
      </c>
      <c r="H1724" s="8" t="n">
        <v>11976.1479041381</v>
      </c>
      <c r="I1724" s="9" t="n">
        <v>10.2243513425162</v>
      </c>
      <c r="J1724" s="9" t="n">
        <v>17.0053267760313</v>
      </c>
      <c r="K1724" s="3" t="s">
        <v>608</v>
      </c>
      <c r="L1724" s="3" t="s">
        <v>609</v>
      </c>
      <c r="M1724" s="7" t="n">
        <v>2021</v>
      </c>
    </row>
    <row r="1725" customFormat="false" ht="15" hidden="false" customHeight="false" outlineLevel="0" collapsed="false">
      <c r="A1725" s="3" t="n">
        <v>2336</v>
      </c>
      <c r="B1725" s="3" t="s">
        <v>607</v>
      </c>
      <c r="C1725" s="4" t="s">
        <v>611</v>
      </c>
      <c r="D1725" s="5" t="n">
        <v>3207</v>
      </c>
      <c r="E1725" s="6" t="n">
        <v>39.4</v>
      </c>
      <c r="F1725" s="7" t="n">
        <v>51</v>
      </c>
      <c r="G1725" s="6" t="n">
        <v>21.3121418415119</v>
      </c>
      <c r="H1725" s="8" t="n">
        <v>5552.12347719725</v>
      </c>
      <c r="I1725" s="9" t="n">
        <v>5.43019574409747</v>
      </c>
      <c r="J1725" s="9" t="n">
        <v>5.91651691842</v>
      </c>
      <c r="K1725" s="3" t="s">
        <v>608</v>
      </c>
      <c r="L1725" s="3" t="s">
        <v>609</v>
      </c>
      <c r="M1725" s="7" t="n">
        <v>2022</v>
      </c>
    </row>
    <row r="1726" customFormat="false" ht="15" hidden="false" customHeight="false" outlineLevel="0" collapsed="false">
      <c r="A1726" s="3" t="n">
        <v>2337</v>
      </c>
      <c r="B1726" s="3" t="s">
        <v>607</v>
      </c>
      <c r="C1726" s="4" t="s">
        <v>24</v>
      </c>
      <c r="D1726" s="5" t="n">
        <v>3207</v>
      </c>
      <c r="E1726" s="6" t="n">
        <v>39.4</v>
      </c>
      <c r="F1726" s="7" t="n">
        <v>51</v>
      </c>
      <c r="G1726" s="6" t="n">
        <v>34.2493080148569</v>
      </c>
      <c r="H1726" s="8" t="n">
        <v>11389.2875910737</v>
      </c>
      <c r="I1726" s="9" t="n">
        <v>6.77003978684809</v>
      </c>
      <c r="J1726" s="9" t="n">
        <v>9.534085340671</v>
      </c>
      <c r="K1726" s="3" t="s">
        <v>608</v>
      </c>
      <c r="L1726" s="3" t="s">
        <v>609</v>
      </c>
      <c r="M1726" s="7" t="n">
        <v>2024</v>
      </c>
    </row>
    <row r="1727" customFormat="false" ht="15" hidden="false" customHeight="false" outlineLevel="0" collapsed="false">
      <c r="A1727" s="3" t="n">
        <v>2366</v>
      </c>
      <c r="B1727" s="3" t="s">
        <v>612</v>
      </c>
      <c r="C1727" s="4" t="s">
        <v>14</v>
      </c>
      <c r="D1727" s="5" t="n">
        <v>26260</v>
      </c>
      <c r="E1727" s="6" t="n">
        <v>411.16</v>
      </c>
      <c r="F1727" s="7" t="n">
        <v>55</v>
      </c>
      <c r="G1727" s="6" t="n">
        <v>1210.40173277202</v>
      </c>
      <c r="H1727" s="8" t="n">
        <v>595517.652523834</v>
      </c>
      <c r="I1727" s="9" t="n">
        <v>10.4668854696096</v>
      </c>
      <c r="J1727" s="9" t="n">
        <v>41.1491632698824</v>
      </c>
      <c r="K1727" s="3" t="s">
        <v>602</v>
      </c>
      <c r="L1727" s="3" t="s">
        <v>603</v>
      </c>
      <c r="M1727" s="7" t="n">
        <v>2016</v>
      </c>
    </row>
    <row r="1728" customFormat="false" ht="15" hidden="false" customHeight="false" outlineLevel="0" collapsed="false">
      <c r="A1728" s="3" t="n">
        <v>2367</v>
      </c>
      <c r="B1728" s="3" t="s">
        <v>612</v>
      </c>
      <c r="C1728" s="4" t="s">
        <v>17</v>
      </c>
      <c r="D1728" s="5" t="n">
        <v>31080</v>
      </c>
      <c r="E1728" s="6" t="n">
        <v>411.39</v>
      </c>
      <c r="F1728" s="7" t="n">
        <v>52</v>
      </c>
      <c r="G1728" s="6" t="n">
        <v>1552.18249676165</v>
      </c>
      <c r="H1728" s="8" t="n">
        <v>234379.55701101</v>
      </c>
      <c r="I1728" s="9" t="n">
        <v>11.4848358655858</v>
      </c>
      <c r="J1728" s="9" t="n">
        <v>44.7074033292567</v>
      </c>
      <c r="K1728" s="3" t="s">
        <v>602</v>
      </c>
      <c r="L1728" s="3" t="s">
        <v>603</v>
      </c>
      <c r="M1728" s="7" t="n">
        <v>2017</v>
      </c>
    </row>
    <row r="1729" customFormat="false" ht="15" hidden="false" customHeight="false" outlineLevel="0" collapsed="false">
      <c r="A1729" s="3" t="n">
        <v>2368</v>
      </c>
      <c r="B1729" s="3" t="s">
        <v>612</v>
      </c>
      <c r="C1729" s="4" t="s">
        <v>18</v>
      </c>
      <c r="D1729" s="5" t="n">
        <v>27101</v>
      </c>
      <c r="E1729" s="6" t="n">
        <v>417.64</v>
      </c>
      <c r="F1729" s="7" t="n">
        <v>49</v>
      </c>
      <c r="G1729" s="6" t="n">
        <v>1682.55835606061</v>
      </c>
      <c r="H1729" s="8" t="n">
        <v>255748.870121213</v>
      </c>
      <c r="I1729" s="9" t="n">
        <v>12.2212245383922</v>
      </c>
      <c r="J1729" s="9" t="n">
        <v>55.5779462013187</v>
      </c>
      <c r="K1729" s="3" t="s">
        <v>602</v>
      </c>
      <c r="L1729" s="3" t="s">
        <v>603</v>
      </c>
      <c r="M1729" s="7" t="n">
        <v>2018</v>
      </c>
    </row>
    <row r="1730" customFormat="false" ht="15" hidden="false" customHeight="false" outlineLevel="0" collapsed="false">
      <c r="A1730" s="3" t="n">
        <v>2369</v>
      </c>
      <c r="B1730" s="3" t="s">
        <v>612</v>
      </c>
      <c r="C1730" s="4" t="s">
        <v>19</v>
      </c>
      <c r="D1730" s="5" t="n">
        <v>27635</v>
      </c>
      <c r="E1730" s="6" t="n">
        <v>445.98</v>
      </c>
      <c r="F1730" s="7" t="n">
        <v>53</v>
      </c>
      <c r="G1730" s="6" t="n">
        <v>1093.55869041701</v>
      </c>
      <c r="H1730" s="8" t="n">
        <v>167314.479633803</v>
      </c>
      <c r="I1730" s="9" t="n">
        <v>10.4782219393892</v>
      </c>
      <c r="J1730" s="9" t="n">
        <v>35.424220443405</v>
      </c>
      <c r="K1730" s="3" t="s">
        <v>602</v>
      </c>
      <c r="L1730" s="3" t="s">
        <v>603</v>
      </c>
      <c r="M1730" s="7" t="n">
        <v>2019</v>
      </c>
    </row>
    <row r="1731" customFormat="false" ht="15" hidden="false" customHeight="false" outlineLevel="0" collapsed="false">
      <c r="A1731" s="3" t="n">
        <v>2370</v>
      </c>
      <c r="B1731" s="3" t="s">
        <v>612</v>
      </c>
      <c r="C1731" s="4" t="s">
        <v>20</v>
      </c>
      <c r="D1731" s="5" t="n">
        <v>28269</v>
      </c>
      <c r="E1731" s="6" t="n">
        <v>451.92</v>
      </c>
      <c r="F1731" s="7" t="n">
        <v>52</v>
      </c>
      <c r="G1731" s="6" t="n">
        <v>1547.43200747761</v>
      </c>
      <c r="H1731" s="8" t="n">
        <v>239078.24515529</v>
      </c>
      <c r="I1731" s="9" t="n">
        <v>10.6281660516354</v>
      </c>
      <c r="J1731" s="9" t="n">
        <v>48.8683103732475</v>
      </c>
      <c r="K1731" s="3" t="s">
        <v>602</v>
      </c>
      <c r="L1731" s="3" t="s">
        <v>603</v>
      </c>
      <c r="M1731" s="7" t="n">
        <v>2020</v>
      </c>
    </row>
    <row r="1732" customFormat="false" ht="15" hidden="false" customHeight="false" outlineLevel="0" collapsed="false">
      <c r="A1732" s="3" t="n">
        <v>2371</v>
      </c>
      <c r="B1732" s="3" t="s">
        <v>612</v>
      </c>
      <c r="C1732" s="4" t="s">
        <v>21</v>
      </c>
      <c r="D1732" s="5" t="n">
        <v>29013</v>
      </c>
      <c r="E1732" s="6" t="n">
        <v>457.89</v>
      </c>
      <c r="F1732" s="7" t="n">
        <v>55</v>
      </c>
      <c r="G1732" s="6" t="n">
        <v>573.387332124348</v>
      </c>
      <c r="H1732" s="8" t="n">
        <v>90732.8114353569</v>
      </c>
      <c r="I1732" s="9" t="n">
        <v>6.3223266316081</v>
      </c>
      <c r="J1732" s="9" t="n">
        <v>17.6918451827062</v>
      </c>
      <c r="K1732" s="3" t="s">
        <v>602</v>
      </c>
      <c r="L1732" s="3" t="s">
        <v>603</v>
      </c>
      <c r="M1732" s="7" t="n">
        <v>2021</v>
      </c>
    </row>
    <row r="1733" customFormat="false" ht="15" hidden="false" customHeight="false" outlineLevel="0" collapsed="false">
      <c r="A1733" s="3" t="n">
        <v>2372</v>
      </c>
      <c r="B1733" s="3" t="s">
        <v>612</v>
      </c>
      <c r="C1733" s="4" t="s">
        <v>22</v>
      </c>
      <c r="D1733" s="5" t="n">
        <v>28857</v>
      </c>
      <c r="E1733" s="6" t="n">
        <v>481.24</v>
      </c>
      <c r="F1733" s="7" t="n">
        <v>66</v>
      </c>
      <c r="G1733" s="6" t="n">
        <v>975.050181502582</v>
      </c>
      <c r="H1733" s="8" t="n">
        <v>177878.404611516</v>
      </c>
      <c r="I1733" s="9" t="n">
        <v>8.12513099496487</v>
      </c>
      <c r="J1733" s="9" t="n">
        <v>30.2477769970679</v>
      </c>
      <c r="K1733" s="3" t="s">
        <v>602</v>
      </c>
      <c r="L1733" s="3" t="s">
        <v>603</v>
      </c>
      <c r="M1733" s="7" t="n">
        <v>2022</v>
      </c>
    </row>
    <row r="1734" customFormat="false" ht="15" hidden="false" customHeight="false" outlineLevel="0" collapsed="false">
      <c r="A1734" s="3" t="n">
        <v>2373</v>
      </c>
      <c r="B1734" s="3" t="s">
        <v>612</v>
      </c>
      <c r="C1734" s="4" t="s">
        <v>23</v>
      </c>
      <c r="D1734" s="5" t="n">
        <v>28978</v>
      </c>
      <c r="E1734" s="6" t="n">
        <v>484.22</v>
      </c>
      <c r="F1734" s="7" t="n">
        <v>59</v>
      </c>
      <c r="G1734" s="6" t="n">
        <v>381.29194170984</v>
      </c>
      <c r="H1734" s="8" t="n">
        <v>74836.1693993903</v>
      </c>
      <c r="I1734" s="9" t="n">
        <v>6.07739557517158</v>
      </c>
      <c r="J1734" s="9" t="n">
        <v>11.7789585447252</v>
      </c>
      <c r="K1734" s="3" t="s">
        <v>602</v>
      </c>
      <c r="L1734" s="3" t="s">
        <v>603</v>
      </c>
      <c r="M1734" s="7" t="n">
        <v>2023</v>
      </c>
    </row>
    <row r="1735" customFormat="false" ht="15" hidden="false" customHeight="false" outlineLevel="0" collapsed="false">
      <c r="A1735" s="3" t="n">
        <v>2374</v>
      </c>
      <c r="B1735" s="3" t="s">
        <v>612</v>
      </c>
      <c r="C1735" s="4" t="s">
        <v>24</v>
      </c>
      <c r="D1735" s="5" t="n">
        <v>29531</v>
      </c>
      <c r="E1735" s="6" t="n">
        <v>484.998737674879</v>
      </c>
      <c r="F1735" s="7" t="n">
        <v>58</v>
      </c>
      <c r="G1735" s="6" t="n">
        <v>1164.88106475326</v>
      </c>
      <c r="H1735" s="8" t="n">
        <v>244548.569958703</v>
      </c>
      <c r="I1735" s="9" t="n">
        <v>9.32355414059737</v>
      </c>
      <c r="J1735" s="9" t="n">
        <v>35.2151567524737</v>
      </c>
      <c r="K1735" s="3" t="s">
        <v>602</v>
      </c>
      <c r="L1735" s="3" t="s">
        <v>603</v>
      </c>
      <c r="M1735" s="7" t="n">
        <v>2024</v>
      </c>
    </row>
    <row r="1736" customFormat="false" ht="15" hidden="false" customHeight="false" outlineLevel="0" collapsed="false">
      <c r="A1736" s="3" t="n">
        <v>2378</v>
      </c>
      <c r="B1736" s="3" t="s">
        <v>613</v>
      </c>
      <c r="C1736" s="4" t="s">
        <v>21</v>
      </c>
      <c r="D1736" s="5" t="n">
        <v>3217</v>
      </c>
      <c r="E1736" s="6" t="n">
        <v>49.16</v>
      </c>
      <c r="F1736" s="7" t="n">
        <v>72</v>
      </c>
      <c r="G1736" s="6" t="n">
        <v>2.39291832826441</v>
      </c>
      <c r="H1736" s="8" t="n">
        <v>399.863545714307</v>
      </c>
      <c r="I1736" s="9" t="n">
        <v>3.15624492391489</v>
      </c>
      <c r="J1736" s="9" t="n">
        <v>0.665877729048706</v>
      </c>
      <c r="K1736" s="3" t="s">
        <v>509</v>
      </c>
      <c r="L1736" s="3" t="s">
        <v>510</v>
      </c>
      <c r="M1736" s="7" t="n">
        <v>2021</v>
      </c>
    </row>
    <row r="1737" customFormat="false" ht="15" hidden="false" customHeight="false" outlineLevel="0" collapsed="false">
      <c r="A1737" s="3" t="n">
        <v>2379</v>
      </c>
      <c r="B1737" s="3" t="s">
        <v>613</v>
      </c>
      <c r="C1737" s="4" t="s">
        <v>22</v>
      </c>
      <c r="D1737" s="5" t="n">
        <v>3217</v>
      </c>
      <c r="E1737" s="6" t="n">
        <v>49.16</v>
      </c>
      <c r="F1737" s="7" t="n">
        <v>82</v>
      </c>
      <c r="G1737" s="6" t="n">
        <v>3.51735081981756</v>
      </c>
      <c r="H1737" s="8" t="n">
        <v>901.822567111812</v>
      </c>
      <c r="I1737" s="9" t="n">
        <v>3.72054734377286</v>
      </c>
      <c r="J1737" s="9" t="n">
        <v>0.978773720984649</v>
      </c>
      <c r="K1737" s="3" t="s">
        <v>509</v>
      </c>
      <c r="L1737" s="3" t="s">
        <v>510</v>
      </c>
      <c r="M1737" s="7" t="n">
        <v>2022</v>
      </c>
    </row>
    <row r="1738" customFormat="false" ht="15" hidden="false" customHeight="false" outlineLevel="0" collapsed="false">
      <c r="A1738" s="3" t="n">
        <v>2380</v>
      </c>
      <c r="B1738" s="3" t="s">
        <v>613</v>
      </c>
      <c r="C1738" s="4" t="s">
        <v>23</v>
      </c>
      <c r="D1738" s="5" t="n">
        <v>3230</v>
      </c>
      <c r="E1738" s="6" t="n">
        <v>51.68</v>
      </c>
      <c r="F1738" s="7" t="n">
        <v>79</v>
      </c>
      <c r="G1738" s="6" t="n">
        <v>19.040067189534</v>
      </c>
      <c r="H1738" s="8" t="n">
        <v>2083.50245304314</v>
      </c>
      <c r="I1738" s="9" t="n">
        <v>3.60798936457268</v>
      </c>
      <c r="J1738" s="9" t="n">
        <v>5.27695789284595</v>
      </c>
      <c r="K1738" s="3" t="s">
        <v>509</v>
      </c>
      <c r="L1738" s="3" t="s">
        <v>510</v>
      </c>
      <c r="M1738" s="7" t="n">
        <v>2023</v>
      </c>
    </row>
    <row r="1739" customFormat="false" ht="15" hidden="false" customHeight="false" outlineLevel="0" collapsed="false">
      <c r="A1739" s="3" t="n">
        <v>2381</v>
      </c>
      <c r="B1739" s="3" t="s">
        <v>613</v>
      </c>
      <c r="C1739" s="4" t="s">
        <v>24</v>
      </c>
      <c r="D1739" s="5" t="n">
        <v>3230</v>
      </c>
      <c r="E1739" s="6" t="n">
        <v>51.68</v>
      </c>
      <c r="F1739" s="7" t="n">
        <v>79</v>
      </c>
      <c r="G1739" s="6" t="n">
        <v>19.9243024755204</v>
      </c>
      <c r="H1739" s="8" t="n">
        <v>4577.69300121693</v>
      </c>
      <c r="I1739" s="9" t="n">
        <v>3.61326546601292</v>
      </c>
      <c r="J1739" s="9" t="n">
        <v>5.50689502179974</v>
      </c>
      <c r="K1739" s="3" t="s">
        <v>509</v>
      </c>
      <c r="L1739" s="3" t="s">
        <v>510</v>
      </c>
      <c r="M1739" s="7" t="n">
        <v>2024</v>
      </c>
    </row>
    <row r="1740" customFormat="false" ht="15" hidden="false" customHeight="false" outlineLevel="0" collapsed="false">
      <c r="A1740" s="3" t="n">
        <v>2454</v>
      </c>
      <c r="B1740" s="3" t="s">
        <v>614</v>
      </c>
      <c r="C1740" s="4" t="s">
        <v>41</v>
      </c>
      <c r="D1740" s="5" t="n">
        <v>103352</v>
      </c>
      <c r="E1740" s="6" t="n">
        <v>1710.58</v>
      </c>
      <c r="F1740" s="7" t="n">
        <v>81</v>
      </c>
      <c r="G1740" s="6" t="n">
        <v>6183.23232347416</v>
      </c>
      <c r="H1740" s="8" t="n">
        <v>1445029.27081309</v>
      </c>
      <c r="I1740" s="9" t="n">
        <v>11.759670124999</v>
      </c>
      <c r="J1740" s="9" t="n">
        <v>53.5567671602919</v>
      </c>
      <c r="K1740" s="3" t="s">
        <v>615</v>
      </c>
      <c r="L1740" s="3" t="s">
        <v>616</v>
      </c>
      <c r="M1740" s="7" t="n">
        <v>2016</v>
      </c>
    </row>
    <row r="1741" customFormat="false" ht="15" hidden="false" customHeight="false" outlineLevel="0" collapsed="false">
      <c r="A1741" s="3" t="n">
        <v>2455</v>
      </c>
      <c r="B1741" s="3" t="s">
        <v>614</v>
      </c>
      <c r="C1741" s="4" t="s">
        <v>42</v>
      </c>
      <c r="D1741" s="5" t="n">
        <v>104053</v>
      </c>
      <c r="E1741" s="6" t="n">
        <v>1715.52</v>
      </c>
      <c r="F1741" s="7" t="n">
        <v>83</v>
      </c>
      <c r="G1741" s="6" t="n">
        <v>3540.27888908908</v>
      </c>
      <c r="H1741" s="8" t="n">
        <v>868397.891874604</v>
      </c>
      <c r="I1741" s="9" t="n">
        <v>10.8865474602131</v>
      </c>
      <c r="J1741" s="9" t="n">
        <v>30.4579411899601</v>
      </c>
      <c r="K1741" s="3" t="s">
        <v>615</v>
      </c>
      <c r="L1741" s="3" t="s">
        <v>616</v>
      </c>
      <c r="M1741" s="7" t="n">
        <v>2017</v>
      </c>
    </row>
    <row r="1742" customFormat="false" ht="15" hidden="false" customHeight="false" outlineLevel="0" collapsed="false">
      <c r="A1742" s="3" t="n">
        <v>2457</v>
      </c>
      <c r="B1742" s="3" t="s">
        <v>614</v>
      </c>
      <c r="C1742" s="4" t="s">
        <v>44</v>
      </c>
      <c r="D1742" s="5" t="n">
        <v>105612</v>
      </c>
      <c r="E1742" s="6" t="n">
        <v>1657.44</v>
      </c>
      <c r="F1742" s="7" t="n">
        <v>86</v>
      </c>
      <c r="G1742" s="6" t="n">
        <v>5991.99470560542</v>
      </c>
      <c r="H1742" s="8" t="n">
        <v>1402439.6353038</v>
      </c>
      <c r="I1742" s="9" t="n">
        <v>12.592330272581</v>
      </c>
      <c r="J1742" s="9" t="n">
        <v>50.6505712254635</v>
      </c>
      <c r="K1742" s="3" t="s">
        <v>615</v>
      </c>
      <c r="L1742" s="3" t="s">
        <v>616</v>
      </c>
      <c r="M1742" s="7" t="n">
        <v>2019</v>
      </c>
    </row>
    <row r="1743" customFormat="false" ht="15" hidden="false" customHeight="false" outlineLevel="0" collapsed="false">
      <c r="A1743" s="3" t="n">
        <v>2458</v>
      </c>
      <c r="B1743" s="3" t="s">
        <v>614</v>
      </c>
      <c r="C1743" s="4" t="s">
        <v>45</v>
      </c>
      <c r="D1743" s="5" t="n">
        <v>109691</v>
      </c>
      <c r="E1743" s="6" t="n">
        <v>2008.94</v>
      </c>
      <c r="F1743" s="7" t="n">
        <v>86</v>
      </c>
      <c r="G1743" s="6" t="n">
        <v>4565.91801767142</v>
      </c>
      <c r="H1743" s="8" t="n">
        <v>1152545.88126097</v>
      </c>
      <c r="I1743" s="9" t="n">
        <v>11.0631004528533</v>
      </c>
      <c r="J1743" s="9" t="n">
        <v>37.2627401582991</v>
      </c>
      <c r="K1743" s="3" t="s">
        <v>615</v>
      </c>
      <c r="L1743" s="3" t="s">
        <v>616</v>
      </c>
      <c r="M1743" s="7" t="n">
        <v>2020</v>
      </c>
    </row>
    <row r="1744" customFormat="false" ht="15" hidden="false" customHeight="false" outlineLevel="0" collapsed="false">
      <c r="A1744" s="3" t="n">
        <v>2459</v>
      </c>
      <c r="B1744" s="3" t="s">
        <v>614</v>
      </c>
      <c r="C1744" s="4" t="s">
        <v>46</v>
      </c>
      <c r="D1744" s="5" t="n">
        <v>110966</v>
      </c>
      <c r="E1744" s="6" t="n">
        <v>2012.8</v>
      </c>
      <c r="F1744" s="7" t="n">
        <v>86</v>
      </c>
      <c r="G1744" s="6" t="n">
        <v>4615.60761110464</v>
      </c>
      <c r="H1744" s="8" t="n">
        <v>1337417.04249593</v>
      </c>
      <c r="I1744" s="9" t="n">
        <v>9.46346536050511</v>
      </c>
      <c r="J1744" s="9" t="n">
        <v>37.2354514808827</v>
      </c>
      <c r="K1744" s="3" t="s">
        <v>615</v>
      </c>
      <c r="L1744" s="3" t="s">
        <v>616</v>
      </c>
      <c r="M1744" s="7" t="n">
        <v>2021</v>
      </c>
    </row>
    <row r="1745" customFormat="false" ht="15" hidden="false" customHeight="false" outlineLevel="0" collapsed="false">
      <c r="A1745" s="3" t="n">
        <v>2460</v>
      </c>
      <c r="B1745" s="3" t="s">
        <v>614</v>
      </c>
      <c r="C1745" s="4" t="s">
        <v>47</v>
      </c>
      <c r="D1745" s="5" t="n">
        <v>112084</v>
      </c>
      <c r="E1745" s="6" t="n">
        <v>2012.82</v>
      </c>
      <c r="F1745" s="7" t="n">
        <v>76</v>
      </c>
      <c r="G1745" s="6" t="n">
        <v>6082.52190548119</v>
      </c>
      <c r="H1745" s="8" t="n">
        <v>1848389.18236543</v>
      </c>
      <c r="I1745" s="9" t="n">
        <v>9.37178929597357</v>
      </c>
      <c r="J1745" s="9" t="n">
        <v>48.5800250828105</v>
      </c>
      <c r="K1745" s="3" t="s">
        <v>615</v>
      </c>
      <c r="L1745" s="3" t="s">
        <v>616</v>
      </c>
      <c r="M1745" s="7" t="n">
        <v>2022</v>
      </c>
    </row>
    <row r="1746" customFormat="false" ht="15" hidden="false" customHeight="false" outlineLevel="0" collapsed="false">
      <c r="A1746" s="3" t="n">
        <v>2461</v>
      </c>
      <c r="B1746" s="3" t="s">
        <v>614</v>
      </c>
      <c r="C1746" s="4" t="s">
        <v>48</v>
      </c>
      <c r="D1746" s="5" t="n">
        <v>112724</v>
      </c>
      <c r="E1746" s="6" t="n">
        <v>2012.8</v>
      </c>
      <c r="F1746" s="7" t="n">
        <v>80</v>
      </c>
      <c r="G1746" s="6" t="n">
        <v>8371.71596001819</v>
      </c>
      <c r="H1746" s="8" t="n">
        <v>2578877.36104882</v>
      </c>
      <c r="I1746" s="9" t="n">
        <v>12.5075183187208</v>
      </c>
      <c r="J1746" s="9" t="n">
        <v>66.3016424961316</v>
      </c>
      <c r="K1746" s="3" t="s">
        <v>615</v>
      </c>
      <c r="L1746" s="3" t="s">
        <v>616</v>
      </c>
      <c r="M1746" s="7" t="n">
        <v>2023</v>
      </c>
    </row>
    <row r="1747" customFormat="false" ht="15" hidden="false" customHeight="false" outlineLevel="0" collapsed="false">
      <c r="A1747" s="3" t="n">
        <v>2462</v>
      </c>
      <c r="B1747" s="3" t="s">
        <v>614</v>
      </c>
      <c r="C1747" s="4" t="s">
        <v>49</v>
      </c>
      <c r="D1747" s="5" t="n">
        <v>113163</v>
      </c>
      <c r="E1747" s="6" t="n">
        <v>2007.62</v>
      </c>
      <c r="F1747" s="7" t="n">
        <v>79</v>
      </c>
      <c r="G1747" s="6" t="n">
        <v>2969.02934145311</v>
      </c>
      <c r="H1747" s="8" t="n">
        <v>852033.237618749</v>
      </c>
      <c r="I1747" s="9" t="n">
        <v>9.20470825176748</v>
      </c>
      <c r="J1747" s="9" t="n">
        <v>23.4870088673471</v>
      </c>
      <c r="K1747" s="3" t="s">
        <v>615</v>
      </c>
      <c r="L1747" s="3" t="s">
        <v>616</v>
      </c>
      <c r="M1747" s="7" t="n">
        <v>2024</v>
      </c>
    </row>
    <row r="1748" customFormat="false" ht="15" hidden="false" customHeight="false" outlineLevel="0" collapsed="false">
      <c r="A1748" s="3" t="n">
        <v>2463</v>
      </c>
      <c r="B1748" s="3" t="s">
        <v>617</v>
      </c>
      <c r="C1748" s="4" t="s">
        <v>14</v>
      </c>
      <c r="D1748" s="5" t="n">
        <v>17372</v>
      </c>
      <c r="E1748" s="6" t="n">
        <v>375</v>
      </c>
      <c r="F1748" s="7" t="n">
        <v>50</v>
      </c>
      <c r="G1748" s="6" t="n">
        <v>378.435291050828</v>
      </c>
      <c r="H1748" s="8" t="n">
        <v>171321.44061162</v>
      </c>
      <c r="I1748" s="9" t="n">
        <v>6.34505341234719</v>
      </c>
      <c r="J1748" s="9" t="n">
        <v>19.447689089387</v>
      </c>
      <c r="K1748" s="3" t="s">
        <v>618</v>
      </c>
      <c r="L1748" s="3" t="s">
        <v>619</v>
      </c>
      <c r="M1748" s="7" t="n">
        <v>2016</v>
      </c>
    </row>
    <row r="1749" customFormat="false" ht="15" hidden="false" customHeight="false" outlineLevel="0" collapsed="false">
      <c r="A1749" s="3" t="n">
        <v>2464</v>
      </c>
      <c r="B1749" s="3" t="s">
        <v>617</v>
      </c>
      <c r="C1749" s="4" t="s">
        <v>17</v>
      </c>
      <c r="D1749" s="5" t="n">
        <v>17997</v>
      </c>
      <c r="E1749" s="6" t="n">
        <v>380</v>
      </c>
      <c r="F1749" s="7" t="n">
        <v>60</v>
      </c>
      <c r="G1749" s="6" t="n">
        <v>872.037487295918</v>
      </c>
      <c r="H1749" s="8" t="n">
        <v>454300.649751188</v>
      </c>
      <c r="I1749" s="9" t="n">
        <v>11.5608252175416</v>
      </c>
      <c r="J1749" s="9" t="n">
        <v>43.3763208509205</v>
      </c>
      <c r="K1749" s="3" t="s">
        <v>618</v>
      </c>
      <c r="L1749" s="3" t="s">
        <v>619</v>
      </c>
      <c r="M1749" s="7" t="n">
        <v>2017</v>
      </c>
    </row>
    <row r="1750" customFormat="false" ht="15" hidden="false" customHeight="false" outlineLevel="0" collapsed="false">
      <c r="A1750" s="3" t="n">
        <v>2465</v>
      </c>
      <c r="B1750" s="3" t="s">
        <v>617</v>
      </c>
      <c r="C1750" s="4" t="s">
        <v>18</v>
      </c>
      <c r="D1750" s="5" t="n">
        <v>18757</v>
      </c>
      <c r="E1750" s="6" t="n">
        <v>375</v>
      </c>
      <c r="F1750" s="7" t="n">
        <v>51</v>
      </c>
      <c r="G1750" s="6" t="n">
        <v>1236.13358845178</v>
      </c>
      <c r="H1750" s="8" t="n">
        <v>510733.314740621</v>
      </c>
      <c r="I1750" s="9" t="n">
        <v>11.45118591545</v>
      </c>
      <c r="J1750" s="9" t="n">
        <v>58.9956110056789</v>
      </c>
      <c r="K1750" s="3" t="s">
        <v>618</v>
      </c>
      <c r="L1750" s="3" t="s">
        <v>619</v>
      </c>
      <c r="M1750" s="7" t="n">
        <v>2018</v>
      </c>
    </row>
    <row r="1751" customFormat="false" ht="15" hidden="false" customHeight="false" outlineLevel="0" collapsed="false">
      <c r="A1751" s="3" t="n">
        <v>2466</v>
      </c>
      <c r="B1751" s="3" t="s">
        <v>617</v>
      </c>
      <c r="C1751" s="4" t="s">
        <v>19</v>
      </c>
      <c r="D1751" s="5" t="n">
        <v>19349</v>
      </c>
      <c r="E1751" s="6" t="n">
        <v>375</v>
      </c>
      <c r="F1751" s="7" t="n">
        <v>49</v>
      </c>
      <c r="G1751" s="6" t="n">
        <v>991.604801269035</v>
      </c>
      <c r="H1751" s="8" t="n">
        <v>544331.539608624</v>
      </c>
      <c r="I1751" s="9" t="n">
        <v>10.4630172462747</v>
      </c>
      <c r="J1751" s="9" t="n">
        <v>45.8772915683402</v>
      </c>
      <c r="K1751" s="3" t="s">
        <v>618</v>
      </c>
      <c r="L1751" s="3" t="s">
        <v>619</v>
      </c>
      <c r="M1751" s="7" t="n">
        <v>2019</v>
      </c>
    </row>
    <row r="1752" customFormat="false" ht="15" hidden="false" customHeight="false" outlineLevel="0" collapsed="false">
      <c r="A1752" s="3" t="n">
        <v>2467</v>
      </c>
      <c r="B1752" s="3" t="s">
        <v>617</v>
      </c>
      <c r="C1752" s="4" t="s">
        <v>20</v>
      </c>
      <c r="D1752" s="5" t="n">
        <v>19690</v>
      </c>
      <c r="E1752" s="6" t="n">
        <v>375</v>
      </c>
      <c r="F1752" s="7" t="n">
        <v>64</v>
      </c>
      <c r="G1752" s="6" t="n">
        <v>994.309926751269</v>
      </c>
      <c r="H1752" s="8" t="n">
        <v>460057.260008545</v>
      </c>
      <c r="I1752" s="9" t="n">
        <v>9.75422846693834</v>
      </c>
      <c r="J1752" s="9" t="n">
        <v>45.0819043032522</v>
      </c>
      <c r="K1752" s="3" t="s">
        <v>618</v>
      </c>
      <c r="L1752" s="3" t="s">
        <v>619</v>
      </c>
      <c r="M1752" s="7" t="n">
        <v>2020</v>
      </c>
    </row>
    <row r="1753" customFormat="false" ht="15" hidden="false" customHeight="false" outlineLevel="0" collapsed="false">
      <c r="A1753" s="3" t="n">
        <v>2468</v>
      </c>
      <c r="B1753" s="3" t="s">
        <v>617</v>
      </c>
      <c r="C1753" s="4" t="s">
        <v>21</v>
      </c>
      <c r="D1753" s="5" t="n">
        <v>20094</v>
      </c>
      <c r="E1753" s="6" t="n">
        <v>326</v>
      </c>
      <c r="F1753" s="7" t="n">
        <v>64</v>
      </c>
      <c r="G1753" s="6" t="n">
        <v>181.770626167512</v>
      </c>
      <c r="H1753" s="8" t="n">
        <v>55661.8011450157</v>
      </c>
      <c r="I1753" s="9" t="n">
        <v>4.37275006078085</v>
      </c>
      <c r="J1753" s="9" t="n">
        <v>8.09794792870623</v>
      </c>
      <c r="K1753" s="3" t="s">
        <v>618</v>
      </c>
      <c r="L1753" s="3" t="s">
        <v>619</v>
      </c>
      <c r="M1753" s="7" t="n">
        <v>2021</v>
      </c>
    </row>
    <row r="1754" customFormat="false" ht="15" hidden="false" customHeight="false" outlineLevel="0" collapsed="false">
      <c r="A1754" s="3" t="n">
        <v>2469</v>
      </c>
      <c r="B1754" s="3" t="s">
        <v>617</v>
      </c>
      <c r="C1754" s="4" t="s">
        <v>22</v>
      </c>
      <c r="D1754" s="5" t="n">
        <v>20808</v>
      </c>
      <c r="E1754" s="6" t="n">
        <v>352</v>
      </c>
      <c r="F1754" s="7" t="n">
        <v>64</v>
      </c>
      <c r="G1754" s="6" t="n">
        <v>285.992860152285</v>
      </c>
      <c r="H1754" s="8" t="n">
        <v>75233.2817916601</v>
      </c>
      <c r="I1754" s="9" t="n">
        <v>5.1086965368494</v>
      </c>
      <c r="J1754" s="9" t="n">
        <v>12.3038924528027</v>
      </c>
      <c r="K1754" s="3" t="s">
        <v>618</v>
      </c>
      <c r="L1754" s="3" t="s">
        <v>619</v>
      </c>
      <c r="M1754" s="7" t="n">
        <v>2022</v>
      </c>
    </row>
    <row r="1755" customFormat="false" ht="15" hidden="false" customHeight="false" outlineLevel="0" collapsed="false">
      <c r="A1755" s="3" t="n">
        <v>2470</v>
      </c>
      <c r="B1755" s="3" t="s">
        <v>617</v>
      </c>
      <c r="C1755" s="4" t="s">
        <v>23</v>
      </c>
      <c r="D1755" s="5" t="n">
        <v>21526</v>
      </c>
      <c r="E1755" s="6" t="n">
        <v>352</v>
      </c>
      <c r="F1755" s="7" t="n">
        <v>64</v>
      </c>
      <c r="G1755" s="6" t="n">
        <v>364.334940482897</v>
      </c>
      <c r="H1755" s="8" t="n">
        <v>314402.836889716</v>
      </c>
      <c r="I1755" s="9" t="n">
        <v>6.00388884492373</v>
      </c>
      <c r="J1755" s="9" t="n">
        <v>15.1514836506546</v>
      </c>
      <c r="K1755" s="3" t="s">
        <v>618</v>
      </c>
      <c r="L1755" s="3" t="s">
        <v>619</v>
      </c>
      <c r="M1755" s="7" t="n">
        <v>2023</v>
      </c>
    </row>
    <row r="1756" customFormat="false" ht="15" hidden="false" customHeight="false" outlineLevel="0" collapsed="false">
      <c r="A1756" s="3" t="n">
        <v>2471</v>
      </c>
      <c r="B1756" s="3" t="s">
        <v>617</v>
      </c>
      <c r="C1756" s="4" t="s">
        <v>24</v>
      </c>
      <c r="D1756" s="5" t="n">
        <v>22087</v>
      </c>
      <c r="E1756" s="6" t="n">
        <v>352</v>
      </c>
      <c r="F1756" s="7" t="n">
        <v>64</v>
      </c>
      <c r="G1756" s="6" t="n">
        <v>768.15504606599</v>
      </c>
      <c r="H1756" s="8" t="n">
        <v>531678.515134575</v>
      </c>
      <c r="I1756" s="9" t="n">
        <v>8.85453517513176</v>
      </c>
      <c r="J1756" s="9" t="n">
        <v>31.0483374793266</v>
      </c>
      <c r="K1756" s="3" t="s">
        <v>618</v>
      </c>
      <c r="L1756" s="3" t="s">
        <v>619</v>
      </c>
      <c r="M1756" s="7" t="n">
        <v>2024</v>
      </c>
    </row>
    <row r="1757" customFormat="false" ht="15" hidden="false" customHeight="false" outlineLevel="0" collapsed="false">
      <c r="A1757" s="3" t="n">
        <v>2472</v>
      </c>
      <c r="B1757" s="3" t="s">
        <v>620</v>
      </c>
      <c r="C1757" s="4" t="s">
        <v>17</v>
      </c>
      <c r="D1757" s="5" t="n">
        <v>3387</v>
      </c>
      <c r="E1757" s="6" t="n">
        <v>68.0257575757576</v>
      </c>
      <c r="F1757" s="7" t="n">
        <v>52</v>
      </c>
      <c r="G1757" s="6" t="n">
        <v>523.294953175125</v>
      </c>
      <c r="H1757" s="8" t="n">
        <v>444174.184169875</v>
      </c>
      <c r="I1757" s="9" t="n">
        <v>19.5605854715657</v>
      </c>
      <c r="J1757" s="9" t="n">
        <v>138.308548674366</v>
      </c>
      <c r="K1757" s="3" t="s">
        <v>621</v>
      </c>
      <c r="L1757" s="3" t="s">
        <v>622</v>
      </c>
      <c r="M1757" s="7" t="n">
        <v>2017</v>
      </c>
    </row>
    <row r="1758" customFormat="false" ht="15" hidden="false" customHeight="false" outlineLevel="0" collapsed="false">
      <c r="A1758" s="3" t="n">
        <v>2473</v>
      </c>
      <c r="B1758" s="3" t="s">
        <v>620</v>
      </c>
      <c r="C1758" s="4" t="s">
        <v>18</v>
      </c>
      <c r="D1758" s="5" t="n">
        <v>3395</v>
      </c>
      <c r="E1758" s="6" t="n">
        <v>68.0257575757576</v>
      </c>
      <c r="F1758" s="7" t="n">
        <v>52</v>
      </c>
      <c r="G1758" s="6" t="n">
        <v>616.218911962193</v>
      </c>
      <c r="H1758" s="8" t="n">
        <v>566970.879254596</v>
      </c>
      <c r="I1758" s="9" t="n">
        <v>22.1758340021871</v>
      </c>
      <c r="J1758" s="9" t="n">
        <v>162.484866790038</v>
      </c>
      <c r="K1758" s="3" t="s">
        <v>621</v>
      </c>
      <c r="L1758" s="3" t="s">
        <v>622</v>
      </c>
      <c r="M1758" s="7" t="n">
        <v>2018</v>
      </c>
    </row>
    <row r="1759" customFormat="false" ht="15" hidden="false" customHeight="false" outlineLevel="0" collapsed="false">
      <c r="A1759" s="3" t="n">
        <v>2474</v>
      </c>
      <c r="B1759" s="3" t="s">
        <v>620</v>
      </c>
      <c r="C1759" s="4" t="s">
        <v>19</v>
      </c>
      <c r="D1759" s="5" t="n">
        <v>3409</v>
      </c>
      <c r="E1759" s="6" t="n">
        <v>68.0257575757576</v>
      </c>
      <c r="F1759" s="7" t="n">
        <v>52</v>
      </c>
      <c r="G1759" s="6" t="n">
        <v>455.633973345925</v>
      </c>
      <c r="H1759" s="8" t="n">
        <v>436172.189539807</v>
      </c>
      <c r="I1759" s="9" t="n">
        <v>17.7146319405551</v>
      </c>
      <c r="J1759" s="9" t="n">
        <v>119.648366032338</v>
      </c>
      <c r="K1759" s="3" t="s">
        <v>621</v>
      </c>
      <c r="L1759" s="3" t="s">
        <v>622</v>
      </c>
      <c r="M1759" s="7" t="n">
        <v>2019</v>
      </c>
    </row>
    <row r="1760" customFormat="false" ht="15" hidden="false" customHeight="false" outlineLevel="0" collapsed="false">
      <c r="A1760" s="3" t="n">
        <v>2475</v>
      </c>
      <c r="B1760" s="3" t="s">
        <v>620</v>
      </c>
      <c r="C1760" s="4" t="s">
        <v>20</v>
      </c>
      <c r="D1760" s="5" t="n">
        <v>3446</v>
      </c>
      <c r="E1760" s="6" t="n">
        <v>68.0257575757576</v>
      </c>
      <c r="F1760" s="7" t="n">
        <v>52</v>
      </c>
      <c r="G1760" s="6" t="n">
        <v>288.017937343032</v>
      </c>
      <c r="H1760" s="8" t="n">
        <v>358530.968366161</v>
      </c>
      <c r="I1760" s="9" t="n">
        <v>11.9302310885016</v>
      </c>
      <c r="J1760" s="9" t="n">
        <v>74.6157410228769</v>
      </c>
      <c r="K1760" s="3" t="s">
        <v>621</v>
      </c>
      <c r="L1760" s="3" t="s">
        <v>622</v>
      </c>
      <c r="M1760" s="7" t="n">
        <v>2020</v>
      </c>
    </row>
    <row r="1761" customFormat="false" ht="15" hidden="false" customHeight="false" outlineLevel="0" collapsed="false">
      <c r="A1761" s="3" t="n">
        <v>2476</v>
      </c>
      <c r="B1761" s="3" t="s">
        <v>620</v>
      </c>
      <c r="C1761" s="4" t="s">
        <v>21</v>
      </c>
      <c r="D1761" s="5" t="n">
        <v>3464</v>
      </c>
      <c r="E1761" s="6" t="n">
        <v>68.0257575757576</v>
      </c>
      <c r="F1761" s="7" t="n">
        <v>51</v>
      </c>
      <c r="G1761" s="6" t="n">
        <v>311.563156788748</v>
      </c>
      <c r="H1761" s="8" t="n">
        <v>409702.986333802</v>
      </c>
      <c r="I1761" s="9" t="n">
        <v>12.977860551151</v>
      </c>
      <c r="J1761" s="9" t="n">
        <v>80.5166851213505</v>
      </c>
      <c r="K1761" s="3" t="s">
        <v>621</v>
      </c>
      <c r="L1761" s="3" t="s">
        <v>622</v>
      </c>
      <c r="M1761" s="7" t="n">
        <v>2021</v>
      </c>
    </row>
    <row r="1762" customFormat="false" ht="15" hidden="false" customHeight="false" outlineLevel="0" collapsed="false">
      <c r="A1762" s="3" t="n">
        <v>2477</v>
      </c>
      <c r="B1762" s="3" t="s">
        <v>620</v>
      </c>
      <c r="C1762" s="4" t="s">
        <v>22</v>
      </c>
      <c r="D1762" s="5" t="n">
        <v>3434</v>
      </c>
      <c r="E1762" s="6" t="n">
        <v>68.0257575757576</v>
      </c>
      <c r="F1762" s="7" t="n">
        <v>52</v>
      </c>
      <c r="G1762" s="6" t="n">
        <v>532.571480863265</v>
      </c>
      <c r="H1762" s="8" t="n">
        <v>675136.108177274</v>
      </c>
      <c r="I1762" s="9" t="n">
        <v>20.1277962305346</v>
      </c>
      <c r="J1762" s="9" t="n">
        <v>138.833825298066</v>
      </c>
      <c r="K1762" s="3" t="s">
        <v>621</v>
      </c>
      <c r="L1762" s="3" t="s">
        <v>622</v>
      </c>
      <c r="M1762" s="7" t="n">
        <v>2022</v>
      </c>
    </row>
    <row r="1763" customFormat="false" ht="15" hidden="false" customHeight="false" outlineLevel="0" collapsed="false">
      <c r="A1763" s="3" t="n">
        <v>2478</v>
      </c>
      <c r="B1763" s="3" t="s">
        <v>620</v>
      </c>
      <c r="C1763" s="4" t="s">
        <v>23</v>
      </c>
      <c r="D1763" s="5" t="n">
        <v>3424</v>
      </c>
      <c r="E1763" s="6" t="n">
        <v>68.0257575757576</v>
      </c>
      <c r="F1763" s="7" t="n">
        <v>53</v>
      </c>
      <c r="G1763" s="6" t="n">
        <v>365.646306520664</v>
      </c>
      <c r="H1763" s="8" t="n">
        <v>66705.592715353</v>
      </c>
      <c r="I1763" s="9" t="n">
        <v>16.8370848166967</v>
      </c>
      <c r="J1763" s="9" t="n">
        <v>95.5971861729621</v>
      </c>
      <c r="K1763" s="3" t="s">
        <v>621</v>
      </c>
      <c r="L1763" s="3" t="s">
        <v>622</v>
      </c>
      <c r="M1763" s="7" t="n">
        <v>2023</v>
      </c>
    </row>
    <row r="1764" customFormat="false" ht="15" hidden="false" customHeight="false" outlineLevel="0" collapsed="false">
      <c r="A1764" s="3" t="n">
        <v>2479</v>
      </c>
      <c r="B1764" s="3" t="s">
        <v>620</v>
      </c>
      <c r="C1764" s="4" t="s">
        <v>24</v>
      </c>
      <c r="D1764" s="5" t="n">
        <v>3399</v>
      </c>
      <c r="E1764" s="6" t="n">
        <v>68</v>
      </c>
      <c r="F1764" s="7" t="n">
        <v>52</v>
      </c>
      <c r="G1764" s="6" t="n">
        <v>303.688757316359</v>
      </c>
      <c r="H1764" s="8" t="n">
        <v>53925.1647606298</v>
      </c>
      <c r="I1764" s="9" t="n">
        <v>15.093916407631</v>
      </c>
      <c r="J1764" s="9" t="n">
        <v>79.7634157187996</v>
      </c>
      <c r="K1764" s="3" t="s">
        <v>621</v>
      </c>
      <c r="L1764" s="3" t="s">
        <v>622</v>
      </c>
      <c r="M1764" s="7" t="n">
        <v>2024</v>
      </c>
    </row>
    <row r="1765" customFormat="false" ht="15" hidden="false" customHeight="false" outlineLevel="0" collapsed="false">
      <c r="A1765" s="3" t="n">
        <v>2480</v>
      </c>
      <c r="B1765" s="3" t="s">
        <v>623</v>
      </c>
      <c r="C1765" s="4" t="s">
        <v>14</v>
      </c>
      <c r="D1765" s="5" t="n">
        <v>22073</v>
      </c>
      <c r="E1765" s="6" t="n">
        <v>411.917</v>
      </c>
      <c r="F1765" s="7" t="n">
        <v>58</v>
      </c>
      <c r="G1765" s="6" t="n">
        <v>1861.45601454546</v>
      </c>
      <c r="H1765" s="8" t="n">
        <v>403787.038675201</v>
      </c>
      <c r="I1765" s="9" t="n">
        <v>8.49995053628787</v>
      </c>
      <c r="J1765" s="9" t="n">
        <v>75.2865868851926</v>
      </c>
      <c r="K1765" s="3" t="s">
        <v>624</v>
      </c>
      <c r="L1765" s="3" t="s">
        <v>625</v>
      </c>
      <c r="M1765" s="7" t="n">
        <v>2016</v>
      </c>
    </row>
    <row r="1766" customFormat="false" ht="15" hidden="false" customHeight="false" outlineLevel="0" collapsed="false">
      <c r="A1766" s="3" t="n">
        <v>2481</v>
      </c>
      <c r="B1766" s="3" t="s">
        <v>623</v>
      </c>
      <c r="C1766" s="4" t="s">
        <v>17</v>
      </c>
      <c r="D1766" s="5" t="n">
        <v>25807</v>
      </c>
      <c r="E1766" s="6" t="n">
        <v>414.105871</v>
      </c>
      <c r="F1766" s="7" t="n">
        <v>58</v>
      </c>
      <c r="G1766" s="6" t="n">
        <v>3053.06902844915</v>
      </c>
      <c r="H1766" s="8" t="n">
        <v>718051.304800956</v>
      </c>
      <c r="I1766" s="9" t="n">
        <v>12.0325759139079</v>
      </c>
      <c r="J1766" s="9" t="n">
        <v>105.905076013236</v>
      </c>
      <c r="K1766" s="3" t="s">
        <v>624</v>
      </c>
      <c r="L1766" s="3" t="s">
        <v>625</v>
      </c>
      <c r="M1766" s="7" t="n">
        <v>2017</v>
      </c>
    </row>
    <row r="1767" customFormat="false" ht="15" hidden="false" customHeight="false" outlineLevel="0" collapsed="false">
      <c r="A1767" s="3" t="n">
        <v>2482</v>
      </c>
      <c r="B1767" s="3" t="s">
        <v>623</v>
      </c>
      <c r="C1767" s="4" t="s">
        <v>18</v>
      </c>
      <c r="D1767" s="5" t="n">
        <v>25527</v>
      </c>
      <c r="E1767" s="6" t="n">
        <v>423.857197</v>
      </c>
      <c r="F1767" s="7" t="n">
        <v>61</v>
      </c>
      <c r="G1767" s="6" t="n">
        <v>2250.30000669627</v>
      </c>
      <c r="H1767" s="8" t="n">
        <v>575221.687711699</v>
      </c>
      <c r="I1767" s="9" t="n">
        <v>9.65726725013425</v>
      </c>
      <c r="J1767" s="9" t="n">
        <v>78.9147740877238</v>
      </c>
      <c r="K1767" s="3" t="s">
        <v>624</v>
      </c>
      <c r="L1767" s="3" t="s">
        <v>625</v>
      </c>
      <c r="M1767" s="7" t="n">
        <v>2018</v>
      </c>
    </row>
    <row r="1768" customFormat="false" ht="15" hidden="false" customHeight="false" outlineLevel="0" collapsed="false">
      <c r="A1768" s="3" t="n">
        <v>2483</v>
      </c>
      <c r="B1768" s="3" t="s">
        <v>623</v>
      </c>
      <c r="C1768" s="4" t="s">
        <v>19</v>
      </c>
      <c r="D1768" s="5" t="n">
        <v>25508</v>
      </c>
      <c r="E1768" s="6" t="n">
        <v>424.719</v>
      </c>
      <c r="F1768" s="7" t="n">
        <v>61</v>
      </c>
      <c r="G1768" s="6" t="n">
        <v>1353.41430385887</v>
      </c>
      <c r="H1768" s="8" t="n">
        <v>1190885.48693706</v>
      </c>
      <c r="I1768" s="9" t="n">
        <v>8.10812835227453</v>
      </c>
      <c r="J1768" s="9" t="n">
        <v>47.497639646635</v>
      </c>
      <c r="K1768" s="3" t="s">
        <v>624</v>
      </c>
      <c r="L1768" s="3" t="s">
        <v>625</v>
      </c>
      <c r="M1768" s="7" t="n">
        <v>2019</v>
      </c>
    </row>
    <row r="1769" customFormat="false" ht="15" hidden="false" customHeight="false" outlineLevel="0" collapsed="false">
      <c r="A1769" s="3" t="n">
        <v>2484</v>
      </c>
      <c r="B1769" s="3" t="s">
        <v>623</v>
      </c>
      <c r="C1769" s="4" t="s">
        <v>20</v>
      </c>
      <c r="D1769" s="5" t="n">
        <v>26349</v>
      </c>
      <c r="E1769" s="6" t="n">
        <v>425.292</v>
      </c>
      <c r="F1769" s="7" t="n">
        <v>62</v>
      </c>
      <c r="G1769" s="6" t="n">
        <v>1370.07287620433</v>
      </c>
      <c r="H1769" s="8" t="n">
        <v>1247319.82678792</v>
      </c>
      <c r="I1769" s="9" t="n">
        <v>7.72931544118909</v>
      </c>
      <c r="J1769" s="9" t="n">
        <v>46.420062915653</v>
      </c>
      <c r="K1769" s="3" t="s">
        <v>624</v>
      </c>
      <c r="L1769" s="3" t="s">
        <v>625</v>
      </c>
      <c r="M1769" s="7" t="n">
        <v>2020</v>
      </c>
    </row>
    <row r="1770" customFormat="false" ht="15" hidden="false" customHeight="false" outlineLevel="0" collapsed="false">
      <c r="A1770" s="3" t="n">
        <v>2485</v>
      </c>
      <c r="B1770" s="3" t="s">
        <v>623</v>
      </c>
      <c r="C1770" s="4" t="s">
        <v>21</v>
      </c>
      <c r="D1770" s="5" t="n">
        <v>26020</v>
      </c>
      <c r="E1770" s="6" t="n">
        <v>424.571</v>
      </c>
      <c r="F1770" s="7" t="n">
        <v>62</v>
      </c>
      <c r="G1770" s="6" t="n">
        <v>1524.41115565424</v>
      </c>
      <c r="H1770" s="8" t="n">
        <v>1387830.01375224</v>
      </c>
      <c r="I1770" s="9" t="n">
        <v>7.81204836342313</v>
      </c>
      <c r="J1770" s="9" t="n">
        <v>52.4460156896523</v>
      </c>
      <c r="K1770" s="3" t="s">
        <v>624</v>
      </c>
      <c r="L1770" s="3" t="s">
        <v>625</v>
      </c>
      <c r="M1770" s="7" t="n">
        <v>2021</v>
      </c>
    </row>
    <row r="1771" customFormat="false" ht="15" hidden="false" customHeight="false" outlineLevel="0" collapsed="false">
      <c r="A1771" s="3" t="n">
        <v>2486</v>
      </c>
      <c r="B1771" s="3" t="s">
        <v>623</v>
      </c>
      <c r="C1771" s="4" t="s">
        <v>22</v>
      </c>
      <c r="D1771" s="5" t="n">
        <v>25887</v>
      </c>
      <c r="E1771" s="6" t="n">
        <v>422</v>
      </c>
      <c r="F1771" s="7" t="n">
        <v>74</v>
      </c>
      <c r="G1771" s="6" t="n">
        <v>2075.61094287506</v>
      </c>
      <c r="H1771" s="8" t="n">
        <v>801206.580059202</v>
      </c>
      <c r="I1771" s="9" t="n">
        <v>8.67355563487394</v>
      </c>
      <c r="J1771" s="9" t="n">
        <v>71.7764380597055</v>
      </c>
      <c r="K1771" s="3" t="s">
        <v>624</v>
      </c>
      <c r="L1771" s="3" t="s">
        <v>625</v>
      </c>
      <c r="M1771" s="7" t="n">
        <v>2022</v>
      </c>
    </row>
    <row r="1772" customFormat="false" ht="15" hidden="false" customHeight="false" outlineLevel="0" collapsed="false">
      <c r="A1772" s="3" t="n">
        <v>2487</v>
      </c>
      <c r="B1772" s="3" t="s">
        <v>623</v>
      </c>
      <c r="C1772" s="4" t="s">
        <v>23</v>
      </c>
      <c r="D1772" s="5" t="n">
        <v>25847</v>
      </c>
      <c r="E1772" s="6" t="n">
        <v>429.887</v>
      </c>
      <c r="F1772" s="7" t="n">
        <v>73</v>
      </c>
      <c r="G1772" s="6" t="n">
        <v>1329.55062345186</v>
      </c>
      <c r="H1772" s="8" t="n">
        <v>513605.405839454</v>
      </c>
      <c r="I1772" s="9" t="n">
        <v>7.07840284497405</v>
      </c>
      <c r="J1772" s="9" t="n">
        <v>46.0481736144705</v>
      </c>
      <c r="K1772" s="3" t="s">
        <v>624</v>
      </c>
      <c r="L1772" s="3" t="s">
        <v>625</v>
      </c>
      <c r="M1772" s="7" t="n">
        <v>2023</v>
      </c>
    </row>
    <row r="1773" customFormat="false" ht="15" hidden="false" customHeight="false" outlineLevel="0" collapsed="false">
      <c r="A1773" s="3" t="n">
        <v>2488</v>
      </c>
      <c r="B1773" s="3" t="s">
        <v>623</v>
      </c>
      <c r="C1773" s="4" t="s">
        <v>24</v>
      </c>
      <c r="D1773" s="5" t="n">
        <v>25847</v>
      </c>
      <c r="E1773" s="6" t="n">
        <v>432.7</v>
      </c>
      <c r="F1773" s="7" t="n">
        <v>73</v>
      </c>
      <c r="G1773" s="6" t="n">
        <v>2124.96190599767</v>
      </c>
      <c r="H1773" s="8" t="n">
        <v>880902.958131334</v>
      </c>
      <c r="I1773" s="9" t="n">
        <v>9.02837314514059</v>
      </c>
      <c r="J1773" s="9" t="n">
        <v>73.3951225129592</v>
      </c>
      <c r="K1773" s="3" t="s">
        <v>624</v>
      </c>
      <c r="L1773" s="3" t="s">
        <v>625</v>
      </c>
      <c r="M1773" s="7" t="n">
        <v>2024</v>
      </c>
    </row>
    <row r="1774" customFormat="false" ht="15" hidden="false" customHeight="false" outlineLevel="0" collapsed="false">
      <c r="A1774" s="3" t="n">
        <v>2489</v>
      </c>
      <c r="B1774" s="3" t="s">
        <v>626</v>
      </c>
      <c r="C1774" s="4" t="s">
        <v>14</v>
      </c>
      <c r="D1774" s="5" t="n">
        <v>10736</v>
      </c>
      <c r="E1774" s="6" t="n">
        <v>172.89</v>
      </c>
      <c r="F1774" s="7" t="n">
        <v>51</v>
      </c>
      <c r="G1774" s="6" t="n">
        <v>746.74034617347</v>
      </c>
      <c r="H1774" s="8" t="n">
        <v>718869.009492891</v>
      </c>
      <c r="I1774" s="9" t="n">
        <v>13.5437523861928</v>
      </c>
      <c r="J1774" s="9" t="n">
        <v>62.0945247690452</v>
      </c>
      <c r="K1774" s="3" t="s">
        <v>627</v>
      </c>
      <c r="L1774" s="3" t="s">
        <v>628</v>
      </c>
      <c r="M1774" s="7" t="n">
        <v>2016</v>
      </c>
    </row>
    <row r="1775" customFormat="false" ht="15" hidden="false" customHeight="false" outlineLevel="0" collapsed="false">
      <c r="A1775" s="3" t="n">
        <v>2490</v>
      </c>
      <c r="B1775" s="3" t="s">
        <v>626</v>
      </c>
      <c r="C1775" s="4" t="s">
        <v>17</v>
      </c>
      <c r="D1775" s="5" t="n">
        <v>10766</v>
      </c>
      <c r="E1775" s="6" t="n">
        <v>165.79</v>
      </c>
      <c r="F1775" s="7" t="n">
        <v>55</v>
      </c>
      <c r="G1775" s="6" t="n">
        <v>582.792985656124</v>
      </c>
      <c r="H1775" s="8" t="n">
        <v>91714.1321527042</v>
      </c>
      <c r="I1775" s="9" t="n">
        <v>11.3207904031713</v>
      </c>
      <c r="J1775" s="9" t="n">
        <v>48.4593534103684</v>
      </c>
      <c r="K1775" s="3" t="s">
        <v>627</v>
      </c>
      <c r="L1775" s="3" t="s">
        <v>628</v>
      </c>
      <c r="M1775" s="7" t="n">
        <v>2017</v>
      </c>
    </row>
    <row r="1776" customFormat="false" ht="15" hidden="false" customHeight="false" outlineLevel="0" collapsed="false">
      <c r="A1776" s="3" t="n">
        <v>2491</v>
      </c>
      <c r="B1776" s="3" t="s">
        <v>626</v>
      </c>
      <c r="C1776" s="4" t="s">
        <v>18</v>
      </c>
      <c r="D1776" s="5" t="n">
        <v>10766</v>
      </c>
      <c r="E1776" s="6" t="n">
        <v>165.79</v>
      </c>
      <c r="F1776" s="7" t="n">
        <v>59</v>
      </c>
      <c r="G1776" s="6" t="n">
        <v>952.366522142857</v>
      </c>
      <c r="H1776" s="8" t="n">
        <v>157226.189140564</v>
      </c>
      <c r="I1776" s="9" t="n">
        <v>15.7303469640523</v>
      </c>
      <c r="J1776" s="9" t="n">
        <v>79.1894669438515</v>
      </c>
      <c r="K1776" s="3" t="s">
        <v>627</v>
      </c>
      <c r="L1776" s="3" t="s">
        <v>628</v>
      </c>
      <c r="M1776" s="7" t="n">
        <v>2018</v>
      </c>
    </row>
    <row r="1777" customFormat="false" ht="15" hidden="false" customHeight="false" outlineLevel="0" collapsed="false">
      <c r="A1777" s="3" t="n">
        <v>2492</v>
      </c>
      <c r="B1777" s="3" t="s">
        <v>626</v>
      </c>
      <c r="C1777" s="4" t="s">
        <v>19</v>
      </c>
      <c r="D1777" s="5" t="n">
        <v>10766</v>
      </c>
      <c r="E1777" s="6" t="n">
        <v>173.926</v>
      </c>
      <c r="F1777" s="7" t="n">
        <v>59</v>
      </c>
      <c r="G1777" s="6" t="n">
        <v>716.186204540816</v>
      </c>
      <c r="H1777" s="8" t="n">
        <v>113916.577694262</v>
      </c>
      <c r="I1777" s="9" t="n">
        <v>12.8253816898475</v>
      </c>
      <c r="J1777" s="9" t="n">
        <v>59.551026260896</v>
      </c>
      <c r="K1777" s="3" t="s">
        <v>627</v>
      </c>
      <c r="L1777" s="3" t="s">
        <v>628</v>
      </c>
      <c r="M1777" s="7" t="n">
        <v>2019</v>
      </c>
    </row>
    <row r="1778" customFormat="false" ht="15" hidden="false" customHeight="false" outlineLevel="0" collapsed="false">
      <c r="A1778" s="3" t="n">
        <v>2493</v>
      </c>
      <c r="B1778" s="3" t="s">
        <v>626</v>
      </c>
      <c r="C1778" s="4" t="s">
        <v>20</v>
      </c>
      <c r="D1778" s="5" t="n">
        <v>10763</v>
      </c>
      <c r="E1778" s="6" t="n">
        <v>183.791</v>
      </c>
      <c r="F1778" s="7" t="n">
        <v>67</v>
      </c>
      <c r="G1778" s="6" t="n">
        <v>1128.41938820498</v>
      </c>
      <c r="H1778" s="8" t="n">
        <v>160122.711186287</v>
      </c>
      <c r="I1778" s="9" t="n">
        <v>16.2142244668585</v>
      </c>
      <c r="J1778" s="9" t="n">
        <v>93.5973155282063</v>
      </c>
      <c r="K1778" s="3" t="s">
        <v>627</v>
      </c>
      <c r="L1778" s="3" t="s">
        <v>628</v>
      </c>
      <c r="M1778" s="7" t="n">
        <v>2020</v>
      </c>
    </row>
    <row r="1779" customFormat="false" ht="15" hidden="false" customHeight="false" outlineLevel="0" collapsed="false">
      <c r="A1779" s="3" t="n">
        <v>2494</v>
      </c>
      <c r="B1779" s="3" t="s">
        <v>626</v>
      </c>
      <c r="C1779" s="4" t="s">
        <v>21</v>
      </c>
      <c r="D1779" s="5" t="n">
        <v>11163</v>
      </c>
      <c r="E1779" s="6" t="n">
        <v>185.2</v>
      </c>
      <c r="F1779" s="7" t="n">
        <v>65</v>
      </c>
      <c r="G1779" s="6" t="n">
        <v>404.441075348937</v>
      </c>
      <c r="H1779" s="8" t="n">
        <v>73159.3461198691</v>
      </c>
      <c r="I1779" s="9" t="n">
        <v>8.80659099432418</v>
      </c>
      <c r="J1779" s="9" t="n">
        <v>32.4333647468448</v>
      </c>
      <c r="K1779" s="3" t="s">
        <v>627</v>
      </c>
      <c r="L1779" s="3" t="s">
        <v>628</v>
      </c>
      <c r="M1779" s="7" t="n">
        <v>2021</v>
      </c>
    </row>
    <row r="1780" customFormat="false" ht="15" hidden="false" customHeight="false" outlineLevel="0" collapsed="false">
      <c r="A1780" s="3" t="n">
        <v>2495</v>
      </c>
      <c r="B1780" s="3" t="s">
        <v>626</v>
      </c>
      <c r="C1780" s="4" t="s">
        <v>22</v>
      </c>
      <c r="D1780" s="5" t="n">
        <v>11474</v>
      </c>
      <c r="E1780" s="6" t="n">
        <v>197.981</v>
      </c>
      <c r="F1780" s="7" t="n">
        <v>77</v>
      </c>
      <c r="G1780" s="6" t="n">
        <v>330.92833102747</v>
      </c>
      <c r="H1780" s="8" t="n">
        <v>60424.2039623057</v>
      </c>
      <c r="I1780" s="9" t="n">
        <v>8.49288204333868</v>
      </c>
      <c r="J1780" s="9" t="n">
        <v>25.8188430780034</v>
      </c>
      <c r="K1780" s="3" t="s">
        <v>627</v>
      </c>
      <c r="L1780" s="3" t="s">
        <v>628</v>
      </c>
      <c r="M1780" s="7" t="n">
        <v>2022</v>
      </c>
    </row>
    <row r="1781" customFormat="false" ht="15" hidden="false" customHeight="false" outlineLevel="0" collapsed="false">
      <c r="A1781" s="3" t="n">
        <v>2496</v>
      </c>
      <c r="B1781" s="3" t="s">
        <v>626</v>
      </c>
      <c r="C1781" s="4" t="s">
        <v>23</v>
      </c>
      <c r="D1781" s="5" t="n">
        <v>11626</v>
      </c>
      <c r="E1781" s="6" t="n">
        <v>190.3105</v>
      </c>
      <c r="F1781" s="7" t="n">
        <v>76</v>
      </c>
      <c r="G1781" s="6" t="n">
        <v>279.761652276959</v>
      </c>
      <c r="H1781" s="8" t="n">
        <v>59609.616289349</v>
      </c>
      <c r="I1781" s="9" t="n">
        <v>8.22246944174607</v>
      </c>
      <c r="J1781" s="9" t="n">
        <v>21.5414801033538</v>
      </c>
      <c r="K1781" s="3" t="s">
        <v>627</v>
      </c>
      <c r="L1781" s="3" t="s">
        <v>628</v>
      </c>
      <c r="M1781" s="7" t="n">
        <v>2023</v>
      </c>
    </row>
    <row r="1782" customFormat="false" ht="15" hidden="false" customHeight="false" outlineLevel="0" collapsed="false">
      <c r="A1782" s="3" t="n">
        <v>2497</v>
      </c>
      <c r="B1782" s="3" t="s">
        <v>626</v>
      </c>
      <c r="C1782" s="4" t="s">
        <v>24</v>
      </c>
      <c r="D1782" s="5" t="n">
        <v>11659</v>
      </c>
      <c r="E1782" s="6" t="n">
        <v>303.248015151515</v>
      </c>
      <c r="F1782" s="7" t="n">
        <v>71</v>
      </c>
      <c r="G1782" s="6" t="n">
        <v>317.832847314178</v>
      </c>
      <c r="H1782" s="8" t="n">
        <v>73010.8385181468</v>
      </c>
      <c r="I1782" s="9" t="n">
        <v>6.06072046393684</v>
      </c>
      <c r="J1782" s="9" t="n">
        <v>24.3368110308509</v>
      </c>
      <c r="K1782" s="3" t="s">
        <v>627</v>
      </c>
      <c r="L1782" s="3" t="s">
        <v>628</v>
      </c>
      <c r="M1782" s="7" t="n">
        <v>2024</v>
      </c>
    </row>
    <row r="1783" customFormat="false" ht="15" hidden="false" customHeight="false" outlineLevel="0" collapsed="false">
      <c r="A1783" s="3" t="n">
        <v>2498</v>
      </c>
      <c r="B1783" s="3" t="s">
        <v>629</v>
      </c>
      <c r="C1783" s="4" t="s">
        <v>14</v>
      </c>
      <c r="D1783" s="5" t="n">
        <v>8126</v>
      </c>
      <c r="E1783" s="6" t="n">
        <v>119.6</v>
      </c>
      <c r="F1783" s="7" t="n">
        <v>50</v>
      </c>
      <c r="G1783" s="6" t="n">
        <v>41.4685668301708</v>
      </c>
      <c r="H1783" s="8" t="n">
        <v>4053.77148241218</v>
      </c>
      <c r="I1783" s="9" t="n">
        <v>1.90324787502649</v>
      </c>
      <c r="J1783" s="9" t="n">
        <v>4.55583935555345</v>
      </c>
      <c r="K1783" s="3" t="s">
        <v>630</v>
      </c>
      <c r="L1783" s="3" t="s">
        <v>631</v>
      </c>
      <c r="M1783" s="7" t="n">
        <v>2016</v>
      </c>
    </row>
    <row r="1784" customFormat="false" ht="15" hidden="false" customHeight="false" outlineLevel="0" collapsed="false">
      <c r="A1784" s="3" t="n">
        <v>2499</v>
      </c>
      <c r="B1784" s="3" t="s">
        <v>629</v>
      </c>
      <c r="C1784" s="4" t="s">
        <v>17</v>
      </c>
      <c r="D1784" s="5" t="n">
        <v>8344</v>
      </c>
      <c r="E1784" s="6" t="n">
        <v>125.663636363636</v>
      </c>
      <c r="F1784" s="7" t="n">
        <v>55</v>
      </c>
      <c r="G1784" s="6" t="n">
        <v>679.561311461897</v>
      </c>
      <c r="H1784" s="8" t="n">
        <v>82163.7143299117</v>
      </c>
      <c r="I1784" s="9" t="n">
        <v>11.5830654673474</v>
      </c>
      <c r="J1784" s="9" t="n">
        <v>72.9074695053531</v>
      </c>
      <c r="K1784" s="3" t="s">
        <v>630</v>
      </c>
      <c r="L1784" s="3" t="s">
        <v>631</v>
      </c>
      <c r="M1784" s="7" t="n">
        <v>2017</v>
      </c>
    </row>
    <row r="1785" customFormat="false" ht="15" hidden="false" customHeight="false" outlineLevel="0" collapsed="false">
      <c r="A1785" s="3" t="n">
        <v>2500</v>
      </c>
      <c r="B1785" s="3" t="s">
        <v>629</v>
      </c>
      <c r="C1785" s="4" t="s">
        <v>18</v>
      </c>
      <c r="D1785" s="5" t="n">
        <v>8487</v>
      </c>
      <c r="E1785" s="6" t="n">
        <v>119.6</v>
      </c>
      <c r="F1785" s="7" t="n">
        <v>54</v>
      </c>
      <c r="G1785" s="6" t="n">
        <v>169.8240465371</v>
      </c>
      <c r="H1785" s="8" t="n">
        <v>22658.2978723231</v>
      </c>
      <c r="I1785" s="9" t="n">
        <v>3.60581725828496</v>
      </c>
      <c r="J1785" s="9" t="n">
        <v>17.9127661919136</v>
      </c>
      <c r="K1785" s="3" t="s">
        <v>630</v>
      </c>
      <c r="L1785" s="3" t="s">
        <v>631</v>
      </c>
      <c r="M1785" s="7" t="n">
        <v>2018</v>
      </c>
    </row>
    <row r="1786" customFormat="false" ht="15" hidden="false" customHeight="false" outlineLevel="0" collapsed="false">
      <c r="A1786" s="3" t="n">
        <v>2501</v>
      </c>
      <c r="B1786" s="3" t="s">
        <v>629</v>
      </c>
      <c r="C1786" s="4" t="s">
        <v>19</v>
      </c>
      <c r="D1786" s="5" t="n">
        <v>8235</v>
      </c>
      <c r="E1786" s="6" t="n">
        <v>119.6</v>
      </c>
      <c r="F1786" s="7" t="n">
        <v>54</v>
      </c>
      <c r="G1786" s="6" t="n">
        <v>188.261567851222</v>
      </c>
      <c r="H1786" s="8" t="n">
        <v>25118.4094499775</v>
      </c>
      <c r="I1786" s="9" t="n">
        <v>3.99030847737518</v>
      </c>
      <c r="J1786" s="9" t="n">
        <v>20.4651881695953</v>
      </c>
      <c r="K1786" s="3" t="s">
        <v>630</v>
      </c>
      <c r="L1786" s="3" t="s">
        <v>631</v>
      </c>
      <c r="M1786" s="7" t="n">
        <v>2019</v>
      </c>
    </row>
    <row r="1787" customFormat="false" ht="15" hidden="false" customHeight="false" outlineLevel="0" collapsed="false">
      <c r="A1787" s="3" t="n">
        <v>2502</v>
      </c>
      <c r="B1787" s="3" t="s">
        <v>629</v>
      </c>
      <c r="C1787" s="4" t="s">
        <v>20</v>
      </c>
      <c r="D1787" s="5" t="n">
        <v>8235</v>
      </c>
      <c r="E1787" s="6" t="n">
        <v>119.6</v>
      </c>
      <c r="F1787" s="7" t="n">
        <v>57</v>
      </c>
      <c r="G1787" s="6" t="n">
        <v>320.947842577953</v>
      </c>
      <c r="H1787" s="8" t="n">
        <v>230677.709594753</v>
      </c>
      <c r="I1787" s="9" t="n">
        <v>5.18379784510983</v>
      </c>
      <c r="J1787" s="9" t="n">
        <v>34.7934144943878</v>
      </c>
      <c r="K1787" s="3" t="s">
        <v>630</v>
      </c>
      <c r="L1787" s="3" t="s">
        <v>631</v>
      </c>
      <c r="M1787" s="7" t="n">
        <v>2020</v>
      </c>
    </row>
    <row r="1788" customFormat="false" ht="15" hidden="false" customHeight="false" outlineLevel="0" collapsed="false">
      <c r="A1788" s="3" t="n">
        <v>2503</v>
      </c>
      <c r="B1788" s="3" t="s">
        <v>629</v>
      </c>
      <c r="C1788" s="4" t="s">
        <v>21</v>
      </c>
      <c r="D1788" s="5" t="n">
        <v>9081</v>
      </c>
      <c r="E1788" s="6" t="n">
        <v>122</v>
      </c>
      <c r="F1788" s="7" t="n">
        <v>58</v>
      </c>
      <c r="G1788" s="6" t="n">
        <v>304.942644372382</v>
      </c>
      <c r="H1788" s="8" t="n">
        <v>44572.5385455579</v>
      </c>
      <c r="I1788" s="9" t="n">
        <v>5.24640869625223</v>
      </c>
      <c r="J1788" s="9" t="n">
        <v>30.0609125959723</v>
      </c>
      <c r="K1788" s="3" t="s">
        <v>630</v>
      </c>
      <c r="L1788" s="3" t="s">
        <v>631</v>
      </c>
      <c r="M1788" s="7" t="n">
        <v>2021</v>
      </c>
    </row>
    <row r="1789" customFormat="false" ht="15" hidden="false" customHeight="false" outlineLevel="0" collapsed="false">
      <c r="A1789" s="3" t="n">
        <v>2504</v>
      </c>
      <c r="B1789" s="3" t="s">
        <v>629</v>
      </c>
      <c r="C1789" s="4" t="s">
        <v>22</v>
      </c>
      <c r="D1789" s="5" t="n">
        <v>9228</v>
      </c>
      <c r="E1789" s="6" t="n">
        <v>122</v>
      </c>
      <c r="F1789" s="7" t="n">
        <v>51</v>
      </c>
      <c r="G1789" s="6" t="n">
        <v>511.335625125628</v>
      </c>
      <c r="H1789" s="8" t="n">
        <v>222446.336998402</v>
      </c>
      <c r="I1789" s="9" t="n">
        <v>7.70714080053676</v>
      </c>
      <c r="J1789" s="9" t="n">
        <v>49.603936175737</v>
      </c>
      <c r="K1789" s="3" t="s">
        <v>630</v>
      </c>
      <c r="L1789" s="3" t="s">
        <v>631</v>
      </c>
      <c r="M1789" s="7" t="n">
        <v>2022</v>
      </c>
    </row>
    <row r="1790" customFormat="false" ht="15" hidden="false" customHeight="false" outlineLevel="0" collapsed="false">
      <c r="A1790" s="3" t="n">
        <v>2505</v>
      </c>
      <c r="B1790" s="3" t="s">
        <v>629</v>
      </c>
      <c r="C1790" s="4" t="s">
        <v>23</v>
      </c>
      <c r="D1790" s="5" t="n">
        <v>9055</v>
      </c>
      <c r="E1790" s="6" t="n">
        <v>122</v>
      </c>
      <c r="F1790" s="7" t="n">
        <v>48</v>
      </c>
      <c r="G1790" s="6" t="n">
        <v>13.7584221859287</v>
      </c>
      <c r="H1790" s="8" t="n">
        <v>2393.96546035159</v>
      </c>
      <c r="I1790" s="9" t="n">
        <v>1.4255041045646</v>
      </c>
      <c r="J1790" s="9" t="n">
        <v>1.36018459466479</v>
      </c>
      <c r="K1790" s="3" t="s">
        <v>630</v>
      </c>
      <c r="L1790" s="3" t="s">
        <v>631</v>
      </c>
      <c r="M1790" s="7" t="n">
        <v>2023</v>
      </c>
    </row>
    <row r="1791" customFormat="false" ht="15" hidden="false" customHeight="false" outlineLevel="0" collapsed="false">
      <c r="A1791" s="3" t="n">
        <v>2506</v>
      </c>
      <c r="B1791" s="3" t="s">
        <v>629</v>
      </c>
      <c r="C1791" s="4" t="s">
        <v>24</v>
      </c>
      <c r="D1791" s="5" t="n">
        <v>9055</v>
      </c>
      <c r="E1791" s="6" t="n">
        <v>122</v>
      </c>
      <c r="F1791" s="7" t="n">
        <v>45</v>
      </c>
      <c r="G1791" s="6" t="n">
        <v>346.863458040201</v>
      </c>
      <c r="H1791" s="8" t="n">
        <v>155412.172374912</v>
      </c>
      <c r="I1791" s="9" t="n">
        <v>5.59869623065513</v>
      </c>
      <c r="J1791" s="9" t="n">
        <v>34.197651994541</v>
      </c>
      <c r="K1791" s="3" t="s">
        <v>630</v>
      </c>
      <c r="L1791" s="3" t="s">
        <v>631</v>
      </c>
      <c r="M1791" s="7" t="n">
        <v>2024</v>
      </c>
    </row>
    <row r="1792" customFormat="false" ht="15" hidden="false" customHeight="false" outlineLevel="0" collapsed="false">
      <c r="A1792" s="3" t="n">
        <v>2507</v>
      </c>
      <c r="B1792" s="3" t="s">
        <v>632</v>
      </c>
      <c r="C1792" s="4" t="s">
        <v>14</v>
      </c>
      <c r="D1792" s="5" t="n">
        <v>13098</v>
      </c>
      <c r="E1792" s="6" t="n">
        <v>390</v>
      </c>
      <c r="F1792" s="7" t="n">
        <v>67</v>
      </c>
      <c r="G1792" s="6" t="n">
        <v>616.824542929292</v>
      </c>
      <c r="H1792" s="8" t="n">
        <v>266468.202545454</v>
      </c>
      <c r="I1792" s="9" t="n">
        <v>9.96691079760206</v>
      </c>
      <c r="J1792" s="9" t="n">
        <v>42.0419501749828</v>
      </c>
      <c r="K1792" s="3" t="s">
        <v>633</v>
      </c>
      <c r="L1792" s="3" t="s">
        <v>634</v>
      </c>
      <c r="M1792" s="7" t="n">
        <v>2016</v>
      </c>
    </row>
    <row r="1793" customFormat="false" ht="15" hidden="false" customHeight="false" outlineLevel="0" collapsed="false">
      <c r="A1793" s="3" t="n">
        <v>2508</v>
      </c>
      <c r="B1793" s="3" t="s">
        <v>632</v>
      </c>
      <c r="C1793" s="4" t="s">
        <v>17</v>
      </c>
      <c r="D1793" s="5" t="n">
        <v>13101</v>
      </c>
      <c r="E1793" s="6" t="n">
        <v>390</v>
      </c>
      <c r="F1793" s="7" t="n">
        <v>71</v>
      </c>
      <c r="G1793" s="6" t="n">
        <v>791.013114646464</v>
      </c>
      <c r="H1793" s="8" t="n">
        <v>341717.665527273</v>
      </c>
      <c r="I1793" s="9" t="n">
        <v>11.5177924508496</v>
      </c>
      <c r="J1793" s="9" t="n">
        <v>54.0501510287917</v>
      </c>
      <c r="K1793" s="3" t="s">
        <v>633</v>
      </c>
      <c r="L1793" s="3" t="s">
        <v>634</v>
      </c>
      <c r="M1793" s="7" t="n">
        <v>2017</v>
      </c>
    </row>
    <row r="1794" customFormat="false" ht="15" hidden="false" customHeight="false" outlineLevel="0" collapsed="false">
      <c r="A1794" s="3" t="n">
        <v>2509</v>
      </c>
      <c r="B1794" s="3" t="s">
        <v>632</v>
      </c>
      <c r="C1794" s="4" t="s">
        <v>18</v>
      </c>
      <c r="D1794" s="5" t="n">
        <v>13215</v>
      </c>
      <c r="E1794" s="6" t="n">
        <v>282.4</v>
      </c>
      <c r="F1794" s="7" t="n">
        <v>74</v>
      </c>
      <c r="G1794" s="6" t="n">
        <v>716.44325753367</v>
      </c>
      <c r="H1794" s="8" t="n">
        <v>430489.260154257</v>
      </c>
      <c r="I1794" s="9" t="n">
        <v>10.6432320303433</v>
      </c>
      <c r="J1794" s="9" t="n">
        <v>48.5324601810721</v>
      </c>
      <c r="K1794" s="3" t="s">
        <v>633</v>
      </c>
      <c r="L1794" s="3" t="s">
        <v>634</v>
      </c>
      <c r="M1794" s="7" t="n">
        <v>2018</v>
      </c>
    </row>
    <row r="1795" customFormat="false" ht="15" hidden="false" customHeight="false" outlineLevel="0" collapsed="false">
      <c r="A1795" s="3" t="n">
        <v>2510</v>
      </c>
      <c r="B1795" s="3" t="s">
        <v>632</v>
      </c>
      <c r="C1795" s="4" t="s">
        <v>19</v>
      </c>
      <c r="D1795" s="5" t="n">
        <v>12783</v>
      </c>
      <c r="E1795" s="6" t="n">
        <v>303.44</v>
      </c>
      <c r="F1795" s="7" t="n">
        <v>74</v>
      </c>
      <c r="G1795" s="6" t="n">
        <v>872.880277891289</v>
      </c>
      <c r="H1795" s="8" t="n">
        <v>726341.1368389</v>
      </c>
      <c r="I1795" s="9" t="n">
        <v>13.3731892497022</v>
      </c>
      <c r="J1795" s="9" t="n">
        <v>61.1279127221581</v>
      </c>
      <c r="K1795" s="3" t="s">
        <v>633</v>
      </c>
      <c r="L1795" s="3" t="s">
        <v>634</v>
      </c>
      <c r="M1795" s="7" t="n">
        <v>2019</v>
      </c>
    </row>
    <row r="1796" customFormat="false" ht="15" hidden="false" customHeight="false" outlineLevel="0" collapsed="false">
      <c r="A1796" s="3" t="n">
        <v>2511</v>
      </c>
      <c r="B1796" s="3" t="s">
        <v>635</v>
      </c>
      <c r="C1796" s="4" t="s">
        <v>80</v>
      </c>
      <c r="D1796" s="5" t="n">
        <v>154989</v>
      </c>
      <c r="E1796" s="6" t="n">
        <v>2576</v>
      </c>
      <c r="F1796" s="7" t="n">
        <v>61</v>
      </c>
      <c r="G1796" s="6" t="n">
        <v>7857.83201310834</v>
      </c>
      <c r="H1796" s="8" t="n">
        <v>6857909.82009708</v>
      </c>
      <c r="I1796" s="9" t="n">
        <v>12.0017198042248</v>
      </c>
      <c r="J1796" s="9" t="n">
        <v>45.2614077570572</v>
      </c>
      <c r="K1796" s="3" t="s">
        <v>636</v>
      </c>
      <c r="L1796" s="3" t="s">
        <v>637</v>
      </c>
      <c r="M1796" s="7" t="n">
        <v>2015</v>
      </c>
    </row>
    <row r="1797" customFormat="false" ht="15" hidden="false" customHeight="false" outlineLevel="0" collapsed="false">
      <c r="A1797" s="3" t="n">
        <v>2512</v>
      </c>
      <c r="B1797" s="3" t="s">
        <v>635</v>
      </c>
      <c r="C1797" s="4" t="s">
        <v>41</v>
      </c>
      <c r="D1797" s="5" t="n">
        <v>157519</v>
      </c>
      <c r="E1797" s="6" t="n">
        <v>2576</v>
      </c>
      <c r="F1797" s="7" t="n">
        <v>63</v>
      </c>
      <c r="G1797" s="6" t="n">
        <v>5497.67267902011</v>
      </c>
      <c r="H1797" s="8" t="n">
        <v>4868486.06614426</v>
      </c>
      <c r="I1797" s="9" t="n">
        <v>8.1371025093645</v>
      </c>
      <c r="J1797" s="9" t="n">
        <v>31.243782629177</v>
      </c>
      <c r="K1797" s="3" t="s">
        <v>636</v>
      </c>
      <c r="L1797" s="3" t="s">
        <v>637</v>
      </c>
      <c r="M1797" s="7" t="n">
        <v>2016</v>
      </c>
    </row>
    <row r="1798" customFormat="false" ht="15" hidden="false" customHeight="false" outlineLevel="0" collapsed="false">
      <c r="A1798" s="3" t="n">
        <v>2513</v>
      </c>
      <c r="B1798" s="3" t="s">
        <v>635</v>
      </c>
      <c r="C1798" s="4" t="s">
        <v>42</v>
      </c>
      <c r="D1798" s="5" t="n">
        <v>160017</v>
      </c>
      <c r="E1798" s="6" t="n">
        <v>2281.1</v>
      </c>
      <c r="F1798" s="7" t="n">
        <v>68</v>
      </c>
      <c r="G1798" s="6" t="n">
        <v>3444.46169514053</v>
      </c>
      <c r="H1798" s="8" t="n">
        <v>3052378.62038269</v>
      </c>
      <c r="I1798" s="9" t="n">
        <v>5.24245833945881</v>
      </c>
      <c r="J1798" s="9" t="n">
        <v>19.2696093317427</v>
      </c>
      <c r="K1798" s="3" t="s">
        <v>636</v>
      </c>
      <c r="L1798" s="3" t="s">
        <v>637</v>
      </c>
      <c r="M1798" s="7" t="n">
        <v>2017</v>
      </c>
    </row>
    <row r="1799" customFormat="false" ht="15" hidden="false" customHeight="false" outlineLevel="0" collapsed="false">
      <c r="A1799" s="3" t="n">
        <v>2514</v>
      </c>
      <c r="B1799" s="3" t="s">
        <v>635</v>
      </c>
      <c r="C1799" s="4" t="s">
        <v>43</v>
      </c>
      <c r="D1799" s="5" t="n">
        <v>162904</v>
      </c>
      <c r="E1799" s="6" t="n">
        <v>2314</v>
      </c>
      <c r="F1799" s="7" t="n">
        <v>73</v>
      </c>
      <c r="G1799" s="6" t="n">
        <v>6170.34104957938</v>
      </c>
      <c r="H1799" s="8" t="n">
        <v>5193267.54437848</v>
      </c>
      <c r="I1799" s="9" t="n">
        <v>9.75057364072278</v>
      </c>
      <c r="J1799" s="9" t="n">
        <v>33.9074472996853</v>
      </c>
      <c r="K1799" s="3" t="s">
        <v>636</v>
      </c>
      <c r="L1799" s="3" t="s">
        <v>637</v>
      </c>
      <c r="M1799" s="7" t="n">
        <v>2018</v>
      </c>
    </row>
    <row r="1800" customFormat="false" ht="15" hidden="false" customHeight="false" outlineLevel="0" collapsed="false">
      <c r="A1800" s="3" t="n">
        <v>2515</v>
      </c>
      <c r="B1800" s="3" t="s">
        <v>635</v>
      </c>
      <c r="C1800" s="4" t="s">
        <v>44</v>
      </c>
      <c r="D1800" s="5" t="n">
        <v>165627</v>
      </c>
      <c r="E1800" s="6" t="n">
        <v>2338.61</v>
      </c>
      <c r="F1800" s="7" t="n">
        <v>73</v>
      </c>
      <c r="G1800" s="6" t="n">
        <v>2413.2831198097</v>
      </c>
      <c r="H1800" s="8" t="n">
        <v>2447479.34161741</v>
      </c>
      <c r="I1800" s="9" t="n">
        <v>6.44625192583144</v>
      </c>
      <c r="J1800" s="9" t="n">
        <v>13.0077844973346</v>
      </c>
      <c r="K1800" s="3" t="s">
        <v>636</v>
      </c>
      <c r="L1800" s="3" t="s">
        <v>637</v>
      </c>
      <c r="M1800" s="7" t="n">
        <v>2019</v>
      </c>
    </row>
    <row r="1801" customFormat="false" ht="15" hidden="false" customHeight="false" outlineLevel="0" collapsed="false">
      <c r="A1801" s="3" t="n">
        <v>2516</v>
      </c>
      <c r="B1801" s="3" t="s">
        <v>635</v>
      </c>
      <c r="C1801" s="4" t="s">
        <v>45</v>
      </c>
      <c r="D1801" s="5" t="n">
        <v>169161</v>
      </c>
      <c r="E1801" s="6" t="n">
        <v>2350.35</v>
      </c>
      <c r="F1801" s="7" t="n">
        <v>73</v>
      </c>
      <c r="G1801" s="6" t="n">
        <v>5042.25412913011</v>
      </c>
      <c r="H1801" s="8" t="n">
        <v>5017244.54864962</v>
      </c>
      <c r="I1801" s="9" t="n">
        <v>8.16141309294162</v>
      </c>
      <c r="J1801" s="9" t="n">
        <v>26.683461094304</v>
      </c>
      <c r="K1801" s="3" t="s">
        <v>636</v>
      </c>
      <c r="L1801" s="3" t="s">
        <v>637</v>
      </c>
      <c r="M1801" s="7" t="n">
        <v>2020</v>
      </c>
    </row>
    <row r="1802" customFormat="false" ht="15" hidden="false" customHeight="false" outlineLevel="0" collapsed="false">
      <c r="A1802" s="3" t="n">
        <v>2517</v>
      </c>
      <c r="B1802" s="3" t="s">
        <v>635</v>
      </c>
      <c r="C1802" s="4" t="s">
        <v>46</v>
      </c>
      <c r="D1802" s="5" t="n">
        <v>159347</v>
      </c>
      <c r="E1802" s="6" t="n">
        <v>2362.97</v>
      </c>
      <c r="F1802" s="7" t="n">
        <v>73</v>
      </c>
      <c r="G1802" s="6" t="n">
        <v>2201.37327246284</v>
      </c>
      <c r="H1802" s="8" t="n">
        <v>2222748.60693845</v>
      </c>
      <c r="I1802" s="9" t="n">
        <v>3.83901821693116</v>
      </c>
      <c r="J1802" s="9" t="n">
        <v>12.3670886028413</v>
      </c>
      <c r="K1802" s="3" t="s">
        <v>636</v>
      </c>
      <c r="L1802" s="3" t="s">
        <v>637</v>
      </c>
      <c r="M1802" s="7" t="n">
        <v>2021</v>
      </c>
    </row>
    <row r="1803" customFormat="false" ht="15" hidden="false" customHeight="false" outlineLevel="0" collapsed="false">
      <c r="A1803" s="3" t="n">
        <v>2518</v>
      </c>
      <c r="B1803" s="3" t="s">
        <v>635</v>
      </c>
      <c r="C1803" s="4" t="s">
        <v>47</v>
      </c>
      <c r="D1803" s="5" t="n">
        <v>167050</v>
      </c>
      <c r="E1803" s="6" t="n">
        <v>2404.05</v>
      </c>
      <c r="F1803" s="7" t="n">
        <v>77</v>
      </c>
      <c r="G1803" s="6" t="n">
        <v>1868.7913161099</v>
      </c>
      <c r="H1803" s="8" t="n">
        <v>1836928.42417022</v>
      </c>
      <c r="I1803" s="9" t="n">
        <v>3.89595604717196</v>
      </c>
      <c r="J1803" s="9" t="n">
        <v>10.0145629745935</v>
      </c>
      <c r="K1803" s="3" t="s">
        <v>636</v>
      </c>
      <c r="L1803" s="3" t="s">
        <v>637</v>
      </c>
      <c r="M1803" s="7" t="n">
        <v>2022</v>
      </c>
    </row>
    <row r="1804" customFormat="false" ht="15" hidden="false" customHeight="false" outlineLevel="0" collapsed="false">
      <c r="A1804" s="3" t="n">
        <v>2519</v>
      </c>
      <c r="B1804" s="3" t="s">
        <v>635</v>
      </c>
      <c r="C1804" s="4" t="s">
        <v>48</v>
      </c>
      <c r="D1804" s="5" t="n">
        <v>171747</v>
      </c>
      <c r="E1804" s="6" t="n">
        <v>2451.63</v>
      </c>
      <c r="F1804" s="7" t="n">
        <v>77</v>
      </c>
      <c r="G1804" s="6" t="n">
        <v>5749.66414494362</v>
      </c>
      <c r="H1804" s="8" t="n">
        <v>7025974.5918382</v>
      </c>
      <c r="I1804" s="9" t="n">
        <v>9.34028443917378</v>
      </c>
      <c r="J1804" s="9" t="n">
        <v>29.8868064420981</v>
      </c>
      <c r="K1804" s="3" t="s">
        <v>636</v>
      </c>
      <c r="L1804" s="3" t="s">
        <v>637</v>
      </c>
      <c r="M1804" s="7" t="n">
        <v>2023</v>
      </c>
    </row>
    <row r="1805" customFormat="false" ht="15" hidden="false" customHeight="false" outlineLevel="0" collapsed="false">
      <c r="A1805" s="3" t="n">
        <v>2520</v>
      </c>
      <c r="B1805" s="3" t="s">
        <v>635</v>
      </c>
      <c r="C1805" s="4" t="s">
        <v>49</v>
      </c>
      <c r="D1805" s="5" t="n">
        <v>180129</v>
      </c>
      <c r="E1805" s="6" t="n">
        <v>2465.15</v>
      </c>
      <c r="F1805" s="7" t="n">
        <v>77</v>
      </c>
      <c r="G1805" s="6" t="n">
        <v>4336.00195460621</v>
      </c>
      <c r="H1805" s="8" t="n">
        <v>5230172.2776851</v>
      </c>
      <c r="I1805" s="9" t="n">
        <v>7.29207028283478</v>
      </c>
      <c r="J1805" s="9" t="n">
        <v>21.5488206118702</v>
      </c>
      <c r="K1805" s="3" t="s">
        <v>636</v>
      </c>
      <c r="L1805" s="3" t="s">
        <v>637</v>
      </c>
      <c r="M1805" s="7" t="n">
        <v>2024</v>
      </c>
    </row>
    <row r="1806" customFormat="false" ht="15" hidden="false" customHeight="false" outlineLevel="0" collapsed="false">
      <c r="A1806" s="3" t="n">
        <v>2521</v>
      </c>
      <c r="B1806" s="3" t="s">
        <v>638</v>
      </c>
      <c r="C1806" s="4" t="s">
        <v>14</v>
      </c>
      <c r="D1806" s="5" t="n">
        <v>44043</v>
      </c>
      <c r="E1806" s="6" t="n">
        <v>717</v>
      </c>
      <c r="F1806" s="7" t="n">
        <v>62</v>
      </c>
      <c r="G1806" s="6" t="n">
        <v>1365.34135</v>
      </c>
      <c r="H1806" s="8" t="n">
        <v>1353053.27785</v>
      </c>
      <c r="I1806" s="9" t="n">
        <v>8.16172280756514</v>
      </c>
      <c r="J1806" s="9" t="n">
        <v>27.6751856911225</v>
      </c>
      <c r="K1806" s="3" t="s">
        <v>639</v>
      </c>
      <c r="L1806" s="3" t="s">
        <v>640</v>
      </c>
      <c r="M1806" s="7" t="n">
        <v>2016</v>
      </c>
    </row>
    <row r="1807" customFormat="false" ht="15" hidden="false" customHeight="false" outlineLevel="0" collapsed="false">
      <c r="A1807" s="3" t="n">
        <v>2522</v>
      </c>
      <c r="B1807" s="3" t="s">
        <v>638</v>
      </c>
      <c r="C1807" s="4" t="s">
        <v>17</v>
      </c>
      <c r="D1807" s="5" t="n">
        <v>45810</v>
      </c>
      <c r="E1807" s="6" t="n">
        <v>723</v>
      </c>
      <c r="F1807" s="7" t="n">
        <v>70</v>
      </c>
      <c r="G1807" s="6" t="n">
        <v>865.142273703308</v>
      </c>
      <c r="H1807" s="8" t="n">
        <v>840918.290039615</v>
      </c>
      <c r="I1807" s="9" t="n">
        <v>5.9576330756624</v>
      </c>
      <c r="J1807" s="9" t="n">
        <v>16.9061577219629</v>
      </c>
      <c r="K1807" s="3" t="s">
        <v>639</v>
      </c>
      <c r="L1807" s="3" t="s">
        <v>640</v>
      </c>
      <c r="M1807" s="7" t="n">
        <v>2017</v>
      </c>
    </row>
    <row r="1808" customFormat="false" ht="15" hidden="false" customHeight="false" outlineLevel="0" collapsed="false">
      <c r="A1808" s="3" t="n">
        <v>2523</v>
      </c>
      <c r="B1808" s="3" t="s">
        <v>638</v>
      </c>
      <c r="C1808" s="4" t="s">
        <v>18</v>
      </c>
      <c r="D1808" s="5" t="n">
        <v>46087</v>
      </c>
      <c r="E1808" s="6" t="n">
        <v>728</v>
      </c>
      <c r="F1808" s="7" t="n">
        <v>69</v>
      </c>
      <c r="G1808" s="6" t="n">
        <v>827.758878504932</v>
      </c>
      <c r="H1808" s="8" t="n">
        <v>977583.235514325</v>
      </c>
      <c r="I1808" s="9" t="n">
        <v>5.93305482919918</v>
      </c>
      <c r="J1808" s="9" t="n">
        <v>16.0784094153336</v>
      </c>
      <c r="K1808" s="3" t="s">
        <v>639</v>
      </c>
      <c r="L1808" s="3" t="s">
        <v>640</v>
      </c>
      <c r="M1808" s="7" t="n">
        <v>2018</v>
      </c>
    </row>
    <row r="1809" customFormat="false" ht="15" hidden="false" customHeight="false" outlineLevel="0" collapsed="false">
      <c r="A1809" s="3" t="n">
        <v>2524</v>
      </c>
      <c r="B1809" s="3" t="s">
        <v>638</v>
      </c>
      <c r="C1809" s="4" t="s">
        <v>19</v>
      </c>
      <c r="D1809" s="5" t="n">
        <v>46680</v>
      </c>
      <c r="E1809" s="6" t="n">
        <v>735</v>
      </c>
      <c r="F1809" s="7" t="n">
        <v>66</v>
      </c>
      <c r="G1809" s="6" t="n">
        <v>1263.9616827573</v>
      </c>
      <c r="H1809" s="8" t="n">
        <v>1387829.92766752</v>
      </c>
      <c r="I1809" s="9" t="n">
        <v>8.81313996923753</v>
      </c>
      <c r="J1809" s="9" t="n">
        <v>24.2393369332555</v>
      </c>
      <c r="K1809" s="3" t="s">
        <v>639</v>
      </c>
      <c r="L1809" s="3" t="s">
        <v>640</v>
      </c>
      <c r="M1809" s="7" t="n">
        <v>2019</v>
      </c>
    </row>
    <row r="1810" customFormat="false" ht="15" hidden="false" customHeight="false" outlineLevel="0" collapsed="false">
      <c r="A1810" s="3" t="n">
        <v>2525</v>
      </c>
      <c r="B1810" s="3" t="s">
        <v>638</v>
      </c>
      <c r="C1810" s="4" t="s">
        <v>20</v>
      </c>
      <c r="D1810" s="5" t="n">
        <v>47047</v>
      </c>
      <c r="E1810" s="6" t="n">
        <v>738.5</v>
      </c>
      <c r="F1810" s="7" t="n">
        <v>61</v>
      </c>
      <c r="G1810" s="6" t="n">
        <v>903.643974152266</v>
      </c>
      <c r="H1810" s="8" t="n">
        <v>945211.59696327</v>
      </c>
      <c r="I1810" s="9" t="n">
        <v>8.97247428640693</v>
      </c>
      <c r="J1810" s="9" t="n">
        <v>17.1471368981639</v>
      </c>
      <c r="K1810" s="3" t="s">
        <v>639</v>
      </c>
      <c r="L1810" s="3" t="s">
        <v>640</v>
      </c>
      <c r="M1810" s="7" t="n">
        <v>2020</v>
      </c>
    </row>
    <row r="1811" customFormat="false" ht="15" hidden="false" customHeight="false" outlineLevel="0" collapsed="false">
      <c r="A1811" s="3" t="n">
        <v>2526</v>
      </c>
      <c r="B1811" s="3" t="s">
        <v>638</v>
      </c>
      <c r="C1811" s="4" t="s">
        <v>21</v>
      </c>
      <c r="D1811" s="5" t="n">
        <v>47384</v>
      </c>
      <c r="E1811" s="6" t="n">
        <v>741.1</v>
      </c>
      <c r="F1811" s="7" t="n">
        <v>64</v>
      </c>
      <c r="G1811" s="6" t="n">
        <v>-2276.49273390718</v>
      </c>
      <c r="H1811" s="8" t="n">
        <v>-2932122.64127244</v>
      </c>
      <c r="I1811" s="9" t="n">
        <v>-2.18829671878401</v>
      </c>
      <c r="J1811" s="9" t="n">
        <v>-43.0082947410952</v>
      </c>
      <c r="K1811" s="3" t="s">
        <v>639</v>
      </c>
      <c r="L1811" s="3" t="s">
        <v>640</v>
      </c>
      <c r="M1811" s="7" t="n">
        <v>2021</v>
      </c>
    </row>
    <row r="1812" customFormat="false" ht="15" hidden="false" customHeight="false" outlineLevel="0" collapsed="false">
      <c r="A1812" s="3" t="n">
        <v>2527</v>
      </c>
      <c r="B1812" s="3" t="s">
        <v>638</v>
      </c>
      <c r="C1812" s="4" t="s">
        <v>22</v>
      </c>
      <c r="D1812" s="5" t="n">
        <v>47974</v>
      </c>
      <c r="E1812" s="6" t="n">
        <v>758.91</v>
      </c>
      <c r="F1812" s="7" t="n">
        <v>68</v>
      </c>
      <c r="G1812" s="6" t="n">
        <v>1804.58679897975</v>
      </c>
      <c r="H1812" s="8" t="n">
        <v>2089711.51321854</v>
      </c>
      <c r="I1812" s="9" t="n">
        <v>8.38240839675358</v>
      </c>
      <c r="J1812" s="9" t="n">
        <v>33.6735977543211</v>
      </c>
      <c r="K1812" s="3" t="s">
        <v>639</v>
      </c>
      <c r="L1812" s="3" t="s">
        <v>640</v>
      </c>
      <c r="M1812" s="7" t="n">
        <v>2022</v>
      </c>
    </row>
    <row r="1813" customFormat="false" ht="15" hidden="false" customHeight="false" outlineLevel="0" collapsed="false">
      <c r="A1813" s="3" t="n">
        <v>2528</v>
      </c>
      <c r="B1813" s="3" t="s">
        <v>638</v>
      </c>
      <c r="C1813" s="4" t="s">
        <v>23</v>
      </c>
      <c r="D1813" s="5" t="n">
        <v>47446</v>
      </c>
      <c r="E1813" s="6" t="n">
        <v>750.2</v>
      </c>
      <c r="F1813" s="7" t="n">
        <v>74</v>
      </c>
      <c r="G1813" s="6" t="n">
        <v>358.29518108948</v>
      </c>
      <c r="H1813" s="8" t="n">
        <v>469008.39204613</v>
      </c>
      <c r="I1813" s="9" t="n">
        <v>6.52127284293714</v>
      </c>
      <c r="J1813" s="9" t="n">
        <v>6.76019209884807</v>
      </c>
      <c r="K1813" s="3" t="s">
        <v>639</v>
      </c>
      <c r="L1813" s="3" t="s">
        <v>640</v>
      </c>
      <c r="M1813" s="7" t="n">
        <v>2023</v>
      </c>
    </row>
    <row r="1814" customFormat="false" ht="15" hidden="false" customHeight="false" outlineLevel="0" collapsed="false">
      <c r="A1814" s="3" t="n">
        <v>2529</v>
      </c>
      <c r="B1814" s="3" t="s">
        <v>638</v>
      </c>
      <c r="C1814" s="4" t="s">
        <v>24</v>
      </c>
      <c r="D1814" s="5" t="n">
        <v>49334</v>
      </c>
      <c r="E1814" s="6" t="n">
        <v>752.9</v>
      </c>
      <c r="F1814" s="7" t="n">
        <v>76</v>
      </c>
      <c r="G1814" s="6" t="n">
        <v>728.832909115254</v>
      </c>
      <c r="H1814" s="8" t="n">
        <v>1056807.71821712</v>
      </c>
      <c r="I1814" s="9" t="n">
        <v>6.73484457515815</v>
      </c>
      <c r="J1814" s="9" t="n">
        <v>13.1888776179875</v>
      </c>
      <c r="K1814" s="3" t="s">
        <v>639</v>
      </c>
      <c r="L1814" s="3" t="s">
        <v>640</v>
      </c>
      <c r="M1814" s="7" t="n">
        <v>2024</v>
      </c>
    </row>
    <row r="1815" customFormat="false" ht="15" hidden="false" customHeight="false" outlineLevel="0" collapsed="false">
      <c r="A1815" s="3" t="n">
        <v>2530</v>
      </c>
      <c r="B1815" s="3" t="s">
        <v>641</v>
      </c>
      <c r="C1815" s="4" t="s">
        <v>41</v>
      </c>
      <c r="D1815" s="5" t="n">
        <v>9304</v>
      </c>
      <c r="E1815" s="6" t="n">
        <v>132.3</v>
      </c>
      <c r="F1815" s="7" t="n">
        <v>73</v>
      </c>
      <c r="G1815" s="6" t="n">
        <v>111.682519897959</v>
      </c>
      <c r="H1815" s="8" t="n">
        <v>13960.3149872448</v>
      </c>
      <c r="I1815" s="9" t="n">
        <v>5.76313803038518</v>
      </c>
      <c r="J1815" s="9" t="n">
        <v>10.7456620310034</v>
      </c>
      <c r="K1815" s="3" t="s">
        <v>642</v>
      </c>
      <c r="L1815" s="3" t="s">
        <v>643</v>
      </c>
      <c r="M1815" s="7" t="n">
        <v>2016</v>
      </c>
    </row>
    <row r="1816" customFormat="false" ht="15" hidden="false" customHeight="false" outlineLevel="0" collapsed="false">
      <c r="A1816" s="3" t="n">
        <v>2531</v>
      </c>
      <c r="B1816" s="3" t="s">
        <v>641</v>
      </c>
      <c r="C1816" s="4" t="s">
        <v>42</v>
      </c>
      <c r="D1816" s="5" t="n">
        <v>9304</v>
      </c>
      <c r="E1816" s="6" t="n">
        <v>132.3</v>
      </c>
      <c r="F1816" s="7" t="n">
        <v>75</v>
      </c>
      <c r="G1816" s="6" t="n">
        <v>5.90883185929638</v>
      </c>
      <c r="H1816" s="8" t="n">
        <v>1074.59554798668</v>
      </c>
      <c r="I1816" s="9" t="n">
        <v>1.51648720857238</v>
      </c>
      <c r="J1816" s="9" t="n">
        <v>0.568525049542553</v>
      </c>
      <c r="K1816" s="3" t="s">
        <v>642</v>
      </c>
      <c r="L1816" s="3" t="s">
        <v>643</v>
      </c>
      <c r="M1816" s="7" t="n">
        <v>2017</v>
      </c>
    </row>
    <row r="1817" customFormat="false" ht="15" hidden="false" customHeight="false" outlineLevel="0" collapsed="false">
      <c r="A1817" s="3" t="n">
        <v>2532</v>
      </c>
      <c r="B1817" s="3" t="s">
        <v>641</v>
      </c>
      <c r="C1817" s="4" t="s">
        <v>43</v>
      </c>
      <c r="D1817" s="5" t="n">
        <v>9304</v>
      </c>
      <c r="E1817" s="6" t="n">
        <v>132.3</v>
      </c>
      <c r="F1817" s="7" t="n">
        <v>62</v>
      </c>
      <c r="G1817" s="6" t="n">
        <v>115.011236180905</v>
      </c>
      <c r="H1817" s="8" t="n">
        <v>34503.3708542715</v>
      </c>
      <c r="I1817" s="9" t="n">
        <v>4.34618169243903</v>
      </c>
      <c r="J1817" s="9" t="n">
        <v>11.0659382945254</v>
      </c>
      <c r="K1817" s="3" t="s">
        <v>642</v>
      </c>
      <c r="L1817" s="3" t="s">
        <v>643</v>
      </c>
      <c r="M1817" s="7" t="n">
        <v>2018</v>
      </c>
    </row>
    <row r="1818" customFormat="false" ht="15" hidden="false" customHeight="false" outlineLevel="0" collapsed="false">
      <c r="A1818" s="3" t="n">
        <v>2533</v>
      </c>
      <c r="B1818" s="3" t="s">
        <v>641</v>
      </c>
      <c r="C1818" s="4" t="s">
        <v>44</v>
      </c>
      <c r="D1818" s="5" t="n">
        <v>9325</v>
      </c>
      <c r="E1818" s="6" t="n">
        <v>132.3</v>
      </c>
      <c r="F1818" s="7" t="n">
        <v>60</v>
      </c>
      <c r="G1818" s="6" t="n">
        <v>98.3344472361809</v>
      </c>
      <c r="H1818" s="8" t="n">
        <v>29500.3341708543</v>
      </c>
      <c r="I1818" s="9" t="n">
        <v>3.79071009076348</v>
      </c>
      <c r="J1818" s="9" t="n">
        <v>9.41419162403519</v>
      </c>
      <c r="K1818" s="3" t="s">
        <v>642</v>
      </c>
      <c r="L1818" s="3" t="s">
        <v>643</v>
      </c>
      <c r="M1818" s="7" t="n">
        <v>2019</v>
      </c>
    </row>
    <row r="1819" customFormat="false" ht="15" hidden="false" customHeight="false" outlineLevel="0" collapsed="false">
      <c r="A1819" s="3" t="n">
        <v>2534</v>
      </c>
      <c r="B1819" s="3" t="s">
        <v>641</v>
      </c>
      <c r="C1819" s="4" t="s">
        <v>45</v>
      </c>
      <c r="D1819" s="5" t="n">
        <v>9325</v>
      </c>
      <c r="E1819" s="6" t="n">
        <v>132.3</v>
      </c>
      <c r="F1819" s="7" t="n">
        <v>60</v>
      </c>
      <c r="G1819" s="6" t="n">
        <v>18.062507788945</v>
      </c>
      <c r="H1819" s="8" t="n">
        <v>5418.7523366835</v>
      </c>
      <c r="I1819" s="9" t="n">
        <v>1.47839319381247</v>
      </c>
      <c r="J1819" s="9" t="n">
        <v>1.73399116917642</v>
      </c>
      <c r="K1819" s="3" t="s">
        <v>642</v>
      </c>
      <c r="L1819" s="3" t="s">
        <v>643</v>
      </c>
      <c r="M1819" s="7" t="n">
        <v>2020</v>
      </c>
    </row>
    <row r="1820" customFormat="false" ht="15" hidden="false" customHeight="false" outlineLevel="0" collapsed="false">
      <c r="A1820" s="3" t="n">
        <v>2535</v>
      </c>
      <c r="B1820" s="3" t="s">
        <v>641</v>
      </c>
      <c r="C1820" s="4" t="s">
        <v>46</v>
      </c>
      <c r="D1820" s="5" t="n">
        <v>9772</v>
      </c>
      <c r="E1820" s="6" t="n">
        <v>132.3</v>
      </c>
      <c r="F1820" s="7" t="n">
        <v>67</v>
      </c>
      <c r="G1820" s="6" t="n">
        <v>-18.2698342964818</v>
      </c>
      <c r="H1820" s="8" t="n">
        <v>-5508.00844496878</v>
      </c>
      <c r="I1820" s="9" t="n">
        <v>0.491773873703311</v>
      </c>
      <c r="J1820" s="9" t="n">
        <v>-1.67366611920549</v>
      </c>
      <c r="K1820" s="3" t="s">
        <v>642</v>
      </c>
      <c r="L1820" s="3" t="s">
        <v>643</v>
      </c>
      <c r="M1820" s="7" t="n">
        <v>2021</v>
      </c>
    </row>
    <row r="1821" customFormat="false" ht="15" hidden="false" customHeight="false" outlineLevel="0" collapsed="false">
      <c r="A1821" s="3" t="n">
        <v>2536</v>
      </c>
      <c r="B1821" s="3" t="s">
        <v>641</v>
      </c>
      <c r="C1821" s="4" t="s">
        <v>47</v>
      </c>
      <c r="D1821" s="5" t="n">
        <v>9841</v>
      </c>
      <c r="E1821" s="6" t="n">
        <v>132</v>
      </c>
      <c r="F1821" s="7" t="n">
        <v>55</v>
      </c>
      <c r="G1821" s="6" t="n">
        <v>-14.4970750000001</v>
      </c>
      <c r="H1821" s="8" t="n">
        <v>-4370.57817100004</v>
      </c>
      <c r="I1821" s="9" t="n">
        <v>0.50085172312256</v>
      </c>
      <c r="J1821" s="9" t="n">
        <v>-1.31873893417007</v>
      </c>
      <c r="K1821" s="3" t="s">
        <v>642</v>
      </c>
      <c r="L1821" s="3" t="s">
        <v>643</v>
      </c>
      <c r="M1821" s="7" t="n">
        <v>2022</v>
      </c>
    </row>
    <row r="1822" customFormat="false" ht="15" hidden="false" customHeight="false" outlineLevel="0" collapsed="false">
      <c r="A1822" s="3" t="n">
        <v>2537</v>
      </c>
      <c r="B1822" s="3" t="s">
        <v>641</v>
      </c>
      <c r="C1822" s="4" t="s">
        <v>48</v>
      </c>
      <c r="D1822" s="5" t="n">
        <v>9654</v>
      </c>
      <c r="E1822" s="6" t="n">
        <v>132</v>
      </c>
      <c r="F1822" s="7" t="n">
        <v>59</v>
      </c>
      <c r="G1822" s="6" t="n">
        <v>84.9012999999997</v>
      </c>
      <c r="H1822" s="8" t="n">
        <v>25596.0439239999</v>
      </c>
      <c r="I1822" s="9" t="n">
        <v>3.22417594235629</v>
      </c>
      <c r="J1822" s="9" t="n">
        <v>7.85114935857375</v>
      </c>
      <c r="K1822" s="3" t="s">
        <v>642</v>
      </c>
      <c r="L1822" s="3" t="s">
        <v>643</v>
      </c>
      <c r="M1822" s="7" t="n">
        <v>2023</v>
      </c>
    </row>
    <row r="1823" customFormat="false" ht="15" hidden="false" customHeight="false" outlineLevel="0" collapsed="false">
      <c r="A1823" s="3" t="n">
        <v>2538</v>
      </c>
      <c r="B1823" s="3" t="s">
        <v>641</v>
      </c>
      <c r="C1823" s="4" t="s">
        <v>49</v>
      </c>
      <c r="D1823" s="5" t="n">
        <v>9654</v>
      </c>
      <c r="E1823" s="6" t="n">
        <v>132</v>
      </c>
      <c r="F1823" s="7" t="n">
        <v>64</v>
      </c>
      <c r="G1823" s="6" t="n">
        <v>62.4414999999999</v>
      </c>
      <c r="H1823" s="8" t="n">
        <v>18824.86342</v>
      </c>
      <c r="I1823" s="9" t="n">
        <v>2.02677325363032</v>
      </c>
      <c r="J1823" s="9" t="n">
        <v>5.79006857503124</v>
      </c>
      <c r="K1823" s="3" t="s">
        <v>642</v>
      </c>
      <c r="L1823" s="3" t="s">
        <v>643</v>
      </c>
      <c r="M1823" s="7" t="n">
        <v>2024</v>
      </c>
    </row>
    <row r="1824" customFormat="false" ht="15" hidden="false" customHeight="false" outlineLevel="0" collapsed="false">
      <c r="A1824" s="3" t="n">
        <v>2539</v>
      </c>
      <c r="B1824" s="3" t="s">
        <v>644</v>
      </c>
      <c r="C1824" s="4" t="s">
        <v>41</v>
      </c>
      <c r="D1824" s="5" t="n">
        <v>22878</v>
      </c>
      <c r="E1824" s="6" t="n">
        <v>344</v>
      </c>
      <c r="F1824" s="7" t="n">
        <v>76</v>
      </c>
      <c r="G1824" s="6" t="n">
        <v>741.517081565652</v>
      </c>
      <c r="H1824" s="8" t="n">
        <v>121350.475206666</v>
      </c>
      <c r="I1824" s="9" t="n">
        <v>6.62168878847783</v>
      </c>
      <c r="J1824" s="9" t="n">
        <v>29.0148799971528</v>
      </c>
      <c r="K1824" s="3" t="s">
        <v>645</v>
      </c>
      <c r="L1824" s="3" t="s">
        <v>646</v>
      </c>
      <c r="M1824" s="7" t="n">
        <v>2016</v>
      </c>
    </row>
    <row r="1825" customFormat="false" ht="15" hidden="false" customHeight="false" outlineLevel="0" collapsed="false">
      <c r="A1825" s="3" t="n">
        <v>2540</v>
      </c>
      <c r="B1825" s="3" t="s">
        <v>644</v>
      </c>
      <c r="C1825" s="4" t="s">
        <v>42</v>
      </c>
      <c r="D1825" s="5" t="n">
        <v>23135</v>
      </c>
      <c r="E1825" s="6" t="n">
        <v>344</v>
      </c>
      <c r="F1825" s="7" t="n">
        <v>74</v>
      </c>
      <c r="G1825" s="6" t="n">
        <v>725.959727474747</v>
      </c>
      <c r="H1825" s="8" t="n">
        <v>765271.898636959</v>
      </c>
      <c r="I1825" s="9" t="n">
        <v>5.53904477699685</v>
      </c>
      <c r="J1825" s="9" t="n">
        <v>28.0905795601752</v>
      </c>
      <c r="K1825" s="3" t="s">
        <v>645</v>
      </c>
      <c r="L1825" s="3" t="s">
        <v>646</v>
      </c>
      <c r="M1825" s="7" t="n">
        <v>2017</v>
      </c>
    </row>
    <row r="1826" customFormat="false" ht="15" hidden="false" customHeight="false" outlineLevel="0" collapsed="false">
      <c r="A1826" s="3" t="n">
        <v>2541</v>
      </c>
      <c r="B1826" s="3" t="s">
        <v>644</v>
      </c>
      <c r="C1826" s="4" t="s">
        <v>43</v>
      </c>
      <c r="D1826" s="5" t="n">
        <v>23377</v>
      </c>
      <c r="E1826" s="6" t="n">
        <v>346.1</v>
      </c>
      <c r="F1826" s="7" t="n">
        <v>74</v>
      </c>
      <c r="G1826" s="6" t="n">
        <v>902.529103282829</v>
      </c>
      <c r="H1826" s="8" t="n">
        <v>570055.4322155</v>
      </c>
      <c r="I1826" s="9" t="n">
        <v>7.1884694021987</v>
      </c>
      <c r="J1826" s="9" t="n">
        <v>34.5613034265639</v>
      </c>
      <c r="K1826" s="3" t="s">
        <v>645</v>
      </c>
      <c r="L1826" s="3" t="s">
        <v>646</v>
      </c>
      <c r="M1826" s="7" t="n">
        <v>2018</v>
      </c>
    </row>
    <row r="1827" customFormat="false" ht="15" hidden="false" customHeight="false" outlineLevel="0" collapsed="false">
      <c r="A1827" s="3" t="n">
        <v>2542</v>
      </c>
      <c r="B1827" s="3" t="s">
        <v>644</v>
      </c>
      <c r="C1827" s="4" t="s">
        <v>44</v>
      </c>
      <c r="D1827" s="5" t="n">
        <v>24194</v>
      </c>
      <c r="E1827" s="6" t="n">
        <v>344</v>
      </c>
      <c r="F1827" s="7" t="n">
        <v>78</v>
      </c>
      <c r="G1827" s="6" t="n">
        <v>978.511124872076</v>
      </c>
      <c r="H1827" s="8" t="n">
        <v>160133.345585315</v>
      </c>
      <c r="I1827" s="9" t="n">
        <v>8.57923592196518</v>
      </c>
      <c r="J1827" s="9" t="n">
        <v>36.1064079683167</v>
      </c>
      <c r="K1827" s="3" t="s">
        <v>645</v>
      </c>
      <c r="L1827" s="3" t="s">
        <v>646</v>
      </c>
      <c r="M1827" s="7" t="n">
        <v>2019</v>
      </c>
    </row>
    <row r="1828" customFormat="false" ht="15" hidden="false" customHeight="false" outlineLevel="0" collapsed="false">
      <c r="A1828" s="3" t="n">
        <v>2543</v>
      </c>
      <c r="B1828" s="3" t="s">
        <v>644</v>
      </c>
      <c r="C1828" s="4" t="s">
        <v>45</v>
      </c>
      <c r="D1828" s="5" t="n">
        <v>23827</v>
      </c>
      <c r="E1828" s="6" t="n">
        <v>346.2</v>
      </c>
      <c r="F1828" s="7" t="n">
        <v>79</v>
      </c>
      <c r="G1828" s="6" t="n">
        <v>816.170591678393</v>
      </c>
      <c r="H1828" s="8" t="n">
        <v>124041.606523282</v>
      </c>
      <c r="I1828" s="9" t="n">
        <v>7.92758894716033</v>
      </c>
      <c r="J1828" s="9" t="n">
        <v>30.6640314627136</v>
      </c>
      <c r="K1828" s="3" t="s">
        <v>645</v>
      </c>
      <c r="L1828" s="3" t="s">
        <v>646</v>
      </c>
      <c r="M1828" s="7" t="n">
        <v>2020</v>
      </c>
    </row>
    <row r="1829" customFormat="false" ht="15" hidden="false" customHeight="false" outlineLevel="0" collapsed="false">
      <c r="A1829" s="3" t="n">
        <v>2544</v>
      </c>
      <c r="B1829" s="3" t="s">
        <v>644</v>
      </c>
      <c r="C1829" s="4" t="s">
        <v>46</v>
      </c>
      <c r="D1829" s="5" t="n">
        <v>24846</v>
      </c>
      <c r="E1829" s="6" t="n">
        <v>346.6</v>
      </c>
      <c r="F1829" s="7" t="n">
        <v>79</v>
      </c>
      <c r="G1829" s="6" t="n">
        <v>363.567045608255</v>
      </c>
      <c r="H1829" s="8" t="n">
        <v>70495.6501434407</v>
      </c>
      <c r="I1829" s="9" t="n">
        <v>6.33732703791815</v>
      </c>
      <c r="J1829" s="9" t="n">
        <v>13.099228099875</v>
      </c>
      <c r="K1829" s="3" t="s">
        <v>645</v>
      </c>
      <c r="L1829" s="3" t="s">
        <v>646</v>
      </c>
      <c r="M1829" s="7" t="n">
        <v>2021</v>
      </c>
    </row>
    <row r="1830" customFormat="false" ht="15" hidden="false" customHeight="false" outlineLevel="0" collapsed="false">
      <c r="A1830" s="3" t="n">
        <v>2545</v>
      </c>
      <c r="B1830" s="3" t="s">
        <v>644</v>
      </c>
      <c r="C1830" s="4" t="s">
        <v>47</v>
      </c>
      <c r="D1830" s="5" t="n">
        <v>25197</v>
      </c>
      <c r="E1830" s="6" t="n">
        <v>367.193</v>
      </c>
      <c r="F1830" s="7" t="n">
        <v>74</v>
      </c>
      <c r="G1830" s="6" t="n">
        <v>817.919797499999</v>
      </c>
      <c r="H1830" s="8" t="n">
        <v>179852.384272275</v>
      </c>
      <c r="I1830" s="9" t="n">
        <v>6.65981095072309</v>
      </c>
      <c r="J1830" s="9" t="n">
        <v>29.0589259857785</v>
      </c>
      <c r="K1830" s="3" t="s">
        <v>645</v>
      </c>
      <c r="L1830" s="3" t="s">
        <v>646</v>
      </c>
      <c r="M1830" s="7" t="n">
        <v>2022</v>
      </c>
    </row>
    <row r="1831" customFormat="false" ht="15" hidden="false" customHeight="false" outlineLevel="0" collapsed="false">
      <c r="A1831" s="3" t="n">
        <v>2546</v>
      </c>
      <c r="B1831" s="3" t="s">
        <v>644</v>
      </c>
      <c r="C1831" s="4" t="s">
        <v>48</v>
      </c>
      <c r="D1831" s="5" t="n">
        <v>25568</v>
      </c>
      <c r="E1831" s="6" t="n">
        <v>367.77136</v>
      </c>
      <c r="F1831" s="7" t="n">
        <v>74</v>
      </c>
      <c r="G1831" s="6" t="n">
        <v>666.992031132685</v>
      </c>
      <c r="H1831" s="8" t="n">
        <v>164326.82671016</v>
      </c>
      <c r="I1831" s="9" t="n">
        <v>6.70574049938043</v>
      </c>
      <c r="J1831" s="9" t="n">
        <v>23.2889592659292</v>
      </c>
      <c r="K1831" s="3" t="s">
        <v>645</v>
      </c>
      <c r="L1831" s="3" t="s">
        <v>646</v>
      </c>
      <c r="M1831" s="7" t="n">
        <v>2023</v>
      </c>
    </row>
    <row r="1832" customFormat="false" ht="15" hidden="false" customHeight="false" outlineLevel="0" collapsed="false">
      <c r="A1832" s="3" t="n">
        <v>2547</v>
      </c>
      <c r="B1832" s="3" t="s">
        <v>644</v>
      </c>
      <c r="C1832" s="4" t="s">
        <v>49</v>
      </c>
      <c r="D1832" s="5" t="n">
        <v>26286</v>
      </c>
      <c r="E1832" s="6" t="n">
        <v>352.327</v>
      </c>
      <c r="F1832" s="7" t="n">
        <v>74</v>
      </c>
      <c r="G1832" s="6" t="n">
        <v>664.261734205097</v>
      </c>
      <c r="H1832" s="8" t="n">
        <v>133961.663937142</v>
      </c>
      <c r="I1832" s="9" t="n">
        <v>6.11217346441953</v>
      </c>
      <c r="J1832" s="9" t="n">
        <v>22.6220733336997</v>
      </c>
      <c r="K1832" s="3" t="s">
        <v>645</v>
      </c>
      <c r="L1832" s="3" t="s">
        <v>646</v>
      </c>
      <c r="M1832" s="7" t="n">
        <v>2024</v>
      </c>
    </row>
    <row r="1833" customFormat="false" ht="15" hidden="false" customHeight="false" outlineLevel="0" collapsed="false">
      <c r="A1833" s="3" t="n">
        <v>2548</v>
      </c>
      <c r="B1833" s="3" t="s">
        <v>647</v>
      </c>
      <c r="C1833" s="4" t="s">
        <v>14</v>
      </c>
      <c r="D1833" s="5" t="n">
        <v>30775</v>
      </c>
      <c r="E1833" s="6" t="n">
        <v>470.98</v>
      </c>
      <c r="F1833" s="7" t="n">
        <v>76</v>
      </c>
      <c r="G1833" s="6" t="n">
        <v>680.660533474208</v>
      </c>
      <c r="H1833" s="8" t="n">
        <v>554073.451447757</v>
      </c>
      <c r="I1833" s="9" t="n">
        <v>4.25899655128625</v>
      </c>
      <c r="J1833" s="9" t="n">
        <v>19.7450710965006</v>
      </c>
      <c r="K1833" s="3" t="s">
        <v>648</v>
      </c>
      <c r="L1833" s="3" t="s">
        <v>649</v>
      </c>
      <c r="M1833" s="7" t="n">
        <v>2016</v>
      </c>
    </row>
    <row r="1834" customFormat="false" ht="15" hidden="false" customHeight="false" outlineLevel="0" collapsed="false">
      <c r="A1834" s="3" t="n">
        <v>2549</v>
      </c>
      <c r="B1834" s="3" t="s">
        <v>647</v>
      </c>
      <c r="C1834" s="4" t="s">
        <v>17</v>
      </c>
      <c r="D1834" s="5" t="n">
        <v>31550</v>
      </c>
      <c r="E1834" s="6" t="n">
        <v>484.92</v>
      </c>
      <c r="F1834" s="7" t="n">
        <v>72</v>
      </c>
      <c r="G1834" s="6" t="n">
        <v>1826.96993</v>
      </c>
      <c r="H1834" s="8" t="n">
        <v>1550622.4583882</v>
      </c>
      <c r="I1834" s="9" t="n">
        <v>8.4312296729509</v>
      </c>
      <c r="J1834" s="9" t="n">
        <v>51.8381758120226</v>
      </c>
      <c r="K1834" s="3" t="s">
        <v>648</v>
      </c>
      <c r="L1834" s="3" t="s">
        <v>649</v>
      </c>
      <c r="M1834" s="7" t="n">
        <v>2017</v>
      </c>
    </row>
    <row r="1835" customFormat="false" ht="15" hidden="false" customHeight="false" outlineLevel="0" collapsed="false">
      <c r="A1835" s="3" t="n">
        <v>2550</v>
      </c>
      <c r="B1835" s="3" t="s">
        <v>647</v>
      </c>
      <c r="C1835" s="4" t="s">
        <v>18</v>
      </c>
      <c r="D1835" s="5" t="n">
        <v>32203</v>
      </c>
      <c r="E1835" s="6" t="n">
        <v>488.81</v>
      </c>
      <c r="F1835" s="7" t="n">
        <v>63</v>
      </c>
      <c r="G1835" s="6" t="n">
        <v>985.444481758796</v>
      </c>
      <c r="H1835" s="8" t="n">
        <v>840189.96514755</v>
      </c>
      <c r="I1835" s="9" t="n">
        <v>5.11917176708419</v>
      </c>
      <c r="J1835" s="9" t="n">
        <v>27.3938771851494</v>
      </c>
      <c r="K1835" s="3" t="s">
        <v>648</v>
      </c>
      <c r="L1835" s="3" t="s">
        <v>649</v>
      </c>
      <c r="M1835" s="7" t="n">
        <v>2018</v>
      </c>
    </row>
    <row r="1836" customFormat="false" ht="15" hidden="false" customHeight="false" outlineLevel="0" collapsed="false">
      <c r="A1836" s="3" t="n">
        <v>2551</v>
      </c>
      <c r="B1836" s="3" t="s">
        <v>647</v>
      </c>
      <c r="C1836" s="4" t="s">
        <v>19</v>
      </c>
      <c r="D1836" s="5" t="n">
        <v>32693</v>
      </c>
      <c r="E1836" s="6" t="n">
        <v>489.56</v>
      </c>
      <c r="F1836" s="7" t="n">
        <v>72</v>
      </c>
      <c r="G1836" s="6" t="n">
        <v>281.477777336684</v>
      </c>
      <c r="H1836" s="8" t="n">
        <v>224912.003203104</v>
      </c>
      <c r="I1836" s="9" t="n">
        <v>2.46130035869947</v>
      </c>
      <c r="J1836" s="9" t="n">
        <v>7.70738428252913</v>
      </c>
      <c r="K1836" s="3" t="s">
        <v>648</v>
      </c>
      <c r="L1836" s="3" t="s">
        <v>649</v>
      </c>
      <c r="M1836" s="7" t="n">
        <v>2019</v>
      </c>
    </row>
    <row r="1837" customFormat="false" ht="15" hidden="false" customHeight="false" outlineLevel="0" collapsed="false">
      <c r="A1837" s="3" t="n">
        <v>2552</v>
      </c>
      <c r="B1837" s="3" t="s">
        <v>647</v>
      </c>
      <c r="C1837" s="4" t="s">
        <v>20</v>
      </c>
      <c r="D1837" s="5" t="n">
        <v>33015</v>
      </c>
      <c r="E1837" s="6" t="n">
        <v>462.58</v>
      </c>
      <c r="F1837" s="7" t="n">
        <v>76</v>
      </c>
      <c r="G1837" s="6" t="n">
        <v>1524.03240208544</v>
      </c>
      <c r="H1837" s="8" t="n">
        <v>931244.758970284</v>
      </c>
      <c r="I1837" s="9" t="n">
        <v>6.87161357323776</v>
      </c>
      <c r="J1837" s="9" t="n">
        <v>41.2106147062205</v>
      </c>
      <c r="K1837" s="3" t="s">
        <v>648</v>
      </c>
      <c r="L1837" s="3" t="s">
        <v>649</v>
      </c>
      <c r="M1837" s="7" t="n">
        <v>2020</v>
      </c>
    </row>
    <row r="1838" customFormat="false" ht="15" hidden="false" customHeight="false" outlineLevel="0" collapsed="false">
      <c r="A1838" s="3" t="n">
        <v>2553</v>
      </c>
      <c r="B1838" s="3" t="s">
        <v>647</v>
      </c>
      <c r="C1838" s="4" t="s">
        <v>21</v>
      </c>
      <c r="D1838" s="5" t="n">
        <v>33176</v>
      </c>
      <c r="E1838" s="6" t="n">
        <v>464.93</v>
      </c>
      <c r="F1838" s="7" t="n">
        <v>72</v>
      </c>
      <c r="G1838" s="6" t="n">
        <v>542.10121841297</v>
      </c>
      <c r="H1838" s="8" t="n">
        <v>336482.663428383</v>
      </c>
      <c r="I1838" s="9" t="n">
        <v>3.32002790906066</v>
      </c>
      <c r="J1838" s="9" t="n">
        <v>14.6276323246618</v>
      </c>
      <c r="K1838" s="3" t="s">
        <v>648</v>
      </c>
      <c r="L1838" s="3" t="s">
        <v>649</v>
      </c>
      <c r="M1838" s="7" t="n">
        <v>2021</v>
      </c>
    </row>
    <row r="1839" customFormat="false" ht="15" hidden="false" customHeight="false" outlineLevel="0" collapsed="false">
      <c r="A1839" s="3" t="n">
        <v>2554</v>
      </c>
      <c r="B1839" s="3" t="s">
        <v>647</v>
      </c>
      <c r="C1839" s="4" t="s">
        <v>22</v>
      </c>
      <c r="D1839" s="5" t="n">
        <v>33333</v>
      </c>
      <c r="E1839" s="6" t="n">
        <v>499.2</v>
      </c>
      <c r="F1839" s="7" t="n">
        <v>74</v>
      </c>
      <c r="G1839" s="6" t="n">
        <v>1035.90603395728</v>
      </c>
      <c r="H1839" s="8" t="n">
        <v>754564.314194824</v>
      </c>
      <c r="I1839" s="9" t="n">
        <v>5.32721070170529</v>
      </c>
      <c r="J1839" s="9" t="n">
        <v>27.8204169737588</v>
      </c>
      <c r="K1839" s="3" t="s">
        <v>648</v>
      </c>
      <c r="L1839" s="3" t="s">
        <v>649</v>
      </c>
      <c r="M1839" s="7" t="n">
        <v>2022</v>
      </c>
    </row>
    <row r="1840" customFormat="false" ht="15" hidden="false" customHeight="false" outlineLevel="0" collapsed="false">
      <c r="A1840" s="3" t="n">
        <v>2555</v>
      </c>
      <c r="B1840" s="3" t="s">
        <v>647</v>
      </c>
      <c r="C1840" s="4" t="s">
        <v>23</v>
      </c>
      <c r="D1840" s="5" t="n">
        <v>33469</v>
      </c>
      <c r="E1840" s="6" t="n">
        <v>500.429</v>
      </c>
      <c r="F1840" s="7" t="n">
        <v>78</v>
      </c>
      <c r="G1840" s="6" t="n">
        <v>1770.4911283051</v>
      </c>
      <c r="H1840" s="8" t="n">
        <v>1501305.65715759</v>
      </c>
      <c r="I1840" s="9" t="n">
        <v>8.894426367924</v>
      </c>
      <c r="J1840" s="9" t="n">
        <v>47.3553109708332</v>
      </c>
      <c r="K1840" s="3" t="s">
        <v>648</v>
      </c>
      <c r="L1840" s="3" t="s">
        <v>649</v>
      </c>
      <c r="M1840" s="7" t="n">
        <v>2023</v>
      </c>
    </row>
    <row r="1841" customFormat="false" ht="15" hidden="false" customHeight="false" outlineLevel="0" collapsed="false">
      <c r="A1841" s="3" t="n">
        <v>2556</v>
      </c>
      <c r="B1841" s="3" t="s">
        <v>647</v>
      </c>
      <c r="C1841" s="4" t="s">
        <v>24</v>
      </c>
      <c r="D1841" s="5" t="n">
        <v>33729</v>
      </c>
      <c r="E1841" s="6" t="n">
        <v>523.56</v>
      </c>
      <c r="F1841" s="7" t="n">
        <v>70</v>
      </c>
      <c r="G1841" s="6" t="n">
        <v>1626.63218015076</v>
      </c>
      <c r="H1841" s="8" t="n">
        <v>1269651.48189487</v>
      </c>
      <c r="I1841" s="9" t="n">
        <v>7.85758571876901</v>
      </c>
      <c r="J1841" s="9" t="n">
        <v>43.0538593904847</v>
      </c>
      <c r="K1841" s="3" t="s">
        <v>648</v>
      </c>
      <c r="L1841" s="3" t="s">
        <v>649</v>
      </c>
      <c r="M1841" s="7" t="n">
        <v>2024</v>
      </c>
    </row>
    <row r="1842" customFormat="false" ht="15" hidden="false" customHeight="false" outlineLevel="0" collapsed="false">
      <c r="A1842" s="3" t="n">
        <v>2557</v>
      </c>
      <c r="B1842" s="3" t="s">
        <v>650</v>
      </c>
      <c r="C1842" s="4" t="s">
        <v>41</v>
      </c>
      <c r="D1842" s="5" t="n">
        <v>14414</v>
      </c>
      <c r="E1842" s="6" t="n">
        <v>250</v>
      </c>
      <c r="F1842" s="7" t="n">
        <v>57</v>
      </c>
      <c r="G1842" s="6" t="n">
        <v>327.896806272727</v>
      </c>
      <c r="H1842" s="8" t="n">
        <v>332854.60598357</v>
      </c>
      <c r="I1842" s="9" t="n">
        <v>5.89172079310867</v>
      </c>
      <c r="J1842" s="9" t="n">
        <v>20.3643401906218</v>
      </c>
      <c r="K1842" s="3" t="s">
        <v>651</v>
      </c>
      <c r="L1842" s="3" t="s">
        <v>643</v>
      </c>
      <c r="M1842" s="7" t="n">
        <v>2016</v>
      </c>
    </row>
    <row r="1843" customFormat="false" ht="15" hidden="false" customHeight="false" outlineLevel="0" collapsed="false">
      <c r="A1843" s="3" t="n">
        <v>2558</v>
      </c>
      <c r="B1843" s="3" t="s">
        <v>650</v>
      </c>
      <c r="C1843" s="4" t="s">
        <v>42</v>
      </c>
      <c r="D1843" s="5" t="n">
        <v>14272</v>
      </c>
      <c r="E1843" s="6" t="n">
        <v>250</v>
      </c>
      <c r="F1843" s="7" t="n">
        <v>78</v>
      </c>
      <c r="G1843" s="6" t="n">
        <v>595.096052741705</v>
      </c>
      <c r="H1843" s="8" t="n">
        <v>582973.946147356</v>
      </c>
      <c r="I1843" s="9" t="n">
        <v>11.228905270609</v>
      </c>
      <c r="J1843" s="9" t="n">
        <v>37.3267267118621</v>
      </c>
      <c r="K1843" s="3" t="s">
        <v>651</v>
      </c>
      <c r="L1843" s="3" t="s">
        <v>643</v>
      </c>
      <c r="M1843" s="7" t="n">
        <v>2017</v>
      </c>
    </row>
    <row r="1844" customFormat="false" ht="15" hidden="false" customHeight="false" outlineLevel="0" collapsed="false">
      <c r="A1844" s="3" t="n">
        <v>2559</v>
      </c>
      <c r="B1844" s="3" t="s">
        <v>650</v>
      </c>
      <c r="C1844" s="4" t="s">
        <v>43</v>
      </c>
      <c r="D1844" s="5" t="n">
        <v>14310</v>
      </c>
      <c r="E1844" s="6" t="n">
        <v>250</v>
      </c>
      <c r="F1844" s="7" t="n">
        <v>76</v>
      </c>
      <c r="G1844" s="6" t="n">
        <v>625.743757973614</v>
      </c>
      <c r="H1844" s="8" t="n">
        <v>612997.357623692</v>
      </c>
      <c r="I1844" s="9" t="n">
        <v>11.8564155561529</v>
      </c>
      <c r="J1844" s="9" t="n">
        <v>39.1448440112309</v>
      </c>
      <c r="K1844" s="3" t="s">
        <v>651</v>
      </c>
      <c r="L1844" s="3" t="s">
        <v>643</v>
      </c>
      <c r="M1844" s="7" t="n">
        <v>2018</v>
      </c>
    </row>
    <row r="1845" customFormat="false" ht="15" hidden="false" customHeight="false" outlineLevel="0" collapsed="false">
      <c r="A1845" s="3" t="n">
        <v>2560</v>
      </c>
      <c r="B1845" s="3" t="s">
        <v>650</v>
      </c>
      <c r="C1845" s="4" t="s">
        <v>46</v>
      </c>
      <c r="D1845" s="5" t="n">
        <v>14511</v>
      </c>
      <c r="E1845" s="6" t="n">
        <v>250</v>
      </c>
      <c r="F1845" s="7" t="n">
        <v>79</v>
      </c>
      <c r="G1845" s="6" t="n">
        <v>283.351042929292</v>
      </c>
      <c r="H1845" s="8" t="n">
        <v>74816.0093750502</v>
      </c>
      <c r="I1845" s="9" t="n">
        <v>8.85155444265844</v>
      </c>
      <c r="J1845" s="9" t="n">
        <v>17.4801497101389</v>
      </c>
      <c r="K1845" s="3" t="s">
        <v>651</v>
      </c>
      <c r="L1845" s="3" t="s">
        <v>643</v>
      </c>
      <c r="M1845" s="7" t="n">
        <v>2021</v>
      </c>
    </row>
    <row r="1846" customFormat="false" ht="15" hidden="false" customHeight="false" outlineLevel="0" collapsed="false">
      <c r="A1846" s="3" t="n">
        <v>2561</v>
      </c>
      <c r="B1846" s="3" t="s">
        <v>652</v>
      </c>
      <c r="C1846" s="4" t="s">
        <v>14</v>
      </c>
      <c r="D1846" s="5" t="n">
        <v>7779</v>
      </c>
      <c r="E1846" s="6" t="n">
        <v>116</v>
      </c>
      <c r="F1846" s="7" t="n">
        <v>48</v>
      </c>
      <c r="G1846" s="6" t="n">
        <v>387.696608040201</v>
      </c>
      <c r="H1846" s="8" t="n">
        <v>308371.122995384</v>
      </c>
      <c r="I1846" s="9" t="n">
        <v>6.92455337368965</v>
      </c>
      <c r="J1846" s="9" t="n">
        <v>44.4932800907633</v>
      </c>
      <c r="K1846" s="3" t="s">
        <v>653</v>
      </c>
      <c r="L1846" s="3" t="s">
        <v>654</v>
      </c>
      <c r="M1846" s="7" t="n">
        <v>2016</v>
      </c>
    </row>
    <row r="1847" customFormat="false" ht="15" hidden="false" customHeight="false" outlineLevel="0" collapsed="false">
      <c r="A1847" s="3" t="n">
        <v>2562</v>
      </c>
      <c r="B1847" s="3" t="s">
        <v>652</v>
      </c>
      <c r="C1847" s="4" t="s">
        <v>17</v>
      </c>
      <c r="D1847" s="5" t="n">
        <v>7454</v>
      </c>
      <c r="E1847" s="6" t="n">
        <v>103.181818181818</v>
      </c>
      <c r="F1847" s="7" t="n">
        <v>60</v>
      </c>
      <c r="G1847" s="6" t="n">
        <v>131.138462311558</v>
      </c>
      <c r="H1847" s="8" t="n">
        <v>102800.937052323</v>
      </c>
      <c r="I1847" s="9" t="n">
        <v>4.12968190681296</v>
      </c>
      <c r="J1847" s="9" t="n">
        <v>15.7491954620882</v>
      </c>
      <c r="K1847" s="3" t="s">
        <v>653</v>
      </c>
      <c r="L1847" s="3" t="s">
        <v>654</v>
      </c>
      <c r="M1847" s="7" t="n">
        <v>2017</v>
      </c>
    </row>
    <row r="1848" customFormat="false" ht="15" hidden="false" customHeight="false" outlineLevel="0" collapsed="false">
      <c r="A1848" s="3" t="n">
        <v>2563</v>
      </c>
      <c r="B1848" s="3" t="s">
        <v>652</v>
      </c>
      <c r="C1848" s="4" t="s">
        <v>18</v>
      </c>
      <c r="D1848" s="5" t="n">
        <v>7525</v>
      </c>
      <c r="E1848" s="6" t="n">
        <v>95</v>
      </c>
      <c r="F1848" s="7" t="n">
        <v>59</v>
      </c>
      <c r="G1848" s="6" t="n">
        <v>229.359821428571</v>
      </c>
      <c r="H1848" s="8" t="n">
        <v>179797.457616071</v>
      </c>
      <c r="I1848" s="9" t="n">
        <v>6.84779867163634</v>
      </c>
      <c r="J1848" s="9" t="n">
        <v>27.2852861057724</v>
      </c>
      <c r="K1848" s="3" t="s">
        <v>653</v>
      </c>
      <c r="L1848" s="3" t="s">
        <v>654</v>
      </c>
      <c r="M1848" s="7" t="n">
        <v>2018</v>
      </c>
    </row>
    <row r="1849" customFormat="false" ht="15" hidden="false" customHeight="false" outlineLevel="0" collapsed="false">
      <c r="A1849" s="3" t="n">
        <v>2564</v>
      </c>
      <c r="B1849" s="3" t="s">
        <v>652</v>
      </c>
      <c r="C1849" s="4" t="s">
        <v>19</v>
      </c>
      <c r="D1849" s="5" t="n">
        <v>7454</v>
      </c>
      <c r="E1849" s="6" t="n">
        <v>95</v>
      </c>
      <c r="F1849" s="7" t="n">
        <v>68</v>
      </c>
      <c r="G1849" s="6" t="n">
        <v>609.710138190954</v>
      </c>
      <c r="H1849" s="8" t="n">
        <v>541713.477693423</v>
      </c>
      <c r="I1849" s="9" t="n">
        <v>10.6535835912109</v>
      </c>
      <c r="J1849" s="9" t="n">
        <v>73.2237054814071</v>
      </c>
      <c r="K1849" s="3" t="s">
        <v>653</v>
      </c>
      <c r="L1849" s="3" t="s">
        <v>654</v>
      </c>
      <c r="M1849" s="7" t="n">
        <v>2019</v>
      </c>
    </row>
    <row r="1850" customFormat="false" ht="15" hidden="false" customHeight="false" outlineLevel="0" collapsed="false">
      <c r="A1850" s="3" t="n">
        <v>2565</v>
      </c>
      <c r="B1850" s="3" t="s">
        <v>652</v>
      </c>
      <c r="C1850" s="4" t="s">
        <v>20</v>
      </c>
      <c r="D1850" s="5" t="n">
        <v>7454</v>
      </c>
      <c r="E1850" s="6" t="n">
        <v>95</v>
      </c>
      <c r="F1850" s="7" t="n">
        <v>65</v>
      </c>
      <c r="G1850" s="6" t="n">
        <v>485.681263819095</v>
      </c>
      <c r="H1850" s="8" t="n">
        <v>467035.96010108</v>
      </c>
      <c r="I1850" s="9" t="n">
        <v>8.22387951632756</v>
      </c>
      <c r="J1850" s="9" t="n">
        <v>58.168538909592</v>
      </c>
      <c r="K1850" s="3" t="s">
        <v>653</v>
      </c>
      <c r="L1850" s="3" t="s">
        <v>654</v>
      </c>
      <c r="M1850" s="7" t="n">
        <v>2020</v>
      </c>
    </row>
    <row r="1851" customFormat="false" ht="15" hidden="false" customHeight="false" outlineLevel="0" collapsed="false">
      <c r="A1851" s="3" t="n">
        <v>2566</v>
      </c>
      <c r="B1851" s="3" t="s">
        <v>652</v>
      </c>
      <c r="C1851" s="4" t="s">
        <v>22</v>
      </c>
      <c r="D1851" s="5" t="n">
        <v>7486</v>
      </c>
      <c r="E1851" s="6" t="n">
        <v>101.855303030303</v>
      </c>
      <c r="F1851" s="7" t="n">
        <v>69</v>
      </c>
      <c r="G1851" s="6" t="n">
        <v>842.340231155779</v>
      </c>
      <c r="H1851" s="8" t="n">
        <v>731260.824873266</v>
      </c>
      <c r="I1851" s="9" t="n">
        <v>13.3327517520137</v>
      </c>
      <c r="J1851" s="9" t="n">
        <v>100.729202446157</v>
      </c>
      <c r="K1851" s="3" t="s">
        <v>653</v>
      </c>
      <c r="L1851" s="3" t="s">
        <v>654</v>
      </c>
      <c r="M1851" s="7" t="n">
        <v>2022</v>
      </c>
    </row>
    <row r="1852" customFormat="false" ht="15" hidden="false" customHeight="false" outlineLevel="0" collapsed="false">
      <c r="A1852" s="3" t="n">
        <v>2567</v>
      </c>
      <c r="B1852" s="3" t="s">
        <v>652</v>
      </c>
      <c r="C1852" s="4" t="s">
        <v>23</v>
      </c>
      <c r="D1852" s="5" t="n">
        <v>7509</v>
      </c>
      <c r="E1852" s="6" t="n">
        <v>95</v>
      </c>
      <c r="F1852" s="7" t="n">
        <v>69</v>
      </c>
      <c r="G1852" s="6" t="n">
        <v>822.125523869348</v>
      </c>
      <c r="H1852" s="8" t="n">
        <v>813657.630973494</v>
      </c>
      <c r="I1852" s="9" t="n">
        <v>15.0253876067723</v>
      </c>
      <c r="J1852" s="9" t="n">
        <v>98.010747571175</v>
      </c>
      <c r="K1852" s="3" t="s">
        <v>653</v>
      </c>
      <c r="L1852" s="3" t="s">
        <v>654</v>
      </c>
      <c r="M1852" s="7" t="n">
        <v>2023</v>
      </c>
    </row>
    <row r="1853" customFormat="false" ht="15" hidden="false" customHeight="false" outlineLevel="0" collapsed="false">
      <c r="A1853" s="3" t="n">
        <v>2568</v>
      </c>
      <c r="B1853" s="3" t="s">
        <v>652</v>
      </c>
      <c r="C1853" s="4" t="s">
        <v>24</v>
      </c>
      <c r="D1853" s="5" t="n">
        <v>7941</v>
      </c>
      <c r="E1853" s="6" t="n">
        <v>95</v>
      </c>
      <c r="F1853" s="7" t="n">
        <v>68</v>
      </c>
      <c r="G1853" s="6" t="n">
        <v>1171.02157223215</v>
      </c>
      <c r="H1853" s="8" t="n">
        <v>1367753.19636715</v>
      </c>
      <c r="I1853" s="9" t="n">
        <v>19.7977784831178</v>
      </c>
      <c r="J1853" s="9" t="n">
        <v>131.648493369221</v>
      </c>
      <c r="K1853" s="3" t="s">
        <v>653</v>
      </c>
      <c r="L1853" s="3" t="s">
        <v>654</v>
      </c>
      <c r="M1853" s="7" t="n">
        <v>2024</v>
      </c>
    </row>
    <row r="1854" customFormat="false" ht="15" hidden="false" customHeight="false" outlineLevel="0" collapsed="false">
      <c r="A1854" s="3" t="n">
        <v>2569</v>
      </c>
      <c r="B1854" s="3" t="s">
        <v>655</v>
      </c>
      <c r="C1854" s="4" t="s">
        <v>14</v>
      </c>
      <c r="D1854" s="5" t="n">
        <v>70320</v>
      </c>
      <c r="E1854" s="6" t="n">
        <v>923.57</v>
      </c>
      <c r="F1854" s="7" t="n">
        <v>69</v>
      </c>
      <c r="G1854" s="6" t="n">
        <v>2362.32825327228</v>
      </c>
      <c r="H1854" s="8" t="n">
        <v>201804.489262262</v>
      </c>
      <c r="I1854" s="9" t="n">
        <v>10.6049542643679</v>
      </c>
      <c r="J1854" s="9" t="n">
        <v>29.9907672034311</v>
      </c>
      <c r="K1854" s="3" t="s">
        <v>656</v>
      </c>
      <c r="L1854" s="3" t="s">
        <v>657</v>
      </c>
      <c r="M1854" s="7" t="n">
        <v>2016</v>
      </c>
    </row>
    <row r="1855" customFormat="false" ht="15" hidden="false" customHeight="false" outlineLevel="0" collapsed="false">
      <c r="A1855" s="3" t="n">
        <v>2570</v>
      </c>
      <c r="B1855" s="3" t="s">
        <v>655</v>
      </c>
      <c r="C1855" s="4" t="s">
        <v>17</v>
      </c>
      <c r="D1855" s="5" t="n">
        <v>71029</v>
      </c>
      <c r="E1855" s="6" t="n">
        <v>1028.8</v>
      </c>
      <c r="F1855" s="7" t="n">
        <v>70</v>
      </c>
      <c r="G1855" s="6" t="n">
        <v>6295.62224664587</v>
      </c>
      <c r="H1855" s="8" t="n">
        <v>540228.321475054</v>
      </c>
      <c r="I1855" s="9" t="n">
        <v>12.455771100256</v>
      </c>
      <c r="J1855" s="9" t="n">
        <v>79.3451956665511</v>
      </c>
      <c r="K1855" s="3" t="s">
        <v>656</v>
      </c>
      <c r="L1855" s="3" t="s">
        <v>657</v>
      </c>
      <c r="M1855" s="7" t="n">
        <v>2017</v>
      </c>
    </row>
    <row r="1856" customFormat="false" ht="15" hidden="false" customHeight="false" outlineLevel="0" collapsed="false">
      <c r="A1856" s="3" t="n">
        <v>2571</v>
      </c>
      <c r="B1856" s="3" t="s">
        <v>655</v>
      </c>
      <c r="C1856" s="4" t="s">
        <v>18</v>
      </c>
      <c r="D1856" s="5" t="n">
        <v>70086</v>
      </c>
      <c r="E1856" s="6" t="n">
        <v>1005.33</v>
      </c>
      <c r="F1856" s="7" t="n">
        <v>81</v>
      </c>
      <c r="G1856" s="6" t="n">
        <v>4323.59340776993</v>
      </c>
      <c r="H1856" s="8" t="n">
        <v>539800.636960076</v>
      </c>
      <c r="I1856" s="9" t="n">
        <v>10.1758278245393</v>
      </c>
      <c r="J1856" s="9" t="n">
        <v>55.2244305314711</v>
      </c>
      <c r="K1856" s="3" t="s">
        <v>656</v>
      </c>
      <c r="L1856" s="3" t="s">
        <v>657</v>
      </c>
      <c r="M1856" s="7" t="n">
        <v>2018</v>
      </c>
    </row>
    <row r="1857" customFormat="false" ht="15" hidden="false" customHeight="false" outlineLevel="0" collapsed="false">
      <c r="A1857" s="3" t="n">
        <v>2572</v>
      </c>
      <c r="B1857" s="3" t="s">
        <v>655</v>
      </c>
      <c r="C1857" s="4" t="s">
        <v>19</v>
      </c>
      <c r="D1857" s="5" t="n">
        <v>70118</v>
      </c>
      <c r="E1857" s="6" t="n">
        <v>993.59</v>
      </c>
      <c r="F1857" s="7" t="n">
        <v>83</v>
      </c>
      <c r="G1857" s="6" t="n">
        <v>4809.78866739186</v>
      </c>
      <c r="H1857" s="8" t="n">
        <v>662885.074139946</v>
      </c>
      <c r="I1857" s="9" t="n">
        <v>9.54800551924551</v>
      </c>
      <c r="J1857" s="9" t="n">
        <v>61.4064723805579</v>
      </c>
      <c r="K1857" s="3" t="s">
        <v>656</v>
      </c>
      <c r="L1857" s="3" t="s">
        <v>657</v>
      </c>
      <c r="M1857" s="7" t="n">
        <v>2019</v>
      </c>
    </row>
    <row r="1858" customFormat="false" ht="15" hidden="false" customHeight="false" outlineLevel="0" collapsed="false">
      <c r="A1858" s="3" t="n">
        <v>2573</v>
      </c>
      <c r="B1858" s="3" t="s">
        <v>655</v>
      </c>
      <c r="C1858" s="4" t="s">
        <v>20</v>
      </c>
      <c r="D1858" s="5" t="n">
        <v>69169</v>
      </c>
      <c r="E1858" s="6" t="n">
        <v>1010</v>
      </c>
      <c r="F1858" s="7" t="n">
        <v>87</v>
      </c>
      <c r="G1858" s="6" t="n">
        <v>6129.93224324688</v>
      </c>
      <c r="H1858" s="8" t="n">
        <v>832506.097955359</v>
      </c>
      <c r="I1858" s="9" t="n">
        <v>11.1639714879235</v>
      </c>
      <c r="J1858" s="9" t="n">
        <v>79.1171019638515</v>
      </c>
      <c r="K1858" s="3" t="s">
        <v>656</v>
      </c>
      <c r="L1858" s="3" t="s">
        <v>657</v>
      </c>
      <c r="M1858" s="7" t="n">
        <v>2020</v>
      </c>
    </row>
    <row r="1859" customFormat="false" ht="15" hidden="false" customHeight="false" outlineLevel="0" collapsed="false">
      <c r="A1859" s="3" t="n">
        <v>2574</v>
      </c>
      <c r="B1859" s="3" t="s">
        <v>655</v>
      </c>
      <c r="C1859" s="4" t="s">
        <v>21</v>
      </c>
      <c r="D1859" s="5" t="n">
        <v>69144</v>
      </c>
      <c r="E1859" s="6" t="n">
        <v>1009.5</v>
      </c>
      <c r="F1859" s="7" t="n">
        <v>86</v>
      </c>
      <c r="G1859" s="6" t="n">
        <v>4385.63156848665</v>
      </c>
      <c r="H1859" s="8" t="n">
        <v>625961.193770099</v>
      </c>
      <c r="I1859" s="9" t="n">
        <v>8.38334654696867</v>
      </c>
      <c r="J1859" s="9" t="n">
        <v>56.7799909308136</v>
      </c>
      <c r="K1859" s="3" t="s">
        <v>656</v>
      </c>
      <c r="L1859" s="3" t="s">
        <v>657</v>
      </c>
      <c r="M1859" s="7" t="n">
        <v>2021</v>
      </c>
    </row>
    <row r="1860" customFormat="false" ht="15" hidden="false" customHeight="false" outlineLevel="0" collapsed="false">
      <c r="A1860" s="3" t="n">
        <v>2575</v>
      </c>
      <c r="B1860" s="3" t="s">
        <v>655</v>
      </c>
      <c r="C1860" s="4" t="s">
        <v>22</v>
      </c>
      <c r="D1860" s="5" t="n">
        <v>69173</v>
      </c>
      <c r="E1860" s="6" t="n">
        <v>1009.7</v>
      </c>
      <c r="F1860" s="7" t="n">
        <v>80</v>
      </c>
      <c r="G1860" s="6" t="n">
        <v>5217.0304567575</v>
      </c>
      <c r="H1860" s="8" t="n">
        <v>836029.130695389</v>
      </c>
      <c r="I1860" s="9" t="n">
        <v>9.21444850605572</v>
      </c>
      <c r="J1860" s="9" t="n">
        <v>67.5156472378971</v>
      </c>
      <c r="K1860" s="3" t="s">
        <v>656</v>
      </c>
      <c r="L1860" s="3" t="s">
        <v>657</v>
      </c>
      <c r="M1860" s="7" t="n">
        <v>2022</v>
      </c>
    </row>
    <row r="1861" customFormat="false" ht="15" hidden="false" customHeight="false" outlineLevel="0" collapsed="false">
      <c r="A1861" s="3" t="n">
        <v>2576</v>
      </c>
      <c r="B1861" s="3" t="s">
        <v>655</v>
      </c>
      <c r="C1861" s="4" t="s">
        <v>23</v>
      </c>
      <c r="D1861" s="5" t="n">
        <v>69173</v>
      </c>
      <c r="E1861" s="6" t="n">
        <v>992.77</v>
      </c>
      <c r="F1861" s="7" t="n">
        <v>72</v>
      </c>
      <c r="G1861" s="6" t="n">
        <v>5044.28158986583</v>
      </c>
      <c r="H1861" s="8" t="n">
        <v>870844.773674437</v>
      </c>
      <c r="I1861" s="9" t="n">
        <v>12.7180740128519</v>
      </c>
      <c r="J1861" s="9" t="n">
        <v>65.2800360689615</v>
      </c>
      <c r="K1861" s="3" t="s">
        <v>656</v>
      </c>
      <c r="L1861" s="3" t="s">
        <v>657</v>
      </c>
      <c r="M1861" s="7" t="n">
        <v>2023</v>
      </c>
    </row>
    <row r="1862" customFormat="false" ht="15" hidden="false" customHeight="false" outlineLevel="0" collapsed="false">
      <c r="A1862" s="3" t="n">
        <v>2577</v>
      </c>
      <c r="B1862" s="3" t="s">
        <v>655</v>
      </c>
      <c r="C1862" s="4" t="s">
        <v>48</v>
      </c>
      <c r="D1862" s="5" t="n">
        <v>69334</v>
      </c>
      <c r="E1862" s="6" t="n">
        <v>994</v>
      </c>
      <c r="F1862" s="7" t="n">
        <v>72</v>
      </c>
      <c r="G1862" s="6" t="n">
        <v>4816.43772828507</v>
      </c>
      <c r="H1862" s="8" t="n">
        <v>955244.094650779</v>
      </c>
      <c r="I1862" s="9" t="n">
        <v>12.2671690025854</v>
      </c>
      <c r="J1862" s="9" t="n">
        <v>62.0163050407742</v>
      </c>
      <c r="K1862" s="3" t="s">
        <v>656</v>
      </c>
      <c r="L1862" s="3" t="s">
        <v>657</v>
      </c>
      <c r="M1862" s="7" t="n">
        <v>2023</v>
      </c>
    </row>
    <row r="1863" customFormat="false" ht="15" hidden="false" customHeight="false" outlineLevel="0" collapsed="false">
      <c r="A1863" s="3" t="n">
        <v>2578</v>
      </c>
      <c r="B1863" s="3" t="s">
        <v>655</v>
      </c>
      <c r="C1863" s="4" t="s">
        <v>49</v>
      </c>
      <c r="D1863" s="5" t="n">
        <v>68553</v>
      </c>
      <c r="E1863" s="6" t="n">
        <v>911.710571166228</v>
      </c>
      <c r="F1863" s="7" t="n">
        <v>88</v>
      </c>
      <c r="G1863" s="6" t="n">
        <v>4735.75328170651</v>
      </c>
      <c r="H1863" s="8" t="n">
        <v>938389.512770145</v>
      </c>
      <c r="I1863" s="9" t="n">
        <v>10.1890168837817</v>
      </c>
      <c r="J1863" s="9" t="n">
        <v>61.8415374852083</v>
      </c>
      <c r="K1863" s="3" t="s">
        <v>656</v>
      </c>
      <c r="L1863" s="3" t="s">
        <v>657</v>
      </c>
      <c r="M1863" s="7" t="n">
        <v>2024</v>
      </c>
    </row>
    <row r="1864" customFormat="false" ht="15" hidden="false" customHeight="false" outlineLevel="0" collapsed="false">
      <c r="A1864" s="3" t="n">
        <v>2579</v>
      </c>
      <c r="B1864" s="3" t="s">
        <v>658</v>
      </c>
      <c r="C1864" s="4" t="s">
        <v>14</v>
      </c>
      <c r="D1864" s="5" t="n">
        <v>4192</v>
      </c>
      <c r="E1864" s="6" t="n">
        <v>126.704545454545</v>
      </c>
      <c r="F1864" s="7" t="n">
        <v>51</v>
      </c>
      <c r="G1864" s="6" t="n">
        <v>-48.3771428571431</v>
      </c>
      <c r="H1864" s="8" t="n">
        <v>-25059.3600000001</v>
      </c>
      <c r="I1864" s="9" t="n">
        <v>4.91423273064441</v>
      </c>
      <c r="J1864" s="9" t="n">
        <v>-10.3025595897881</v>
      </c>
      <c r="K1864" s="3" t="s">
        <v>659</v>
      </c>
      <c r="L1864" s="3" t="s">
        <v>660</v>
      </c>
      <c r="M1864" s="7" t="n">
        <v>2016</v>
      </c>
    </row>
    <row r="1865" customFormat="false" ht="15" hidden="false" customHeight="false" outlineLevel="0" collapsed="false">
      <c r="A1865" s="3" t="n">
        <v>2580</v>
      </c>
      <c r="B1865" s="3" t="s">
        <v>658</v>
      </c>
      <c r="C1865" s="4" t="s">
        <v>17</v>
      </c>
      <c r="D1865" s="5" t="n">
        <v>4200</v>
      </c>
      <c r="E1865" s="6" t="n">
        <v>126.7</v>
      </c>
      <c r="F1865" s="7" t="n">
        <v>67</v>
      </c>
      <c r="G1865" s="6" t="n">
        <v>299.424232673267</v>
      </c>
      <c r="H1865" s="8" t="n">
        <v>155101.752524753</v>
      </c>
      <c r="I1865" s="9" t="n">
        <v>12.7794440380395</v>
      </c>
      <c r="J1865" s="9" t="n">
        <v>63.8197839094824</v>
      </c>
      <c r="K1865" s="3" t="s">
        <v>659</v>
      </c>
      <c r="L1865" s="3" t="s">
        <v>660</v>
      </c>
      <c r="M1865" s="7" t="n">
        <v>2017</v>
      </c>
    </row>
    <row r="1866" customFormat="false" ht="15" hidden="false" customHeight="false" outlineLevel="0" collapsed="false">
      <c r="A1866" s="3" t="n">
        <v>2581</v>
      </c>
      <c r="B1866" s="3" t="s">
        <v>658</v>
      </c>
      <c r="C1866" s="4" t="s">
        <v>18</v>
      </c>
      <c r="D1866" s="5" t="n">
        <v>4200</v>
      </c>
      <c r="E1866" s="6" t="n">
        <v>126.7</v>
      </c>
      <c r="F1866" s="7" t="n">
        <v>69</v>
      </c>
      <c r="G1866" s="6" t="n">
        <v>73.68</v>
      </c>
      <c r="H1866" s="8" t="n">
        <v>38166.24</v>
      </c>
      <c r="I1866" s="9" t="n">
        <v>4.14355628058728</v>
      </c>
      <c r="J1866" s="9" t="n">
        <v>15.7042789638933</v>
      </c>
      <c r="K1866" s="3" t="s">
        <v>659</v>
      </c>
      <c r="L1866" s="3" t="s">
        <v>660</v>
      </c>
      <c r="M1866" s="7" t="n">
        <v>2018</v>
      </c>
    </row>
    <row r="1867" customFormat="false" ht="15" hidden="false" customHeight="false" outlineLevel="0" collapsed="false">
      <c r="A1867" s="3" t="n">
        <v>2582</v>
      </c>
      <c r="B1867" s="3" t="s">
        <v>658</v>
      </c>
      <c r="C1867" s="4" t="s">
        <v>19</v>
      </c>
      <c r="D1867" s="5" t="n">
        <v>4200</v>
      </c>
      <c r="E1867" s="6" t="n">
        <v>126.7</v>
      </c>
      <c r="F1867" s="7" t="n">
        <v>78</v>
      </c>
      <c r="G1867" s="6" t="n">
        <v>12.3868107486257</v>
      </c>
      <c r="H1867" s="8" t="n">
        <v>6416.3679677881</v>
      </c>
      <c r="I1867" s="9" t="n">
        <v>2.05377528719633</v>
      </c>
      <c r="J1867" s="9" t="n">
        <v>2.64014564969285</v>
      </c>
      <c r="K1867" s="3" t="s">
        <v>659</v>
      </c>
      <c r="L1867" s="3" t="s">
        <v>660</v>
      </c>
      <c r="M1867" s="7" t="n">
        <v>2019</v>
      </c>
    </row>
    <row r="1868" customFormat="false" ht="15" hidden="false" customHeight="false" outlineLevel="0" collapsed="false">
      <c r="A1868" s="3" t="n">
        <v>2583</v>
      </c>
      <c r="B1868" s="3" t="s">
        <v>658</v>
      </c>
      <c r="C1868" s="4" t="s">
        <v>661</v>
      </c>
      <c r="D1868" s="5" t="n">
        <v>4474</v>
      </c>
      <c r="E1868" s="6" t="n">
        <v>131.2</v>
      </c>
      <c r="F1868" s="7" t="n">
        <v>76</v>
      </c>
      <c r="G1868" s="6" t="n">
        <v>31.6431465942749</v>
      </c>
      <c r="H1868" s="8" t="n">
        <v>52600.0861521972</v>
      </c>
      <c r="I1868" s="9" t="n">
        <v>11.361564600724</v>
      </c>
      <c r="J1868" s="9" t="n">
        <v>5.42267793572856</v>
      </c>
      <c r="K1868" s="3" t="s">
        <v>659</v>
      </c>
      <c r="L1868" s="3" t="s">
        <v>660</v>
      </c>
      <c r="M1868" s="7" t="n">
        <v>2021</v>
      </c>
    </row>
    <row r="1869" customFormat="false" ht="15" hidden="false" customHeight="false" outlineLevel="0" collapsed="false">
      <c r="A1869" s="3" t="n">
        <v>2584</v>
      </c>
      <c r="B1869" s="3" t="s">
        <v>658</v>
      </c>
      <c r="C1869" s="4" t="s">
        <v>47</v>
      </c>
      <c r="D1869" s="5" t="n">
        <v>4499</v>
      </c>
      <c r="E1869" s="6" t="n">
        <v>133.5</v>
      </c>
      <c r="F1869" s="7" t="n">
        <v>77</v>
      </c>
      <c r="G1869" s="6" t="n">
        <v>171.205583694536</v>
      </c>
      <c r="H1869" s="8" t="n">
        <v>358379.512180262</v>
      </c>
      <c r="I1869" s="9" t="n">
        <v>12.1035241672056</v>
      </c>
      <c r="J1869" s="9" t="n">
        <v>34.065879507075</v>
      </c>
      <c r="K1869" s="3" t="s">
        <v>659</v>
      </c>
      <c r="L1869" s="3" t="s">
        <v>660</v>
      </c>
      <c r="M1869" s="7" t="n">
        <v>2022</v>
      </c>
    </row>
    <row r="1870" customFormat="false" ht="15" hidden="false" customHeight="false" outlineLevel="0" collapsed="false">
      <c r="A1870" s="3" t="n">
        <v>2585</v>
      </c>
      <c r="B1870" s="3" t="s">
        <v>658</v>
      </c>
      <c r="C1870" s="4" t="s">
        <v>48</v>
      </c>
      <c r="D1870" s="5" t="n">
        <v>4499</v>
      </c>
      <c r="E1870" s="6" t="n">
        <v>133.5</v>
      </c>
      <c r="F1870" s="7" t="n">
        <v>76</v>
      </c>
      <c r="G1870" s="6" t="n">
        <v>20.3104484536083</v>
      </c>
      <c r="H1870" s="8" t="n">
        <v>64905.0846007734</v>
      </c>
      <c r="I1870" s="9" t="n">
        <v>7.34076016946787</v>
      </c>
      <c r="J1870" s="9" t="n">
        <v>4.03022890265217</v>
      </c>
      <c r="K1870" s="3" t="s">
        <v>659</v>
      </c>
      <c r="L1870" s="3" t="s">
        <v>660</v>
      </c>
      <c r="M1870" s="7" t="n">
        <v>2023</v>
      </c>
    </row>
    <row r="1871" customFormat="false" ht="15" hidden="false" customHeight="false" outlineLevel="0" collapsed="false">
      <c r="A1871" s="3" t="n">
        <v>2586</v>
      </c>
      <c r="B1871" s="3" t="s">
        <v>658</v>
      </c>
      <c r="C1871" s="4" t="s">
        <v>49</v>
      </c>
      <c r="D1871" s="5" t="n">
        <v>4600</v>
      </c>
      <c r="E1871" s="6" t="n">
        <v>133.5</v>
      </c>
      <c r="F1871" s="7" t="n">
        <v>77</v>
      </c>
      <c r="G1871" s="6" t="n">
        <v>79.1832083333334</v>
      </c>
      <c r="H1871" s="8" t="n">
        <v>253993.984719009</v>
      </c>
      <c r="I1871" s="9" t="n">
        <v>6.90675526788984</v>
      </c>
      <c r="J1871" s="9" t="n">
        <v>15.4096557684096</v>
      </c>
      <c r="K1871" s="3" t="s">
        <v>659</v>
      </c>
      <c r="L1871" s="3" t="s">
        <v>660</v>
      </c>
      <c r="M1871" s="7" t="n">
        <v>2024</v>
      </c>
    </row>
    <row r="1872" customFormat="false" ht="15" hidden="false" customHeight="false" outlineLevel="0" collapsed="false">
      <c r="A1872" s="3" t="n">
        <v>2593</v>
      </c>
      <c r="B1872" s="3" t="s">
        <v>662</v>
      </c>
      <c r="C1872" s="4" t="s">
        <v>23</v>
      </c>
      <c r="D1872" s="5" t="n">
        <v>3140</v>
      </c>
      <c r="E1872" s="6" t="n">
        <v>56.2644651506722</v>
      </c>
      <c r="F1872" s="7" t="n">
        <v>62</v>
      </c>
      <c r="G1872" s="6" t="n">
        <v>189.050568913481</v>
      </c>
      <c r="H1872" s="8" t="n">
        <v>310114.169664088</v>
      </c>
      <c r="I1872" s="9" t="n">
        <v>11.3647850089418</v>
      </c>
      <c r="J1872" s="9" t="n">
        <v>53.8971765687572</v>
      </c>
      <c r="K1872" s="3" t="s">
        <v>663</v>
      </c>
      <c r="L1872" s="3" t="s">
        <v>657</v>
      </c>
      <c r="M1872" s="7" t="n">
        <v>2023</v>
      </c>
    </row>
    <row r="1873" customFormat="false" ht="15" hidden="false" customHeight="false" outlineLevel="0" collapsed="false">
      <c r="A1873" s="3" t="n">
        <v>2594</v>
      </c>
      <c r="B1873" s="3" t="s">
        <v>662</v>
      </c>
      <c r="C1873" s="4" t="s">
        <v>24</v>
      </c>
      <c r="D1873" s="5" t="n">
        <v>3011</v>
      </c>
      <c r="E1873" s="6" t="n">
        <v>57.3</v>
      </c>
      <c r="F1873" s="7" t="n">
        <v>79</v>
      </c>
      <c r="G1873" s="6" t="n">
        <v>145.859999329936</v>
      </c>
      <c r="H1873" s="8" t="n">
        <v>167511.442461032</v>
      </c>
      <c r="I1873" s="9" t="n">
        <v>7.76676005941382</v>
      </c>
      <c r="J1873" s="9" t="n">
        <v>43.2465677371637</v>
      </c>
      <c r="K1873" s="3" t="s">
        <v>663</v>
      </c>
      <c r="L1873" s="3" t="s">
        <v>657</v>
      </c>
      <c r="M1873" s="7" t="n">
        <v>2024</v>
      </c>
    </row>
    <row r="1874" customFormat="false" ht="15" hidden="false" customHeight="false" outlineLevel="0" collapsed="false">
      <c r="A1874" s="3" t="n">
        <v>2595</v>
      </c>
      <c r="B1874" s="3" t="s">
        <v>664</v>
      </c>
      <c r="C1874" s="4" t="s">
        <v>80</v>
      </c>
      <c r="D1874" s="5" t="n">
        <v>42125</v>
      </c>
      <c r="E1874" s="6" t="n">
        <v>658</v>
      </c>
      <c r="F1874" s="7" t="n">
        <v>73</v>
      </c>
      <c r="G1874" s="6" t="n">
        <v>2105.7858595287</v>
      </c>
      <c r="H1874" s="8" t="n">
        <v>1254322.97932245</v>
      </c>
      <c r="I1874" s="9" t="n">
        <v>10.7714618043044</v>
      </c>
      <c r="J1874" s="9" t="n">
        <v>44.6272868981447</v>
      </c>
      <c r="K1874" s="3" t="s">
        <v>665</v>
      </c>
      <c r="L1874" s="3" t="s">
        <v>666</v>
      </c>
      <c r="M1874" s="7" t="n">
        <v>2015</v>
      </c>
    </row>
    <row r="1875" customFormat="false" ht="15" hidden="false" customHeight="false" outlineLevel="0" collapsed="false">
      <c r="A1875" s="3" t="n">
        <v>2596</v>
      </c>
      <c r="B1875" s="3" t="s">
        <v>664</v>
      </c>
      <c r="C1875" s="4" t="s">
        <v>41</v>
      </c>
      <c r="D1875" s="5" t="n">
        <v>43510</v>
      </c>
      <c r="E1875" s="6" t="n">
        <v>802.56</v>
      </c>
      <c r="F1875" s="7" t="n">
        <v>65</v>
      </c>
      <c r="G1875" s="6" t="n">
        <v>1144.0930788181</v>
      </c>
      <c r="H1875" s="8" t="n">
        <v>698640.438580273</v>
      </c>
      <c r="I1875" s="9" t="n">
        <v>6.60852297330996</v>
      </c>
      <c r="J1875" s="9" t="n">
        <v>23.5391051839767</v>
      </c>
      <c r="K1875" s="3" t="s">
        <v>665</v>
      </c>
      <c r="L1875" s="3" t="s">
        <v>666</v>
      </c>
      <c r="M1875" s="7" t="n">
        <v>2016</v>
      </c>
    </row>
    <row r="1876" customFormat="false" ht="15" hidden="false" customHeight="false" outlineLevel="0" collapsed="false">
      <c r="A1876" s="3" t="n">
        <v>2597</v>
      </c>
      <c r="B1876" s="3" t="s">
        <v>664</v>
      </c>
      <c r="C1876" s="4" t="s">
        <v>42</v>
      </c>
      <c r="D1876" s="5" t="n">
        <v>43914</v>
      </c>
      <c r="E1876" s="6" t="n">
        <v>802.6</v>
      </c>
      <c r="F1876" s="7" t="n">
        <v>70</v>
      </c>
      <c r="G1876" s="6" t="n">
        <v>519.084611836735</v>
      </c>
      <c r="H1876" s="8" t="n">
        <v>325855.36508051</v>
      </c>
      <c r="I1876" s="9" t="n">
        <v>5.51811943696484</v>
      </c>
      <c r="J1876" s="9" t="n">
        <v>10.5816363258714</v>
      </c>
      <c r="K1876" s="3" t="s">
        <v>665</v>
      </c>
      <c r="L1876" s="3" t="s">
        <v>666</v>
      </c>
      <c r="M1876" s="7" t="n">
        <v>2017</v>
      </c>
    </row>
    <row r="1877" customFormat="false" ht="15" hidden="false" customHeight="false" outlineLevel="0" collapsed="false">
      <c r="A1877" s="3" t="n">
        <v>2598</v>
      </c>
      <c r="B1877" s="3" t="s">
        <v>664</v>
      </c>
      <c r="C1877" s="4" t="s">
        <v>43</v>
      </c>
      <c r="D1877" s="5" t="n">
        <v>44612</v>
      </c>
      <c r="E1877" s="6" t="n">
        <v>802.6</v>
      </c>
      <c r="F1877" s="7" t="n">
        <v>63</v>
      </c>
      <c r="G1877" s="6" t="n">
        <v>723.036403673468</v>
      </c>
      <c r="H1877" s="8" t="n">
        <v>427278.362750836</v>
      </c>
      <c r="I1877" s="9" t="n">
        <v>6.35414666216508</v>
      </c>
      <c r="J1877" s="9" t="n">
        <v>14.5086212927855</v>
      </c>
      <c r="K1877" s="3" t="s">
        <v>665</v>
      </c>
      <c r="L1877" s="3" t="s">
        <v>666</v>
      </c>
      <c r="M1877" s="7" t="n">
        <v>2018</v>
      </c>
    </row>
    <row r="1878" customFormat="false" ht="15" hidden="false" customHeight="false" outlineLevel="0" collapsed="false">
      <c r="A1878" s="3" t="n">
        <v>2599</v>
      </c>
      <c r="B1878" s="3" t="s">
        <v>664</v>
      </c>
      <c r="C1878" s="4" t="s">
        <v>44</v>
      </c>
      <c r="D1878" s="5" t="n">
        <v>44884</v>
      </c>
      <c r="E1878" s="6" t="n">
        <v>841</v>
      </c>
      <c r="F1878" s="7" t="n">
        <v>71</v>
      </c>
      <c r="G1878" s="6" t="n">
        <v>374.848377551024</v>
      </c>
      <c r="H1878" s="8" t="n">
        <v>243231.615225308</v>
      </c>
      <c r="I1878" s="9" t="n">
        <v>5.12579435952988</v>
      </c>
      <c r="J1878" s="9" t="n">
        <v>7.45573177209188</v>
      </c>
      <c r="K1878" s="3" t="s">
        <v>665</v>
      </c>
      <c r="L1878" s="3" t="s">
        <v>666</v>
      </c>
      <c r="M1878" s="7" t="n">
        <v>2019</v>
      </c>
    </row>
    <row r="1879" customFormat="false" ht="15" hidden="false" customHeight="false" outlineLevel="0" collapsed="false">
      <c r="A1879" s="3" t="n">
        <v>2600</v>
      </c>
      <c r="B1879" s="3" t="s">
        <v>664</v>
      </c>
      <c r="C1879" s="4" t="s">
        <v>45</v>
      </c>
      <c r="D1879" s="5" t="n">
        <v>45092</v>
      </c>
      <c r="E1879" s="6" t="n">
        <v>850.96</v>
      </c>
      <c r="F1879" s="7" t="n">
        <v>70</v>
      </c>
      <c r="G1879" s="6" t="n">
        <v>506.091914285713</v>
      </c>
      <c r="H1879" s="8" t="n">
        <v>348783.364568285</v>
      </c>
      <c r="I1879" s="9" t="n">
        <v>5.43122365687457</v>
      </c>
      <c r="J1879" s="9" t="n">
        <v>10.0472584719295</v>
      </c>
      <c r="K1879" s="3" t="s">
        <v>665</v>
      </c>
      <c r="L1879" s="3" t="s">
        <v>666</v>
      </c>
      <c r="M1879" s="7" t="n">
        <v>2020</v>
      </c>
    </row>
    <row r="1880" customFormat="false" ht="15" hidden="false" customHeight="false" outlineLevel="0" collapsed="false">
      <c r="A1880" s="3" t="n">
        <v>2601</v>
      </c>
      <c r="B1880" s="3" t="s">
        <v>664</v>
      </c>
      <c r="C1880" s="4" t="s">
        <v>46</v>
      </c>
      <c r="D1880" s="5" t="n">
        <v>46256</v>
      </c>
      <c r="E1880" s="6" t="n">
        <v>850.96</v>
      </c>
      <c r="F1880" s="7" t="n">
        <v>80</v>
      </c>
      <c r="G1880" s="6" t="n">
        <v>257.962677346938</v>
      </c>
      <c r="H1880" s="8" t="n">
        <v>188253.423047475</v>
      </c>
      <c r="I1880" s="9" t="n">
        <v>4.77284083944835</v>
      </c>
      <c r="J1880" s="9" t="n">
        <v>4.99236667937923</v>
      </c>
      <c r="K1880" s="3" t="s">
        <v>665</v>
      </c>
      <c r="L1880" s="3" t="s">
        <v>666</v>
      </c>
      <c r="M1880" s="7" t="n">
        <v>2021</v>
      </c>
    </row>
    <row r="1881" customFormat="false" ht="15" hidden="false" customHeight="false" outlineLevel="0" collapsed="false">
      <c r="A1881" s="3" t="n">
        <v>2602</v>
      </c>
      <c r="B1881" s="3" t="s">
        <v>664</v>
      </c>
      <c r="C1881" s="4" t="s">
        <v>47</v>
      </c>
      <c r="D1881" s="5" t="n">
        <v>46272</v>
      </c>
      <c r="E1881" s="6" t="n">
        <v>813</v>
      </c>
      <c r="F1881" s="7" t="n">
        <v>78</v>
      </c>
      <c r="G1881" s="6" t="n">
        <v>265.61005102041</v>
      </c>
      <c r="H1881" s="8" t="n">
        <v>196732.052589797</v>
      </c>
      <c r="I1881" s="9" t="n">
        <v>3.96263205046058</v>
      </c>
      <c r="J1881" s="9" t="n">
        <v>5.13858930275706</v>
      </c>
      <c r="K1881" s="3" t="s">
        <v>665</v>
      </c>
      <c r="L1881" s="3" t="s">
        <v>666</v>
      </c>
      <c r="M1881" s="7" t="n">
        <v>2022</v>
      </c>
    </row>
    <row r="1882" customFormat="false" ht="15" hidden="false" customHeight="false" outlineLevel="0" collapsed="false">
      <c r="A1882" s="3" t="n">
        <v>2603</v>
      </c>
      <c r="B1882" s="3" t="s">
        <v>664</v>
      </c>
      <c r="C1882" s="4" t="s">
        <v>48</v>
      </c>
      <c r="D1882" s="5" t="n">
        <v>46693</v>
      </c>
      <c r="E1882" s="6" t="n">
        <v>712.6</v>
      </c>
      <c r="F1882" s="7" t="n">
        <v>78</v>
      </c>
      <c r="G1882" s="6" t="n">
        <v>477.313826530611</v>
      </c>
      <c r="H1882" s="8" t="n">
        <v>430484.567009692</v>
      </c>
      <c r="I1882" s="9" t="n">
        <v>4.71178965261999</v>
      </c>
      <c r="J1882" s="9" t="n">
        <v>9.12595726201229</v>
      </c>
      <c r="K1882" s="3" t="s">
        <v>665</v>
      </c>
      <c r="L1882" s="3" t="s">
        <v>666</v>
      </c>
      <c r="M1882" s="7" t="n">
        <v>2023</v>
      </c>
    </row>
    <row r="1883" customFormat="false" ht="15" hidden="false" customHeight="false" outlineLevel="0" collapsed="false">
      <c r="A1883" s="3" t="n">
        <v>2604</v>
      </c>
      <c r="B1883" s="3" t="s">
        <v>664</v>
      </c>
      <c r="C1883" s="4" t="s">
        <v>49</v>
      </c>
      <c r="D1883" s="5" t="n">
        <v>46569</v>
      </c>
      <c r="E1883" s="6" t="n">
        <v>715</v>
      </c>
      <c r="F1883" s="7" t="n">
        <v>78</v>
      </c>
      <c r="G1883" s="6" t="n">
        <v>894.588959183676</v>
      </c>
      <c r="H1883" s="8" t="n">
        <v>809191.497140003</v>
      </c>
      <c r="I1883" s="9" t="n">
        <v>5.86454224288347</v>
      </c>
      <c r="J1883" s="9" t="n">
        <v>17.1966675786397</v>
      </c>
      <c r="K1883" s="3" t="s">
        <v>665</v>
      </c>
      <c r="L1883" s="3" t="s">
        <v>666</v>
      </c>
      <c r="M1883" s="7" t="n">
        <v>2024</v>
      </c>
    </row>
    <row r="1884" customFormat="false" ht="15" hidden="false" customHeight="false" outlineLevel="0" collapsed="false">
      <c r="A1884" s="3" t="n">
        <v>2605</v>
      </c>
      <c r="B1884" s="3" t="s">
        <v>667</v>
      </c>
      <c r="C1884" s="4" t="s">
        <v>14</v>
      </c>
      <c r="D1884" s="5" t="n">
        <v>44500</v>
      </c>
      <c r="E1884" s="6" t="n">
        <v>936</v>
      </c>
      <c r="F1884" s="7" t="n">
        <v>59</v>
      </c>
      <c r="G1884" s="6" t="n">
        <v>1964.66016331658</v>
      </c>
      <c r="H1884" s="8" t="n">
        <v>2419027.11928681</v>
      </c>
      <c r="I1884" s="9" t="n">
        <v>4.85043565125701</v>
      </c>
      <c r="J1884" s="9" t="n">
        <v>39.4142822149836</v>
      </c>
      <c r="K1884" s="3" t="s">
        <v>668</v>
      </c>
      <c r="L1884" s="3" t="s">
        <v>669</v>
      </c>
      <c r="M1884" s="7" t="n">
        <v>2016</v>
      </c>
    </row>
    <row r="1885" customFormat="false" ht="15" hidden="false" customHeight="false" outlineLevel="0" collapsed="false">
      <c r="A1885" s="3" t="n">
        <v>2606</v>
      </c>
      <c r="B1885" s="3" t="s">
        <v>667</v>
      </c>
      <c r="C1885" s="4" t="s">
        <v>41</v>
      </c>
      <c r="D1885" s="5" t="n">
        <v>44390</v>
      </c>
      <c r="E1885" s="6" t="n">
        <v>943.1</v>
      </c>
      <c r="F1885" s="7" t="n">
        <v>59</v>
      </c>
      <c r="G1885" s="6" t="n">
        <v>2492.80793698492</v>
      </c>
      <c r="H1885" s="8" t="n">
        <v>3072635.06312761</v>
      </c>
      <c r="I1885" s="9" t="n">
        <v>5.9954015475149</v>
      </c>
      <c r="J1885" s="9" t="n">
        <v>50.2714426248409</v>
      </c>
      <c r="K1885" s="3" t="s">
        <v>668</v>
      </c>
      <c r="L1885" s="3" t="s">
        <v>669</v>
      </c>
      <c r="M1885" s="7" t="n">
        <v>2016</v>
      </c>
    </row>
    <row r="1886" customFormat="false" ht="15" hidden="false" customHeight="false" outlineLevel="0" collapsed="false">
      <c r="A1886" s="3" t="n">
        <v>2607</v>
      </c>
      <c r="B1886" s="3" t="s">
        <v>667</v>
      </c>
      <c r="C1886" s="4" t="s">
        <v>42</v>
      </c>
      <c r="D1886" s="5" t="n">
        <v>44878</v>
      </c>
      <c r="E1886" s="6" t="n">
        <v>944</v>
      </c>
      <c r="F1886" s="7" t="n">
        <v>64</v>
      </c>
      <c r="G1886" s="6" t="n">
        <v>2640.04587801509</v>
      </c>
      <c r="H1886" s="8" t="n">
        <v>3293826.83924675</v>
      </c>
      <c r="I1886" s="9" t="n">
        <v>5.74902173068208</v>
      </c>
      <c r="J1886" s="9" t="n">
        <v>52.6617945279911</v>
      </c>
      <c r="K1886" s="3" t="s">
        <v>668</v>
      </c>
      <c r="L1886" s="3" t="s">
        <v>669</v>
      </c>
      <c r="M1886" s="7" t="n">
        <v>2017</v>
      </c>
    </row>
    <row r="1887" customFormat="false" ht="15" hidden="false" customHeight="false" outlineLevel="0" collapsed="false">
      <c r="A1887" s="3" t="n">
        <v>2608</v>
      </c>
      <c r="B1887" s="3" t="s">
        <v>667</v>
      </c>
      <c r="C1887" s="4" t="s">
        <v>43</v>
      </c>
      <c r="D1887" s="5" t="n">
        <v>44826</v>
      </c>
      <c r="E1887" s="6" t="n">
        <v>942.354</v>
      </c>
      <c r="F1887" s="7" t="n">
        <v>64</v>
      </c>
      <c r="G1887" s="6" t="n">
        <v>1567.1330792211</v>
      </c>
      <c r="H1887" s="8" t="n">
        <v>2094050.23444761</v>
      </c>
      <c r="I1887" s="9" t="n">
        <v>4.45879558666368</v>
      </c>
      <c r="J1887" s="9" t="n">
        <v>31.296341028857</v>
      </c>
      <c r="K1887" s="3" t="s">
        <v>668</v>
      </c>
      <c r="L1887" s="3" t="s">
        <v>669</v>
      </c>
      <c r="M1887" s="7" t="n">
        <v>2018</v>
      </c>
    </row>
    <row r="1888" customFormat="false" ht="15" hidden="false" customHeight="false" outlineLevel="0" collapsed="false">
      <c r="A1888" s="3" t="n">
        <v>2609</v>
      </c>
      <c r="B1888" s="3" t="s">
        <v>667</v>
      </c>
      <c r="C1888" s="4" t="s">
        <v>44</v>
      </c>
      <c r="D1888" s="5" t="n">
        <v>44942</v>
      </c>
      <c r="E1888" s="6" t="n">
        <v>950.35</v>
      </c>
      <c r="F1888" s="7" t="n">
        <v>64</v>
      </c>
      <c r="G1888" s="6" t="n">
        <v>2493.83117798995</v>
      </c>
      <c r="H1888" s="8" t="n">
        <v>3415725.74955749</v>
      </c>
      <c r="I1888" s="9" t="n">
        <v>6.64822194776644</v>
      </c>
      <c r="J1888" s="9" t="n">
        <v>49.5382714389995</v>
      </c>
      <c r="K1888" s="3" t="s">
        <v>668</v>
      </c>
      <c r="L1888" s="3" t="s">
        <v>669</v>
      </c>
      <c r="M1888" s="7" t="n">
        <v>2019</v>
      </c>
    </row>
    <row r="1889" customFormat="false" ht="15" hidden="false" customHeight="false" outlineLevel="0" collapsed="false">
      <c r="A1889" s="3" t="n">
        <v>2610</v>
      </c>
      <c r="B1889" s="3" t="s">
        <v>667</v>
      </c>
      <c r="C1889" s="4" t="s">
        <v>45</v>
      </c>
      <c r="D1889" s="5" t="n">
        <v>45051</v>
      </c>
      <c r="E1889" s="6" t="n">
        <v>947.7</v>
      </c>
      <c r="F1889" s="7" t="n">
        <v>69</v>
      </c>
      <c r="G1889" s="6" t="n">
        <v>2688.78326356784</v>
      </c>
      <c r="H1889" s="8" t="n">
        <v>3659625.4763596</v>
      </c>
      <c r="I1889" s="9" t="n">
        <v>6.91462242086298</v>
      </c>
      <c r="J1889" s="9" t="n">
        <v>53.4280145027848</v>
      </c>
      <c r="K1889" s="3" t="s">
        <v>668</v>
      </c>
      <c r="L1889" s="3" t="s">
        <v>669</v>
      </c>
      <c r="M1889" s="7" t="n">
        <v>2020</v>
      </c>
    </row>
    <row r="1890" customFormat="false" ht="15" hidden="false" customHeight="false" outlineLevel="0" collapsed="false">
      <c r="A1890" s="3" t="n">
        <v>2611</v>
      </c>
      <c r="B1890" s="3" t="s">
        <v>667</v>
      </c>
      <c r="C1890" s="4" t="s">
        <v>46</v>
      </c>
      <c r="D1890" s="5" t="n">
        <v>45172</v>
      </c>
      <c r="E1890" s="6" t="n">
        <v>951.863</v>
      </c>
      <c r="F1890" s="7" t="n">
        <v>69</v>
      </c>
      <c r="G1890" s="6" t="n">
        <v>3070.1327160804</v>
      </c>
      <c r="H1890" s="8" t="n">
        <v>4287041.22075319</v>
      </c>
      <c r="I1890" s="9" t="n">
        <v>7.87059980916172</v>
      </c>
      <c r="J1890" s="9" t="n">
        <v>60.8422833936997</v>
      </c>
      <c r="K1890" s="3" t="s">
        <v>668</v>
      </c>
      <c r="L1890" s="3" t="s">
        <v>669</v>
      </c>
      <c r="M1890" s="7" t="n">
        <v>2021</v>
      </c>
    </row>
    <row r="1891" customFormat="false" ht="15" hidden="false" customHeight="false" outlineLevel="0" collapsed="false">
      <c r="A1891" s="3" t="n">
        <v>2612</v>
      </c>
      <c r="B1891" s="3" t="s">
        <v>667</v>
      </c>
      <c r="C1891" s="4" t="s">
        <v>47</v>
      </c>
      <c r="D1891" s="5" t="n">
        <v>45292</v>
      </c>
      <c r="E1891" s="6" t="n">
        <v>956.3836</v>
      </c>
      <c r="F1891" s="7" t="n">
        <v>65</v>
      </c>
      <c r="G1891" s="6" t="n">
        <v>1557.96078291458</v>
      </c>
      <c r="H1891" s="8" t="n">
        <v>2331394.83398469</v>
      </c>
      <c r="I1891" s="9" t="n">
        <v>4.63136828581312</v>
      </c>
      <c r="J1891" s="9" t="n">
        <v>30.7930492948746</v>
      </c>
      <c r="K1891" s="3" t="s">
        <v>668</v>
      </c>
      <c r="L1891" s="3" t="s">
        <v>669</v>
      </c>
      <c r="M1891" s="7" t="n">
        <v>2022</v>
      </c>
    </row>
    <row r="1892" customFormat="false" ht="15" hidden="false" customHeight="false" outlineLevel="0" collapsed="false">
      <c r="A1892" s="3" t="n">
        <v>2613</v>
      </c>
      <c r="B1892" s="3" t="s">
        <v>667</v>
      </c>
      <c r="C1892" s="4" t="s">
        <v>48</v>
      </c>
      <c r="D1892" s="5" t="n">
        <v>45374</v>
      </c>
      <c r="E1892" s="6" t="n">
        <v>955.7955</v>
      </c>
      <c r="F1892" s="7" t="n">
        <v>57</v>
      </c>
      <c r="G1892" s="6" t="n">
        <v>1979.33954999999</v>
      </c>
      <c r="H1892" s="8" t="n">
        <v>3189230.64333299</v>
      </c>
      <c r="I1892" s="9" t="n">
        <v>7.64207296576803</v>
      </c>
      <c r="J1892" s="9" t="n">
        <v>38.9438989383847</v>
      </c>
      <c r="K1892" s="3" t="s">
        <v>668</v>
      </c>
      <c r="L1892" s="3" t="s">
        <v>669</v>
      </c>
      <c r="M1892" s="7" t="n">
        <v>2023</v>
      </c>
    </row>
    <row r="1893" customFormat="false" ht="15" hidden="false" customHeight="false" outlineLevel="0" collapsed="false">
      <c r="A1893" s="3" t="n">
        <v>2614</v>
      </c>
      <c r="B1893" s="3" t="s">
        <v>667</v>
      </c>
      <c r="C1893" s="4" t="s">
        <v>49</v>
      </c>
      <c r="D1893" s="5" t="n">
        <v>45435</v>
      </c>
      <c r="E1893" s="6" t="n">
        <v>956.2665</v>
      </c>
      <c r="F1893" s="7" t="n">
        <v>65</v>
      </c>
      <c r="G1893" s="6" t="n">
        <v>2513.40871859297</v>
      </c>
      <c r="H1893" s="8" t="n">
        <v>3880028.44762824</v>
      </c>
      <c r="I1893" s="9" t="n">
        <v>6.09243196151218</v>
      </c>
      <c r="J1893" s="9" t="n">
        <v>49.5210973025248</v>
      </c>
      <c r="K1893" s="3" t="s">
        <v>668</v>
      </c>
      <c r="L1893" s="3" t="s">
        <v>669</v>
      </c>
      <c r="M1893" s="7" t="n">
        <v>2024</v>
      </c>
    </row>
    <row r="1894" customFormat="false" ht="15" hidden="false" customHeight="false" outlineLevel="0" collapsed="false">
      <c r="A1894" s="3" t="n">
        <v>2615</v>
      </c>
      <c r="B1894" s="3" t="s">
        <v>670</v>
      </c>
      <c r="C1894" s="4" t="s">
        <v>14</v>
      </c>
      <c r="D1894" s="5" t="n">
        <v>6288</v>
      </c>
      <c r="E1894" s="6" t="n">
        <v>70</v>
      </c>
      <c r="F1894" s="7" t="n">
        <v>49</v>
      </c>
      <c r="G1894" s="6" t="n">
        <v>334.55519414449</v>
      </c>
      <c r="H1894" s="8" t="n">
        <v>27015.969176925</v>
      </c>
      <c r="I1894" s="9" t="n">
        <v>9.91549941665599</v>
      </c>
      <c r="J1894" s="9" t="n">
        <v>47.4986687263307</v>
      </c>
      <c r="K1894" s="3" t="s">
        <v>671</v>
      </c>
      <c r="L1894" s="3" t="s">
        <v>649</v>
      </c>
      <c r="M1894" s="7" t="n">
        <v>2016</v>
      </c>
    </row>
    <row r="1895" customFormat="false" ht="15" hidden="false" customHeight="false" outlineLevel="0" collapsed="false">
      <c r="A1895" s="3" t="n">
        <v>2616</v>
      </c>
      <c r="B1895" s="3" t="s">
        <v>670</v>
      </c>
      <c r="C1895" s="4" t="s">
        <v>17</v>
      </c>
      <c r="D1895" s="5" t="n">
        <v>6285</v>
      </c>
      <c r="E1895" s="6" t="n">
        <v>72.3939393939394</v>
      </c>
      <c r="F1895" s="7" t="n">
        <v>49</v>
      </c>
      <c r="G1895" s="6" t="n">
        <v>446.438278887414</v>
      </c>
      <c r="H1895" s="8" t="n">
        <v>35445.9420759666</v>
      </c>
      <c r="I1895" s="9" t="n">
        <v>11.9499669299303</v>
      </c>
      <c r="J1895" s="9" t="n">
        <v>63.5878026409219</v>
      </c>
      <c r="K1895" s="3" t="s">
        <v>671</v>
      </c>
      <c r="L1895" s="3" t="s">
        <v>649</v>
      </c>
      <c r="M1895" s="7" t="n">
        <v>2017</v>
      </c>
    </row>
    <row r="1896" customFormat="false" ht="15" hidden="false" customHeight="false" outlineLevel="0" collapsed="false">
      <c r="A1896" s="3" t="n">
        <v>2617</v>
      </c>
      <c r="B1896" s="3" t="s">
        <v>670</v>
      </c>
      <c r="C1896" s="4" t="s">
        <v>18</v>
      </c>
      <c r="D1896" s="5" t="n">
        <v>6279</v>
      </c>
      <c r="E1896" s="6" t="n">
        <v>72.4</v>
      </c>
      <c r="F1896" s="7" t="n">
        <v>47</v>
      </c>
      <c r="G1896" s="6" t="n">
        <v>398.348137385625</v>
      </c>
      <c r="H1896" s="8" t="n">
        <v>46069.367090396</v>
      </c>
      <c r="I1896" s="9" t="n">
        <v>10.6216815561047</v>
      </c>
      <c r="J1896" s="9" t="n">
        <v>56.7923686469477</v>
      </c>
      <c r="K1896" s="3" t="s">
        <v>671</v>
      </c>
      <c r="L1896" s="3" t="s">
        <v>649</v>
      </c>
      <c r="M1896" s="7" t="n">
        <v>2018</v>
      </c>
    </row>
    <row r="1897" customFormat="false" ht="15" hidden="false" customHeight="false" outlineLevel="0" collapsed="false">
      <c r="A1897" s="3" t="n">
        <v>2618</v>
      </c>
      <c r="B1897" s="3" t="s">
        <v>670</v>
      </c>
      <c r="C1897" s="4" t="s">
        <v>19</v>
      </c>
      <c r="D1897" s="5" t="n">
        <v>6326</v>
      </c>
      <c r="E1897" s="6" t="n">
        <v>72.4</v>
      </c>
      <c r="F1897" s="7" t="n">
        <v>47</v>
      </c>
      <c r="G1897" s="6" t="n">
        <v>269.006039893293</v>
      </c>
      <c r="H1897" s="8" t="n">
        <v>25003.2313215474</v>
      </c>
      <c r="I1897" s="9" t="n">
        <v>7.70901404413872</v>
      </c>
      <c r="J1897" s="9" t="n">
        <v>38.067163557197</v>
      </c>
      <c r="K1897" s="3" t="s">
        <v>671</v>
      </c>
      <c r="L1897" s="3" t="s">
        <v>649</v>
      </c>
      <c r="M1897" s="7" t="n">
        <v>2019</v>
      </c>
    </row>
    <row r="1898" customFormat="false" ht="15" hidden="false" customHeight="false" outlineLevel="0" collapsed="false">
      <c r="A1898" s="3" t="n">
        <v>2619</v>
      </c>
      <c r="B1898" s="3" t="s">
        <v>670</v>
      </c>
      <c r="C1898" s="4" t="s">
        <v>20</v>
      </c>
      <c r="D1898" s="5" t="n">
        <v>6332</v>
      </c>
      <c r="E1898" s="6" t="n">
        <v>72.4</v>
      </c>
      <c r="F1898" s="7" t="n">
        <v>50</v>
      </c>
      <c r="G1898" s="6" t="n">
        <v>542.225913900731</v>
      </c>
      <c r="H1898" s="8" t="n">
        <v>46409.8030836497</v>
      </c>
      <c r="I1898" s="9" t="n">
        <v>12.7460669819516</v>
      </c>
      <c r="J1898" s="9" t="n">
        <v>76.4478994584875</v>
      </c>
      <c r="K1898" s="3" t="s">
        <v>671</v>
      </c>
      <c r="L1898" s="3" t="s">
        <v>649</v>
      </c>
      <c r="M1898" s="7" t="n">
        <v>2020</v>
      </c>
    </row>
    <row r="1899" customFormat="false" ht="15" hidden="false" customHeight="false" outlineLevel="0" collapsed="false">
      <c r="A1899" s="3" t="n">
        <v>2620</v>
      </c>
      <c r="B1899" s="3" t="s">
        <v>670</v>
      </c>
      <c r="C1899" s="4" t="s">
        <v>21</v>
      </c>
      <c r="D1899" s="5" t="n">
        <v>6434</v>
      </c>
      <c r="E1899" s="6" t="n">
        <v>72.4</v>
      </c>
      <c r="F1899" s="7" t="n">
        <v>55</v>
      </c>
      <c r="G1899" s="6" t="n">
        <v>243.994421830633</v>
      </c>
      <c r="H1899" s="8" t="n">
        <v>130445.186485886</v>
      </c>
      <c r="I1899" s="9" t="n">
        <v>7.91789369672872</v>
      </c>
      <c r="J1899" s="9" t="n">
        <v>33.9481815133603</v>
      </c>
      <c r="K1899" s="3" t="s">
        <v>671</v>
      </c>
      <c r="L1899" s="3" t="s">
        <v>649</v>
      </c>
      <c r="M1899" s="7" t="n">
        <v>2021</v>
      </c>
    </row>
    <row r="1900" customFormat="false" ht="15" hidden="false" customHeight="false" outlineLevel="0" collapsed="false">
      <c r="A1900" s="3" t="n">
        <v>2621</v>
      </c>
      <c r="B1900" s="3" t="s">
        <v>670</v>
      </c>
      <c r="C1900" s="4" t="s">
        <v>22</v>
      </c>
      <c r="D1900" s="5" t="n">
        <v>6570</v>
      </c>
      <c r="E1900" s="6" t="n">
        <v>72.4</v>
      </c>
      <c r="F1900" s="7" t="n">
        <v>53</v>
      </c>
      <c r="G1900" s="6" t="n">
        <v>507.256716455093</v>
      </c>
      <c r="H1900" s="8" t="n">
        <v>88640.11089013</v>
      </c>
      <c r="I1900" s="9" t="n">
        <v>11.9301251139012</v>
      </c>
      <c r="J1900" s="9" t="n">
        <v>69.3066439880786</v>
      </c>
      <c r="K1900" s="3" t="s">
        <v>671</v>
      </c>
      <c r="L1900" s="3" t="s">
        <v>649</v>
      </c>
      <c r="M1900" s="7" t="n">
        <v>2022</v>
      </c>
    </row>
    <row r="1901" customFormat="false" ht="15" hidden="false" customHeight="false" outlineLevel="0" collapsed="false">
      <c r="A1901" s="3" t="n">
        <v>2622</v>
      </c>
      <c r="B1901" s="3" t="s">
        <v>670</v>
      </c>
      <c r="C1901" s="4" t="s">
        <v>23</v>
      </c>
      <c r="D1901" s="5" t="n">
        <v>6799</v>
      </c>
      <c r="E1901" s="6" t="n">
        <v>77.4</v>
      </c>
      <c r="F1901" s="7" t="n">
        <v>79</v>
      </c>
      <c r="G1901" s="6" t="n">
        <v>108.042871081439</v>
      </c>
      <c r="H1901" s="8" t="n">
        <v>32029.2456512417</v>
      </c>
      <c r="I1901" s="9" t="n">
        <v>4.23827566551338</v>
      </c>
      <c r="J1901" s="9" t="n">
        <v>14.2255396255582</v>
      </c>
      <c r="K1901" s="3" t="s">
        <v>671</v>
      </c>
      <c r="L1901" s="3" t="s">
        <v>649</v>
      </c>
      <c r="M1901" s="7" t="n">
        <v>2023</v>
      </c>
    </row>
    <row r="1902" customFormat="false" ht="15" hidden="false" customHeight="false" outlineLevel="0" collapsed="false">
      <c r="A1902" s="3" t="n">
        <v>2632</v>
      </c>
      <c r="B1902" s="3" t="s">
        <v>672</v>
      </c>
      <c r="C1902" s="4" t="s">
        <v>14</v>
      </c>
      <c r="D1902" s="5" t="n">
        <v>20654</v>
      </c>
      <c r="E1902" s="6" t="n">
        <v>471.4</v>
      </c>
      <c r="F1902" s="7" t="n">
        <v>58</v>
      </c>
      <c r="G1902" s="6" t="n">
        <v>2817.71862244898</v>
      </c>
      <c r="H1902" s="8" t="n">
        <v>2202839.31010333</v>
      </c>
      <c r="I1902" s="9" t="n">
        <v>16.8981481481482</v>
      </c>
      <c r="J1902" s="9" t="n">
        <v>121.792247061317</v>
      </c>
      <c r="K1902" s="3" t="s">
        <v>663</v>
      </c>
      <c r="L1902" s="3" t="s">
        <v>657</v>
      </c>
      <c r="M1902" s="7" t="n">
        <v>2016</v>
      </c>
    </row>
    <row r="1903" customFormat="false" ht="15" hidden="false" customHeight="false" outlineLevel="0" collapsed="false">
      <c r="A1903" s="3" t="n">
        <v>2633</v>
      </c>
      <c r="B1903" s="3" t="s">
        <v>672</v>
      </c>
      <c r="C1903" s="4" t="s">
        <v>17</v>
      </c>
      <c r="D1903" s="5" t="n">
        <v>21058</v>
      </c>
      <c r="E1903" s="6" t="n">
        <v>506.43</v>
      </c>
      <c r="F1903" s="7" t="n">
        <v>71</v>
      </c>
      <c r="G1903" s="6" t="n">
        <v>768.648638265307</v>
      </c>
      <c r="H1903" s="8" t="n">
        <v>821247.264581802</v>
      </c>
      <c r="I1903" s="9" t="n">
        <v>6.70789225999481</v>
      </c>
      <c r="J1903" s="9" t="n">
        <v>32.6759644774125</v>
      </c>
      <c r="K1903" s="3" t="s">
        <v>663</v>
      </c>
      <c r="L1903" s="3" t="s">
        <v>657</v>
      </c>
      <c r="M1903" s="7" t="n">
        <v>2017</v>
      </c>
    </row>
    <row r="1904" customFormat="false" ht="15" hidden="false" customHeight="false" outlineLevel="0" collapsed="false">
      <c r="A1904" s="3" t="n">
        <v>2634</v>
      </c>
      <c r="B1904" s="3" t="s">
        <v>672</v>
      </c>
      <c r="C1904" s="4" t="s">
        <v>18</v>
      </c>
      <c r="D1904" s="5" t="n">
        <v>21279</v>
      </c>
      <c r="E1904" s="6" t="n">
        <v>502.5</v>
      </c>
      <c r="F1904" s="7" t="n">
        <v>72</v>
      </c>
      <c r="G1904" s="6" t="n">
        <v>1057.21589132653</v>
      </c>
      <c r="H1904" s="8" t="n">
        <v>1370278.66106614</v>
      </c>
      <c r="I1904" s="9" t="n">
        <v>7.87862917418194</v>
      </c>
      <c r="J1904" s="9" t="n">
        <v>44.4764527433074</v>
      </c>
      <c r="K1904" s="3" t="s">
        <v>663</v>
      </c>
      <c r="L1904" s="3" t="s">
        <v>657</v>
      </c>
      <c r="M1904" s="7" t="n">
        <v>2018</v>
      </c>
    </row>
    <row r="1905" customFormat="false" ht="15" hidden="false" customHeight="false" outlineLevel="0" collapsed="false">
      <c r="A1905" s="3" t="n">
        <v>2635</v>
      </c>
      <c r="B1905" s="3" t="s">
        <v>672</v>
      </c>
      <c r="C1905" s="4" t="s">
        <v>19</v>
      </c>
      <c r="D1905" s="5" t="n">
        <v>21535</v>
      </c>
      <c r="E1905" s="6" t="n">
        <v>502.4</v>
      </c>
      <c r="F1905" s="7" t="n">
        <v>71</v>
      </c>
      <c r="G1905" s="6" t="n">
        <v>1323.47812927296</v>
      </c>
      <c r="H1905" s="8" t="n">
        <v>1674199.8335303</v>
      </c>
      <c r="I1905" s="9" t="n">
        <v>9.64377718343063</v>
      </c>
      <c r="J1905" s="9" t="n">
        <v>55.0160704273548</v>
      </c>
      <c r="K1905" s="3" t="s">
        <v>663</v>
      </c>
      <c r="L1905" s="3" t="s">
        <v>657</v>
      </c>
      <c r="M1905" s="7" t="n">
        <v>2019</v>
      </c>
    </row>
    <row r="1906" customFormat="false" ht="15" hidden="false" customHeight="false" outlineLevel="0" collapsed="false">
      <c r="A1906" s="3" t="n">
        <v>2636</v>
      </c>
      <c r="B1906" s="3" t="s">
        <v>672</v>
      </c>
      <c r="C1906" s="4" t="s">
        <v>20</v>
      </c>
      <c r="D1906" s="5" t="n">
        <v>21713</v>
      </c>
      <c r="E1906" s="6" t="n">
        <v>501.2</v>
      </c>
      <c r="F1906" s="7" t="n">
        <v>71</v>
      </c>
      <c r="G1906" s="6" t="n">
        <v>819.220314677266</v>
      </c>
      <c r="H1906" s="8" t="n">
        <v>1191886.91270521</v>
      </c>
      <c r="I1906" s="9" t="n">
        <v>5.809903281661</v>
      </c>
      <c r="J1906" s="9" t="n">
        <v>33.682713753064</v>
      </c>
      <c r="K1906" s="3" t="s">
        <v>663</v>
      </c>
      <c r="L1906" s="3" t="s">
        <v>657</v>
      </c>
      <c r="M1906" s="7" t="n">
        <v>2020</v>
      </c>
    </row>
    <row r="1907" customFormat="false" ht="15" hidden="false" customHeight="false" outlineLevel="0" collapsed="false">
      <c r="A1907" s="3" t="n">
        <v>2637</v>
      </c>
      <c r="B1907" s="3" t="s">
        <v>672</v>
      </c>
      <c r="C1907" s="4" t="s">
        <v>21</v>
      </c>
      <c r="D1907" s="5" t="n">
        <v>21842</v>
      </c>
      <c r="E1907" s="6" t="n">
        <v>505.2</v>
      </c>
      <c r="F1907" s="7" t="n">
        <v>71</v>
      </c>
      <c r="G1907" s="6" t="n">
        <v>260.494860552764</v>
      </c>
      <c r="H1907" s="8" t="n">
        <v>342684.114995488</v>
      </c>
      <c r="I1907" s="9" t="n">
        <v>2.5648410017614</v>
      </c>
      <c r="J1907" s="9" t="n">
        <v>10.6763900286346</v>
      </c>
      <c r="K1907" s="3" t="s">
        <v>663</v>
      </c>
      <c r="L1907" s="3" t="s">
        <v>657</v>
      </c>
      <c r="M1907" s="7" t="n">
        <v>2021</v>
      </c>
    </row>
    <row r="1908" customFormat="false" ht="15" hidden="false" customHeight="false" outlineLevel="0" collapsed="false">
      <c r="A1908" s="3" t="n">
        <v>2638</v>
      </c>
      <c r="B1908" s="3" t="s">
        <v>672</v>
      </c>
      <c r="C1908" s="4" t="s">
        <v>22</v>
      </c>
      <c r="D1908" s="5" t="n">
        <v>22026</v>
      </c>
      <c r="E1908" s="6" t="n">
        <v>512.9896</v>
      </c>
      <c r="F1908" s="7" t="n">
        <v>74</v>
      </c>
      <c r="G1908" s="6" t="n">
        <v>119.84342713568</v>
      </c>
      <c r="H1908" s="8" t="n">
        <v>177248.42873367</v>
      </c>
      <c r="I1908" s="9" t="n">
        <v>1.85976714100906</v>
      </c>
      <c r="J1908" s="9" t="n">
        <v>4.87075471440701</v>
      </c>
      <c r="K1908" s="3" t="s">
        <v>663</v>
      </c>
      <c r="L1908" s="3" t="s">
        <v>657</v>
      </c>
      <c r="M1908" s="7" t="n">
        <v>2022</v>
      </c>
    </row>
    <row r="1909" customFormat="false" ht="15" hidden="false" customHeight="false" outlineLevel="0" collapsed="false">
      <c r="A1909" s="3" t="n">
        <v>2639</v>
      </c>
      <c r="B1909" s="3" t="s">
        <v>672</v>
      </c>
      <c r="C1909" s="4" t="s">
        <v>23</v>
      </c>
      <c r="D1909" s="5" t="n">
        <v>22154</v>
      </c>
      <c r="E1909" s="6" t="n">
        <v>506.052151371067</v>
      </c>
      <c r="F1909" s="7" t="n">
        <v>73</v>
      </c>
      <c r="G1909" s="6" t="n">
        <v>710.533318785118</v>
      </c>
      <c r="H1909" s="8" t="n">
        <v>1127802.12643274</v>
      </c>
      <c r="I1909" s="9" t="n">
        <v>5.3606387109068</v>
      </c>
      <c r="J1909" s="9" t="n">
        <v>28.7111092060186</v>
      </c>
      <c r="K1909" s="3" t="s">
        <v>663</v>
      </c>
      <c r="L1909" s="3" t="s">
        <v>657</v>
      </c>
      <c r="M1909" s="7" t="n">
        <v>2023</v>
      </c>
    </row>
    <row r="1910" customFormat="false" ht="15" hidden="false" customHeight="false" outlineLevel="0" collapsed="false">
      <c r="A1910" s="3" t="n">
        <v>2640</v>
      </c>
      <c r="B1910" s="3" t="s">
        <v>672</v>
      </c>
      <c r="C1910" s="4" t="s">
        <v>24</v>
      </c>
      <c r="D1910" s="5" t="n">
        <v>22535</v>
      </c>
      <c r="E1910" s="6" t="n">
        <v>507</v>
      </c>
      <c r="F1910" s="7" t="n">
        <v>67</v>
      </c>
      <c r="G1910" s="6" t="n">
        <v>280.914307079643</v>
      </c>
      <c r="H1910" s="8" t="n">
        <v>327499.30702082</v>
      </c>
      <c r="I1910" s="9" t="n">
        <v>2.80329091718877</v>
      </c>
      <c r="J1910" s="9" t="n">
        <v>11.1286501516617</v>
      </c>
      <c r="K1910" s="3" t="s">
        <v>663</v>
      </c>
      <c r="L1910" s="3" t="s">
        <v>657</v>
      </c>
      <c r="M1910" s="7" t="n">
        <v>2024</v>
      </c>
    </row>
    <row r="1911" customFormat="false" ht="15" hidden="false" customHeight="false" outlineLevel="0" collapsed="false">
      <c r="A1911" s="3" t="n">
        <v>2687</v>
      </c>
      <c r="B1911" s="3" t="s">
        <v>673</v>
      </c>
      <c r="C1911" s="4" t="s">
        <v>14</v>
      </c>
      <c r="D1911" s="5" t="n">
        <v>46414</v>
      </c>
      <c r="E1911" s="6" t="n">
        <v>702.8</v>
      </c>
      <c r="F1911" s="7" t="n">
        <v>64</v>
      </c>
      <c r="G1911" s="6" t="n">
        <v>1775.14032028202</v>
      </c>
      <c r="H1911" s="8" t="n">
        <v>256395.390391411</v>
      </c>
      <c r="I1911" s="9" t="n">
        <v>11.7145428768839</v>
      </c>
      <c r="J1911" s="9" t="n">
        <v>34.143645162815</v>
      </c>
      <c r="K1911" s="3" t="s">
        <v>674</v>
      </c>
      <c r="L1911" s="3" t="s">
        <v>675</v>
      </c>
      <c r="M1911" s="7" t="n">
        <v>2016</v>
      </c>
    </row>
    <row r="1912" customFormat="false" ht="15" hidden="false" customHeight="false" outlineLevel="0" collapsed="false">
      <c r="A1912" s="3" t="n">
        <v>2688</v>
      </c>
      <c r="B1912" s="3" t="s">
        <v>673</v>
      </c>
      <c r="C1912" s="4" t="s">
        <v>17</v>
      </c>
      <c r="D1912" s="5" t="n">
        <v>48120</v>
      </c>
      <c r="E1912" s="6" t="n">
        <v>699</v>
      </c>
      <c r="F1912" s="7" t="n">
        <v>65</v>
      </c>
      <c r="G1912" s="6" t="n">
        <v>894.531217787162</v>
      </c>
      <c r="H1912" s="8" t="n">
        <v>141512.489915032</v>
      </c>
      <c r="I1912" s="9" t="n">
        <v>9.19674089917914</v>
      </c>
      <c r="J1912" s="9" t="n">
        <v>16.6413117759153</v>
      </c>
      <c r="K1912" s="3" t="s">
        <v>674</v>
      </c>
      <c r="L1912" s="3" t="s">
        <v>675</v>
      </c>
      <c r="M1912" s="7" t="n">
        <v>2017</v>
      </c>
    </row>
    <row r="1913" customFormat="false" ht="15" hidden="false" customHeight="false" outlineLevel="0" collapsed="false">
      <c r="A1913" s="3" t="n">
        <v>2689</v>
      </c>
      <c r="B1913" s="3" t="s">
        <v>673</v>
      </c>
      <c r="C1913" s="4" t="s">
        <v>18</v>
      </c>
      <c r="D1913" s="5" t="n">
        <v>47182</v>
      </c>
      <c r="E1913" s="6" t="n">
        <v>719</v>
      </c>
      <c r="F1913" s="7" t="n">
        <v>71</v>
      </c>
      <c r="G1913" s="6" t="n">
        <v>835.635337650057</v>
      </c>
      <c r="H1913" s="8" t="n">
        <v>139882.135366265</v>
      </c>
      <c r="I1913" s="9" t="n">
        <v>6.75781507246251</v>
      </c>
      <c r="J1913" s="9" t="n">
        <v>15.854703531043</v>
      </c>
      <c r="K1913" s="3" t="s">
        <v>674</v>
      </c>
      <c r="L1913" s="3" t="s">
        <v>675</v>
      </c>
      <c r="M1913" s="7" t="n">
        <v>2018</v>
      </c>
    </row>
    <row r="1914" customFormat="false" ht="15" hidden="false" customHeight="false" outlineLevel="0" collapsed="false">
      <c r="A1914" s="3" t="n">
        <v>2690</v>
      </c>
      <c r="B1914" s="3" t="s">
        <v>673</v>
      </c>
      <c r="C1914" s="4" t="s">
        <v>19</v>
      </c>
      <c r="D1914" s="5" t="n">
        <v>46286</v>
      </c>
      <c r="E1914" s="6" t="n">
        <v>698</v>
      </c>
      <c r="F1914" s="7" t="n">
        <v>69</v>
      </c>
      <c r="G1914" s="6" t="n">
        <v>1605.55262497313</v>
      </c>
      <c r="H1914" s="8" t="n">
        <v>255924.710016482</v>
      </c>
      <c r="I1914" s="9" t="n">
        <v>10.4305793387882</v>
      </c>
      <c r="J1914" s="9" t="n">
        <v>31.0522138514885</v>
      </c>
      <c r="K1914" s="3" t="s">
        <v>674</v>
      </c>
      <c r="L1914" s="3" t="s">
        <v>675</v>
      </c>
      <c r="M1914" s="7" t="n">
        <v>2019</v>
      </c>
    </row>
    <row r="1915" customFormat="false" ht="15" hidden="false" customHeight="false" outlineLevel="0" collapsed="false">
      <c r="A1915" s="3" t="n">
        <v>2691</v>
      </c>
      <c r="B1915" s="3" t="s">
        <v>673</v>
      </c>
      <c r="C1915" s="4" t="s">
        <v>20</v>
      </c>
      <c r="D1915" s="5" t="n">
        <v>46579</v>
      </c>
      <c r="E1915" s="6" t="n">
        <v>689</v>
      </c>
      <c r="F1915" s="7" t="n">
        <v>65</v>
      </c>
      <c r="G1915" s="6" t="n">
        <v>928.60083922325</v>
      </c>
      <c r="H1915" s="8" t="n">
        <v>95371.9108747412</v>
      </c>
      <c r="I1915" s="9" t="n">
        <v>7.37410954400026</v>
      </c>
      <c r="J1915" s="9" t="n">
        <v>17.7977501214896</v>
      </c>
      <c r="K1915" s="3" t="s">
        <v>674</v>
      </c>
      <c r="L1915" s="3" t="s">
        <v>675</v>
      </c>
      <c r="M1915" s="7" t="n">
        <v>2020</v>
      </c>
    </row>
    <row r="1916" customFormat="false" ht="15" hidden="false" customHeight="false" outlineLevel="0" collapsed="false">
      <c r="A1916" s="3" t="n">
        <v>2692</v>
      </c>
      <c r="B1916" s="3" t="s">
        <v>673</v>
      </c>
      <c r="C1916" s="4" t="s">
        <v>21</v>
      </c>
      <c r="D1916" s="5" t="n">
        <v>47102</v>
      </c>
      <c r="E1916" s="6" t="n">
        <v>706.23</v>
      </c>
      <c r="F1916" s="7" t="n">
        <v>72</v>
      </c>
      <c r="G1916" s="6" t="n">
        <v>722.428320814714</v>
      </c>
      <c r="H1916" s="8" t="n">
        <v>80745.9087573549</v>
      </c>
      <c r="I1916" s="9" t="n">
        <v>6.02161233313596</v>
      </c>
      <c r="J1916" s="9" t="n">
        <v>13.7300806833169</v>
      </c>
      <c r="K1916" s="3" t="s">
        <v>674</v>
      </c>
      <c r="L1916" s="3" t="s">
        <v>675</v>
      </c>
      <c r="M1916" s="7" t="n">
        <v>2021</v>
      </c>
    </row>
    <row r="1917" customFormat="false" ht="15" hidden="false" customHeight="false" outlineLevel="0" collapsed="false">
      <c r="A1917" s="3" t="n">
        <v>2693</v>
      </c>
      <c r="B1917" s="3" t="s">
        <v>673</v>
      </c>
      <c r="C1917" s="4" t="s">
        <v>22</v>
      </c>
      <c r="D1917" s="5" t="n">
        <v>46609</v>
      </c>
      <c r="E1917" s="6" t="n">
        <v>692.907</v>
      </c>
      <c r="F1917" s="7" t="n">
        <v>62</v>
      </c>
      <c r="G1917" s="6" t="n">
        <v>612.66795903982</v>
      </c>
      <c r="H1917" s="8" t="n">
        <v>86621.1193568991</v>
      </c>
      <c r="I1917" s="9" t="n">
        <v>4.61903048648134</v>
      </c>
      <c r="J1917" s="9" t="n">
        <v>11.7671979071794</v>
      </c>
      <c r="K1917" s="3" t="s">
        <v>674</v>
      </c>
      <c r="L1917" s="3" t="s">
        <v>675</v>
      </c>
      <c r="M1917" s="7" t="n">
        <v>2022</v>
      </c>
    </row>
    <row r="1918" customFormat="false" ht="15" hidden="false" customHeight="false" outlineLevel="0" collapsed="false">
      <c r="A1918" s="3" t="n">
        <v>2694</v>
      </c>
      <c r="B1918" s="3" t="s">
        <v>673</v>
      </c>
      <c r="C1918" s="4" t="s">
        <v>23</v>
      </c>
      <c r="D1918" s="5" t="n">
        <v>46821</v>
      </c>
      <c r="E1918" s="6" t="n">
        <v>694</v>
      </c>
      <c r="F1918" s="7" t="n">
        <v>59</v>
      </c>
      <c r="G1918" s="6" t="n">
        <v>450.450650841364</v>
      </c>
      <c r="H1918" s="8" t="n">
        <v>88248.4007375354</v>
      </c>
      <c r="I1918" s="9" t="n">
        <v>3.34744112298006</v>
      </c>
      <c r="J1918" s="9" t="n">
        <v>8.61240031460179</v>
      </c>
      <c r="K1918" s="3" t="s">
        <v>674</v>
      </c>
      <c r="L1918" s="3" t="s">
        <v>675</v>
      </c>
      <c r="M1918" s="7" t="n">
        <v>2023</v>
      </c>
    </row>
    <row r="1919" customFormat="false" ht="15" hidden="false" customHeight="false" outlineLevel="0" collapsed="false">
      <c r="A1919" s="3" t="n">
        <v>2695</v>
      </c>
      <c r="B1919" s="3" t="s">
        <v>673</v>
      </c>
      <c r="C1919" s="4" t="s">
        <v>24</v>
      </c>
      <c r="D1919" s="5" t="n">
        <v>46996</v>
      </c>
      <c r="E1919" s="6" t="n">
        <v>694.81</v>
      </c>
      <c r="F1919" s="7" t="n">
        <v>63</v>
      </c>
      <c r="G1919" s="6" t="n">
        <v>825.908111422619</v>
      </c>
      <c r="H1919" s="8" t="n">
        <v>170866.152682061</v>
      </c>
      <c r="I1919" s="9" t="n">
        <v>4.36188499254866</v>
      </c>
      <c r="J1919" s="9" t="n">
        <v>15.6890638326067</v>
      </c>
      <c r="K1919" s="3" t="s">
        <v>674</v>
      </c>
      <c r="L1919" s="3" t="s">
        <v>675</v>
      </c>
      <c r="M1919" s="7" t="n">
        <v>2024</v>
      </c>
    </row>
    <row r="1920" customFormat="false" ht="15" hidden="false" customHeight="false" outlineLevel="0" collapsed="false">
      <c r="A1920" s="3" t="n">
        <v>2696</v>
      </c>
      <c r="B1920" s="3" t="s">
        <v>676</v>
      </c>
      <c r="C1920" s="4" t="s">
        <v>19</v>
      </c>
      <c r="D1920" s="5" t="n">
        <v>3042</v>
      </c>
      <c r="E1920" s="6" t="n">
        <v>51.6</v>
      </c>
      <c r="F1920" s="7" t="n">
        <v>52</v>
      </c>
      <c r="G1920" s="6" t="n">
        <v>224.845123737374</v>
      </c>
      <c r="H1920" s="8" t="n">
        <v>22268.6610549495</v>
      </c>
      <c r="I1920" s="9" t="n">
        <v>7.22207435010203</v>
      </c>
      <c r="J1920" s="9" t="n">
        <v>66.1670752459586</v>
      </c>
      <c r="K1920" s="3" t="s">
        <v>677</v>
      </c>
      <c r="L1920" s="3" t="s">
        <v>678</v>
      </c>
      <c r="M1920" s="7" t="n">
        <v>2019</v>
      </c>
    </row>
    <row r="1921" customFormat="false" ht="15" hidden="false" customHeight="false" outlineLevel="0" collapsed="false">
      <c r="A1921" s="3" t="n">
        <v>2697</v>
      </c>
      <c r="B1921" s="3" t="s">
        <v>676</v>
      </c>
      <c r="C1921" s="4" t="s">
        <v>20</v>
      </c>
      <c r="D1921" s="5" t="n">
        <v>3044</v>
      </c>
      <c r="E1921" s="6" t="n">
        <v>50.3</v>
      </c>
      <c r="F1921" s="7" t="n">
        <v>52</v>
      </c>
      <c r="G1921" s="6" t="n">
        <v>1675.87652777778</v>
      </c>
      <c r="H1921" s="8" t="n">
        <v>147527.410740278</v>
      </c>
      <c r="I1921" s="9" t="n">
        <v>45.5860643637437</v>
      </c>
      <c r="J1921" s="9" t="n">
        <v>491.500047209797</v>
      </c>
      <c r="K1921" s="3" t="s">
        <v>677</v>
      </c>
      <c r="L1921" s="3" t="s">
        <v>678</v>
      </c>
      <c r="M1921" s="7" t="n">
        <v>2020</v>
      </c>
    </row>
    <row r="1922" customFormat="false" ht="15" hidden="false" customHeight="false" outlineLevel="0" collapsed="false">
      <c r="A1922" s="3" t="n">
        <v>2698</v>
      </c>
      <c r="B1922" s="3" t="s">
        <v>676</v>
      </c>
      <c r="C1922" s="4" t="s">
        <v>21</v>
      </c>
      <c r="D1922" s="5" t="n">
        <v>3047</v>
      </c>
      <c r="E1922" s="6" t="n">
        <v>50.3</v>
      </c>
      <c r="F1922" s="7" t="n">
        <v>51</v>
      </c>
      <c r="G1922" s="6" t="n">
        <v>538.618840909091</v>
      </c>
      <c r="H1922" s="8" t="n">
        <v>56258.7379329545</v>
      </c>
      <c r="I1922" s="9" t="n">
        <v>16.0669264267706</v>
      </c>
      <c r="J1922" s="9" t="n">
        <v>158.243821096835</v>
      </c>
      <c r="K1922" s="3" t="s">
        <v>677</v>
      </c>
      <c r="L1922" s="3" t="s">
        <v>678</v>
      </c>
      <c r="M1922" s="7" t="n">
        <v>2021</v>
      </c>
    </row>
    <row r="1923" customFormat="false" ht="15" hidden="false" customHeight="false" outlineLevel="0" collapsed="false">
      <c r="A1923" s="3" t="n">
        <v>2699</v>
      </c>
      <c r="B1923" s="3" t="s">
        <v>676</v>
      </c>
      <c r="C1923" s="4" t="s">
        <v>24</v>
      </c>
      <c r="D1923" s="5" t="n">
        <v>3088</v>
      </c>
      <c r="E1923" s="6" t="n">
        <v>47.3497080193182</v>
      </c>
      <c r="F1923" s="7" t="n">
        <v>50</v>
      </c>
      <c r="G1923" s="6" t="n">
        <v>763.477625297327</v>
      </c>
      <c r="H1923" s="8" t="n">
        <v>89204.7257397396</v>
      </c>
      <c r="I1923" s="9" t="n">
        <v>24.9102885888808</v>
      </c>
      <c r="J1923" s="9" t="n">
        <v>220.721793314607</v>
      </c>
      <c r="K1923" s="3" t="s">
        <v>677</v>
      </c>
      <c r="L1923" s="3" t="s">
        <v>678</v>
      </c>
      <c r="M1923" s="7" t="n">
        <v>2024</v>
      </c>
    </row>
    <row r="1924" customFormat="false" ht="15" hidden="false" customHeight="false" outlineLevel="0" collapsed="false">
      <c r="A1924" s="3" t="n">
        <v>2709</v>
      </c>
      <c r="B1924" s="3" t="s">
        <v>679</v>
      </c>
      <c r="C1924" s="4" t="s">
        <v>14</v>
      </c>
      <c r="D1924" s="5" t="n">
        <v>11780</v>
      </c>
      <c r="E1924" s="6" t="n">
        <v>154</v>
      </c>
      <c r="F1924" s="7" t="n">
        <v>71</v>
      </c>
      <c r="G1924" s="6" t="n">
        <v>588.390948548181</v>
      </c>
      <c r="H1924" s="8" t="n">
        <v>128678.076365062</v>
      </c>
      <c r="I1924" s="9" t="n">
        <v>11.2571043252502</v>
      </c>
      <c r="J1924" s="9" t="n">
        <v>44.5909665733361</v>
      </c>
      <c r="K1924" s="3" t="s">
        <v>680</v>
      </c>
      <c r="L1924" s="3" t="s">
        <v>681</v>
      </c>
      <c r="M1924" s="7" t="n">
        <v>2016</v>
      </c>
    </row>
    <row r="1925" customFormat="false" ht="15" hidden="false" customHeight="false" outlineLevel="0" collapsed="false">
      <c r="A1925" s="3" t="n">
        <v>2710</v>
      </c>
      <c r="B1925" s="3" t="s">
        <v>679</v>
      </c>
      <c r="C1925" s="4" t="s">
        <v>17</v>
      </c>
      <c r="D1925" s="5" t="n">
        <v>11789</v>
      </c>
      <c r="E1925" s="6" t="n">
        <v>154</v>
      </c>
      <c r="F1925" s="7" t="n">
        <v>74</v>
      </c>
      <c r="G1925" s="6" t="n">
        <v>574.990913131314</v>
      </c>
      <c r="H1925" s="8" t="n">
        <v>162436.6533816</v>
      </c>
      <c r="I1925" s="9" t="n">
        <v>10.459756056883</v>
      </c>
      <c r="J1925" s="9" t="n">
        <v>43.661805248409</v>
      </c>
      <c r="K1925" s="3" t="s">
        <v>680</v>
      </c>
      <c r="L1925" s="3" t="s">
        <v>681</v>
      </c>
      <c r="M1925" s="7" t="n">
        <v>2017</v>
      </c>
    </row>
    <row r="1926" customFormat="false" ht="15" hidden="false" customHeight="false" outlineLevel="0" collapsed="false">
      <c r="A1926" s="3" t="n">
        <v>2711</v>
      </c>
      <c r="B1926" s="3" t="s">
        <v>679</v>
      </c>
      <c r="C1926" s="4" t="s">
        <v>18</v>
      </c>
      <c r="D1926" s="5" t="n">
        <v>11800</v>
      </c>
      <c r="E1926" s="6" t="n">
        <v>154</v>
      </c>
      <c r="F1926" s="7" t="n">
        <v>74</v>
      </c>
      <c r="G1926" s="6" t="n">
        <v>275.149339630571</v>
      </c>
      <c r="H1926" s="8" t="n">
        <v>74296.6228862568</v>
      </c>
      <c r="I1926" s="9" t="n">
        <v>6.95671345630927</v>
      </c>
      <c r="J1926" s="9" t="n">
        <v>20.87392611938</v>
      </c>
      <c r="K1926" s="3" t="s">
        <v>680</v>
      </c>
      <c r="L1926" s="3" t="s">
        <v>681</v>
      </c>
      <c r="M1926" s="7" t="n">
        <v>2018</v>
      </c>
    </row>
    <row r="1927" customFormat="false" ht="15" hidden="false" customHeight="false" outlineLevel="0" collapsed="false">
      <c r="A1927" s="3" t="n">
        <v>2712</v>
      </c>
      <c r="B1927" s="3" t="s">
        <v>679</v>
      </c>
      <c r="C1927" s="4" t="s">
        <v>19</v>
      </c>
      <c r="D1927" s="5" t="n">
        <v>11798</v>
      </c>
      <c r="E1927" s="6" t="n">
        <v>154</v>
      </c>
      <c r="F1927" s="7" t="n">
        <v>74</v>
      </c>
      <c r="G1927" s="6" t="n">
        <v>416.850972821181</v>
      </c>
      <c r="H1927" s="8" t="n">
        <v>52135.7618761804</v>
      </c>
      <c r="I1927" s="9" t="n">
        <v>8.11103059821909</v>
      </c>
      <c r="J1927" s="9" t="n">
        <v>31.6293379825866</v>
      </c>
      <c r="K1927" s="3" t="s">
        <v>680</v>
      </c>
      <c r="L1927" s="3" t="s">
        <v>681</v>
      </c>
      <c r="M1927" s="7" t="n">
        <v>2019</v>
      </c>
    </row>
    <row r="1928" customFormat="false" ht="15" hidden="false" customHeight="false" outlineLevel="0" collapsed="false">
      <c r="A1928" s="3" t="n">
        <v>2713</v>
      </c>
      <c r="B1928" s="3" t="s">
        <v>679</v>
      </c>
      <c r="C1928" s="4" t="s">
        <v>20</v>
      </c>
      <c r="D1928" s="5" t="n">
        <v>11809</v>
      </c>
      <c r="E1928" s="6" t="n">
        <v>154</v>
      </c>
      <c r="F1928" s="7" t="n">
        <v>77</v>
      </c>
      <c r="G1928" s="6" t="n">
        <v>519.935947714357</v>
      </c>
      <c r="H1928" s="8" t="n">
        <v>167705.377882743</v>
      </c>
      <c r="I1928" s="9" t="n">
        <v>8.53400220875022</v>
      </c>
      <c r="J1928" s="9" t="n">
        <v>39.3063680240798</v>
      </c>
      <c r="K1928" s="3" t="s">
        <v>680</v>
      </c>
      <c r="L1928" s="3" t="s">
        <v>681</v>
      </c>
      <c r="M1928" s="7" t="n">
        <v>2020</v>
      </c>
    </row>
    <row r="1929" customFormat="false" ht="15" hidden="false" customHeight="false" outlineLevel="0" collapsed="false">
      <c r="A1929" s="3" t="n">
        <v>2714</v>
      </c>
      <c r="B1929" s="3" t="s">
        <v>679</v>
      </c>
      <c r="C1929" s="4" t="s">
        <v>21</v>
      </c>
      <c r="D1929" s="5" t="n">
        <v>11831</v>
      </c>
      <c r="E1929" s="6" t="n">
        <v>154</v>
      </c>
      <c r="F1929" s="7" t="n">
        <v>75</v>
      </c>
      <c r="G1929" s="6" t="n">
        <v>253.808136804546</v>
      </c>
      <c r="H1929" s="8" t="n">
        <v>86165.594292142</v>
      </c>
      <c r="I1929" s="9" t="n">
        <v>5.09749233559607</v>
      </c>
      <c r="J1929" s="9" t="n">
        <v>19.2044450149816</v>
      </c>
      <c r="K1929" s="3" t="s">
        <v>680</v>
      </c>
      <c r="L1929" s="3" t="s">
        <v>681</v>
      </c>
      <c r="M1929" s="7" t="n">
        <v>2021</v>
      </c>
    </row>
    <row r="1930" customFormat="false" ht="15" hidden="false" customHeight="false" outlineLevel="0" collapsed="false">
      <c r="A1930" s="3" t="n">
        <v>2715</v>
      </c>
      <c r="B1930" s="3" t="s">
        <v>679</v>
      </c>
      <c r="C1930" s="4" t="s">
        <v>22</v>
      </c>
      <c r="D1930" s="5" t="n">
        <v>11839</v>
      </c>
      <c r="E1930" s="6" t="n">
        <v>154</v>
      </c>
      <c r="F1930" s="7" t="n">
        <v>71</v>
      </c>
      <c r="G1930" s="6" t="n">
        <v>556.686732444762</v>
      </c>
      <c r="H1930" s="8" t="n">
        <v>181048.614702055</v>
      </c>
      <c r="I1930" s="9" t="n">
        <v>8.56307094817259</v>
      </c>
      <c r="J1930" s="9" t="n">
        <v>42.0933533269763</v>
      </c>
      <c r="K1930" s="3" t="s">
        <v>680</v>
      </c>
      <c r="L1930" s="3" t="s">
        <v>681</v>
      </c>
      <c r="M1930" s="7" t="n">
        <v>2022</v>
      </c>
    </row>
    <row r="1931" customFormat="false" ht="15" hidden="false" customHeight="false" outlineLevel="0" collapsed="false">
      <c r="A1931" s="3" t="n">
        <v>2716</v>
      </c>
      <c r="B1931" s="3" t="s">
        <v>679</v>
      </c>
      <c r="C1931" s="4" t="s">
        <v>23</v>
      </c>
      <c r="D1931" s="5" t="n">
        <v>12069</v>
      </c>
      <c r="E1931" s="6" t="n">
        <v>161.558</v>
      </c>
      <c r="F1931" s="7" t="n">
        <v>73</v>
      </c>
      <c r="G1931" s="6" t="n">
        <v>359.830603676975</v>
      </c>
      <c r="H1931" s="8" t="n">
        <v>60719.4724979927</v>
      </c>
      <c r="I1931" s="9" t="n">
        <v>6.45541364593234</v>
      </c>
      <c r="J1931" s="9" t="n">
        <v>26.6897486974498</v>
      </c>
      <c r="K1931" s="3" t="s">
        <v>680</v>
      </c>
      <c r="L1931" s="3" t="s">
        <v>681</v>
      </c>
      <c r="M1931" s="7" t="n">
        <v>2023</v>
      </c>
    </row>
    <row r="1932" customFormat="false" ht="15" hidden="false" customHeight="false" outlineLevel="0" collapsed="false">
      <c r="A1932" s="3" t="n">
        <v>2717</v>
      </c>
      <c r="B1932" s="3" t="s">
        <v>679</v>
      </c>
      <c r="C1932" s="4" t="s">
        <v>24</v>
      </c>
      <c r="D1932" s="5" t="n">
        <v>11919</v>
      </c>
      <c r="E1932" s="6" t="n">
        <v>161.0378</v>
      </c>
      <c r="F1932" s="7" t="n">
        <v>75</v>
      </c>
      <c r="G1932" s="6" t="n">
        <v>229.10850824424</v>
      </c>
      <c r="H1932" s="8" t="n">
        <v>28033.3065987732</v>
      </c>
      <c r="I1932" s="9" t="n">
        <v>5.69233476295703</v>
      </c>
      <c r="J1932" s="9" t="n">
        <v>17.1604072971769</v>
      </c>
      <c r="K1932" s="3" t="s">
        <v>680</v>
      </c>
      <c r="L1932" s="3" t="s">
        <v>681</v>
      </c>
      <c r="M1932" s="7" t="n">
        <v>2024</v>
      </c>
    </row>
    <row r="1933" customFormat="false" ht="15" hidden="false" customHeight="false" outlineLevel="0" collapsed="false">
      <c r="A1933" s="3" t="n">
        <v>2718</v>
      </c>
      <c r="B1933" s="3" t="s">
        <v>682</v>
      </c>
      <c r="C1933" s="4" t="s">
        <v>14</v>
      </c>
      <c r="D1933" s="5" t="n">
        <v>19789</v>
      </c>
      <c r="E1933" s="6" t="n">
        <v>271</v>
      </c>
      <c r="F1933" s="7" t="n">
        <v>63</v>
      </c>
      <c r="G1933" s="6" t="n">
        <v>443.008112244898</v>
      </c>
      <c r="H1933" s="8" t="n">
        <v>84308.8738413266</v>
      </c>
      <c r="I1933" s="9" t="n">
        <v>6.72137193435368</v>
      </c>
      <c r="J1933" s="9" t="n">
        <v>19.9854542662227</v>
      </c>
      <c r="K1933" s="3" t="s">
        <v>683</v>
      </c>
      <c r="L1933" s="3" t="s">
        <v>684</v>
      </c>
      <c r="M1933" s="7" t="n">
        <v>2016</v>
      </c>
    </row>
    <row r="1934" customFormat="false" ht="15" hidden="false" customHeight="false" outlineLevel="0" collapsed="false">
      <c r="A1934" s="3" t="n">
        <v>2719</v>
      </c>
      <c r="B1934" s="3" t="s">
        <v>682</v>
      </c>
      <c r="C1934" s="4" t="s">
        <v>17</v>
      </c>
      <c r="D1934" s="5" t="n">
        <v>19902</v>
      </c>
      <c r="E1934" s="6" t="n">
        <v>271</v>
      </c>
      <c r="F1934" s="7" t="n">
        <v>64</v>
      </c>
      <c r="G1934" s="6" t="n">
        <v>411.215272727272</v>
      </c>
      <c r="H1934" s="8" t="n">
        <v>101960.826872727</v>
      </c>
      <c r="I1934" s="9" t="n">
        <v>5.23627866480142</v>
      </c>
      <c r="J1934" s="9" t="n">
        <v>18.4965269150506</v>
      </c>
      <c r="K1934" s="3" t="s">
        <v>683</v>
      </c>
      <c r="L1934" s="3" t="s">
        <v>684</v>
      </c>
      <c r="M1934" s="7" t="n">
        <v>2017</v>
      </c>
    </row>
    <row r="1935" customFormat="false" ht="15" hidden="false" customHeight="false" outlineLevel="0" collapsed="false">
      <c r="A1935" s="3" t="n">
        <v>2720</v>
      </c>
      <c r="B1935" s="3" t="s">
        <v>682</v>
      </c>
      <c r="C1935" s="4" t="s">
        <v>18</v>
      </c>
      <c r="D1935" s="5" t="n">
        <v>21006</v>
      </c>
      <c r="E1935" s="6" t="n">
        <v>271</v>
      </c>
      <c r="F1935" s="7" t="n">
        <v>62</v>
      </c>
      <c r="G1935" s="6" t="n">
        <v>183.726715979382</v>
      </c>
      <c r="H1935" s="8" t="n">
        <v>57496.3370498699</v>
      </c>
      <c r="I1935" s="9" t="n">
        <v>5.22730763910166</v>
      </c>
      <c r="J1935" s="9" t="n">
        <v>7.8297271068284</v>
      </c>
      <c r="K1935" s="3" t="s">
        <v>683</v>
      </c>
      <c r="L1935" s="3" t="s">
        <v>684</v>
      </c>
      <c r="M1935" s="7" t="n">
        <v>2018</v>
      </c>
    </row>
    <row r="1936" customFormat="false" ht="15" hidden="false" customHeight="false" outlineLevel="0" collapsed="false">
      <c r="A1936" s="3" t="n">
        <v>2721</v>
      </c>
      <c r="B1936" s="3" t="s">
        <v>682</v>
      </c>
      <c r="C1936" s="4" t="s">
        <v>19</v>
      </c>
      <c r="D1936" s="5" t="n">
        <v>21006</v>
      </c>
      <c r="E1936" s="6" t="n">
        <v>271</v>
      </c>
      <c r="F1936" s="7" t="n">
        <v>72</v>
      </c>
      <c r="G1936" s="6" t="n">
        <v>175.34335410014</v>
      </c>
      <c r="H1936" s="8" t="n">
        <v>58545.3925004958</v>
      </c>
      <c r="I1936" s="9" t="n">
        <v>5.12194983826655</v>
      </c>
      <c r="J1936" s="9" t="n">
        <v>7.47246041644887</v>
      </c>
      <c r="K1936" s="3" t="s">
        <v>683</v>
      </c>
      <c r="L1936" s="3" t="s">
        <v>684</v>
      </c>
      <c r="M1936" s="7" t="n">
        <v>2019</v>
      </c>
    </row>
    <row r="1937" customFormat="false" ht="15" hidden="false" customHeight="false" outlineLevel="0" collapsed="false">
      <c r="A1937" s="3" t="n">
        <v>2722</v>
      </c>
      <c r="B1937" s="3" t="s">
        <v>682</v>
      </c>
      <c r="C1937" s="4" t="s">
        <v>20</v>
      </c>
      <c r="D1937" s="5" t="n">
        <v>19958</v>
      </c>
      <c r="E1937" s="6" t="n">
        <v>271</v>
      </c>
      <c r="F1937" s="7" t="n">
        <v>70</v>
      </c>
      <c r="G1937" s="6" t="n">
        <v>82.1751282051268</v>
      </c>
      <c r="H1937" s="8" t="n">
        <v>24645.9644512816</v>
      </c>
      <c r="I1937" s="9" t="n">
        <v>3.84492149951939</v>
      </c>
      <c r="J1937" s="9" t="n">
        <v>3.67578046785493</v>
      </c>
      <c r="K1937" s="3" t="s">
        <v>683</v>
      </c>
      <c r="L1937" s="3" t="s">
        <v>684</v>
      </c>
      <c r="M1937" s="7" t="n">
        <v>2020</v>
      </c>
    </row>
    <row r="1938" customFormat="false" ht="15" hidden="false" customHeight="false" outlineLevel="0" collapsed="false">
      <c r="A1938" s="3" t="n">
        <v>2723</v>
      </c>
      <c r="B1938" s="3" t="s">
        <v>682</v>
      </c>
      <c r="C1938" s="4" t="s">
        <v>21</v>
      </c>
      <c r="D1938" s="5" t="n">
        <v>20471</v>
      </c>
      <c r="E1938" s="6" t="n">
        <v>253</v>
      </c>
      <c r="F1938" s="7" t="n">
        <v>68</v>
      </c>
      <c r="G1938" s="6" t="n">
        <v>255.654156683616</v>
      </c>
      <c r="H1938" s="8" t="n">
        <v>81374.718072395</v>
      </c>
      <c r="I1938" s="9" t="n">
        <v>5.25564567697408</v>
      </c>
      <c r="J1938" s="9" t="n">
        <v>11.1797341038211</v>
      </c>
      <c r="K1938" s="3" t="s">
        <v>683</v>
      </c>
      <c r="L1938" s="3" t="s">
        <v>684</v>
      </c>
      <c r="M1938" s="7" t="n">
        <v>2021</v>
      </c>
    </row>
    <row r="1939" customFormat="false" ht="15" hidden="false" customHeight="false" outlineLevel="0" collapsed="false">
      <c r="A1939" s="3" t="n">
        <v>2724</v>
      </c>
      <c r="B1939" s="3" t="s">
        <v>682</v>
      </c>
      <c r="C1939" s="4" t="s">
        <v>23</v>
      </c>
      <c r="D1939" s="5" t="n">
        <v>20540</v>
      </c>
      <c r="E1939" s="6" t="n">
        <v>253.7</v>
      </c>
      <c r="F1939" s="7" t="n">
        <v>73</v>
      </c>
      <c r="G1939" s="6" t="n">
        <v>42.0799897435865</v>
      </c>
      <c r="H1939" s="8" t="n">
        <v>14587.8700444091</v>
      </c>
      <c r="I1939" s="9" t="n">
        <v>3.6200895682003</v>
      </c>
      <c r="J1939" s="9" t="n">
        <v>1.83397267432314</v>
      </c>
      <c r="K1939" s="3" t="s">
        <v>683</v>
      </c>
      <c r="L1939" s="3" t="s">
        <v>684</v>
      </c>
      <c r="M1939" s="7" t="n">
        <v>2023</v>
      </c>
    </row>
    <row r="1940" customFormat="false" ht="15" hidden="false" customHeight="false" outlineLevel="0" collapsed="false">
      <c r="A1940" s="3" t="n">
        <v>2725</v>
      </c>
      <c r="B1940" s="3" t="s">
        <v>682</v>
      </c>
      <c r="C1940" s="4" t="s">
        <v>24</v>
      </c>
      <c r="D1940" s="5" t="n">
        <v>20544</v>
      </c>
      <c r="E1940" s="6" t="n">
        <v>253.7</v>
      </c>
      <c r="F1940" s="7" t="n">
        <v>76</v>
      </c>
      <c r="G1940" s="6" t="n">
        <v>75.5818721794855</v>
      </c>
      <c r="H1940" s="8" t="n">
        <v>24521.7826099123</v>
      </c>
      <c r="I1940" s="9" t="n">
        <v>3.85911455540763</v>
      </c>
      <c r="J1940" s="9" t="n">
        <v>3.28442109305754</v>
      </c>
      <c r="K1940" s="3" t="s">
        <v>683</v>
      </c>
      <c r="L1940" s="3" t="s">
        <v>684</v>
      </c>
      <c r="M1940" s="7" t="n">
        <v>2024</v>
      </c>
    </row>
    <row r="1941" customFormat="false" ht="15" hidden="false" customHeight="false" outlineLevel="0" collapsed="false">
      <c r="A1941" s="3" t="n">
        <v>2726</v>
      </c>
      <c r="B1941" s="3" t="s">
        <v>685</v>
      </c>
      <c r="C1941" s="4" t="s">
        <v>14</v>
      </c>
      <c r="D1941" s="5" t="n">
        <v>7941</v>
      </c>
      <c r="E1941" s="6" t="n">
        <v>104</v>
      </c>
      <c r="F1941" s="7" t="n">
        <v>50</v>
      </c>
      <c r="G1941" s="6" t="n">
        <v>166.882183061516</v>
      </c>
      <c r="H1941" s="8" t="n">
        <v>39812.0342179402</v>
      </c>
      <c r="I1941" s="9" t="n">
        <v>6.24798618996939</v>
      </c>
      <c r="J1941" s="9" t="n">
        <v>18.7612154132543</v>
      </c>
      <c r="K1941" s="3" t="s">
        <v>686</v>
      </c>
      <c r="L1941" s="3" t="s">
        <v>687</v>
      </c>
      <c r="M1941" s="7" t="n">
        <v>2016</v>
      </c>
    </row>
    <row r="1942" customFormat="false" ht="15" hidden="false" customHeight="false" outlineLevel="0" collapsed="false">
      <c r="A1942" s="3" t="n">
        <v>2727</v>
      </c>
      <c r="B1942" s="3" t="s">
        <v>685</v>
      </c>
      <c r="C1942" s="4" t="s">
        <v>17</v>
      </c>
      <c r="D1942" s="5" t="n">
        <v>7957</v>
      </c>
      <c r="E1942" s="6" t="n">
        <v>102.28</v>
      </c>
      <c r="F1942" s="7" t="n">
        <v>68</v>
      </c>
      <c r="G1942" s="6" t="n">
        <v>136.212226800668</v>
      </c>
      <c r="H1942" s="8" t="n">
        <v>31238.5241919408</v>
      </c>
      <c r="I1942" s="9" t="n">
        <v>5.05838051426518</v>
      </c>
      <c r="J1942" s="9" t="n">
        <v>15.3244328082207</v>
      </c>
      <c r="K1942" s="3" t="s">
        <v>686</v>
      </c>
      <c r="L1942" s="3" t="s">
        <v>687</v>
      </c>
      <c r="M1942" s="7" t="n">
        <v>2017</v>
      </c>
    </row>
    <row r="1943" customFormat="false" ht="15" hidden="false" customHeight="false" outlineLevel="0" collapsed="false">
      <c r="A1943" s="3" t="n">
        <v>2728</v>
      </c>
      <c r="B1943" s="3" t="s">
        <v>685</v>
      </c>
      <c r="C1943" s="4" t="s">
        <v>18</v>
      </c>
      <c r="D1943" s="5" t="n">
        <v>7973</v>
      </c>
      <c r="E1943" s="6" t="n">
        <v>102.3</v>
      </c>
      <c r="F1943" s="7" t="n">
        <v>68</v>
      </c>
      <c r="G1943" s="6" t="n">
        <v>122.597618945146</v>
      </c>
      <c r="H1943" s="8" t="n">
        <v>11112.8875687526</v>
      </c>
      <c r="I1943" s="9" t="n">
        <v>4.66890516588171</v>
      </c>
      <c r="J1943" s="9" t="n">
        <v>13.7650548385467</v>
      </c>
      <c r="K1943" s="3" t="s">
        <v>686</v>
      </c>
      <c r="L1943" s="3" t="s">
        <v>687</v>
      </c>
      <c r="M1943" s="7" t="n">
        <v>2018</v>
      </c>
    </row>
    <row r="1944" customFormat="false" ht="15" hidden="false" customHeight="false" outlineLevel="0" collapsed="false">
      <c r="A1944" s="3" t="n">
        <v>2729</v>
      </c>
      <c r="B1944" s="3" t="s">
        <v>685</v>
      </c>
      <c r="C1944" s="4" t="s">
        <v>19</v>
      </c>
      <c r="D1944" s="5" t="n">
        <v>7989</v>
      </c>
      <c r="E1944" s="6" t="n">
        <v>102.8</v>
      </c>
      <c r="F1944" s="7" t="n">
        <v>75</v>
      </c>
      <c r="G1944" s="6" t="n">
        <v>164.315897110108</v>
      </c>
      <c r="H1944" s="8" t="n">
        <v>17021.1575803604</v>
      </c>
      <c r="I1944" s="9" t="n">
        <v>5.71816240925221</v>
      </c>
      <c r="J1944" s="9" t="n">
        <v>18.4121640432882</v>
      </c>
      <c r="K1944" s="3" t="s">
        <v>686</v>
      </c>
      <c r="L1944" s="3" t="s">
        <v>687</v>
      </c>
      <c r="M1944" s="7" t="n">
        <v>2019</v>
      </c>
    </row>
    <row r="1945" customFormat="false" ht="15" hidden="false" customHeight="false" outlineLevel="0" collapsed="false">
      <c r="A1945" s="3" t="n">
        <v>2730</v>
      </c>
      <c r="B1945" s="3" t="s">
        <v>685</v>
      </c>
      <c r="C1945" s="4" t="s">
        <v>20</v>
      </c>
      <c r="D1945" s="5" t="n">
        <v>7989</v>
      </c>
      <c r="E1945" s="6" t="n">
        <v>102.8</v>
      </c>
      <c r="F1945" s="7" t="n">
        <v>75</v>
      </c>
      <c r="G1945" s="6" t="n">
        <v>41.5867370887342</v>
      </c>
      <c r="H1945" s="8" t="n">
        <v>4407.35244552514</v>
      </c>
      <c r="I1945" s="9" t="n">
        <v>2.68108469085521</v>
      </c>
      <c r="J1945" s="9" t="n">
        <v>4.64717063602904</v>
      </c>
      <c r="K1945" s="3" t="s">
        <v>686</v>
      </c>
      <c r="L1945" s="3" t="s">
        <v>687</v>
      </c>
      <c r="M1945" s="7" t="n">
        <v>2020</v>
      </c>
    </row>
    <row r="1946" customFormat="false" ht="15" hidden="false" customHeight="false" outlineLevel="0" collapsed="false">
      <c r="A1946" s="3" t="n">
        <v>2731</v>
      </c>
      <c r="B1946" s="3" t="s">
        <v>685</v>
      </c>
      <c r="C1946" s="4" t="s">
        <v>21</v>
      </c>
      <c r="D1946" s="5" t="n">
        <v>7996</v>
      </c>
      <c r="E1946" s="6" t="n">
        <v>103.1</v>
      </c>
      <c r="F1946" s="7" t="n">
        <v>75</v>
      </c>
      <c r="G1946" s="6" t="n">
        <v>225.687377989099</v>
      </c>
      <c r="H1946" s="8" t="n">
        <v>24739.7410854596</v>
      </c>
      <c r="I1946" s="9" t="n">
        <v>6.90027720520293</v>
      </c>
      <c r="J1946" s="9" t="n">
        <v>25.2669115481937</v>
      </c>
      <c r="K1946" s="3" t="s">
        <v>686</v>
      </c>
      <c r="L1946" s="3" t="s">
        <v>687</v>
      </c>
      <c r="M1946" s="7" t="n">
        <v>2021</v>
      </c>
    </row>
    <row r="1947" customFormat="false" ht="15" hidden="false" customHeight="false" outlineLevel="0" collapsed="false">
      <c r="A1947" s="3" t="n">
        <v>2732</v>
      </c>
      <c r="B1947" s="3" t="s">
        <v>685</v>
      </c>
      <c r="C1947" s="4" t="s">
        <v>22</v>
      </c>
      <c r="D1947" s="5" t="n">
        <v>7996</v>
      </c>
      <c r="E1947" s="6" t="n">
        <v>103.1</v>
      </c>
      <c r="F1947" s="7" t="n">
        <v>73</v>
      </c>
      <c r="G1947" s="6" t="n">
        <v>275.107431832092</v>
      </c>
      <c r="H1947" s="8" t="n">
        <v>27534.6990019421</v>
      </c>
      <c r="I1947" s="9" t="n">
        <v>8.16578010052483</v>
      </c>
      <c r="J1947" s="9" t="n">
        <v>30.7997514450629</v>
      </c>
      <c r="K1947" s="3" t="s">
        <v>686</v>
      </c>
      <c r="L1947" s="3" t="s">
        <v>687</v>
      </c>
      <c r="M1947" s="7" t="n">
        <v>2022</v>
      </c>
    </row>
    <row r="1948" customFormat="false" ht="15" hidden="false" customHeight="false" outlineLevel="0" collapsed="false">
      <c r="A1948" s="3" t="n">
        <v>2733</v>
      </c>
      <c r="B1948" s="3" t="s">
        <v>685</v>
      </c>
      <c r="C1948" s="4" t="s">
        <v>23</v>
      </c>
      <c r="D1948" s="5" t="n">
        <v>7992</v>
      </c>
      <c r="E1948" s="6" t="n">
        <v>100.5</v>
      </c>
      <c r="F1948" s="7" t="n">
        <v>73</v>
      </c>
      <c r="G1948" s="6" t="n">
        <v>185.476901537619</v>
      </c>
      <c r="H1948" s="8" t="n">
        <v>25536.1494075327</v>
      </c>
      <c r="I1948" s="9" t="n">
        <v>6.76042985239526</v>
      </c>
      <c r="J1948" s="9" t="n">
        <v>20.775526159035</v>
      </c>
      <c r="K1948" s="3" t="s">
        <v>686</v>
      </c>
      <c r="L1948" s="3" t="s">
        <v>687</v>
      </c>
      <c r="M1948" s="7" t="n">
        <v>2023</v>
      </c>
    </row>
    <row r="1949" customFormat="false" ht="15" hidden="false" customHeight="false" outlineLevel="0" collapsed="false">
      <c r="A1949" s="3" t="n">
        <v>2734</v>
      </c>
      <c r="B1949" s="3" t="s">
        <v>685</v>
      </c>
      <c r="C1949" s="4" t="s">
        <v>24</v>
      </c>
      <c r="D1949" s="5" t="n">
        <v>7999</v>
      </c>
      <c r="E1949" s="6" t="n">
        <v>100.5</v>
      </c>
      <c r="F1949" s="7" t="n">
        <v>74</v>
      </c>
      <c r="G1949" s="6" t="n">
        <v>161.34166788187</v>
      </c>
      <c r="H1949" s="8" t="n">
        <v>20929.3878507252</v>
      </c>
      <c r="I1949" s="9" t="n">
        <v>7.30247467979917</v>
      </c>
      <c r="J1949" s="9" t="n">
        <v>18.0068206542856</v>
      </c>
      <c r="K1949" s="3" t="s">
        <v>686</v>
      </c>
      <c r="L1949" s="3" t="s">
        <v>687</v>
      </c>
      <c r="M1949" s="7" t="n">
        <v>2024</v>
      </c>
    </row>
    <row r="1950" customFormat="false" ht="15" hidden="false" customHeight="false" outlineLevel="0" collapsed="false">
      <c r="A1950" s="3" t="n">
        <v>2735</v>
      </c>
      <c r="B1950" s="3" t="s">
        <v>688</v>
      </c>
      <c r="C1950" s="4" t="s">
        <v>14</v>
      </c>
      <c r="D1950" s="5" t="n">
        <v>13894</v>
      </c>
      <c r="E1950" s="6" t="n">
        <v>181</v>
      </c>
      <c r="F1950" s="7" t="n">
        <v>67</v>
      </c>
      <c r="G1950" s="6" t="n">
        <v>310.948549489796</v>
      </c>
      <c r="H1950" s="8" t="n">
        <v>65423.5748126531</v>
      </c>
      <c r="I1950" s="9" t="n">
        <v>6.08051653417338</v>
      </c>
      <c r="J1950" s="9" t="n">
        <v>19.9796296814432</v>
      </c>
      <c r="K1950" s="3" t="s">
        <v>689</v>
      </c>
      <c r="L1950" s="3" t="s">
        <v>690</v>
      </c>
      <c r="M1950" s="7" t="n">
        <v>2016</v>
      </c>
    </row>
    <row r="1951" customFormat="false" ht="15" hidden="false" customHeight="false" outlineLevel="0" collapsed="false">
      <c r="A1951" s="3" t="n">
        <v>2736</v>
      </c>
      <c r="B1951" s="3" t="s">
        <v>688</v>
      </c>
      <c r="C1951" s="4" t="s">
        <v>17</v>
      </c>
      <c r="D1951" s="5" t="n">
        <v>13986</v>
      </c>
      <c r="E1951" s="6" t="n">
        <v>181</v>
      </c>
      <c r="F1951" s="7" t="n">
        <v>60</v>
      </c>
      <c r="G1951" s="6" t="n">
        <v>379.122537755103</v>
      </c>
      <c r="H1951" s="8" t="n">
        <v>89381.9295011431</v>
      </c>
      <c r="I1951" s="9" t="n">
        <v>6.69255117289605</v>
      </c>
      <c r="J1951" s="9" t="n">
        <v>24.2663106689967</v>
      </c>
      <c r="K1951" s="3" t="s">
        <v>689</v>
      </c>
      <c r="L1951" s="3" t="s">
        <v>690</v>
      </c>
      <c r="M1951" s="7" t="n">
        <v>2017</v>
      </c>
    </row>
    <row r="1952" customFormat="false" ht="15" hidden="false" customHeight="false" outlineLevel="0" collapsed="false">
      <c r="A1952" s="3" t="n">
        <v>2737</v>
      </c>
      <c r="B1952" s="3" t="s">
        <v>688</v>
      </c>
      <c r="C1952" s="4" t="s">
        <v>18</v>
      </c>
      <c r="D1952" s="5" t="n">
        <v>13936</v>
      </c>
      <c r="E1952" s="6" t="n">
        <v>181</v>
      </c>
      <c r="F1952" s="7" t="n">
        <v>60</v>
      </c>
      <c r="G1952" s="6" t="n">
        <v>399.09512979798</v>
      </c>
      <c r="H1952" s="8" t="n">
        <v>102571.439309379</v>
      </c>
      <c r="I1952" s="9" t="n">
        <v>5.80533446432975</v>
      </c>
      <c r="J1952" s="9" t="n">
        <v>25.6363365849459</v>
      </c>
      <c r="K1952" s="3" t="s">
        <v>689</v>
      </c>
      <c r="L1952" s="3" t="s">
        <v>690</v>
      </c>
      <c r="M1952" s="7" t="n">
        <v>2018</v>
      </c>
    </row>
    <row r="1953" customFormat="false" ht="15" hidden="false" customHeight="false" outlineLevel="0" collapsed="false">
      <c r="A1953" s="3" t="n">
        <v>2738</v>
      </c>
      <c r="B1953" s="3" t="s">
        <v>688</v>
      </c>
      <c r="C1953" s="4" t="s">
        <v>19</v>
      </c>
      <c r="D1953" s="5" t="n">
        <v>14241</v>
      </c>
      <c r="E1953" s="6" t="n">
        <v>181</v>
      </c>
      <c r="F1953" s="7" t="n">
        <v>74</v>
      </c>
      <c r="G1953" s="6" t="n">
        <v>418.619988888889</v>
      </c>
      <c r="H1953" s="8" t="n">
        <v>112236.205221</v>
      </c>
      <c r="I1953" s="9" t="n">
        <v>6.13675391912567</v>
      </c>
      <c r="J1953" s="9" t="n">
        <v>26.3146228463231</v>
      </c>
      <c r="K1953" s="3" t="s">
        <v>689</v>
      </c>
      <c r="L1953" s="3" t="s">
        <v>690</v>
      </c>
      <c r="M1953" s="7" t="n">
        <v>2019</v>
      </c>
    </row>
    <row r="1954" customFormat="false" ht="15" hidden="false" customHeight="false" outlineLevel="0" collapsed="false">
      <c r="A1954" s="3" t="n">
        <v>2739</v>
      </c>
      <c r="B1954" s="3" t="s">
        <v>688</v>
      </c>
      <c r="C1954" s="4" t="s">
        <v>20</v>
      </c>
      <c r="D1954" s="5" t="n">
        <v>14390</v>
      </c>
      <c r="E1954" s="6" t="n">
        <v>193</v>
      </c>
      <c r="F1954" s="7" t="n">
        <v>72</v>
      </c>
      <c r="G1954" s="6" t="n">
        <v>448.510691464647</v>
      </c>
      <c r="H1954" s="8" t="n">
        <v>103592.51440759</v>
      </c>
      <c r="I1954" s="9" t="n">
        <v>6.07182256229887</v>
      </c>
      <c r="J1954" s="9" t="n">
        <v>27.8251939273747</v>
      </c>
      <c r="K1954" s="3" t="s">
        <v>689</v>
      </c>
      <c r="L1954" s="3" t="s">
        <v>690</v>
      </c>
      <c r="M1954" s="7" t="n">
        <v>2020</v>
      </c>
    </row>
    <row r="1955" customFormat="false" ht="15" hidden="false" customHeight="false" outlineLevel="0" collapsed="false">
      <c r="A1955" s="3" t="n">
        <v>2740</v>
      </c>
      <c r="B1955" s="3" t="s">
        <v>688</v>
      </c>
      <c r="C1955" s="4" t="s">
        <v>21</v>
      </c>
      <c r="D1955" s="5" t="n">
        <v>14390</v>
      </c>
      <c r="E1955" s="6" t="n">
        <v>193</v>
      </c>
      <c r="F1955" s="7" t="n">
        <v>73</v>
      </c>
      <c r="G1955" s="6" t="n">
        <v>223.62012979798</v>
      </c>
      <c r="H1955" s="8" t="n">
        <v>24249.366875293</v>
      </c>
      <c r="I1955" s="9" t="n">
        <v>4.17205698595408</v>
      </c>
      <c r="J1955" s="9" t="n">
        <v>13.9113019028022</v>
      </c>
      <c r="K1955" s="3" t="s">
        <v>689</v>
      </c>
      <c r="L1955" s="3" t="s">
        <v>690</v>
      </c>
      <c r="M1955" s="7" t="n">
        <v>2021</v>
      </c>
    </row>
    <row r="1956" customFormat="false" ht="15" hidden="false" customHeight="false" outlineLevel="0" collapsed="false">
      <c r="A1956" s="3" t="n">
        <v>2741</v>
      </c>
      <c r="B1956" s="3" t="s">
        <v>688</v>
      </c>
      <c r="C1956" s="4" t="s">
        <v>22</v>
      </c>
      <c r="D1956" s="5" t="n">
        <v>14371</v>
      </c>
      <c r="E1956" s="6" t="n">
        <v>193</v>
      </c>
      <c r="F1956" s="7" t="n">
        <v>77</v>
      </c>
      <c r="G1956" s="6" t="n">
        <v>293.581896931474</v>
      </c>
      <c r="H1956" s="8" t="n">
        <v>28471.5723644143</v>
      </c>
      <c r="I1956" s="9" t="n">
        <v>5.34648700874353</v>
      </c>
      <c r="J1956" s="9" t="n">
        <v>18.2877365774438</v>
      </c>
      <c r="K1956" s="3" t="s">
        <v>689</v>
      </c>
      <c r="L1956" s="3" t="s">
        <v>690</v>
      </c>
      <c r="M1956" s="7" t="n">
        <v>2022</v>
      </c>
    </row>
    <row r="1957" customFormat="false" ht="15" hidden="false" customHeight="false" outlineLevel="0" collapsed="false">
      <c r="A1957" s="3" t="n">
        <v>2742</v>
      </c>
      <c r="B1957" s="3" t="s">
        <v>688</v>
      </c>
      <c r="C1957" s="4" t="s">
        <v>23</v>
      </c>
      <c r="D1957" s="5" t="n">
        <v>14380</v>
      </c>
      <c r="E1957" s="6" t="n">
        <v>202.35</v>
      </c>
      <c r="F1957" s="7" t="n">
        <v>77</v>
      </c>
      <c r="G1957" s="6" t="n">
        <v>381.598588374242</v>
      </c>
      <c r="H1957" s="8" t="n">
        <v>45879.5982802351</v>
      </c>
      <c r="I1957" s="9" t="n">
        <v>7.46462982552986</v>
      </c>
      <c r="J1957" s="9" t="n">
        <v>23.7555750547034</v>
      </c>
      <c r="K1957" s="3" t="s">
        <v>689</v>
      </c>
      <c r="L1957" s="3" t="s">
        <v>690</v>
      </c>
      <c r="M1957" s="7" t="n">
        <v>2023</v>
      </c>
    </row>
    <row r="1958" customFormat="false" ht="15" hidden="false" customHeight="false" outlineLevel="0" collapsed="false">
      <c r="A1958" s="3" t="n">
        <v>2743</v>
      </c>
      <c r="B1958" s="3" t="s">
        <v>688</v>
      </c>
      <c r="C1958" s="4" t="s">
        <v>24</v>
      </c>
      <c r="D1958" s="5" t="n">
        <v>14385</v>
      </c>
      <c r="E1958" s="6" t="n">
        <v>202.6</v>
      </c>
      <c r="F1958" s="7" t="n">
        <v>77</v>
      </c>
      <c r="G1958" s="6" t="n">
        <v>248.272435976233</v>
      </c>
      <c r="H1958" s="8" t="n">
        <v>22841.0641098134</v>
      </c>
      <c r="I1958" s="9" t="n">
        <v>5.57624824722224</v>
      </c>
      <c r="J1958" s="9" t="n">
        <v>15.4079490213439</v>
      </c>
      <c r="K1958" s="3" t="s">
        <v>689</v>
      </c>
      <c r="L1958" s="3" t="s">
        <v>690</v>
      </c>
      <c r="M1958" s="7" t="n">
        <v>2024</v>
      </c>
    </row>
    <row r="1959" customFormat="false" ht="15" hidden="false" customHeight="false" outlineLevel="0" collapsed="false">
      <c r="A1959" s="3" t="n">
        <v>2744</v>
      </c>
      <c r="B1959" s="3" t="s">
        <v>691</v>
      </c>
      <c r="C1959" s="4" t="s">
        <v>14</v>
      </c>
      <c r="D1959" s="5" t="n">
        <v>16689</v>
      </c>
      <c r="E1959" s="6" t="n">
        <v>192.37</v>
      </c>
      <c r="F1959" s="7" t="n">
        <v>66</v>
      </c>
      <c r="G1959" s="6" t="n">
        <v>425.931213229187</v>
      </c>
      <c r="H1959" s="8" t="n">
        <v>76310.953810125</v>
      </c>
      <c r="I1959" s="9" t="n">
        <v>7.15453826918918</v>
      </c>
      <c r="J1959" s="9" t="n">
        <v>22.7842819545552</v>
      </c>
      <c r="K1959" s="3" t="s">
        <v>692</v>
      </c>
      <c r="L1959" s="3" t="s">
        <v>693</v>
      </c>
      <c r="M1959" s="7" t="n">
        <v>2016</v>
      </c>
    </row>
    <row r="1960" customFormat="false" ht="15" hidden="false" customHeight="false" outlineLevel="0" collapsed="false">
      <c r="A1960" s="3" t="n">
        <v>2745</v>
      </c>
      <c r="B1960" s="3" t="s">
        <v>691</v>
      </c>
      <c r="C1960" s="4" t="s">
        <v>17</v>
      </c>
      <c r="D1960" s="5" t="n">
        <v>16721</v>
      </c>
      <c r="E1960" s="6" t="n">
        <v>184.8</v>
      </c>
      <c r="F1960" s="7" t="n">
        <v>62</v>
      </c>
      <c r="G1960" s="6" t="n">
        <v>531.651576284865</v>
      </c>
      <c r="H1960" s="8" t="n">
        <v>79681.3550916249</v>
      </c>
      <c r="I1960" s="9" t="n">
        <v>8.09589148014628</v>
      </c>
      <c r="J1960" s="9" t="n">
        <v>28.4631219450963</v>
      </c>
      <c r="K1960" s="3" t="s">
        <v>692</v>
      </c>
      <c r="L1960" s="3" t="s">
        <v>693</v>
      </c>
      <c r="M1960" s="7" t="n">
        <v>2017</v>
      </c>
    </row>
    <row r="1961" customFormat="false" ht="15" hidden="false" customHeight="false" outlineLevel="0" collapsed="false">
      <c r="A1961" s="3" t="n">
        <v>2746</v>
      </c>
      <c r="B1961" s="3" t="s">
        <v>691</v>
      </c>
      <c r="C1961" s="4" t="s">
        <v>18</v>
      </c>
      <c r="D1961" s="5" t="n">
        <v>16765</v>
      </c>
      <c r="E1961" s="6" t="n">
        <v>186.64</v>
      </c>
      <c r="F1961" s="7" t="n">
        <v>62</v>
      </c>
      <c r="G1961" s="6" t="n">
        <v>693.75854153572</v>
      </c>
      <c r="H1961" s="8" t="n">
        <v>125310.61855</v>
      </c>
      <c r="I1961" s="9" t="n">
        <v>9.94586601373972</v>
      </c>
      <c r="J1961" s="9" t="n">
        <v>37.0443910354113</v>
      </c>
      <c r="K1961" s="3" t="s">
        <v>692</v>
      </c>
      <c r="L1961" s="3" t="s">
        <v>693</v>
      </c>
      <c r="M1961" s="7" t="n">
        <v>2018</v>
      </c>
    </row>
    <row r="1962" customFormat="false" ht="15" hidden="false" customHeight="false" outlineLevel="0" collapsed="false">
      <c r="A1962" s="3" t="n">
        <v>2747</v>
      </c>
      <c r="B1962" s="3" t="s">
        <v>691</v>
      </c>
      <c r="C1962" s="4" t="s">
        <v>19</v>
      </c>
      <c r="D1962" s="5" t="n">
        <v>16735</v>
      </c>
      <c r="E1962" s="6" t="n">
        <v>185.59</v>
      </c>
      <c r="F1962" s="7" t="n">
        <v>62</v>
      </c>
      <c r="G1962" s="6" t="n">
        <v>537.527598867919</v>
      </c>
      <c r="H1962" s="8" t="n">
        <v>103174.39006875</v>
      </c>
      <c r="I1962" s="9" t="n">
        <v>8.22227800343815</v>
      </c>
      <c r="J1962" s="9" t="n">
        <v>28.7536330088467</v>
      </c>
      <c r="K1962" s="3" t="s">
        <v>692</v>
      </c>
      <c r="L1962" s="3" t="s">
        <v>693</v>
      </c>
      <c r="M1962" s="7" t="n">
        <v>2019</v>
      </c>
    </row>
    <row r="1963" customFormat="false" ht="15" hidden="false" customHeight="false" outlineLevel="0" collapsed="false">
      <c r="A1963" s="3" t="n">
        <v>2748</v>
      </c>
      <c r="B1963" s="3" t="s">
        <v>691</v>
      </c>
      <c r="C1963" s="4" t="s">
        <v>44</v>
      </c>
      <c r="D1963" s="5" t="n">
        <v>7406</v>
      </c>
      <c r="E1963" s="6" t="n">
        <v>102</v>
      </c>
      <c r="F1963" s="7" t="n">
        <v>76</v>
      </c>
      <c r="G1963" s="6" t="n">
        <v>670.24874270399</v>
      </c>
      <c r="H1963" s="8" t="n">
        <v>61953.8641149239</v>
      </c>
      <c r="I1963" s="9" t="n">
        <v>17.946505932012</v>
      </c>
      <c r="J1963" s="9" t="n">
        <v>80.7938853942334</v>
      </c>
      <c r="K1963" s="3" t="s">
        <v>692</v>
      </c>
      <c r="L1963" s="3" t="s">
        <v>693</v>
      </c>
      <c r="M1963" s="7" t="n">
        <v>2019</v>
      </c>
    </row>
    <row r="1964" customFormat="false" ht="15" hidden="false" customHeight="false" outlineLevel="0" collapsed="false">
      <c r="A1964" s="3" t="n">
        <v>2749</v>
      </c>
      <c r="B1964" s="3" t="s">
        <v>691</v>
      </c>
      <c r="C1964" s="4" t="s">
        <v>20</v>
      </c>
      <c r="D1964" s="5" t="n">
        <v>18164</v>
      </c>
      <c r="E1964" s="6" t="n">
        <v>185.6</v>
      </c>
      <c r="F1964" s="7" t="n">
        <v>61</v>
      </c>
      <c r="G1964" s="6" t="n">
        <v>1027.03988952856</v>
      </c>
      <c r="H1964" s="8" t="n">
        <v>167317.57179354</v>
      </c>
      <c r="I1964" s="9" t="n">
        <v>13.0523277071849</v>
      </c>
      <c r="J1964" s="9" t="n">
        <v>50.4779852127754</v>
      </c>
      <c r="K1964" s="3" t="s">
        <v>692</v>
      </c>
      <c r="L1964" s="3" t="s">
        <v>693</v>
      </c>
      <c r="M1964" s="7" t="n">
        <v>2020</v>
      </c>
    </row>
    <row r="1965" customFormat="false" ht="15" hidden="false" customHeight="false" outlineLevel="0" collapsed="false">
      <c r="A1965" s="3" t="n">
        <v>2750</v>
      </c>
      <c r="B1965" s="3" t="s">
        <v>691</v>
      </c>
      <c r="C1965" s="4" t="s">
        <v>45</v>
      </c>
      <c r="D1965" s="5" t="n">
        <v>7477</v>
      </c>
      <c r="E1965" s="6" t="n">
        <v>103</v>
      </c>
      <c r="F1965" s="7" t="n">
        <v>76</v>
      </c>
      <c r="G1965" s="6" t="n">
        <v>215.520687161478</v>
      </c>
      <c r="H1965" s="8" t="n">
        <v>19921.4687259088</v>
      </c>
      <c r="I1965" s="9" t="n">
        <v>7.57269937216032</v>
      </c>
      <c r="J1965" s="9" t="n">
        <v>25.80353796781</v>
      </c>
      <c r="K1965" s="3" t="s">
        <v>692</v>
      </c>
      <c r="L1965" s="3" t="s">
        <v>693</v>
      </c>
      <c r="M1965" s="7" t="n">
        <v>2020</v>
      </c>
    </row>
    <row r="1966" customFormat="false" ht="15" hidden="false" customHeight="false" outlineLevel="0" collapsed="false">
      <c r="A1966" s="3" t="n">
        <v>2751</v>
      </c>
      <c r="B1966" s="3" t="s">
        <v>691</v>
      </c>
      <c r="C1966" s="4" t="s">
        <v>21</v>
      </c>
      <c r="D1966" s="5" t="n">
        <v>16472.2861094216</v>
      </c>
      <c r="E1966" s="6" t="n">
        <v>184.919184255556</v>
      </c>
      <c r="F1966" s="7" t="n">
        <v>59</v>
      </c>
      <c r="G1966" s="6" t="n">
        <v>792.809725531718</v>
      </c>
      <c r="H1966" s="8" t="n">
        <v>110329.307665</v>
      </c>
      <c r="I1966" s="9" t="n">
        <v>10.7957965392923</v>
      </c>
      <c r="J1966" s="9" t="n">
        <v>43.0856616436746</v>
      </c>
      <c r="K1966" s="3" t="s">
        <v>692</v>
      </c>
      <c r="L1966" s="3" t="s">
        <v>693</v>
      </c>
      <c r="M1966" s="7" t="n">
        <v>2021</v>
      </c>
    </row>
    <row r="1967" customFormat="false" ht="15" hidden="false" customHeight="false" outlineLevel="0" collapsed="false">
      <c r="A1967" s="3" t="n">
        <v>2752</v>
      </c>
      <c r="B1967" s="3" t="s">
        <v>691</v>
      </c>
      <c r="C1967" s="4" t="s">
        <v>46</v>
      </c>
      <c r="D1967" s="5" t="n">
        <v>7593</v>
      </c>
      <c r="E1967" s="6" t="n">
        <v>103</v>
      </c>
      <c r="F1967" s="7" t="n">
        <v>76</v>
      </c>
      <c r="G1967" s="6" t="n">
        <v>267.588447682864</v>
      </c>
      <c r="H1967" s="8" t="n">
        <v>27820.1010563793</v>
      </c>
      <c r="I1967" s="9" t="n">
        <v>9.15981261824963</v>
      </c>
      <c r="J1967" s="9" t="n">
        <v>31.5479856612832</v>
      </c>
      <c r="K1967" s="3" t="s">
        <v>692</v>
      </c>
      <c r="L1967" s="3" t="s">
        <v>693</v>
      </c>
      <c r="M1967" s="7" t="n">
        <v>2021</v>
      </c>
    </row>
    <row r="1968" customFormat="false" ht="15" hidden="false" customHeight="false" outlineLevel="0" collapsed="false">
      <c r="A1968" s="3" t="n">
        <v>2753</v>
      </c>
      <c r="B1968" s="3" t="s">
        <v>691</v>
      </c>
      <c r="C1968" s="4" t="s">
        <v>22</v>
      </c>
      <c r="D1968" s="5" t="n">
        <v>16803</v>
      </c>
      <c r="E1968" s="6" t="n">
        <v>185</v>
      </c>
      <c r="F1968" s="7" t="n">
        <v>53</v>
      </c>
      <c r="G1968" s="6" t="n">
        <v>592.482871769853</v>
      </c>
      <c r="H1968" s="8" t="n">
        <v>86269.3536521248</v>
      </c>
      <c r="I1968" s="9" t="n">
        <v>8.90159696907806</v>
      </c>
      <c r="J1968" s="9" t="n">
        <v>31.5650620096422</v>
      </c>
      <c r="K1968" s="3" t="s">
        <v>692</v>
      </c>
      <c r="L1968" s="3" t="s">
        <v>693</v>
      </c>
      <c r="M1968" s="7" t="n">
        <v>2022</v>
      </c>
    </row>
    <row r="1969" customFormat="false" ht="15" hidden="false" customHeight="false" outlineLevel="0" collapsed="false">
      <c r="A1969" s="3" t="n">
        <v>2754</v>
      </c>
      <c r="B1969" s="3" t="s">
        <v>691</v>
      </c>
      <c r="C1969" s="4" t="s">
        <v>23</v>
      </c>
      <c r="D1969" s="5" t="n">
        <v>16450</v>
      </c>
      <c r="E1969" s="6" t="n">
        <v>185.08</v>
      </c>
      <c r="F1969" s="7" t="n">
        <v>56</v>
      </c>
      <c r="G1969" s="6" t="n">
        <v>523.469836882348</v>
      </c>
      <c r="H1969" s="8" t="n">
        <v>86958.1867719998</v>
      </c>
      <c r="I1969" s="9" t="n">
        <v>8.35555048658809</v>
      </c>
      <c r="J1969" s="9" t="n">
        <v>28.4867847653479</v>
      </c>
      <c r="K1969" s="3" t="s">
        <v>692</v>
      </c>
      <c r="L1969" s="3" t="s">
        <v>693</v>
      </c>
      <c r="M1969" s="7" t="n">
        <v>2023</v>
      </c>
    </row>
    <row r="1970" customFormat="false" ht="15" hidden="false" customHeight="false" outlineLevel="0" collapsed="false">
      <c r="A1970" s="3" t="n">
        <v>2755</v>
      </c>
      <c r="B1970" s="3" t="s">
        <v>691</v>
      </c>
      <c r="C1970" s="4" t="s">
        <v>24</v>
      </c>
      <c r="D1970" s="5" t="n">
        <v>16604</v>
      </c>
      <c r="E1970" s="6" t="n">
        <v>184.93</v>
      </c>
      <c r="F1970" s="7" t="n">
        <v>55</v>
      </c>
      <c r="G1970" s="6" t="n">
        <v>542.680192518093</v>
      </c>
      <c r="H1970" s="8" t="n">
        <v>94768.2623118002</v>
      </c>
      <c r="I1970" s="9" t="n">
        <v>8.31269317155068</v>
      </c>
      <c r="J1970" s="9" t="n">
        <v>29.178128955923</v>
      </c>
      <c r="K1970" s="3" t="s">
        <v>692</v>
      </c>
      <c r="L1970" s="3" t="s">
        <v>693</v>
      </c>
      <c r="M1970" s="7" t="n">
        <v>2024</v>
      </c>
    </row>
    <row r="1971" customFormat="false" ht="15" hidden="false" customHeight="false" outlineLevel="0" collapsed="false">
      <c r="A1971" s="3" t="n">
        <v>2756</v>
      </c>
      <c r="B1971" s="3" t="s">
        <v>694</v>
      </c>
      <c r="C1971" s="4" t="s">
        <v>41</v>
      </c>
      <c r="D1971" s="5" t="n">
        <v>7565</v>
      </c>
      <c r="E1971" s="6" t="n">
        <v>100.5</v>
      </c>
      <c r="F1971" s="7" t="n">
        <v>63</v>
      </c>
      <c r="G1971" s="6" t="n">
        <v>200.305577446018</v>
      </c>
      <c r="H1971" s="8" t="n">
        <v>26655.5178199748</v>
      </c>
      <c r="I1971" s="9" t="n">
        <v>5.92057761732852</v>
      </c>
      <c r="J1971" s="9" t="n">
        <v>23.70291637906</v>
      </c>
      <c r="K1971" s="3" t="s">
        <v>695</v>
      </c>
      <c r="L1971" s="3" t="s">
        <v>696</v>
      </c>
      <c r="M1971" s="7" t="n">
        <v>2016</v>
      </c>
    </row>
    <row r="1972" customFormat="false" ht="15" hidden="false" customHeight="false" outlineLevel="0" collapsed="false">
      <c r="A1972" s="3" t="n">
        <v>2757</v>
      </c>
      <c r="B1972" s="3" t="s">
        <v>694</v>
      </c>
      <c r="C1972" s="4" t="s">
        <v>42</v>
      </c>
      <c r="D1972" s="5" t="n">
        <v>7565</v>
      </c>
      <c r="E1972" s="6" t="n">
        <v>100.86</v>
      </c>
      <c r="F1972" s="7" t="n">
        <v>74</v>
      </c>
      <c r="G1972" s="6" t="n">
        <v>212.844218821285</v>
      </c>
      <c r="H1972" s="8" t="n">
        <v>21379.5231695578</v>
      </c>
      <c r="I1972" s="9" t="n">
        <v>7.92076996784703</v>
      </c>
      <c r="J1972" s="9" t="n">
        <v>25.186661224383</v>
      </c>
      <c r="K1972" s="3" t="s">
        <v>695</v>
      </c>
      <c r="L1972" s="3" t="s">
        <v>696</v>
      </c>
      <c r="M1972" s="7" t="n">
        <v>2017</v>
      </c>
    </row>
    <row r="1973" customFormat="false" ht="15" hidden="false" customHeight="false" outlineLevel="0" collapsed="false">
      <c r="A1973" s="3" t="n">
        <v>2758</v>
      </c>
      <c r="B1973" s="3" t="s">
        <v>694</v>
      </c>
      <c r="C1973" s="4" t="s">
        <v>43</v>
      </c>
      <c r="D1973" s="5" t="n">
        <v>7243</v>
      </c>
      <c r="E1973" s="6" t="n">
        <v>100.86</v>
      </c>
      <c r="F1973" s="7" t="n">
        <v>76</v>
      </c>
      <c r="G1973" s="6" t="n">
        <v>43.2581583238437</v>
      </c>
      <c r="H1973" s="8" t="n">
        <v>4300.03780629252</v>
      </c>
      <c r="I1973" s="9" t="n">
        <v>4.56473882484752</v>
      </c>
      <c r="J1973" s="9" t="n">
        <v>5.34647099510357</v>
      </c>
      <c r="K1973" s="3" t="s">
        <v>695</v>
      </c>
      <c r="L1973" s="3" t="s">
        <v>696</v>
      </c>
      <c r="M1973" s="7" t="n">
        <v>2018</v>
      </c>
    </row>
    <row r="1974" customFormat="false" ht="15" hidden="false" customHeight="false" outlineLevel="0" collapsed="false">
      <c r="A1974" s="3" t="n">
        <v>2759</v>
      </c>
      <c r="B1974" s="3" t="s">
        <v>694</v>
      </c>
      <c r="C1974" s="4" t="s">
        <v>44</v>
      </c>
      <c r="D1974" s="5" t="n">
        <v>7406</v>
      </c>
      <c r="E1974" s="6" t="n">
        <v>102</v>
      </c>
      <c r="F1974" s="7" t="n">
        <v>76</v>
      </c>
      <c r="G1974" s="6" t="n">
        <v>670.24874270399</v>
      </c>
      <c r="H1974" s="8" t="n">
        <v>61953.8641149239</v>
      </c>
      <c r="I1974" s="9" t="n">
        <v>17.946505932012</v>
      </c>
      <c r="J1974" s="9" t="n">
        <v>80.7938853942334</v>
      </c>
      <c r="K1974" s="3" t="s">
        <v>695</v>
      </c>
      <c r="L1974" s="3" t="s">
        <v>696</v>
      </c>
      <c r="M1974" s="7" t="n">
        <v>2019</v>
      </c>
    </row>
    <row r="1975" customFormat="false" ht="15" hidden="false" customHeight="false" outlineLevel="0" collapsed="false">
      <c r="A1975" s="3" t="n">
        <v>2760</v>
      </c>
      <c r="B1975" s="3" t="s">
        <v>694</v>
      </c>
      <c r="C1975" s="4" t="s">
        <v>45</v>
      </c>
      <c r="D1975" s="5" t="n">
        <v>7477</v>
      </c>
      <c r="E1975" s="6" t="n">
        <v>103</v>
      </c>
      <c r="F1975" s="7" t="n">
        <v>76</v>
      </c>
      <c r="G1975" s="6" t="n">
        <v>215.520687161478</v>
      </c>
      <c r="H1975" s="8" t="n">
        <v>19921.4687259088</v>
      </c>
      <c r="I1975" s="9" t="n">
        <v>7.57269937216032</v>
      </c>
      <c r="J1975" s="9" t="n">
        <v>25.80353796781</v>
      </c>
      <c r="K1975" s="3" t="s">
        <v>695</v>
      </c>
      <c r="L1975" s="3" t="s">
        <v>696</v>
      </c>
      <c r="M1975" s="7" t="n">
        <v>2020</v>
      </c>
    </row>
    <row r="1976" customFormat="false" ht="15" hidden="false" customHeight="false" outlineLevel="0" collapsed="false">
      <c r="A1976" s="3" t="n">
        <v>2761</v>
      </c>
      <c r="B1976" s="3" t="s">
        <v>694</v>
      </c>
      <c r="C1976" s="4" t="s">
        <v>46</v>
      </c>
      <c r="D1976" s="5" t="n">
        <v>7593</v>
      </c>
      <c r="E1976" s="6" t="n">
        <v>103</v>
      </c>
      <c r="F1976" s="7" t="n">
        <v>76</v>
      </c>
      <c r="G1976" s="6" t="n">
        <v>267.588447682864</v>
      </c>
      <c r="H1976" s="8" t="n">
        <v>27820.1010563793</v>
      </c>
      <c r="I1976" s="9" t="n">
        <v>9.15981261824963</v>
      </c>
      <c r="J1976" s="9" t="n">
        <v>31.5479856612832</v>
      </c>
      <c r="K1976" s="3" t="s">
        <v>695</v>
      </c>
      <c r="L1976" s="3" t="s">
        <v>696</v>
      </c>
      <c r="M1976" s="7" t="n">
        <v>2021</v>
      </c>
    </row>
    <row r="1977" customFormat="false" ht="15" hidden="false" customHeight="false" outlineLevel="0" collapsed="false">
      <c r="A1977" s="3" t="n">
        <v>2762</v>
      </c>
      <c r="B1977" s="3" t="s">
        <v>694</v>
      </c>
      <c r="C1977" s="4" t="s">
        <v>47</v>
      </c>
      <c r="D1977" s="5" t="n">
        <v>7536</v>
      </c>
      <c r="E1977" s="6" t="n">
        <v>100.9</v>
      </c>
      <c r="F1977" s="7" t="n">
        <v>72</v>
      </c>
      <c r="G1977" s="6" t="n">
        <v>562.002884522836</v>
      </c>
      <c r="H1977" s="8" t="n">
        <v>59945.5024789208</v>
      </c>
      <c r="I1977" s="9" t="n">
        <v>16.7058412251649</v>
      </c>
      <c r="J1977" s="9" t="n">
        <v>66.7598464821788</v>
      </c>
      <c r="K1977" s="3" t="s">
        <v>695</v>
      </c>
      <c r="L1977" s="3" t="s">
        <v>696</v>
      </c>
      <c r="M1977" s="7" t="n">
        <v>2022</v>
      </c>
    </row>
    <row r="1978" customFormat="false" ht="15" hidden="false" customHeight="false" outlineLevel="0" collapsed="false">
      <c r="A1978" s="3" t="n">
        <v>2763</v>
      </c>
      <c r="B1978" s="3" t="s">
        <v>694</v>
      </c>
      <c r="C1978" s="4" t="s">
        <v>48</v>
      </c>
      <c r="D1978" s="5" t="n">
        <v>8027</v>
      </c>
      <c r="E1978" s="6" t="n">
        <v>105.3</v>
      </c>
      <c r="F1978" s="7" t="n">
        <v>71</v>
      </c>
      <c r="G1978" s="6" t="n">
        <v>424.312466101498</v>
      </c>
      <c r="H1978" s="8" t="n">
        <v>47056.2991453024</v>
      </c>
      <c r="I1978" s="9" t="n">
        <v>12.4317007363718</v>
      </c>
      <c r="J1978" s="9" t="n">
        <v>47.1909501977536</v>
      </c>
      <c r="K1978" s="3" t="s">
        <v>695</v>
      </c>
      <c r="L1978" s="3" t="s">
        <v>696</v>
      </c>
      <c r="M1978" s="7" t="n">
        <v>2023</v>
      </c>
    </row>
    <row r="1979" customFormat="false" ht="15" hidden="false" customHeight="false" outlineLevel="0" collapsed="false">
      <c r="A1979" s="3" t="n">
        <v>2764</v>
      </c>
      <c r="B1979" s="3" t="s">
        <v>694</v>
      </c>
      <c r="C1979" s="4" t="s">
        <v>49</v>
      </c>
      <c r="D1979" s="5" t="n">
        <v>8299</v>
      </c>
      <c r="E1979" s="6" t="n">
        <v>105.3</v>
      </c>
      <c r="F1979" s="7" t="n">
        <v>71</v>
      </c>
      <c r="G1979" s="6" t="n">
        <v>410.152087277907</v>
      </c>
      <c r="H1979" s="8" t="n">
        <v>48607.9392386316</v>
      </c>
      <c r="I1979" s="9" t="n">
        <v>11.6745053084925</v>
      </c>
      <c r="J1979" s="9" t="n">
        <v>44.2422123516779</v>
      </c>
      <c r="K1979" s="3" t="s">
        <v>695</v>
      </c>
      <c r="L1979" s="3" t="s">
        <v>696</v>
      </c>
      <c r="M1979" s="7" t="n">
        <v>2024</v>
      </c>
    </row>
    <row r="1980" customFormat="false" ht="15" hidden="false" customHeight="false" outlineLevel="0" collapsed="false">
      <c r="A1980" s="3" t="n">
        <v>2773</v>
      </c>
      <c r="B1980" s="3" t="s">
        <v>697</v>
      </c>
      <c r="C1980" s="4" t="s">
        <v>14</v>
      </c>
      <c r="D1980" s="5" t="n">
        <v>14568</v>
      </c>
      <c r="E1980" s="6" t="n">
        <v>143.05</v>
      </c>
      <c r="F1980" s="7" t="n">
        <v>67</v>
      </c>
      <c r="G1980" s="6" t="n">
        <v>-58.2516343915975</v>
      </c>
      <c r="H1980" s="8" t="n">
        <v>-13446.5781535</v>
      </c>
      <c r="I1980" s="9" t="n">
        <v>0.422068498452012</v>
      </c>
      <c r="J1980" s="9" t="n">
        <v>-3.56972183696607</v>
      </c>
      <c r="K1980" s="3" t="s">
        <v>692</v>
      </c>
      <c r="L1980" s="3" t="s">
        <v>698</v>
      </c>
      <c r="M1980" s="7" t="n">
        <v>2016</v>
      </c>
    </row>
    <row r="1981" customFormat="false" ht="15" hidden="false" customHeight="false" outlineLevel="0" collapsed="false">
      <c r="A1981" s="3" t="n">
        <v>2774</v>
      </c>
      <c r="B1981" s="3" t="s">
        <v>697</v>
      </c>
      <c r="C1981" s="4" t="s">
        <v>17</v>
      </c>
      <c r="D1981" s="5" t="n">
        <v>14611</v>
      </c>
      <c r="E1981" s="6" t="n">
        <v>143.2</v>
      </c>
      <c r="F1981" s="7" t="n">
        <v>62</v>
      </c>
      <c r="G1981" s="6" t="n">
        <v>263.054862449898</v>
      </c>
      <c r="H1981" s="8" t="n">
        <v>69654.2272717499</v>
      </c>
      <c r="I1981" s="9" t="n">
        <v>6.07879985568976</v>
      </c>
      <c r="J1981" s="9" t="n">
        <v>16.1169948699199</v>
      </c>
      <c r="K1981" s="3" t="s">
        <v>692</v>
      </c>
      <c r="L1981" s="3" t="s">
        <v>698</v>
      </c>
      <c r="M1981" s="7" t="n">
        <v>2017</v>
      </c>
    </row>
    <row r="1982" customFormat="false" ht="15" hidden="false" customHeight="false" outlineLevel="0" collapsed="false">
      <c r="A1982" s="3" t="n">
        <v>2775</v>
      </c>
      <c r="B1982" s="3" t="s">
        <v>697</v>
      </c>
      <c r="C1982" s="4" t="s">
        <v>18</v>
      </c>
      <c r="D1982" s="5" t="n">
        <v>14644</v>
      </c>
      <c r="E1982" s="6" t="n">
        <v>143.92</v>
      </c>
      <c r="F1982" s="7" t="n">
        <v>64</v>
      </c>
      <c r="G1982" s="6" t="n">
        <v>91.2800795440455</v>
      </c>
      <c r="H1982" s="8" t="n">
        <v>22774.1562160001</v>
      </c>
      <c r="I1982" s="9" t="n">
        <v>3.15554236234409</v>
      </c>
      <c r="J1982" s="9" t="n">
        <v>5.57999698325736</v>
      </c>
      <c r="K1982" s="3" t="s">
        <v>692</v>
      </c>
      <c r="L1982" s="3" t="s">
        <v>698</v>
      </c>
      <c r="M1982" s="7" t="n">
        <v>2018</v>
      </c>
    </row>
    <row r="1983" customFormat="false" ht="15" hidden="false" customHeight="false" outlineLevel="0" collapsed="false">
      <c r="A1983" s="3" t="n">
        <v>2776</v>
      </c>
      <c r="B1983" s="3" t="s">
        <v>697</v>
      </c>
      <c r="C1983" s="4" t="s">
        <v>19</v>
      </c>
      <c r="D1983" s="5" t="n">
        <v>14600</v>
      </c>
      <c r="E1983" s="6" t="n">
        <v>143.49</v>
      </c>
      <c r="F1983" s="7" t="n">
        <v>63</v>
      </c>
      <c r="G1983" s="6" t="n">
        <v>10.7569122474279</v>
      </c>
      <c r="H1983" s="8" t="n">
        <v>2825.7818270001</v>
      </c>
      <c r="I1983" s="9" t="n">
        <v>2.80273867607777</v>
      </c>
      <c r="J1983" s="9" t="n">
        <v>0.659557167833928</v>
      </c>
      <c r="K1983" s="3" t="s">
        <v>692</v>
      </c>
      <c r="L1983" s="3" t="s">
        <v>698</v>
      </c>
      <c r="M1983" s="7" t="n">
        <v>2019</v>
      </c>
    </row>
    <row r="1984" customFormat="false" ht="15" hidden="false" customHeight="false" outlineLevel="0" collapsed="false">
      <c r="A1984" s="3" t="n">
        <v>2777</v>
      </c>
      <c r="B1984" s="3" t="s">
        <v>697</v>
      </c>
      <c r="C1984" s="4" t="s">
        <v>20</v>
      </c>
      <c r="D1984" s="5" t="n">
        <v>15776</v>
      </c>
      <c r="E1984" s="6" t="n">
        <v>143.49</v>
      </c>
      <c r="F1984" s="7" t="n">
        <v>61</v>
      </c>
      <c r="G1984" s="6" t="n">
        <v>137.387644230752</v>
      </c>
      <c r="H1984" s="8" t="n">
        <v>30185.6475059748</v>
      </c>
      <c r="I1984" s="9" t="n">
        <v>3.88363373674303</v>
      </c>
      <c r="J1984" s="9" t="n">
        <v>7.77458064621043</v>
      </c>
      <c r="K1984" s="3" t="s">
        <v>692</v>
      </c>
      <c r="L1984" s="3" t="s">
        <v>698</v>
      </c>
      <c r="M1984" s="7" t="n">
        <v>2020</v>
      </c>
    </row>
    <row r="1985" customFormat="false" ht="15" hidden="false" customHeight="false" outlineLevel="0" collapsed="false">
      <c r="A1985" s="3" t="n">
        <v>2778</v>
      </c>
      <c r="B1985" s="3" t="s">
        <v>697</v>
      </c>
      <c r="C1985" s="4" t="s">
        <v>21</v>
      </c>
      <c r="D1985" s="5" t="n">
        <v>14415.1074521389</v>
      </c>
      <c r="E1985" s="6" t="n">
        <v>143.397949388825</v>
      </c>
      <c r="F1985" s="7" t="n">
        <v>57</v>
      </c>
      <c r="G1985" s="6" t="n">
        <v>92.8436968027966</v>
      </c>
      <c r="H1985" s="8" t="n">
        <v>9182.43833732073</v>
      </c>
      <c r="I1985" s="9" t="n">
        <v>3.44279604010265</v>
      </c>
      <c r="J1985" s="9" t="n">
        <v>5.76570230479616</v>
      </c>
      <c r="K1985" s="3" t="s">
        <v>692</v>
      </c>
      <c r="L1985" s="3" t="s">
        <v>698</v>
      </c>
      <c r="M1985" s="7" t="n">
        <v>2021</v>
      </c>
    </row>
    <row r="1986" customFormat="false" ht="15" hidden="false" customHeight="false" outlineLevel="0" collapsed="false">
      <c r="A1986" s="3" t="n">
        <v>2779</v>
      </c>
      <c r="B1986" s="3" t="s">
        <v>697</v>
      </c>
      <c r="C1986" s="4" t="s">
        <v>22</v>
      </c>
      <c r="D1986" s="5" t="n">
        <v>14667</v>
      </c>
      <c r="E1986" s="6" t="n">
        <v>143</v>
      </c>
      <c r="F1986" s="7" t="n">
        <v>53</v>
      </c>
      <c r="G1986" s="6" t="n">
        <v>243.642389860355</v>
      </c>
      <c r="H1986" s="8" t="n">
        <v>27093.801550175</v>
      </c>
      <c r="I1986" s="9" t="n">
        <v>6.47799630906602</v>
      </c>
      <c r="J1986" s="9" t="n">
        <v>14.8706253888311</v>
      </c>
      <c r="K1986" s="3" t="s">
        <v>692</v>
      </c>
      <c r="L1986" s="3" t="s">
        <v>698</v>
      </c>
      <c r="M1986" s="7" t="n">
        <v>2022</v>
      </c>
    </row>
    <row r="1987" customFormat="false" ht="15" hidden="false" customHeight="false" outlineLevel="0" collapsed="false">
      <c r="A1987" s="3" t="n">
        <v>2780</v>
      </c>
      <c r="B1987" s="3" t="s">
        <v>697</v>
      </c>
      <c r="C1987" s="4" t="s">
        <v>23</v>
      </c>
      <c r="D1987" s="5" t="n">
        <v>14337</v>
      </c>
      <c r="E1987" s="6" t="n">
        <v>143.45</v>
      </c>
      <c r="F1987" s="7" t="n">
        <v>57</v>
      </c>
      <c r="G1987" s="6" t="n">
        <v>104.236080102586</v>
      </c>
      <c r="H1987" s="8" t="n">
        <v>25645.5941462498</v>
      </c>
      <c r="I1987" s="9" t="n">
        <v>4.24179227933087</v>
      </c>
      <c r="J1987" s="9" t="n">
        <v>6.50844831238694</v>
      </c>
      <c r="K1987" s="3" t="s">
        <v>692</v>
      </c>
      <c r="L1987" s="3" t="s">
        <v>698</v>
      </c>
      <c r="M1987" s="7" t="n">
        <v>2023</v>
      </c>
    </row>
    <row r="1988" customFormat="false" ht="15" hidden="false" customHeight="false" outlineLevel="0" collapsed="false">
      <c r="A1988" s="3" t="n">
        <v>2781</v>
      </c>
      <c r="B1988" s="3" t="s">
        <v>697</v>
      </c>
      <c r="C1988" s="4" t="s">
        <v>24</v>
      </c>
      <c r="D1988" s="5" t="n">
        <v>14634</v>
      </c>
      <c r="E1988" s="6" t="n">
        <v>143.69</v>
      </c>
      <c r="F1988" s="7" t="n">
        <v>54</v>
      </c>
      <c r="G1988" s="6" t="n">
        <v>233.604226491836</v>
      </c>
      <c r="H1988" s="8" t="n">
        <v>59988.7737226</v>
      </c>
      <c r="I1988" s="9" t="n">
        <v>6.17620134579261</v>
      </c>
      <c r="J1988" s="9" t="n">
        <v>14.2509507427049</v>
      </c>
      <c r="K1988" s="3" t="s">
        <v>692</v>
      </c>
      <c r="L1988" s="3" t="s">
        <v>698</v>
      </c>
      <c r="M1988" s="7" t="n">
        <v>2024</v>
      </c>
    </row>
    <row r="1989" customFormat="false" ht="15" hidden="false" customHeight="false" outlineLevel="0" collapsed="false">
      <c r="A1989" s="3" t="n">
        <v>2782</v>
      </c>
      <c r="B1989" s="3" t="s">
        <v>699</v>
      </c>
      <c r="C1989" s="4" t="s">
        <v>14</v>
      </c>
      <c r="D1989" s="5" t="n">
        <v>19068</v>
      </c>
      <c r="E1989" s="6" t="n">
        <v>310.5</v>
      </c>
      <c r="F1989" s="7" t="n">
        <v>66</v>
      </c>
      <c r="G1989" s="6" t="n">
        <v>3112.71638507732</v>
      </c>
      <c r="H1989" s="8" t="n">
        <v>134842.873801549</v>
      </c>
      <c r="I1989" s="9" t="n">
        <v>20.6557828565793</v>
      </c>
      <c r="J1989" s="9" t="n">
        <v>145.733905013898</v>
      </c>
      <c r="K1989" s="3" t="s">
        <v>700</v>
      </c>
      <c r="L1989" s="3" t="s">
        <v>701</v>
      </c>
      <c r="M1989" s="7" t="n">
        <v>2016</v>
      </c>
    </row>
    <row r="1990" customFormat="false" ht="15" hidden="false" customHeight="false" outlineLevel="0" collapsed="false">
      <c r="A1990" s="3" t="n">
        <v>2783</v>
      </c>
      <c r="B1990" s="3" t="s">
        <v>699</v>
      </c>
      <c r="C1990" s="4" t="s">
        <v>17</v>
      </c>
      <c r="D1990" s="5" t="n">
        <v>19864</v>
      </c>
      <c r="E1990" s="6" t="n">
        <v>310.5</v>
      </c>
      <c r="F1990" s="7" t="n">
        <v>68</v>
      </c>
      <c r="G1990" s="6" t="n">
        <v>2496.17680128866</v>
      </c>
      <c r="H1990" s="8" t="n">
        <v>121189.383702565</v>
      </c>
      <c r="I1990" s="9" t="n">
        <v>17.2956613152328</v>
      </c>
      <c r="J1990" s="9" t="n">
        <v>112.493210268938</v>
      </c>
      <c r="K1990" s="3" t="s">
        <v>700</v>
      </c>
      <c r="L1990" s="3" t="s">
        <v>701</v>
      </c>
      <c r="M1990" s="7" t="n">
        <v>2017</v>
      </c>
    </row>
    <row r="1991" customFormat="false" ht="15" hidden="false" customHeight="false" outlineLevel="0" collapsed="false">
      <c r="A1991" s="3" t="n">
        <v>2784</v>
      </c>
      <c r="B1991" s="3" t="s">
        <v>699</v>
      </c>
      <c r="C1991" s="4" t="s">
        <v>18</v>
      </c>
      <c r="D1991" s="5" t="n">
        <v>19982</v>
      </c>
      <c r="E1991" s="6" t="n">
        <v>322.9</v>
      </c>
      <c r="F1991" s="7" t="n">
        <v>68</v>
      </c>
      <c r="G1991" s="6" t="n">
        <v>1814.54525927835</v>
      </c>
      <c r="H1991" s="8" t="n">
        <v>79295.6278304639</v>
      </c>
      <c r="I1991" s="9" t="n">
        <v>15.1344894244254</v>
      </c>
      <c r="J1991" s="9" t="n">
        <v>81.2917597377626</v>
      </c>
      <c r="K1991" s="3" t="s">
        <v>700</v>
      </c>
      <c r="L1991" s="3" t="s">
        <v>701</v>
      </c>
      <c r="M1991" s="7" t="n">
        <v>2018</v>
      </c>
    </row>
    <row r="1992" customFormat="false" ht="15" hidden="false" customHeight="false" outlineLevel="0" collapsed="false">
      <c r="A1992" s="3" t="n">
        <v>2785</v>
      </c>
      <c r="B1992" s="3" t="s">
        <v>699</v>
      </c>
      <c r="C1992" s="4" t="s">
        <v>19</v>
      </c>
      <c r="D1992" s="5" t="n">
        <v>20435</v>
      </c>
      <c r="E1992" s="6" t="n">
        <v>346.1</v>
      </c>
      <c r="F1992" s="7" t="n">
        <v>68</v>
      </c>
      <c r="G1992" s="6" t="n">
        <v>1506.27108195876</v>
      </c>
      <c r="H1992" s="8" t="n">
        <v>83387.1670972369</v>
      </c>
      <c r="I1992" s="9" t="n">
        <v>14.5155393469454</v>
      </c>
      <c r="J1992" s="9" t="n">
        <v>65.985144310067</v>
      </c>
      <c r="K1992" s="3" t="s">
        <v>700</v>
      </c>
      <c r="L1992" s="3" t="s">
        <v>701</v>
      </c>
      <c r="M1992" s="7" t="n">
        <v>2019</v>
      </c>
    </row>
    <row r="1993" customFormat="false" ht="15" hidden="false" customHeight="false" outlineLevel="0" collapsed="false">
      <c r="A1993" s="3" t="n">
        <v>2786</v>
      </c>
      <c r="B1993" s="3" t="s">
        <v>699</v>
      </c>
      <c r="C1993" s="4" t="s">
        <v>20</v>
      </c>
      <c r="D1993" s="5" t="n">
        <v>21086</v>
      </c>
      <c r="E1993" s="6" t="n">
        <v>355.42</v>
      </c>
      <c r="F1993" s="7" t="n">
        <v>68</v>
      </c>
      <c r="G1993" s="6" t="n">
        <v>1393.06092448454</v>
      </c>
      <c r="H1993" s="8" t="n">
        <v>67911.7200686212</v>
      </c>
      <c r="I1993" s="9" t="n">
        <v>13.0786521670404</v>
      </c>
      <c r="J1993" s="9" t="n">
        <v>58.9796378957163</v>
      </c>
      <c r="K1993" s="3" t="s">
        <v>700</v>
      </c>
      <c r="L1993" s="3" t="s">
        <v>701</v>
      </c>
      <c r="M1993" s="7" t="n">
        <v>2020</v>
      </c>
    </row>
    <row r="1994" customFormat="false" ht="15" hidden="false" customHeight="false" outlineLevel="0" collapsed="false">
      <c r="A1994" s="3" t="n">
        <v>2787</v>
      </c>
      <c r="B1994" s="3" t="s">
        <v>699</v>
      </c>
      <c r="C1994" s="4" t="s">
        <v>21</v>
      </c>
      <c r="D1994" s="5" t="n">
        <v>22174</v>
      </c>
      <c r="E1994" s="6" t="n">
        <v>394.6</v>
      </c>
      <c r="F1994" s="7" t="n">
        <v>67</v>
      </c>
      <c r="G1994" s="6" t="n">
        <v>1124.46963842784</v>
      </c>
      <c r="H1994" s="8" t="n">
        <v>65534.0905275743</v>
      </c>
      <c r="I1994" s="9" t="n">
        <v>11.2508893780737</v>
      </c>
      <c r="J1994" s="9" t="n">
        <v>45.3963948658995</v>
      </c>
      <c r="K1994" s="3" t="s">
        <v>700</v>
      </c>
      <c r="L1994" s="3" t="s">
        <v>701</v>
      </c>
      <c r="M1994" s="7" t="n">
        <v>2021</v>
      </c>
    </row>
    <row r="1995" customFormat="false" ht="15" hidden="false" customHeight="false" outlineLevel="0" collapsed="false">
      <c r="A1995" s="3" t="n">
        <v>2788</v>
      </c>
      <c r="B1995" s="3" t="s">
        <v>699</v>
      </c>
      <c r="C1995" s="4" t="s">
        <v>22</v>
      </c>
      <c r="D1995" s="5" t="n">
        <v>23664</v>
      </c>
      <c r="E1995" s="6" t="n">
        <v>405.2</v>
      </c>
      <c r="F1995" s="7" t="n">
        <v>78</v>
      </c>
      <c r="G1995" s="6" t="n">
        <v>1494.71283448138</v>
      </c>
      <c r="H1995" s="8" t="n">
        <v>101819.838284871</v>
      </c>
      <c r="I1995" s="9" t="n">
        <v>13.6759904788934</v>
      </c>
      <c r="J1995" s="9" t="n">
        <v>56.5440981233366</v>
      </c>
      <c r="K1995" s="3" t="s">
        <v>700</v>
      </c>
      <c r="L1995" s="3" t="s">
        <v>701</v>
      </c>
      <c r="M1995" s="7" t="n">
        <v>2022</v>
      </c>
    </row>
    <row r="1996" customFormat="false" ht="15" hidden="false" customHeight="false" outlineLevel="0" collapsed="false">
      <c r="A1996" s="3" t="n">
        <v>2789</v>
      </c>
      <c r="B1996" s="3" t="s">
        <v>699</v>
      </c>
      <c r="C1996" s="4" t="s">
        <v>23</v>
      </c>
      <c r="D1996" s="5" t="n">
        <v>24098</v>
      </c>
      <c r="E1996" s="6" t="n">
        <v>422.78</v>
      </c>
      <c r="F1996" s="7" t="n">
        <v>71</v>
      </c>
      <c r="G1996" s="6" t="n">
        <v>1460.02855536082</v>
      </c>
      <c r="H1996" s="8" t="n">
        <v>103384.6220051</v>
      </c>
      <c r="I1996" s="9" t="n">
        <v>13.5066951669353</v>
      </c>
      <c r="J1996" s="9" t="n">
        <v>54.2372953289725</v>
      </c>
      <c r="K1996" s="3" t="s">
        <v>700</v>
      </c>
      <c r="L1996" s="3" t="s">
        <v>701</v>
      </c>
      <c r="M1996" s="7" t="n">
        <v>2023</v>
      </c>
    </row>
    <row r="1997" customFormat="false" ht="15" hidden="false" customHeight="false" outlineLevel="0" collapsed="false">
      <c r="A1997" s="3" t="n">
        <v>2790</v>
      </c>
      <c r="B1997" s="3" t="s">
        <v>699</v>
      </c>
      <c r="C1997" s="4" t="s">
        <v>24</v>
      </c>
      <c r="D1997" s="5" t="n">
        <v>24523</v>
      </c>
      <c r="E1997" s="6" t="n">
        <v>391.91</v>
      </c>
      <c r="F1997" s="7" t="n">
        <v>70</v>
      </c>
      <c r="G1997" s="6" t="n">
        <v>1762.5136745549</v>
      </c>
      <c r="H1997" s="8" t="n">
        <v>123411.207492334</v>
      </c>
      <c r="I1997" s="9" t="n">
        <v>13.0879867038302</v>
      </c>
      <c r="J1997" s="9" t="n">
        <v>64.1630633995135</v>
      </c>
      <c r="K1997" s="3" t="s">
        <v>700</v>
      </c>
      <c r="L1997" s="3" t="s">
        <v>701</v>
      </c>
      <c r="M1997" s="7" t="n">
        <v>2024</v>
      </c>
    </row>
    <row r="1998" customFormat="false" ht="15" hidden="false" customHeight="false" outlineLevel="0" collapsed="false">
      <c r="A1998" s="3" t="n">
        <v>2791</v>
      </c>
      <c r="B1998" s="3" t="s">
        <v>702</v>
      </c>
      <c r="C1998" s="4" t="s">
        <v>14</v>
      </c>
      <c r="D1998" s="5" t="n">
        <v>15055</v>
      </c>
      <c r="E1998" s="6" t="n">
        <v>180.4</v>
      </c>
      <c r="F1998" s="7" t="n">
        <v>68</v>
      </c>
      <c r="G1998" s="6" t="n">
        <v>69.8109639427366</v>
      </c>
      <c r="H1998" s="8" t="n">
        <v>5518.55669967333</v>
      </c>
      <c r="I1998" s="9" t="n">
        <v>4.96915844506388</v>
      </c>
      <c r="J1998" s="9" t="n">
        <v>4.13970189882844</v>
      </c>
      <c r="K1998" s="3" t="s">
        <v>703</v>
      </c>
      <c r="L1998" s="3" t="s">
        <v>704</v>
      </c>
      <c r="M1998" s="7" t="n">
        <v>2016</v>
      </c>
    </row>
    <row r="1999" customFormat="false" ht="15" hidden="false" customHeight="false" outlineLevel="0" collapsed="false">
      <c r="A1999" s="3" t="n">
        <v>2792</v>
      </c>
      <c r="B1999" s="3" t="s">
        <v>702</v>
      </c>
      <c r="C1999" s="4" t="s">
        <v>17</v>
      </c>
      <c r="D1999" s="5" t="n">
        <v>15184</v>
      </c>
      <c r="E1999" s="6" t="n">
        <v>213.919934963258</v>
      </c>
      <c r="F1999" s="7" t="n">
        <v>70</v>
      </c>
      <c r="G1999" s="6" t="n">
        <v>383.566653041885</v>
      </c>
      <c r="H1999" s="8" t="n">
        <v>43051.5211374212</v>
      </c>
      <c r="I1999" s="9" t="n">
        <v>4.71060265470108</v>
      </c>
      <c r="J1999" s="9" t="n">
        <v>22.6137362384695</v>
      </c>
      <c r="K1999" s="3" t="s">
        <v>703</v>
      </c>
      <c r="L1999" s="3" t="s">
        <v>704</v>
      </c>
      <c r="M1999" s="7" t="n">
        <v>2017</v>
      </c>
    </row>
    <row r="2000" customFormat="false" ht="15" hidden="false" customHeight="false" outlineLevel="0" collapsed="false">
      <c r="A2000" s="3" t="n">
        <v>2793</v>
      </c>
      <c r="B2000" s="3" t="s">
        <v>702</v>
      </c>
      <c r="C2000" s="4" t="s">
        <v>18</v>
      </c>
      <c r="D2000" s="5" t="n">
        <v>15318</v>
      </c>
      <c r="E2000" s="6" t="n">
        <v>213.8</v>
      </c>
      <c r="F2000" s="7" t="n">
        <v>74</v>
      </c>
      <c r="G2000" s="6" t="n">
        <v>2981.17662542997</v>
      </c>
      <c r="H2000" s="8" t="n">
        <v>309654.816083411</v>
      </c>
      <c r="I2000" s="9" t="n">
        <v>23.4683190429057</v>
      </c>
      <c r="J2000" s="9" t="n">
        <v>174.222129064023</v>
      </c>
      <c r="K2000" s="3" t="s">
        <v>703</v>
      </c>
      <c r="L2000" s="3" t="s">
        <v>704</v>
      </c>
      <c r="M2000" s="7" t="n">
        <v>2018</v>
      </c>
    </row>
    <row r="2001" customFormat="false" ht="15" hidden="false" customHeight="false" outlineLevel="0" collapsed="false">
      <c r="A2001" s="3" t="n">
        <v>2794</v>
      </c>
      <c r="B2001" s="3" t="s">
        <v>702</v>
      </c>
      <c r="C2001" s="4" t="s">
        <v>19</v>
      </c>
      <c r="D2001" s="5" t="n">
        <v>15338</v>
      </c>
      <c r="E2001" s="6" t="n">
        <v>214.2</v>
      </c>
      <c r="F2001" s="7" t="n">
        <v>73</v>
      </c>
      <c r="G2001" s="6" t="n">
        <v>2249.3268137206</v>
      </c>
      <c r="H2001" s="8" t="n">
        <v>182195.471911369</v>
      </c>
      <c r="I2001" s="9" t="n">
        <v>20.7426693496793</v>
      </c>
      <c r="J2001" s="9" t="n">
        <v>131.280886725649</v>
      </c>
      <c r="K2001" s="3" t="s">
        <v>703</v>
      </c>
      <c r="L2001" s="3" t="s">
        <v>704</v>
      </c>
      <c r="M2001" s="7" t="n">
        <v>2019</v>
      </c>
    </row>
    <row r="2002" customFormat="false" ht="15" hidden="false" customHeight="false" outlineLevel="0" collapsed="false">
      <c r="A2002" s="3" t="n">
        <v>2795</v>
      </c>
      <c r="B2002" s="3" t="s">
        <v>702</v>
      </c>
      <c r="C2002" s="4" t="s">
        <v>20</v>
      </c>
      <c r="D2002" s="5" t="n">
        <v>15380</v>
      </c>
      <c r="E2002" s="6" t="n">
        <v>193.6</v>
      </c>
      <c r="F2002" s="7" t="n">
        <v>70</v>
      </c>
      <c r="G2002" s="6" t="n">
        <v>2724.22251179073</v>
      </c>
      <c r="H2002" s="8" t="n">
        <v>232539.633606456</v>
      </c>
      <c r="I2002" s="9" t="n">
        <v>21.6073820787608</v>
      </c>
      <c r="J2002" s="9" t="n">
        <v>158.129331757935</v>
      </c>
      <c r="K2002" s="3" t="s">
        <v>703</v>
      </c>
      <c r="L2002" s="3" t="s">
        <v>704</v>
      </c>
      <c r="M2002" s="7" t="n">
        <v>2020</v>
      </c>
    </row>
    <row r="2003" customFormat="false" ht="15" hidden="false" customHeight="false" outlineLevel="0" collapsed="false">
      <c r="A2003" s="3" t="n">
        <v>2796</v>
      </c>
      <c r="B2003" s="3" t="s">
        <v>702</v>
      </c>
      <c r="C2003" s="4" t="s">
        <v>21</v>
      </c>
      <c r="D2003" s="5" t="n">
        <v>15415</v>
      </c>
      <c r="E2003" s="6" t="n">
        <v>190.6</v>
      </c>
      <c r="F2003" s="7" t="n">
        <v>72</v>
      </c>
      <c r="G2003" s="6" t="n">
        <v>2009.09261218886</v>
      </c>
      <c r="H2003" s="8" t="n">
        <v>241573.295689589</v>
      </c>
      <c r="I2003" s="9" t="n">
        <v>18.2849854527254</v>
      </c>
      <c r="J2003" s="9" t="n">
        <v>116.674003980416</v>
      </c>
      <c r="K2003" s="3" t="s">
        <v>703</v>
      </c>
      <c r="L2003" s="3" t="s">
        <v>704</v>
      </c>
      <c r="M2003" s="7" t="n">
        <v>2021</v>
      </c>
    </row>
    <row r="2004" customFormat="false" ht="15" hidden="false" customHeight="false" outlineLevel="0" collapsed="false">
      <c r="A2004" s="3" t="n">
        <v>2797</v>
      </c>
      <c r="B2004" s="3" t="s">
        <v>702</v>
      </c>
      <c r="C2004" s="4" t="s">
        <v>22</v>
      </c>
      <c r="D2004" s="5" t="n">
        <v>15451</v>
      </c>
      <c r="E2004" s="6" t="n">
        <v>190.6</v>
      </c>
      <c r="F2004" s="7" t="n">
        <v>65</v>
      </c>
      <c r="G2004" s="6" t="n">
        <v>1691.69969273516</v>
      </c>
      <c r="H2004" s="8" t="n">
        <v>229534.849668434</v>
      </c>
      <c r="I2004" s="9" t="n">
        <v>17.0000787519992</v>
      </c>
      <c r="J2004" s="9" t="n">
        <v>98.0131512127748</v>
      </c>
      <c r="K2004" s="3" t="s">
        <v>703</v>
      </c>
      <c r="L2004" s="3" t="s">
        <v>704</v>
      </c>
      <c r="M2004" s="7" t="n">
        <v>2022</v>
      </c>
    </row>
    <row r="2005" customFormat="false" ht="15" hidden="false" customHeight="false" outlineLevel="0" collapsed="false">
      <c r="A2005" s="3" t="n">
        <v>2798</v>
      </c>
      <c r="B2005" s="3" t="s">
        <v>702</v>
      </c>
      <c r="C2005" s="4" t="s">
        <v>23</v>
      </c>
      <c r="D2005" s="5" t="n">
        <v>15477</v>
      </c>
      <c r="E2005" s="6" t="n">
        <v>193.880545885772</v>
      </c>
      <c r="F2005" s="7" t="n">
        <v>72</v>
      </c>
      <c r="G2005" s="6" t="n">
        <v>1343.90128634018</v>
      </c>
      <c r="H2005" s="8" t="n">
        <v>175293.432910517</v>
      </c>
      <c r="I2005" s="9" t="n">
        <v>15.3382486712921</v>
      </c>
      <c r="J2005" s="9" t="n">
        <v>77.7317171199863</v>
      </c>
      <c r="K2005" s="3" t="s">
        <v>703</v>
      </c>
      <c r="L2005" s="3" t="s">
        <v>704</v>
      </c>
      <c r="M2005" s="7" t="n">
        <v>2023</v>
      </c>
    </row>
    <row r="2006" customFormat="false" ht="15" hidden="false" customHeight="false" outlineLevel="0" collapsed="false">
      <c r="A2006" s="3" t="n">
        <v>2799</v>
      </c>
      <c r="B2006" s="3" t="s">
        <v>702</v>
      </c>
      <c r="C2006" s="4" t="s">
        <v>24</v>
      </c>
      <c r="D2006" s="5" t="n">
        <v>15525</v>
      </c>
      <c r="E2006" s="6" t="n">
        <v>216.084359957197</v>
      </c>
      <c r="F2006" s="7" t="n">
        <v>72</v>
      </c>
      <c r="G2006" s="6" t="n">
        <v>1825.70810825067</v>
      </c>
      <c r="H2006" s="8" t="n">
        <v>315860.512091358</v>
      </c>
      <c r="I2006" s="9" t="n">
        <v>18.6382180632361</v>
      </c>
      <c r="J2006" s="9" t="n">
        <v>104.984680084105</v>
      </c>
      <c r="K2006" s="3" t="s">
        <v>703</v>
      </c>
      <c r="L2006" s="3" t="s">
        <v>704</v>
      </c>
      <c r="M2006" s="7" t="n">
        <v>2024</v>
      </c>
    </row>
    <row r="2007" customFormat="false" ht="15" hidden="false" customHeight="false" outlineLevel="0" collapsed="false">
      <c r="A2007" s="3" t="n">
        <v>2800</v>
      </c>
      <c r="B2007" s="3" t="s">
        <v>705</v>
      </c>
      <c r="C2007" s="4" t="s">
        <v>14</v>
      </c>
      <c r="D2007" s="5" t="n">
        <v>5676</v>
      </c>
      <c r="E2007" s="6" t="n">
        <v>82.5</v>
      </c>
      <c r="F2007" s="7" t="n">
        <v>71</v>
      </c>
      <c r="G2007" s="6" t="n">
        <v>92.9623151515151</v>
      </c>
      <c r="H2007" s="8" t="n">
        <v>8273.64604848484</v>
      </c>
      <c r="I2007" s="9" t="n">
        <v>4.4686163985223</v>
      </c>
      <c r="J2007" s="9" t="n">
        <v>14.6214599102379</v>
      </c>
      <c r="K2007" s="3" t="s">
        <v>706</v>
      </c>
      <c r="L2007" s="3" t="s">
        <v>707</v>
      </c>
      <c r="M2007" s="7" t="n">
        <v>2016</v>
      </c>
    </row>
    <row r="2008" customFormat="false" ht="15" hidden="false" customHeight="false" outlineLevel="0" collapsed="false">
      <c r="A2008" s="3" t="n">
        <v>2801</v>
      </c>
      <c r="B2008" s="3" t="s">
        <v>705</v>
      </c>
      <c r="C2008" s="4" t="s">
        <v>17</v>
      </c>
      <c r="D2008" s="5" t="n">
        <v>5476</v>
      </c>
      <c r="E2008" s="6" t="n">
        <v>82.5</v>
      </c>
      <c r="F2008" s="7" t="n">
        <v>48</v>
      </c>
      <c r="G2008" s="6" t="n">
        <v>228.474347318169</v>
      </c>
      <c r="H2008" s="8" t="n">
        <v>18538.4085413962</v>
      </c>
      <c r="I2008" s="9" t="n">
        <v>8.01429937853651</v>
      </c>
      <c r="J2008" s="9" t="n">
        <v>37.3500923851395</v>
      </c>
      <c r="K2008" s="3" t="s">
        <v>706</v>
      </c>
      <c r="L2008" s="3" t="s">
        <v>707</v>
      </c>
      <c r="M2008" s="7" t="n">
        <v>2017</v>
      </c>
    </row>
    <row r="2009" customFormat="false" ht="15" hidden="false" customHeight="false" outlineLevel="0" collapsed="false">
      <c r="A2009" s="3" t="n">
        <v>2802</v>
      </c>
      <c r="B2009" s="3" t="s">
        <v>705</v>
      </c>
      <c r="C2009" s="4" t="s">
        <v>18</v>
      </c>
      <c r="D2009" s="5" t="n">
        <v>5734</v>
      </c>
      <c r="E2009" s="6" t="n">
        <v>82.5</v>
      </c>
      <c r="F2009" s="7" t="n">
        <v>76</v>
      </c>
      <c r="G2009" s="6" t="n">
        <v>284.802748722372</v>
      </c>
      <c r="H2009" s="8" t="n">
        <v>70061.4761857036</v>
      </c>
      <c r="I2009" s="9" t="n">
        <v>9.93500585045483</v>
      </c>
      <c r="J2009" s="9" t="n">
        <v>44.4635528934472</v>
      </c>
      <c r="K2009" s="3" t="s">
        <v>706</v>
      </c>
      <c r="L2009" s="3" t="s">
        <v>707</v>
      </c>
      <c r="M2009" s="7" t="n">
        <v>2018</v>
      </c>
    </row>
    <row r="2010" customFormat="false" ht="15" hidden="false" customHeight="false" outlineLevel="0" collapsed="false">
      <c r="A2010" s="3" t="n">
        <v>2803</v>
      </c>
      <c r="B2010" s="3" t="s">
        <v>705</v>
      </c>
      <c r="C2010" s="4" t="s">
        <v>19</v>
      </c>
      <c r="D2010" s="5" t="n">
        <v>5476</v>
      </c>
      <c r="E2010" s="6" t="n">
        <v>82.5</v>
      </c>
      <c r="F2010" s="7" t="n">
        <v>48</v>
      </c>
      <c r="G2010" s="6" t="n">
        <v>228.472883446306</v>
      </c>
      <c r="H2010" s="8" t="n">
        <v>18538.2897628332</v>
      </c>
      <c r="I2010" s="9" t="n">
        <v>8.40784969577187</v>
      </c>
      <c r="J2010" s="9" t="n">
        <v>37.3498530770948</v>
      </c>
      <c r="K2010" s="3" t="s">
        <v>706</v>
      </c>
      <c r="L2010" s="3" t="s">
        <v>707</v>
      </c>
      <c r="M2010" s="7" t="n">
        <v>2019</v>
      </c>
    </row>
    <row r="2011" customFormat="false" ht="15" hidden="false" customHeight="false" outlineLevel="0" collapsed="false">
      <c r="A2011" s="3" t="n">
        <v>2804</v>
      </c>
      <c r="B2011" s="3" t="s">
        <v>705</v>
      </c>
      <c r="C2011" s="4" t="s">
        <v>20</v>
      </c>
      <c r="D2011" s="5" t="n">
        <v>5689</v>
      </c>
      <c r="E2011" s="6" t="n">
        <v>82.5</v>
      </c>
      <c r="F2011" s="7" t="n">
        <v>48</v>
      </c>
      <c r="G2011" s="6" t="n">
        <v>228.477523008664</v>
      </c>
      <c r="H2011" s="8" t="n">
        <v>18538.666216923</v>
      </c>
      <c r="I2011" s="9" t="n">
        <v>7.82033822942023</v>
      </c>
      <c r="J2011" s="9" t="n">
        <v>35.8536803058516</v>
      </c>
      <c r="K2011" s="3" t="s">
        <v>706</v>
      </c>
      <c r="L2011" s="3" t="s">
        <v>707</v>
      </c>
      <c r="M2011" s="7" t="n">
        <v>2020</v>
      </c>
    </row>
    <row r="2012" customFormat="false" ht="15" hidden="false" customHeight="false" outlineLevel="0" collapsed="false">
      <c r="A2012" s="3" t="n">
        <v>2805</v>
      </c>
      <c r="B2012" s="3" t="s">
        <v>705</v>
      </c>
      <c r="C2012" s="4" t="s">
        <v>21</v>
      </c>
      <c r="D2012" s="5" t="n">
        <v>5728</v>
      </c>
      <c r="E2012" s="6" t="n">
        <v>82.5</v>
      </c>
      <c r="F2012" s="7" t="n">
        <v>48</v>
      </c>
      <c r="G2012" s="6" t="n">
        <v>228.476363134995</v>
      </c>
      <c r="H2012" s="8" t="n">
        <v>18538.5721047735</v>
      </c>
      <c r="I2012" s="9" t="n">
        <v>8.16127381609139</v>
      </c>
      <c r="J2012" s="9" t="n">
        <v>35.7072120199508</v>
      </c>
      <c r="K2012" s="3" t="s">
        <v>706</v>
      </c>
      <c r="L2012" s="3" t="s">
        <v>707</v>
      </c>
      <c r="M2012" s="7" t="n">
        <v>2021</v>
      </c>
    </row>
    <row r="2013" customFormat="false" ht="15" hidden="false" customHeight="false" outlineLevel="0" collapsed="false">
      <c r="A2013" s="3" t="n">
        <v>2806</v>
      </c>
      <c r="B2013" s="3" t="s">
        <v>705</v>
      </c>
      <c r="C2013" s="4" t="s">
        <v>22</v>
      </c>
      <c r="D2013" s="5" t="n">
        <v>5728</v>
      </c>
      <c r="E2013" s="6" t="n">
        <v>82.5</v>
      </c>
      <c r="F2013" s="7" t="n">
        <v>48</v>
      </c>
      <c r="G2013" s="6" t="n">
        <v>228.479901576912</v>
      </c>
      <c r="H2013" s="8" t="n">
        <v>18538.8592139506</v>
      </c>
      <c r="I2013" s="9" t="n">
        <v>7.74755467729177</v>
      </c>
      <c r="J2013" s="9" t="n">
        <v>35.7077650219945</v>
      </c>
      <c r="K2013" s="3" t="s">
        <v>706</v>
      </c>
      <c r="L2013" s="3" t="s">
        <v>707</v>
      </c>
      <c r="M2013" s="7" t="n">
        <v>2022</v>
      </c>
    </row>
    <row r="2014" customFormat="false" ht="15" hidden="false" customHeight="false" outlineLevel="0" collapsed="false">
      <c r="A2014" s="3" t="n">
        <v>2807</v>
      </c>
      <c r="B2014" s="3" t="s">
        <v>705</v>
      </c>
      <c r="C2014" s="4" t="s">
        <v>23</v>
      </c>
      <c r="D2014" s="5" t="n">
        <v>5728</v>
      </c>
      <c r="E2014" s="6" t="n">
        <v>82.5</v>
      </c>
      <c r="F2014" s="7" t="n">
        <v>48</v>
      </c>
      <c r="G2014" s="6" t="n">
        <v>228.475463172843</v>
      </c>
      <c r="H2014" s="8" t="n">
        <v>18538.4990818445</v>
      </c>
      <c r="I2014" s="9" t="n">
        <v>8.38891940581018</v>
      </c>
      <c r="J2014" s="9" t="n">
        <v>35.7070713702182</v>
      </c>
      <c r="K2014" s="3" t="s">
        <v>706</v>
      </c>
      <c r="L2014" s="3" t="s">
        <v>707</v>
      </c>
      <c r="M2014" s="7" t="n">
        <v>2023</v>
      </c>
    </row>
    <row r="2015" customFormat="false" ht="15" hidden="false" customHeight="false" outlineLevel="0" collapsed="false">
      <c r="A2015" s="3" t="n">
        <v>2808</v>
      </c>
      <c r="B2015" s="3" t="s">
        <v>705</v>
      </c>
      <c r="C2015" s="4" t="s">
        <v>24</v>
      </c>
      <c r="D2015" s="5" t="n">
        <v>5704</v>
      </c>
      <c r="E2015" s="6" t="n">
        <v>82.5</v>
      </c>
      <c r="F2015" s="7" t="n">
        <v>48</v>
      </c>
      <c r="G2015" s="6" t="n">
        <v>338.792193093909</v>
      </c>
      <c r="H2015" s="8" t="n">
        <v>17942.4345462534</v>
      </c>
      <c r="I2015" s="9" t="n">
        <v>10.3893070488372</v>
      </c>
      <c r="J2015" s="9" t="n">
        <v>53.0249259888967</v>
      </c>
      <c r="K2015" s="3" t="s">
        <v>706</v>
      </c>
      <c r="L2015" s="3" t="s">
        <v>707</v>
      </c>
      <c r="M2015" s="7" t="n">
        <v>2024</v>
      </c>
    </row>
    <row r="2016" customFormat="false" ht="15" hidden="false" customHeight="false" outlineLevel="0" collapsed="false">
      <c r="A2016" s="3" t="n">
        <v>2809</v>
      </c>
      <c r="B2016" s="3" t="s">
        <v>708</v>
      </c>
      <c r="C2016" s="4" t="s">
        <v>14</v>
      </c>
      <c r="D2016" s="5" t="n">
        <v>14701</v>
      </c>
      <c r="E2016" s="6" t="n">
        <v>169.3</v>
      </c>
      <c r="F2016" s="7" t="n">
        <v>68</v>
      </c>
      <c r="G2016" s="6" t="n">
        <v>-815.457130560179</v>
      </c>
      <c r="H2016" s="8" t="n">
        <v>-145878.893775</v>
      </c>
      <c r="I2016" s="9" t="n">
        <v>-11.2329458822598</v>
      </c>
      <c r="J2016" s="9" t="n">
        <v>-49.5199788757572</v>
      </c>
      <c r="K2016" s="3" t="s">
        <v>692</v>
      </c>
      <c r="L2016" s="3" t="s">
        <v>709</v>
      </c>
      <c r="M2016" s="7" t="n">
        <v>2016</v>
      </c>
    </row>
    <row r="2017" customFormat="false" ht="15" hidden="false" customHeight="false" outlineLevel="0" collapsed="false">
      <c r="A2017" s="3" t="n">
        <v>2810</v>
      </c>
      <c r="B2017" s="3" t="s">
        <v>708</v>
      </c>
      <c r="C2017" s="4" t="s">
        <v>17</v>
      </c>
      <c r="D2017" s="5" t="n">
        <v>14909</v>
      </c>
      <c r="E2017" s="6" t="n">
        <v>166</v>
      </c>
      <c r="F2017" s="7" t="n">
        <v>62</v>
      </c>
      <c r="G2017" s="6" t="n">
        <v>423.338194801428</v>
      </c>
      <c r="H2017" s="8" t="n">
        <v>70952.0879025</v>
      </c>
      <c r="I2017" s="9" t="n">
        <v>7.26959258805247</v>
      </c>
      <c r="J2017" s="9" t="n">
        <v>25.4188918475823</v>
      </c>
      <c r="K2017" s="3" t="s">
        <v>692</v>
      </c>
      <c r="L2017" s="3" t="s">
        <v>709</v>
      </c>
      <c r="M2017" s="7" t="n">
        <v>2017</v>
      </c>
    </row>
    <row r="2018" customFormat="false" ht="15" hidden="false" customHeight="false" outlineLevel="0" collapsed="false">
      <c r="A2018" s="3" t="n">
        <v>2811</v>
      </c>
      <c r="B2018" s="3" t="s">
        <v>708</v>
      </c>
      <c r="C2018" s="4" t="s">
        <v>18</v>
      </c>
      <c r="D2018" s="5" t="n">
        <v>15126</v>
      </c>
      <c r="E2018" s="6" t="n">
        <v>166.59</v>
      </c>
      <c r="F2018" s="7" t="n">
        <v>62</v>
      </c>
      <c r="G2018" s="6" t="n">
        <v>-86.1756751053362</v>
      </c>
      <c r="H2018" s="8" t="n">
        <v>-13326.969705</v>
      </c>
      <c r="I2018" s="9" t="n">
        <v>0.541642131990296</v>
      </c>
      <c r="J2018" s="9" t="n">
        <v>-5.10009508203416</v>
      </c>
      <c r="K2018" s="3" t="s">
        <v>692</v>
      </c>
      <c r="L2018" s="3" t="s">
        <v>709</v>
      </c>
      <c r="M2018" s="7" t="n">
        <v>2018</v>
      </c>
    </row>
    <row r="2019" customFormat="false" ht="15" hidden="false" customHeight="false" outlineLevel="0" collapsed="false">
      <c r="A2019" s="3" t="n">
        <v>2812</v>
      </c>
      <c r="B2019" s="3" t="s">
        <v>708</v>
      </c>
      <c r="C2019" s="4" t="s">
        <v>19</v>
      </c>
      <c r="D2019" s="5" t="n">
        <v>15177</v>
      </c>
      <c r="E2019" s="6" t="n">
        <v>167.98</v>
      </c>
      <c r="F2019" s="7" t="n">
        <v>62</v>
      </c>
      <c r="G2019" s="6" t="n">
        <v>329.849359949543</v>
      </c>
      <c r="H2019" s="8" t="n">
        <v>71992.3342222503</v>
      </c>
      <c r="I2019" s="9" t="n">
        <v>6.02199484369966</v>
      </c>
      <c r="J2019" s="9" t="n">
        <v>19.4557235226739</v>
      </c>
      <c r="K2019" s="3" t="s">
        <v>692</v>
      </c>
      <c r="L2019" s="3" t="s">
        <v>709</v>
      </c>
      <c r="M2019" s="7" t="n">
        <v>2019</v>
      </c>
    </row>
    <row r="2020" customFormat="false" ht="15" hidden="false" customHeight="false" outlineLevel="0" collapsed="false">
      <c r="A2020" s="3" t="n">
        <v>2813</v>
      </c>
      <c r="B2020" s="3" t="s">
        <v>708</v>
      </c>
      <c r="C2020" s="4" t="s">
        <v>20</v>
      </c>
      <c r="D2020" s="5" t="n">
        <v>16463</v>
      </c>
      <c r="E2020" s="6" t="n">
        <v>167.98</v>
      </c>
      <c r="F2020" s="7" t="n">
        <v>61</v>
      </c>
      <c r="G2020" s="6" t="n">
        <v>758.252180386804</v>
      </c>
      <c r="H2020" s="8" t="n">
        <v>121080.175998792</v>
      </c>
      <c r="I2020" s="9" t="n">
        <v>10.7364241189492</v>
      </c>
      <c r="J2020" s="9" t="n">
        <v>41.1178959595108</v>
      </c>
      <c r="K2020" s="3" t="s">
        <v>692</v>
      </c>
      <c r="L2020" s="3" t="s">
        <v>709</v>
      </c>
      <c r="M2020" s="7" t="n">
        <v>2020</v>
      </c>
    </row>
    <row r="2021" customFormat="false" ht="15" hidden="false" customHeight="false" outlineLevel="0" collapsed="false">
      <c r="A2021" s="3" t="n">
        <v>2814</v>
      </c>
      <c r="B2021" s="3" t="s">
        <v>708</v>
      </c>
      <c r="C2021" s="4" t="s">
        <v>21</v>
      </c>
      <c r="D2021" s="5" t="n">
        <v>15005.4196715613</v>
      </c>
      <c r="E2021" s="6" t="n">
        <v>168.399662964925</v>
      </c>
      <c r="F2021" s="7" t="n">
        <v>59</v>
      </c>
      <c r="G2021" s="6" t="n">
        <v>303.744306043081</v>
      </c>
      <c r="H2021" s="8" t="n">
        <v>50609.0743140928</v>
      </c>
      <c r="I2021" s="9" t="n">
        <v>5.72608949157419</v>
      </c>
      <c r="J2021" s="9" t="n">
        <v>18.1208127922484</v>
      </c>
      <c r="K2021" s="3" t="s">
        <v>692</v>
      </c>
      <c r="L2021" s="3" t="s">
        <v>709</v>
      </c>
      <c r="M2021" s="7" t="n">
        <v>2021</v>
      </c>
    </row>
    <row r="2022" customFormat="false" ht="15" hidden="false" customHeight="false" outlineLevel="0" collapsed="false">
      <c r="A2022" s="3" t="n">
        <v>2815</v>
      </c>
      <c r="B2022" s="3" t="s">
        <v>708</v>
      </c>
      <c r="C2022" s="4" t="s">
        <v>22</v>
      </c>
      <c r="D2022" s="5" t="n">
        <v>15358</v>
      </c>
      <c r="E2022" s="6" t="n">
        <v>169</v>
      </c>
      <c r="F2022" s="7" t="n">
        <v>53</v>
      </c>
      <c r="G2022" s="6" t="n">
        <v>96.2475655513272</v>
      </c>
      <c r="H2022" s="8" t="n">
        <v>14952.9460008002</v>
      </c>
      <c r="I2022" s="9" t="n">
        <v>2.94862709123505</v>
      </c>
      <c r="J2022" s="9" t="n">
        <v>5.61012792890013</v>
      </c>
      <c r="K2022" s="3" t="s">
        <v>692</v>
      </c>
      <c r="L2022" s="3" t="s">
        <v>709</v>
      </c>
      <c r="M2022" s="7" t="n">
        <v>2022</v>
      </c>
    </row>
    <row r="2023" customFormat="false" ht="15" hidden="false" customHeight="false" outlineLevel="0" collapsed="false">
      <c r="A2023" s="3" t="n">
        <v>2816</v>
      </c>
      <c r="B2023" s="3" t="s">
        <v>708</v>
      </c>
      <c r="C2023" s="4" t="s">
        <v>23</v>
      </c>
      <c r="D2023" s="5" t="n">
        <v>15107</v>
      </c>
      <c r="E2023" s="6" t="n">
        <v>168.51</v>
      </c>
      <c r="F2023" s="7" t="n">
        <v>56</v>
      </c>
      <c r="G2023" s="6" t="n">
        <v>33.611119544088</v>
      </c>
      <c r="H2023" s="8" t="n">
        <v>6233.89125585005</v>
      </c>
      <c r="I2023" s="9" t="n">
        <v>2.21580938952907</v>
      </c>
      <c r="J2023" s="9" t="n">
        <v>1.99169312285925</v>
      </c>
      <c r="K2023" s="3" t="s">
        <v>692</v>
      </c>
      <c r="L2023" s="3" t="s">
        <v>709</v>
      </c>
      <c r="M2023" s="7" t="n">
        <v>2023</v>
      </c>
    </row>
    <row r="2024" customFormat="false" ht="15" hidden="false" customHeight="false" outlineLevel="0" collapsed="false">
      <c r="A2024" s="3" t="n">
        <v>2817</v>
      </c>
      <c r="B2024" s="3" t="s">
        <v>708</v>
      </c>
      <c r="C2024" s="4" t="s">
        <v>24</v>
      </c>
      <c r="D2024" s="5" t="n">
        <v>15325</v>
      </c>
      <c r="E2024" s="6" t="n">
        <v>168.52</v>
      </c>
      <c r="F2024" s="7" t="n">
        <v>54</v>
      </c>
      <c r="G2024" s="6" t="n">
        <v>55.1320868754145</v>
      </c>
      <c r="H2024" s="8" t="n">
        <v>9887.84931200015</v>
      </c>
      <c r="I2024" s="9" t="n">
        <v>2.53337440279973</v>
      </c>
      <c r="J2024" s="9" t="n">
        <v>3.21166428576115</v>
      </c>
      <c r="K2024" s="3" t="s">
        <v>692</v>
      </c>
      <c r="L2024" s="3" t="s">
        <v>709</v>
      </c>
      <c r="M2024" s="7" t="n">
        <v>2024</v>
      </c>
    </row>
    <row r="2025" customFormat="false" ht="15" hidden="false" customHeight="false" outlineLevel="0" collapsed="false">
      <c r="A2025" s="3" t="n">
        <v>2818</v>
      </c>
      <c r="B2025" s="3" t="s">
        <v>710</v>
      </c>
      <c r="C2025" s="4" t="s">
        <v>14</v>
      </c>
      <c r="D2025" s="5" t="n">
        <v>4627</v>
      </c>
      <c r="E2025" s="6" t="n">
        <v>62.19</v>
      </c>
      <c r="F2025" s="7" t="n">
        <v>59</v>
      </c>
      <c r="G2025" s="6" t="n">
        <v>75.3155253744923</v>
      </c>
      <c r="H2025" s="8" t="n">
        <v>7044.92173410695</v>
      </c>
      <c r="I2025" s="9" t="n">
        <v>4.54938198223799</v>
      </c>
      <c r="J2025" s="9" t="n">
        <v>14.5315253581887</v>
      </c>
      <c r="K2025" s="3" t="s">
        <v>711</v>
      </c>
      <c r="L2025" s="3" t="s">
        <v>712</v>
      </c>
      <c r="M2025" s="7" t="n">
        <v>2016</v>
      </c>
    </row>
    <row r="2026" customFormat="false" ht="15" hidden="false" customHeight="false" outlineLevel="0" collapsed="false">
      <c r="A2026" s="3" t="n">
        <v>2819</v>
      </c>
      <c r="B2026" s="3" t="s">
        <v>710</v>
      </c>
      <c r="C2026" s="4" t="s">
        <v>17</v>
      </c>
      <c r="D2026" s="5" t="n">
        <v>4631</v>
      </c>
      <c r="E2026" s="6" t="n">
        <v>61.7</v>
      </c>
      <c r="F2026" s="7" t="n">
        <v>57</v>
      </c>
      <c r="G2026" s="6" t="n">
        <v>249.290742370565</v>
      </c>
      <c r="H2026" s="8" t="n">
        <v>33888.2086884186</v>
      </c>
      <c r="I2026" s="9" t="n">
        <v>27.6283157693643</v>
      </c>
      <c r="J2026" s="9" t="n">
        <v>48.1891254186378</v>
      </c>
      <c r="K2026" s="3" t="s">
        <v>711</v>
      </c>
      <c r="L2026" s="3" t="s">
        <v>712</v>
      </c>
      <c r="M2026" s="7" t="n">
        <v>2017</v>
      </c>
    </row>
    <row r="2027" customFormat="false" ht="15" hidden="false" customHeight="false" outlineLevel="0" collapsed="false">
      <c r="A2027" s="3" t="n">
        <v>2820</v>
      </c>
      <c r="B2027" s="3" t="s">
        <v>710</v>
      </c>
      <c r="C2027" s="4" t="s">
        <v>18</v>
      </c>
      <c r="D2027" s="5" t="n">
        <v>4637</v>
      </c>
      <c r="E2027" s="6" t="n">
        <v>61.7</v>
      </c>
      <c r="F2027" s="7" t="n">
        <v>57</v>
      </c>
      <c r="G2027" s="6" t="n">
        <v>260.438735531765</v>
      </c>
      <c r="H2027" s="8" t="n">
        <v>74874.983448601</v>
      </c>
      <c r="I2027" s="9" t="n">
        <v>28.4522690577138</v>
      </c>
      <c r="J2027" s="9" t="n">
        <v>50.2789450429543</v>
      </c>
      <c r="K2027" s="3" t="s">
        <v>711</v>
      </c>
      <c r="L2027" s="3" t="s">
        <v>712</v>
      </c>
      <c r="M2027" s="7" t="n">
        <v>2018</v>
      </c>
    </row>
    <row r="2028" customFormat="false" ht="15" hidden="false" customHeight="false" outlineLevel="0" collapsed="false">
      <c r="A2028" s="3" t="n">
        <v>2821</v>
      </c>
      <c r="B2028" s="3" t="s">
        <v>710</v>
      </c>
      <c r="C2028" s="4" t="s">
        <v>19</v>
      </c>
      <c r="D2028" s="5" t="n">
        <v>4640</v>
      </c>
      <c r="E2028" s="6" t="n">
        <v>61.7</v>
      </c>
      <c r="F2028" s="7" t="n">
        <v>57</v>
      </c>
      <c r="G2028" s="6" t="n">
        <v>191.490024626532</v>
      </c>
      <c r="H2028" s="8" t="n">
        <v>18050.8874653759</v>
      </c>
      <c r="I2028" s="9" t="n">
        <v>26.3177908436706</v>
      </c>
      <c r="J2028" s="9" t="n">
        <v>36.944164464866</v>
      </c>
      <c r="K2028" s="3" t="s">
        <v>711</v>
      </c>
      <c r="L2028" s="3" t="s">
        <v>712</v>
      </c>
      <c r="M2028" s="7" t="n">
        <v>2019</v>
      </c>
    </row>
    <row r="2029" customFormat="false" ht="15" hidden="false" customHeight="false" outlineLevel="0" collapsed="false">
      <c r="A2029" s="3" t="n">
        <v>2822</v>
      </c>
      <c r="B2029" s="3" t="s">
        <v>710</v>
      </c>
      <c r="C2029" s="4" t="s">
        <v>20</v>
      </c>
      <c r="D2029" s="5" t="n">
        <v>4642</v>
      </c>
      <c r="E2029" s="6" t="n">
        <v>61.7</v>
      </c>
      <c r="F2029" s="7" t="n">
        <v>57</v>
      </c>
      <c r="G2029" s="6" t="n">
        <v>263.794154243075</v>
      </c>
      <c r="H2029" s="8" t="n">
        <v>24866.6665616272</v>
      </c>
      <c r="I2029" s="9" t="n">
        <v>25.4554612585616</v>
      </c>
      <c r="J2029" s="9" t="n">
        <v>50.7324954136799</v>
      </c>
      <c r="K2029" s="3" t="s">
        <v>711</v>
      </c>
      <c r="L2029" s="3" t="s">
        <v>712</v>
      </c>
      <c r="M2029" s="7" t="n">
        <v>2020</v>
      </c>
    </row>
    <row r="2030" customFormat="false" ht="15" hidden="false" customHeight="false" outlineLevel="0" collapsed="false">
      <c r="A2030" s="3" t="n">
        <v>2823</v>
      </c>
      <c r="B2030" s="3" t="s">
        <v>710</v>
      </c>
      <c r="C2030" s="4" t="s">
        <v>21</v>
      </c>
      <c r="D2030" s="5" t="n">
        <v>4648</v>
      </c>
      <c r="E2030" s="6" t="n">
        <v>61.7</v>
      </c>
      <c r="F2030" s="7" t="n">
        <v>62</v>
      </c>
      <c r="G2030" s="6" t="n">
        <v>325.180949375957</v>
      </c>
      <c r="H2030" s="8" t="n">
        <v>33957.1675278108</v>
      </c>
      <c r="I2030" s="9" t="n">
        <v>25.7207522075657</v>
      </c>
      <c r="J2030" s="9" t="n">
        <v>62.629169071363</v>
      </c>
      <c r="K2030" s="3" t="s">
        <v>711</v>
      </c>
      <c r="L2030" s="3" t="s">
        <v>712</v>
      </c>
      <c r="M2030" s="7" t="n">
        <v>2021</v>
      </c>
    </row>
    <row r="2031" customFormat="false" ht="15" hidden="false" customHeight="false" outlineLevel="0" collapsed="false">
      <c r="A2031" s="3" t="n">
        <v>2824</v>
      </c>
      <c r="B2031" s="3" t="s">
        <v>710</v>
      </c>
      <c r="C2031" s="4" t="s">
        <v>22</v>
      </c>
      <c r="D2031" s="5" t="n">
        <v>4668</v>
      </c>
      <c r="E2031" s="6" t="n">
        <v>62.75</v>
      </c>
      <c r="F2031" s="7" t="n">
        <v>57</v>
      </c>
      <c r="G2031" s="6" t="n">
        <v>395.270309316586</v>
      </c>
      <c r="H2031" s="8" t="n">
        <v>347802.571587838</v>
      </c>
      <c r="I2031" s="9" t="n">
        <v>17.2991739494792</v>
      </c>
      <c r="J2031" s="9" t="n">
        <v>75.8020621822644</v>
      </c>
      <c r="K2031" s="3" t="s">
        <v>711</v>
      </c>
      <c r="L2031" s="3" t="s">
        <v>712</v>
      </c>
      <c r="M2031" s="7" t="n">
        <v>2022</v>
      </c>
    </row>
    <row r="2032" customFormat="false" ht="15" hidden="false" customHeight="false" outlineLevel="0" collapsed="false">
      <c r="A2032" s="3" t="n">
        <v>2825</v>
      </c>
      <c r="B2032" s="3" t="s">
        <v>710</v>
      </c>
      <c r="C2032" s="4" t="s">
        <v>23</v>
      </c>
      <c r="D2032" s="5" t="n">
        <v>4671</v>
      </c>
      <c r="E2032" s="6" t="n">
        <v>62.75</v>
      </c>
      <c r="F2032" s="7" t="n">
        <v>57</v>
      </c>
      <c r="G2032" s="6" t="n">
        <v>388.142318785412</v>
      </c>
      <c r="H2032" s="8" t="n">
        <v>341530.576503557</v>
      </c>
      <c r="I2032" s="9" t="n">
        <v>18.1689232753063</v>
      </c>
      <c r="J2032" s="9" t="n">
        <v>74.3873013041336</v>
      </c>
      <c r="K2032" s="3" t="s">
        <v>711</v>
      </c>
      <c r="L2032" s="3" t="s">
        <v>712</v>
      </c>
      <c r="M2032" s="7" t="n">
        <v>2023</v>
      </c>
    </row>
    <row r="2033" customFormat="false" ht="15" hidden="false" customHeight="false" outlineLevel="0" collapsed="false">
      <c r="A2033" s="3" t="n">
        <v>2826</v>
      </c>
      <c r="B2033" s="3" t="s">
        <v>713</v>
      </c>
      <c r="C2033" s="4" t="s">
        <v>41</v>
      </c>
      <c r="D2033" s="5" t="n">
        <v>154049</v>
      </c>
      <c r="E2033" s="6" t="n">
        <v>1686</v>
      </c>
      <c r="F2033" s="7" t="n">
        <v>65</v>
      </c>
      <c r="G2033" s="6" t="n">
        <v>5321.72872448979</v>
      </c>
      <c r="H2033" s="8" t="n">
        <v>648292.993217347</v>
      </c>
      <c r="I2033" s="9" t="n">
        <v>8.15046293607184</v>
      </c>
      <c r="J2033" s="9" t="n">
        <v>30.925129263561</v>
      </c>
      <c r="K2033" s="3" t="s">
        <v>714</v>
      </c>
      <c r="L2033" s="3" t="s">
        <v>678</v>
      </c>
      <c r="M2033" s="7" t="n">
        <v>2016</v>
      </c>
    </row>
    <row r="2034" customFormat="false" ht="15" hidden="false" customHeight="false" outlineLevel="0" collapsed="false">
      <c r="A2034" s="3" t="n">
        <v>2827</v>
      </c>
      <c r="B2034" s="3" t="s">
        <v>713</v>
      </c>
      <c r="C2034" s="4" t="s">
        <v>42</v>
      </c>
      <c r="D2034" s="5" t="n">
        <v>154929</v>
      </c>
      <c r="E2034" s="6" t="n">
        <v>1695.3</v>
      </c>
      <c r="F2034" s="7" t="n">
        <v>60</v>
      </c>
      <c r="G2034" s="6" t="n">
        <v>6693.36887754205</v>
      </c>
      <c r="H2034" s="8" t="n">
        <v>584598.837764523</v>
      </c>
      <c r="I2034" s="9" t="n">
        <v>9.38398394708888</v>
      </c>
      <c r="J2034" s="9" t="n">
        <v>38.6749460727093</v>
      </c>
      <c r="K2034" s="3" t="s">
        <v>714</v>
      </c>
      <c r="L2034" s="3" t="s">
        <v>678</v>
      </c>
      <c r="M2034" s="7" t="n">
        <v>2017</v>
      </c>
    </row>
    <row r="2035" customFormat="false" ht="15" hidden="false" customHeight="false" outlineLevel="0" collapsed="false">
      <c r="A2035" s="3" t="n">
        <v>2828</v>
      </c>
      <c r="B2035" s="3" t="s">
        <v>713</v>
      </c>
      <c r="C2035" s="4" t="s">
        <v>43</v>
      </c>
      <c r="D2035" s="5" t="n">
        <v>143716</v>
      </c>
      <c r="E2035" s="6" t="n">
        <v>1743.54</v>
      </c>
      <c r="F2035" s="7" t="n">
        <v>60</v>
      </c>
      <c r="G2035" s="6" t="n">
        <v>7379.86186224492</v>
      </c>
      <c r="H2035" s="8" t="n">
        <v>684924.979434951</v>
      </c>
      <c r="I2035" s="9" t="n">
        <v>10.5866289009383</v>
      </c>
      <c r="J2035" s="9" t="n">
        <v>45.9685480062015</v>
      </c>
      <c r="K2035" s="3" t="s">
        <v>714</v>
      </c>
      <c r="L2035" s="3" t="s">
        <v>678</v>
      </c>
      <c r="M2035" s="7" t="n">
        <v>2018</v>
      </c>
    </row>
    <row r="2036" customFormat="false" ht="15" hidden="false" customHeight="false" outlineLevel="0" collapsed="false">
      <c r="A2036" s="3" t="n">
        <v>2829</v>
      </c>
      <c r="B2036" s="3" t="s">
        <v>713</v>
      </c>
      <c r="C2036" s="4" t="s">
        <v>44</v>
      </c>
      <c r="D2036" s="5" t="n">
        <v>144502</v>
      </c>
      <c r="E2036" s="6" t="n">
        <v>1747.3</v>
      </c>
      <c r="F2036" s="7" t="n">
        <v>66</v>
      </c>
      <c r="G2036" s="6" t="n">
        <v>8066.71085612244</v>
      </c>
      <c r="H2036" s="8" t="n">
        <v>764482.187834724</v>
      </c>
      <c r="I2036" s="9" t="n">
        <v>11.7439432554426</v>
      </c>
      <c r="J2036" s="9" t="n">
        <v>49.8366482139671</v>
      </c>
      <c r="K2036" s="3" t="s">
        <v>714</v>
      </c>
      <c r="L2036" s="3" t="s">
        <v>678</v>
      </c>
      <c r="M2036" s="7" t="n">
        <v>2019</v>
      </c>
    </row>
    <row r="2037" customFormat="false" ht="15" hidden="false" customHeight="false" outlineLevel="0" collapsed="false">
      <c r="A2037" s="3" t="n">
        <v>2830</v>
      </c>
      <c r="B2037" s="3" t="s">
        <v>713</v>
      </c>
      <c r="C2037" s="4" t="s">
        <v>45</v>
      </c>
      <c r="D2037" s="5" t="n">
        <v>145166</v>
      </c>
      <c r="E2037" s="6" t="n">
        <v>1769.3</v>
      </c>
      <c r="F2037" s="7" t="n">
        <v>66</v>
      </c>
      <c r="G2037" s="6" t="n">
        <v>6794.19245689463</v>
      </c>
      <c r="H2037" s="8" t="n">
        <v>752728.582299356</v>
      </c>
      <c r="I2037" s="9" t="n">
        <v>10.0694124060309</v>
      </c>
      <c r="J2037" s="9" t="n">
        <v>41.8977411360585</v>
      </c>
      <c r="K2037" s="3" t="s">
        <v>714</v>
      </c>
      <c r="L2037" s="3" t="s">
        <v>678</v>
      </c>
      <c r="M2037" s="7" t="n">
        <v>2020</v>
      </c>
    </row>
    <row r="2038" customFormat="false" ht="15" hidden="false" customHeight="false" outlineLevel="0" collapsed="false">
      <c r="A2038" s="3" t="n">
        <v>2831</v>
      </c>
      <c r="B2038" s="3" t="s">
        <v>713</v>
      </c>
      <c r="C2038" s="4" t="s">
        <v>46</v>
      </c>
      <c r="D2038" s="5" t="n">
        <v>145222</v>
      </c>
      <c r="E2038" s="6" t="n">
        <v>1787.5</v>
      </c>
      <c r="F2038" s="7" t="n">
        <v>66</v>
      </c>
      <c r="G2038" s="6" t="n">
        <v>4728.74741836734</v>
      </c>
      <c r="H2038" s="8" t="n">
        <v>557661.183048061</v>
      </c>
      <c r="I2038" s="9" t="n">
        <v>8.27311386683319</v>
      </c>
      <c r="J2038" s="9" t="n">
        <v>29.1495180138453</v>
      </c>
      <c r="K2038" s="3" t="s">
        <v>714</v>
      </c>
      <c r="L2038" s="3" t="s">
        <v>678</v>
      </c>
      <c r="M2038" s="7" t="n">
        <v>2021</v>
      </c>
    </row>
    <row r="2039" customFormat="false" ht="15" hidden="false" customHeight="false" outlineLevel="0" collapsed="false">
      <c r="A2039" s="3" t="n">
        <v>2832</v>
      </c>
      <c r="B2039" s="3" t="s">
        <v>713</v>
      </c>
      <c r="C2039" s="4" t="s">
        <v>22</v>
      </c>
      <c r="D2039" s="5" t="n">
        <v>145211</v>
      </c>
      <c r="E2039" s="6" t="n">
        <v>1723.2</v>
      </c>
      <c r="F2039" s="7" t="n">
        <v>55</v>
      </c>
      <c r="G2039" s="6" t="n">
        <v>4438.57070197719</v>
      </c>
      <c r="H2039" s="8" t="n">
        <v>609852.107236732</v>
      </c>
      <c r="I2039" s="9" t="n">
        <v>7.95560329394913</v>
      </c>
      <c r="J2039" s="9" t="n">
        <v>27.3628481549881</v>
      </c>
      <c r="K2039" s="3" t="s">
        <v>714</v>
      </c>
      <c r="L2039" s="3" t="s">
        <v>678</v>
      </c>
      <c r="M2039" s="7" t="n">
        <v>2022</v>
      </c>
    </row>
    <row r="2040" customFormat="false" ht="15" hidden="false" customHeight="false" outlineLevel="0" collapsed="false">
      <c r="A2040" s="3" t="n">
        <v>2833</v>
      </c>
      <c r="B2040" s="3" t="s">
        <v>713</v>
      </c>
      <c r="C2040" s="4" t="s">
        <v>23</v>
      </c>
      <c r="D2040" s="5" t="n">
        <v>146416</v>
      </c>
      <c r="E2040" s="6" t="n">
        <v>1727</v>
      </c>
      <c r="F2040" s="7" t="n">
        <v>55</v>
      </c>
      <c r="G2040" s="6" t="n">
        <v>2583.09167159601</v>
      </c>
      <c r="H2040" s="8" t="n">
        <v>353397.361600001</v>
      </c>
      <c r="I2040" s="9" t="n">
        <v>6.0417241412114</v>
      </c>
      <c r="J2040" s="9" t="n">
        <v>15.7931571063443</v>
      </c>
      <c r="K2040" s="3" t="s">
        <v>714</v>
      </c>
      <c r="L2040" s="3" t="s">
        <v>678</v>
      </c>
      <c r="M2040" s="7" t="n">
        <v>2023</v>
      </c>
    </row>
    <row r="2041" customFormat="false" ht="15" hidden="false" customHeight="false" outlineLevel="0" collapsed="false">
      <c r="A2041" s="3" t="n">
        <v>2834</v>
      </c>
      <c r="B2041" s="3" t="s">
        <v>713</v>
      </c>
      <c r="C2041" s="4" t="s">
        <v>24</v>
      </c>
      <c r="D2041" s="5" t="n">
        <v>143767</v>
      </c>
      <c r="E2041" s="6" t="n">
        <v>1728.7</v>
      </c>
      <c r="F2041" s="7" t="n">
        <v>74</v>
      </c>
      <c r="G2041" s="6" t="n">
        <v>1527.05884210886</v>
      </c>
      <c r="H2041" s="8" t="n">
        <v>216771.660123163</v>
      </c>
      <c r="I2041" s="9" t="n">
        <v>4.77310677859013</v>
      </c>
      <c r="J2041" s="9" t="n">
        <v>9.48249790323811</v>
      </c>
      <c r="K2041" s="3" t="s">
        <v>714</v>
      </c>
      <c r="L2041" s="3" t="s">
        <v>678</v>
      </c>
      <c r="M2041" s="7" t="n">
        <v>2024</v>
      </c>
    </row>
    <row r="2042" customFormat="false" ht="15" hidden="false" customHeight="false" outlineLevel="0" collapsed="false">
      <c r="A2042" s="3" t="n">
        <v>2835</v>
      </c>
      <c r="B2042" s="3" t="s">
        <v>715</v>
      </c>
      <c r="C2042" s="4" t="s">
        <v>14</v>
      </c>
      <c r="D2042" s="5" t="n">
        <v>10667</v>
      </c>
      <c r="E2042" s="6" t="n">
        <v>209.7</v>
      </c>
      <c r="F2042" s="7" t="n">
        <v>63</v>
      </c>
      <c r="G2042" s="6" t="n">
        <v>1616.10031122449</v>
      </c>
      <c r="H2042" s="8" t="n">
        <v>507617.107755613</v>
      </c>
      <c r="I2042" s="9" t="n">
        <v>16.5861835016163</v>
      </c>
      <c r="J2042" s="9" t="n">
        <v>135.254652362185</v>
      </c>
      <c r="K2042" s="3" t="s">
        <v>716</v>
      </c>
      <c r="L2042" s="3" t="s">
        <v>717</v>
      </c>
      <c r="M2042" s="7" t="n">
        <v>2016</v>
      </c>
    </row>
    <row r="2043" customFormat="false" ht="15" hidden="false" customHeight="false" outlineLevel="0" collapsed="false">
      <c r="A2043" s="3" t="n">
        <v>2836</v>
      </c>
      <c r="B2043" s="3" t="s">
        <v>715</v>
      </c>
      <c r="C2043" s="4" t="s">
        <v>17</v>
      </c>
      <c r="D2043" s="5" t="n">
        <v>10687</v>
      </c>
      <c r="E2043" s="6" t="n">
        <v>210.07</v>
      </c>
      <c r="F2043" s="7" t="n">
        <v>70</v>
      </c>
      <c r="G2043" s="6" t="n">
        <v>493.177842653062</v>
      </c>
      <c r="H2043" s="8" t="n">
        <v>131190.237924141</v>
      </c>
      <c r="I2043" s="9" t="n">
        <v>11.6400084871632</v>
      </c>
      <c r="J2043" s="9" t="n">
        <v>41.3109727661169</v>
      </c>
      <c r="K2043" s="3" t="s">
        <v>716</v>
      </c>
      <c r="L2043" s="3" t="s">
        <v>717</v>
      </c>
      <c r="M2043" s="7" t="n">
        <v>2017</v>
      </c>
    </row>
    <row r="2044" customFormat="false" ht="15" hidden="false" customHeight="false" outlineLevel="0" collapsed="false">
      <c r="A2044" s="3" t="n">
        <v>2837</v>
      </c>
      <c r="B2044" s="3" t="s">
        <v>715</v>
      </c>
      <c r="C2044" s="4" t="s">
        <v>18</v>
      </c>
      <c r="D2044" s="5" t="n">
        <v>10708</v>
      </c>
      <c r="E2044" s="6" t="n">
        <v>209.96</v>
      </c>
      <c r="F2044" s="7" t="n">
        <v>71</v>
      </c>
      <c r="G2044" s="6" t="n">
        <v>496.238951998726</v>
      </c>
      <c r="H2044" s="8" t="n">
        <v>115479.766519624</v>
      </c>
      <c r="I2044" s="9" t="n">
        <v>10.8202505335112</v>
      </c>
      <c r="J2044" s="9" t="n">
        <v>41.485866258907</v>
      </c>
      <c r="K2044" s="3" t="s">
        <v>716</v>
      </c>
      <c r="L2044" s="3" t="s">
        <v>717</v>
      </c>
      <c r="M2044" s="7" t="n">
        <v>2018</v>
      </c>
    </row>
    <row r="2045" customFormat="false" ht="15" hidden="false" customHeight="false" outlineLevel="0" collapsed="false">
      <c r="A2045" s="3" t="n">
        <v>2838</v>
      </c>
      <c r="B2045" s="3" t="s">
        <v>715</v>
      </c>
      <c r="C2045" s="4" t="s">
        <v>19</v>
      </c>
      <c r="D2045" s="5" t="n">
        <v>10710</v>
      </c>
      <c r="E2045" s="6" t="n">
        <v>209.44</v>
      </c>
      <c r="F2045" s="7" t="n">
        <v>73</v>
      </c>
      <c r="G2045" s="6" t="n">
        <v>929.910686250002</v>
      </c>
      <c r="H2045" s="8" t="n">
        <v>287035.531524788</v>
      </c>
      <c r="I2045" s="9" t="n">
        <v>12.671148775387</v>
      </c>
      <c r="J2045" s="9" t="n">
        <v>77.7265590916493</v>
      </c>
      <c r="K2045" s="3" t="s">
        <v>716</v>
      </c>
      <c r="L2045" s="3" t="s">
        <v>717</v>
      </c>
      <c r="M2045" s="7" t="n">
        <v>2019</v>
      </c>
    </row>
    <row r="2046" customFormat="false" ht="15" hidden="false" customHeight="false" outlineLevel="0" collapsed="false">
      <c r="A2046" s="3" t="n">
        <v>2839</v>
      </c>
      <c r="B2046" s="3" t="s">
        <v>715</v>
      </c>
      <c r="C2046" s="4" t="s">
        <v>20</v>
      </c>
      <c r="D2046" s="5" t="n">
        <v>10730</v>
      </c>
      <c r="E2046" s="6" t="n">
        <v>209.88</v>
      </c>
      <c r="F2046" s="7" t="n">
        <v>75</v>
      </c>
      <c r="G2046" s="6" t="n">
        <v>1089.03198125</v>
      </c>
      <c r="H2046" s="8" t="n">
        <v>265168.397114562</v>
      </c>
      <c r="I2046" s="9" t="n">
        <v>12.9714441316436</v>
      </c>
      <c r="J2046" s="9" t="n">
        <v>90.6081170759984</v>
      </c>
      <c r="K2046" s="3" t="s">
        <v>716</v>
      </c>
      <c r="L2046" s="3" t="s">
        <v>717</v>
      </c>
      <c r="M2046" s="7" t="n">
        <v>2020</v>
      </c>
    </row>
    <row r="2047" customFormat="false" ht="15" hidden="false" customHeight="false" outlineLevel="0" collapsed="false">
      <c r="A2047" s="3" t="n">
        <v>2840</v>
      </c>
      <c r="B2047" s="3" t="s">
        <v>715</v>
      </c>
      <c r="C2047" s="4" t="s">
        <v>21</v>
      </c>
      <c r="D2047" s="5" t="n">
        <v>10769</v>
      </c>
      <c r="E2047" s="6" t="n">
        <v>202.8</v>
      </c>
      <c r="F2047" s="7" t="n">
        <v>68</v>
      </c>
      <c r="G2047" s="6" t="n">
        <v>949.220317762034</v>
      </c>
      <c r="H2047" s="8" t="n">
        <v>266579.03404029</v>
      </c>
      <c r="I2047" s="9" t="n">
        <v>12.3685959691544</v>
      </c>
      <c r="J2047" s="9" t="n">
        <v>78.9058719021215</v>
      </c>
      <c r="K2047" s="3" t="s">
        <v>716</v>
      </c>
      <c r="L2047" s="3" t="s">
        <v>717</v>
      </c>
      <c r="M2047" s="7" t="n">
        <v>2021</v>
      </c>
    </row>
    <row r="2048" customFormat="false" ht="15" hidden="false" customHeight="false" outlineLevel="0" collapsed="false">
      <c r="A2048" s="3" t="n">
        <v>2841</v>
      </c>
      <c r="B2048" s="3" t="s">
        <v>715</v>
      </c>
      <c r="C2048" s="4" t="s">
        <v>22</v>
      </c>
      <c r="D2048" s="5" t="n">
        <v>10857</v>
      </c>
      <c r="E2048" s="6" t="n">
        <v>212.71</v>
      </c>
      <c r="F2048" s="7" t="n">
        <v>72</v>
      </c>
      <c r="G2048" s="6" t="n">
        <v>1136.34892376883</v>
      </c>
      <c r="H2048" s="8" t="n">
        <v>349325.022655777</v>
      </c>
      <c r="I2048" s="9" t="n">
        <v>13.9631338861254</v>
      </c>
      <c r="J2048" s="9" t="n">
        <v>93.6956744266364</v>
      </c>
      <c r="K2048" s="3" t="s">
        <v>716</v>
      </c>
      <c r="L2048" s="3" t="s">
        <v>717</v>
      </c>
      <c r="M2048" s="7" t="n">
        <v>2022</v>
      </c>
    </row>
    <row r="2049" customFormat="false" ht="15" hidden="false" customHeight="false" outlineLevel="0" collapsed="false">
      <c r="A2049" s="3" t="n">
        <v>2842</v>
      </c>
      <c r="B2049" s="3" t="s">
        <v>715</v>
      </c>
      <c r="C2049" s="4" t="s">
        <v>23</v>
      </c>
      <c r="D2049" s="5" t="n">
        <v>10983</v>
      </c>
      <c r="E2049" s="6" t="n">
        <v>214.1</v>
      </c>
      <c r="F2049" s="7" t="n">
        <v>75</v>
      </c>
      <c r="G2049" s="6" t="n">
        <v>722.69890188293</v>
      </c>
      <c r="H2049" s="8" t="n">
        <v>235137.31471663</v>
      </c>
      <c r="I2049" s="9" t="n">
        <v>12.8358193694392</v>
      </c>
      <c r="J2049" s="9" t="n">
        <v>58.9052611472112</v>
      </c>
      <c r="K2049" s="3" t="s">
        <v>716</v>
      </c>
      <c r="L2049" s="3" t="s">
        <v>717</v>
      </c>
      <c r="M2049" s="7" t="n">
        <v>2023</v>
      </c>
    </row>
    <row r="2050" customFormat="false" ht="15" hidden="false" customHeight="false" outlineLevel="0" collapsed="false">
      <c r="A2050" s="3" t="n">
        <v>2843</v>
      </c>
      <c r="B2050" s="3" t="s">
        <v>715</v>
      </c>
      <c r="C2050" s="4" t="s">
        <v>24</v>
      </c>
      <c r="D2050" s="5" t="n">
        <v>11076</v>
      </c>
      <c r="E2050" s="6" t="n">
        <v>214.1</v>
      </c>
      <c r="F2050" s="7" t="n">
        <v>64</v>
      </c>
      <c r="G2050" s="6" t="n">
        <v>612.604674553211</v>
      </c>
      <c r="H2050" s="8" t="n">
        <v>198392.023854057</v>
      </c>
      <c r="I2050" s="9" t="n">
        <v>11.1237817868546</v>
      </c>
      <c r="J2050" s="9" t="n">
        <v>49.3768696002806</v>
      </c>
      <c r="K2050" s="3" t="s">
        <v>716</v>
      </c>
      <c r="L2050" s="3" t="s">
        <v>717</v>
      </c>
      <c r="M2050" s="7" t="n">
        <v>2024</v>
      </c>
    </row>
    <row r="2051" customFormat="false" ht="15" hidden="false" customHeight="false" outlineLevel="0" collapsed="false">
      <c r="A2051" s="3" t="n">
        <v>2844</v>
      </c>
      <c r="B2051" s="3" t="s">
        <v>718</v>
      </c>
      <c r="C2051" s="4" t="s">
        <v>14</v>
      </c>
      <c r="D2051" s="5" t="n">
        <v>4829</v>
      </c>
      <c r="E2051" s="6" t="n">
        <v>52</v>
      </c>
      <c r="F2051" s="7" t="n">
        <v>44</v>
      </c>
      <c r="G2051" s="6" t="n">
        <v>490.711325695885</v>
      </c>
      <c r="H2051" s="8" t="n">
        <v>32459.4458921869</v>
      </c>
      <c r="I2051" s="9" t="n">
        <v>16.9554881565645</v>
      </c>
      <c r="J2051" s="9" t="n">
        <v>90.7183348260253</v>
      </c>
      <c r="K2051" s="3" t="s">
        <v>692</v>
      </c>
      <c r="L2051" s="3" t="s">
        <v>678</v>
      </c>
      <c r="M2051" s="7" t="n">
        <v>2016</v>
      </c>
    </row>
    <row r="2052" customFormat="false" ht="15" hidden="false" customHeight="false" outlineLevel="0" collapsed="false">
      <c r="A2052" s="3" t="n">
        <v>2845</v>
      </c>
      <c r="B2052" s="3" t="s">
        <v>718</v>
      </c>
      <c r="C2052" s="4" t="s">
        <v>17</v>
      </c>
      <c r="D2052" s="5" t="n">
        <v>4829</v>
      </c>
      <c r="E2052" s="6" t="n">
        <v>52</v>
      </c>
      <c r="F2052" s="7" t="n">
        <v>52</v>
      </c>
      <c r="G2052" s="6" t="n">
        <v>369.565700058077</v>
      </c>
      <c r="H2052" s="8" t="n">
        <v>48227.1359506535</v>
      </c>
      <c r="I2052" s="9" t="n">
        <v>13.7983976993252</v>
      </c>
      <c r="J2052" s="9" t="n">
        <v>68.5097094987157</v>
      </c>
      <c r="K2052" s="3" t="s">
        <v>692</v>
      </c>
      <c r="L2052" s="3" t="s">
        <v>678</v>
      </c>
      <c r="M2052" s="7" t="n">
        <v>2017</v>
      </c>
    </row>
    <row r="2053" customFormat="false" ht="15" hidden="false" customHeight="false" outlineLevel="0" collapsed="false">
      <c r="A2053" s="3" t="n">
        <v>2846</v>
      </c>
      <c r="B2053" s="3" t="s">
        <v>718</v>
      </c>
      <c r="C2053" s="4" t="s">
        <v>18</v>
      </c>
      <c r="D2053" s="5" t="n">
        <v>4832</v>
      </c>
      <c r="E2053" s="6" t="n">
        <v>52</v>
      </c>
      <c r="F2053" s="7" t="n">
        <v>45</v>
      </c>
      <c r="G2053" s="6" t="n">
        <v>298.974271060521</v>
      </c>
      <c r="H2053" s="8" t="n">
        <v>31437.7722441797</v>
      </c>
      <c r="I2053" s="9" t="n">
        <v>10.5812807486826</v>
      </c>
      <c r="J2053" s="9" t="n">
        <v>55.3891326591848</v>
      </c>
      <c r="K2053" s="3" t="s">
        <v>692</v>
      </c>
      <c r="L2053" s="3" t="s">
        <v>678</v>
      </c>
      <c r="M2053" s="7" t="n">
        <v>2018</v>
      </c>
    </row>
    <row r="2054" customFormat="false" ht="15" hidden="false" customHeight="false" outlineLevel="0" collapsed="false">
      <c r="A2054" s="3" t="n">
        <v>2847</v>
      </c>
      <c r="B2054" s="3" t="s">
        <v>718</v>
      </c>
      <c r="C2054" s="4" t="s">
        <v>21</v>
      </c>
      <c r="D2054" s="5" t="n">
        <v>4618.49979726011</v>
      </c>
      <c r="E2054" s="6" t="n">
        <v>63.0988750925889</v>
      </c>
      <c r="F2054" s="7" t="n">
        <v>51</v>
      </c>
      <c r="G2054" s="6" t="n">
        <v>1400.73392102416</v>
      </c>
      <c r="H2054" s="8" t="n">
        <v>281254.130403982</v>
      </c>
      <c r="I2054" s="9" t="n">
        <v>47.5508317603269</v>
      </c>
      <c r="J2054" s="9" t="n">
        <v>271.501598882501</v>
      </c>
      <c r="K2054" s="3" t="s">
        <v>692</v>
      </c>
      <c r="L2054" s="3" t="s">
        <v>678</v>
      </c>
      <c r="M2054" s="7" t="n">
        <v>2021</v>
      </c>
    </row>
    <row r="2055" customFormat="false" ht="15" hidden="false" customHeight="false" outlineLevel="0" collapsed="false">
      <c r="A2055" s="3" t="n">
        <v>2848</v>
      </c>
      <c r="B2055" s="3" t="s">
        <v>718</v>
      </c>
      <c r="C2055" s="4" t="s">
        <v>22</v>
      </c>
      <c r="D2055" s="5" t="n">
        <v>4683</v>
      </c>
      <c r="E2055" s="6" t="n">
        <v>64</v>
      </c>
      <c r="F2055" s="7" t="n">
        <v>47</v>
      </c>
      <c r="G2055" s="6" t="n">
        <v>395.828277486387</v>
      </c>
      <c r="H2055" s="8" t="n">
        <v>55207.744920525</v>
      </c>
      <c r="I2055" s="9" t="n">
        <v>14.4932117366671</v>
      </c>
      <c r="J2055" s="9" t="n">
        <v>82.4622632040318</v>
      </c>
      <c r="K2055" s="3" t="s">
        <v>692</v>
      </c>
      <c r="L2055" s="3" t="s">
        <v>678</v>
      </c>
      <c r="M2055" s="7" t="n">
        <v>2022</v>
      </c>
    </row>
    <row r="2056" customFormat="false" ht="15" hidden="false" customHeight="false" outlineLevel="0" collapsed="false">
      <c r="A2056" s="3" t="n">
        <v>2849</v>
      </c>
      <c r="B2056" s="3" t="s">
        <v>718</v>
      </c>
      <c r="C2056" s="4" t="s">
        <v>23</v>
      </c>
      <c r="D2056" s="5" t="n">
        <v>4619</v>
      </c>
      <c r="E2056" s="6" t="n">
        <v>63.84</v>
      </c>
      <c r="F2056" s="7" t="n">
        <v>46</v>
      </c>
      <c r="G2056" s="6" t="n">
        <v>178.138873740352</v>
      </c>
      <c r="H2056" s="8" t="n">
        <v>24079.5208576</v>
      </c>
      <c r="I2056" s="9" t="n">
        <v>7.56012227565467</v>
      </c>
      <c r="J2056" s="9" t="n">
        <v>34.5245808326141</v>
      </c>
      <c r="K2056" s="3" t="s">
        <v>692</v>
      </c>
      <c r="L2056" s="3" t="s">
        <v>678</v>
      </c>
      <c r="M2056" s="7" t="n">
        <v>2023</v>
      </c>
    </row>
    <row r="2057" customFormat="false" ht="15" hidden="false" customHeight="false" outlineLevel="0" collapsed="false">
      <c r="A2057" s="3" t="n">
        <v>2850</v>
      </c>
      <c r="B2057" s="3" t="s">
        <v>718</v>
      </c>
      <c r="C2057" s="4" t="s">
        <v>24</v>
      </c>
      <c r="D2057" s="5" t="n">
        <v>4743</v>
      </c>
      <c r="E2057" s="6" t="n">
        <v>62.84</v>
      </c>
      <c r="F2057" s="7" t="n">
        <v>62</v>
      </c>
      <c r="G2057" s="6" t="n">
        <v>415.432946849757</v>
      </c>
      <c r="H2057" s="8" t="n">
        <v>55510.855020225</v>
      </c>
      <c r="I2057" s="9" t="n">
        <v>16.1765208183899</v>
      </c>
      <c r="J2057" s="9" t="n">
        <v>78.1941035896824</v>
      </c>
      <c r="K2057" s="3" t="s">
        <v>692</v>
      </c>
      <c r="L2057" s="3" t="s">
        <v>678</v>
      </c>
      <c r="M2057" s="7" t="n">
        <v>2024</v>
      </c>
    </row>
    <row r="2058" customFormat="false" ht="15" hidden="false" customHeight="false" outlineLevel="0" collapsed="false">
      <c r="A2058" s="3" t="n">
        <v>2859</v>
      </c>
      <c r="B2058" s="3" t="s">
        <v>719</v>
      </c>
      <c r="C2058" s="4" t="s">
        <v>14</v>
      </c>
      <c r="D2058" s="5" t="n">
        <v>53917</v>
      </c>
      <c r="E2058" s="6" t="n">
        <v>814.2</v>
      </c>
      <c r="F2058" s="7" t="n">
        <v>53</v>
      </c>
      <c r="G2058" s="6" t="n">
        <v>3338.82061622449</v>
      </c>
      <c r="H2058" s="8" t="n">
        <v>784823.174049728</v>
      </c>
      <c r="I2058" s="9" t="n">
        <v>14.0755486310357</v>
      </c>
      <c r="J2058" s="9" t="n">
        <v>55.2832492467426</v>
      </c>
      <c r="K2058" s="3" t="s">
        <v>677</v>
      </c>
      <c r="L2058" s="3" t="s">
        <v>678</v>
      </c>
      <c r="M2058" s="7" t="n">
        <v>2016</v>
      </c>
    </row>
    <row r="2059" customFormat="false" ht="15" hidden="false" customHeight="false" outlineLevel="0" collapsed="false">
      <c r="A2059" s="3" t="n">
        <v>2860</v>
      </c>
      <c r="B2059" s="3" t="s">
        <v>719</v>
      </c>
      <c r="C2059" s="4" t="s">
        <v>17</v>
      </c>
      <c r="D2059" s="5" t="n">
        <v>3594</v>
      </c>
      <c r="E2059" s="6" t="n">
        <v>101</v>
      </c>
      <c r="F2059" s="7" t="n">
        <v>53</v>
      </c>
      <c r="G2059" s="6" t="n">
        <v>761.914077398166</v>
      </c>
      <c r="H2059" s="8" t="n">
        <v>112130.894770688</v>
      </c>
      <c r="I2059" s="9" t="n">
        <v>15.9869069810183</v>
      </c>
      <c r="J2059" s="9" t="n">
        <v>189.777883800741</v>
      </c>
      <c r="K2059" s="3" t="s">
        <v>677</v>
      </c>
      <c r="L2059" s="3" t="s">
        <v>678</v>
      </c>
      <c r="M2059" s="7" t="n">
        <v>2017</v>
      </c>
    </row>
    <row r="2060" customFormat="false" ht="15" hidden="false" customHeight="false" outlineLevel="0" collapsed="false">
      <c r="A2060" s="3" t="n">
        <v>2861</v>
      </c>
      <c r="B2060" s="3" t="s">
        <v>719</v>
      </c>
      <c r="C2060" s="4" t="s">
        <v>18</v>
      </c>
      <c r="D2060" s="5" t="n">
        <v>3602</v>
      </c>
      <c r="E2060" s="6" t="n">
        <v>103</v>
      </c>
      <c r="F2060" s="7" t="n">
        <v>54</v>
      </c>
      <c r="G2060" s="6" t="n">
        <v>466.899654290682</v>
      </c>
      <c r="H2060" s="8" t="n">
        <v>68713.6221219596</v>
      </c>
      <c r="I2060" s="9" t="n">
        <v>12.7598703032615</v>
      </c>
      <c r="J2060" s="9" t="n">
        <v>116.037274202269</v>
      </c>
      <c r="K2060" s="3" t="s">
        <v>677</v>
      </c>
      <c r="L2060" s="3" t="s">
        <v>678</v>
      </c>
      <c r="M2060" s="7" t="n">
        <v>2018</v>
      </c>
    </row>
    <row r="2061" customFormat="false" ht="15" hidden="false" customHeight="false" outlineLevel="0" collapsed="false">
      <c r="A2061" s="3" t="n">
        <v>2862</v>
      </c>
      <c r="B2061" s="3" t="s">
        <v>719</v>
      </c>
      <c r="C2061" s="4" t="s">
        <v>20</v>
      </c>
      <c r="D2061" s="5" t="n">
        <v>54664</v>
      </c>
      <c r="E2061" s="6" t="n">
        <v>781.2</v>
      </c>
      <c r="F2061" s="7" t="n">
        <v>60</v>
      </c>
      <c r="G2061" s="6" t="n">
        <v>5320.40860781222</v>
      </c>
      <c r="H2061" s="8" t="n">
        <v>468355.56974571</v>
      </c>
      <c r="I2061" s="9" t="n">
        <v>18.7663104784198</v>
      </c>
      <c r="J2061" s="9" t="n">
        <v>86.8899952318533</v>
      </c>
      <c r="K2061" s="3" t="s">
        <v>677</v>
      </c>
      <c r="L2061" s="3" t="s">
        <v>678</v>
      </c>
      <c r="M2061" s="7" t="n">
        <v>2020</v>
      </c>
    </row>
    <row r="2062" customFormat="false" ht="15" hidden="false" customHeight="false" outlineLevel="0" collapsed="false">
      <c r="A2062" s="3" t="n">
        <v>2863</v>
      </c>
      <c r="B2062" s="3" t="s">
        <v>719</v>
      </c>
      <c r="C2062" s="4" t="s">
        <v>21</v>
      </c>
      <c r="D2062" s="5" t="n">
        <v>55876</v>
      </c>
      <c r="E2062" s="6" t="n">
        <v>793</v>
      </c>
      <c r="F2062" s="7" t="n">
        <v>60</v>
      </c>
      <c r="G2062" s="6" t="n">
        <v>4676.67094419446</v>
      </c>
      <c r="H2062" s="8" t="n">
        <v>488478.280121111</v>
      </c>
      <c r="I2062" s="9" t="n">
        <v>15.7141177177563</v>
      </c>
      <c r="J2062" s="9" t="n">
        <v>74.9254188354231</v>
      </c>
      <c r="K2062" s="3" t="s">
        <v>677</v>
      </c>
      <c r="L2062" s="3" t="s">
        <v>678</v>
      </c>
      <c r="M2062" s="7" t="n">
        <v>2021</v>
      </c>
    </row>
    <row r="2063" customFormat="false" ht="15" hidden="false" customHeight="false" outlineLevel="0" collapsed="false">
      <c r="A2063" s="3" t="n">
        <v>2864</v>
      </c>
      <c r="B2063" s="3" t="s">
        <v>719</v>
      </c>
      <c r="C2063" s="4" t="s">
        <v>24</v>
      </c>
      <c r="D2063" s="5" t="n">
        <v>53520</v>
      </c>
      <c r="E2063" s="6" t="n">
        <v>649.547270558523</v>
      </c>
      <c r="F2063" s="7" t="n">
        <v>49</v>
      </c>
      <c r="G2063" s="6" t="n">
        <v>4461.73789968522</v>
      </c>
      <c r="H2063" s="8" t="n">
        <v>521309.456199221</v>
      </c>
      <c r="I2063" s="9" t="n">
        <v>20.8376946010611</v>
      </c>
      <c r="J2063" s="9" t="n">
        <v>74.4241945835293</v>
      </c>
      <c r="K2063" s="3" t="s">
        <v>677</v>
      </c>
      <c r="L2063" s="3" t="s">
        <v>678</v>
      </c>
      <c r="M2063" s="7" t="n">
        <v>2024</v>
      </c>
    </row>
    <row r="2064" customFormat="false" ht="15" hidden="false" customHeight="false" outlineLevel="0" collapsed="false">
      <c r="A2064" s="3" t="n">
        <v>2874</v>
      </c>
      <c r="B2064" s="3" t="s">
        <v>720</v>
      </c>
      <c r="C2064" s="4" t="s">
        <v>14</v>
      </c>
      <c r="D2064" s="5" t="n">
        <v>14568</v>
      </c>
      <c r="E2064" s="6" t="n">
        <v>143.05</v>
      </c>
      <c r="F2064" s="7" t="n">
        <v>67</v>
      </c>
      <c r="G2064" s="6" t="n">
        <v>-58.2516343915975</v>
      </c>
      <c r="H2064" s="8" t="n">
        <v>-13446.5781535</v>
      </c>
      <c r="I2064" s="9" t="n">
        <v>0.422068498452012</v>
      </c>
      <c r="J2064" s="9" t="n">
        <v>-3.56972183696607</v>
      </c>
      <c r="K2064" s="3" t="s">
        <v>692</v>
      </c>
      <c r="L2064" s="3" t="s">
        <v>721</v>
      </c>
      <c r="M2064" s="7" t="n">
        <v>2016</v>
      </c>
    </row>
    <row r="2065" customFormat="false" ht="15" hidden="false" customHeight="false" outlineLevel="0" collapsed="false">
      <c r="A2065" s="3" t="n">
        <v>2875</v>
      </c>
      <c r="B2065" s="3" t="s">
        <v>720</v>
      </c>
      <c r="C2065" s="4" t="s">
        <v>17</v>
      </c>
      <c r="D2065" s="5" t="n">
        <v>10430</v>
      </c>
      <c r="E2065" s="6" t="n">
        <v>95.6</v>
      </c>
      <c r="F2065" s="7" t="n">
        <v>64</v>
      </c>
      <c r="G2065" s="6" t="n">
        <v>373.201236940604</v>
      </c>
      <c r="H2065" s="8" t="n">
        <v>105184.81797625</v>
      </c>
      <c r="I2065" s="9" t="n">
        <v>9.98072437249452</v>
      </c>
      <c r="J2065" s="9" t="n">
        <v>32.0314383325605</v>
      </c>
      <c r="K2065" s="3" t="s">
        <v>692</v>
      </c>
      <c r="L2065" s="3" t="s">
        <v>721</v>
      </c>
      <c r="M2065" s="7" t="n">
        <v>2017</v>
      </c>
    </row>
    <row r="2066" customFormat="false" ht="15" hidden="false" customHeight="false" outlineLevel="0" collapsed="false">
      <c r="A2066" s="3" t="n">
        <v>2876</v>
      </c>
      <c r="B2066" s="3" t="s">
        <v>720</v>
      </c>
      <c r="C2066" s="4" t="s">
        <v>18</v>
      </c>
      <c r="D2066" s="5" t="n">
        <v>10563</v>
      </c>
      <c r="E2066" s="6" t="n">
        <v>95.95</v>
      </c>
      <c r="F2066" s="7" t="n">
        <v>63</v>
      </c>
      <c r="G2066" s="6" t="n">
        <v>83.8129383496217</v>
      </c>
      <c r="H2066" s="8" t="n">
        <v>22815.7587955001</v>
      </c>
      <c r="I2066" s="9" t="n">
        <v>3.5846421301318</v>
      </c>
      <c r="J2066" s="9" t="n">
        <v>7.10299422048624</v>
      </c>
      <c r="K2066" s="3" t="s">
        <v>692</v>
      </c>
      <c r="L2066" s="3" t="s">
        <v>721</v>
      </c>
      <c r="M2066" s="7" t="n">
        <v>2018</v>
      </c>
    </row>
    <row r="2067" customFormat="false" ht="15" hidden="false" customHeight="false" outlineLevel="0" collapsed="false">
      <c r="A2067" s="3" t="n">
        <v>2877</v>
      </c>
      <c r="B2067" s="3" t="s">
        <v>720</v>
      </c>
      <c r="C2067" s="4" t="s">
        <v>19</v>
      </c>
      <c r="D2067" s="5" t="n">
        <v>14600</v>
      </c>
      <c r="E2067" s="6" t="n">
        <v>143.49</v>
      </c>
      <c r="F2067" s="7" t="n">
        <v>63</v>
      </c>
      <c r="G2067" s="6" t="n">
        <v>10.7569122474279</v>
      </c>
      <c r="H2067" s="8" t="n">
        <v>2825.7818270001</v>
      </c>
      <c r="I2067" s="9" t="n">
        <v>2.80273867607777</v>
      </c>
      <c r="J2067" s="9" t="n">
        <v>0.659557167833928</v>
      </c>
      <c r="K2067" s="3" t="s">
        <v>692</v>
      </c>
      <c r="L2067" s="3" t="s">
        <v>721</v>
      </c>
      <c r="M2067" s="7" t="n">
        <v>2019</v>
      </c>
    </row>
    <row r="2068" customFormat="false" ht="15" hidden="false" customHeight="false" outlineLevel="0" collapsed="false">
      <c r="A2068" s="3" t="n">
        <v>2878</v>
      </c>
      <c r="B2068" s="3" t="s">
        <v>720</v>
      </c>
      <c r="C2068" s="4" t="s">
        <v>20</v>
      </c>
      <c r="D2068" s="5" t="n">
        <v>15776</v>
      </c>
      <c r="E2068" s="6" t="n">
        <v>143.49</v>
      </c>
      <c r="F2068" s="7" t="n">
        <v>59</v>
      </c>
      <c r="G2068" s="6" t="n">
        <v>151.02561304732</v>
      </c>
      <c r="H2068" s="8" t="n">
        <v>33182.0663011248</v>
      </c>
      <c r="I2068" s="9" t="n">
        <v>3.88363373674303</v>
      </c>
      <c r="J2068" s="9" t="n">
        <v>8.54633482402301</v>
      </c>
      <c r="K2068" s="3" t="s">
        <v>692</v>
      </c>
      <c r="L2068" s="3" t="s">
        <v>721</v>
      </c>
      <c r="M2068" s="7" t="n">
        <v>2020</v>
      </c>
    </row>
    <row r="2069" customFormat="false" ht="15" hidden="false" customHeight="false" outlineLevel="0" collapsed="false">
      <c r="A2069" s="3" t="n">
        <v>2879</v>
      </c>
      <c r="B2069" s="3" t="s">
        <v>720</v>
      </c>
      <c r="C2069" s="4" t="s">
        <v>21</v>
      </c>
      <c r="D2069" s="5" t="n">
        <v>10566.1925449648</v>
      </c>
      <c r="E2069" s="6" t="n">
        <v>96.7795816035187</v>
      </c>
      <c r="F2069" s="7" t="n">
        <v>59</v>
      </c>
      <c r="G2069" s="6" t="n">
        <v>208.317288915411</v>
      </c>
      <c r="H2069" s="8" t="n">
        <v>20625.1664028114</v>
      </c>
      <c r="I2069" s="9" t="n">
        <v>6.4259239853566</v>
      </c>
      <c r="J2069" s="9" t="n">
        <v>17.6491774215778</v>
      </c>
      <c r="K2069" s="3" t="s">
        <v>692</v>
      </c>
      <c r="L2069" s="3" t="s">
        <v>721</v>
      </c>
      <c r="M2069" s="7" t="n">
        <v>2021</v>
      </c>
    </row>
    <row r="2070" customFormat="false" ht="15" hidden="false" customHeight="false" outlineLevel="0" collapsed="false">
      <c r="A2070" s="3" t="n">
        <v>2880</v>
      </c>
      <c r="B2070" s="3" t="s">
        <v>720</v>
      </c>
      <c r="C2070" s="4" t="s">
        <v>22</v>
      </c>
      <c r="D2070" s="5" t="n">
        <v>10825</v>
      </c>
      <c r="E2070" s="6" t="n">
        <v>97</v>
      </c>
      <c r="F2070" s="7" t="n">
        <v>54</v>
      </c>
      <c r="G2070" s="6" t="n">
        <v>409.646320969774</v>
      </c>
      <c r="H2070" s="8" t="n">
        <v>45431.156874</v>
      </c>
      <c r="I2070" s="9" t="n">
        <v>11.1032601340523</v>
      </c>
      <c r="J2070" s="9" t="n">
        <v>33.8765229384366</v>
      </c>
      <c r="K2070" s="3" t="s">
        <v>692</v>
      </c>
      <c r="L2070" s="3" t="s">
        <v>721</v>
      </c>
      <c r="M2070" s="7" t="n">
        <v>2022</v>
      </c>
    </row>
    <row r="2071" customFormat="false" ht="15" hidden="false" customHeight="false" outlineLevel="0" collapsed="false">
      <c r="A2071" s="3" t="n">
        <v>2881</v>
      </c>
      <c r="B2071" s="3" t="s">
        <v>720</v>
      </c>
      <c r="C2071" s="4" t="s">
        <v>23</v>
      </c>
      <c r="D2071" s="5" t="n">
        <v>10594</v>
      </c>
      <c r="E2071" s="6" t="n">
        <v>96.97</v>
      </c>
      <c r="F2071" s="7" t="n">
        <v>56</v>
      </c>
      <c r="G2071" s="6" t="n">
        <v>59.5124486036724</v>
      </c>
      <c r="H2071" s="8" t="n">
        <v>15285.1161093751</v>
      </c>
      <c r="I2071" s="9" t="n">
        <v>3.2554571593237</v>
      </c>
      <c r="J2071" s="9" t="n">
        <v>5.02881345079095</v>
      </c>
      <c r="K2071" s="3" t="s">
        <v>692</v>
      </c>
      <c r="L2071" s="3" t="s">
        <v>721</v>
      </c>
      <c r="M2071" s="7" t="n">
        <v>2023</v>
      </c>
    </row>
    <row r="2072" customFormat="false" ht="15" hidden="false" customHeight="false" outlineLevel="0" collapsed="false">
      <c r="A2072" s="3" t="n">
        <v>2882</v>
      </c>
      <c r="B2072" s="3" t="s">
        <v>720</v>
      </c>
      <c r="C2072" s="4" t="s">
        <v>24</v>
      </c>
      <c r="D2072" s="5" t="n">
        <v>10768</v>
      </c>
      <c r="E2072" s="6" t="n">
        <v>96.92</v>
      </c>
      <c r="F2072" s="7" t="n">
        <v>54</v>
      </c>
      <c r="G2072" s="6" t="n">
        <v>271.163263105019</v>
      </c>
      <c r="H2072" s="8" t="n">
        <v>77481.8361044999</v>
      </c>
      <c r="I2072" s="9" t="n">
        <v>8.0819933775367</v>
      </c>
      <c r="J2072" s="9" t="n">
        <v>22.4813298779829</v>
      </c>
      <c r="K2072" s="3" t="s">
        <v>692</v>
      </c>
      <c r="L2072" s="3" t="s">
        <v>721</v>
      </c>
      <c r="M2072" s="7" t="n">
        <v>2024</v>
      </c>
    </row>
    <row r="2073" customFormat="false" ht="15" hidden="false" customHeight="false" outlineLevel="0" collapsed="false">
      <c r="A2073" s="3" t="n">
        <v>2883</v>
      </c>
      <c r="B2073" s="3" t="s">
        <v>722</v>
      </c>
      <c r="C2073" s="4" t="s">
        <v>14</v>
      </c>
      <c r="D2073" s="5" t="n">
        <v>16689</v>
      </c>
      <c r="E2073" s="6" t="n">
        <v>192.37</v>
      </c>
      <c r="F2073" s="7" t="n">
        <v>66</v>
      </c>
      <c r="G2073" s="6" t="n">
        <v>425.931213229187</v>
      </c>
      <c r="H2073" s="8" t="n">
        <v>76310.953810125</v>
      </c>
      <c r="I2073" s="9" t="n">
        <v>7.15453826918918</v>
      </c>
      <c r="J2073" s="9" t="n">
        <v>22.7842819545552</v>
      </c>
      <c r="K2073" s="3" t="s">
        <v>692</v>
      </c>
      <c r="L2073" s="3" t="s">
        <v>723</v>
      </c>
      <c r="M2073" s="7" t="n">
        <v>2016</v>
      </c>
    </row>
    <row r="2074" customFormat="false" ht="15" hidden="false" customHeight="false" outlineLevel="0" collapsed="false">
      <c r="A2074" s="3" t="n">
        <v>2884</v>
      </c>
      <c r="B2074" s="3" t="s">
        <v>722</v>
      </c>
      <c r="C2074" s="4" t="s">
        <v>17</v>
      </c>
      <c r="D2074" s="5" t="n">
        <v>16721</v>
      </c>
      <c r="E2074" s="6" t="n">
        <v>184.8</v>
      </c>
      <c r="F2074" s="7" t="n">
        <v>62</v>
      </c>
      <c r="G2074" s="6" t="n">
        <v>531.651576284865</v>
      </c>
      <c r="H2074" s="8" t="n">
        <v>79681.3550916249</v>
      </c>
      <c r="I2074" s="9" t="n">
        <v>8.09589148014628</v>
      </c>
      <c r="J2074" s="9" t="n">
        <v>28.4631219450963</v>
      </c>
      <c r="K2074" s="3" t="s">
        <v>692</v>
      </c>
      <c r="L2074" s="3" t="s">
        <v>723</v>
      </c>
      <c r="M2074" s="7" t="n">
        <v>2017</v>
      </c>
    </row>
    <row r="2075" customFormat="false" ht="15" hidden="false" customHeight="false" outlineLevel="0" collapsed="false">
      <c r="A2075" s="3" t="n">
        <v>2885</v>
      </c>
      <c r="B2075" s="3" t="s">
        <v>722</v>
      </c>
      <c r="C2075" s="4" t="s">
        <v>18</v>
      </c>
      <c r="D2075" s="5" t="n">
        <v>16765</v>
      </c>
      <c r="E2075" s="6" t="n">
        <v>186.64</v>
      </c>
      <c r="F2075" s="7" t="n">
        <v>62</v>
      </c>
      <c r="G2075" s="6" t="n">
        <v>693.75854153572</v>
      </c>
      <c r="H2075" s="8" t="n">
        <v>125310.61855</v>
      </c>
      <c r="I2075" s="9" t="n">
        <v>9.94586601373972</v>
      </c>
      <c r="J2075" s="9" t="n">
        <v>37.0443910354113</v>
      </c>
      <c r="K2075" s="3" t="s">
        <v>692</v>
      </c>
      <c r="L2075" s="3" t="s">
        <v>723</v>
      </c>
      <c r="M2075" s="7" t="n">
        <v>2018</v>
      </c>
    </row>
    <row r="2076" customFormat="false" ht="15" hidden="false" customHeight="false" outlineLevel="0" collapsed="false">
      <c r="A2076" s="3" t="n">
        <v>2886</v>
      </c>
      <c r="B2076" s="3" t="s">
        <v>722</v>
      </c>
      <c r="C2076" s="4" t="s">
        <v>19</v>
      </c>
      <c r="D2076" s="5" t="n">
        <v>16735</v>
      </c>
      <c r="E2076" s="6" t="n">
        <v>185.59</v>
      </c>
      <c r="F2076" s="7" t="n">
        <v>62</v>
      </c>
      <c r="G2076" s="6" t="n">
        <v>537.527598867919</v>
      </c>
      <c r="H2076" s="8" t="n">
        <v>103174.39006875</v>
      </c>
      <c r="I2076" s="9" t="n">
        <v>8.22227800343815</v>
      </c>
      <c r="J2076" s="9" t="n">
        <v>28.7536330088467</v>
      </c>
      <c r="K2076" s="3" t="s">
        <v>692</v>
      </c>
      <c r="L2076" s="3" t="s">
        <v>723</v>
      </c>
      <c r="M2076" s="7" t="n">
        <v>2019</v>
      </c>
    </row>
    <row r="2077" customFormat="false" ht="15" hidden="false" customHeight="false" outlineLevel="0" collapsed="false">
      <c r="A2077" s="3" t="n">
        <v>2903</v>
      </c>
      <c r="B2077" s="3" t="s">
        <v>724</v>
      </c>
      <c r="C2077" s="4" t="s">
        <v>17</v>
      </c>
      <c r="D2077" s="5" t="n">
        <v>51274</v>
      </c>
      <c r="E2077" s="6" t="n">
        <v>717</v>
      </c>
      <c r="F2077" s="7" t="n">
        <v>57</v>
      </c>
      <c r="G2077" s="6" t="n">
        <v>2801.13478923438</v>
      </c>
      <c r="H2077" s="8" t="n">
        <v>412243.006931623</v>
      </c>
      <c r="I2077" s="9" t="n">
        <v>12.3231053196045</v>
      </c>
      <c r="J2077" s="9" t="n">
        <v>48.905137331926</v>
      </c>
      <c r="K2077" s="3" t="s">
        <v>677</v>
      </c>
      <c r="L2077" s="3" t="s">
        <v>678</v>
      </c>
      <c r="M2077" s="7" t="n">
        <v>2017</v>
      </c>
    </row>
    <row r="2078" customFormat="false" ht="15" hidden="false" customHeight="false" outlineLevel="0" collapsed="false">
      <c r="A2078" s="3" t="n">
        <v>2904</v>
      </c>
      <c r="B2078" s="3" t="s">
        <v>724</v>
      </c>
      <c r="C2078" s="4" t="s">
        <v>18</v>
      </c>
      <c r="D2078" s="5" t="n">
        <v>51927</v>
      </c>
      <c r="E2078" s="6" t="n">
        <v>737</v>
      </c>
      <c r="F2078" s="7" t="n">
        <v>58</v>
      </c>
      <c r="G2078" s="6" t="n">
        <v>2153.58883256256</v>
      </c>
      <c r="H2078" s="8" t="n">
        <v>316943.668488232</v>
      </c>
      <c r="I2078" s="9" t="n">
        <v>9.9582936178909</v>
      </c>
      <c r="J2078" s="9" t="n">
        <v>37.126775536713</v>
      </c>
      <c r="K2078" s="3" t="s">
        <v>677</v>
      </c>
      <c r="L2078" s="3" t="s">
        <v>678</v>
      </c>
      <c r="M2078" s="7" t="n">
        <v>2018</v>
      </c>
    </row>
    <row r="2079" customFormat="false" ht="15" hidden="false" customHeight="false" outlineLevel="0" collapsed="false">
      <c r="A2079" s="3" t="n">
        <v>2905</v>
      </c>
      <c r="B2079" s="3" t="s">
        <v>724</v>
      </c>
      <c r="C2079" s="4" t="s">
        <v>19</v>
      </c>
      <c r="D2079" s="5" t="n">
        <v>52952</v>
      </c>
      <c r="E2079" s="6" t="n">
        <v>772</v>
      </c>
      <c r="F2079" s="7" t="n">
        <v>59</v>
      </c>
      <c r="G2079" s="6" t="n">
        <v>5676.50074941225</v>
      </c>
      <c r="H2079" s="8" t="n">
        <v>562200.634221789</v>
      </c>
      <c r="I2079" s="9" t="n">
        <v>19.339712699934</v>
      </c>
      <c r="J2079" s="9" t="n">
        <v>95.9656934632449</v>
      </c>
      <c r="K2079" s="3" t="s">
        <v>677</v>
      </c>
      <c r="L2079" s="3" t="s">
        <v>678</v>
      </c>
      <c r="M2079" s="7" t="n">
        <v>2019</v>
      </c>
    </row>
    <row r="2080" customFormat="false" ht="15" hidden="false" customHeight="false" outlineLevel="0" collapsed="false">
      <c r="A2080" s="3" t="n">
        <v>2906</v>
      </c>
      <c r="B2080" s="3" t="s">
        <v>724</v>
      </c>
      <c r="C2080" s="4" t="s">
        <v>24</v>
      </c>
      <c r="D2080" s="5" t="n">
        <v>9633</v>
      </c>
      <c r="E2080" s="6" t="n">
        <v>169.519046585227</v>
      </c>
      <c r="F2080" s="7" t="n">
        <v>50</v>
      </c>
      <c r="G2080" s="6" t="n">
        <v>1840.05225575734</v>
      </c>
      <c r="H2080" s="8" t="n">
        <v>214991.705562688</v>
      </c>
      <c r="I2080" s="9" t="n">
        <v>30.5144737235958</v>
      </c>
      <c r="J2080" s="9" t="n">
        <v>170.527643301148</v>
      </c>
      <c r="K2080" s="3" t="s">
        <v>677</v>
      </c>
      <c r="L2080" s="3" t="s">
        <v>678</v>
      </c>
      <c r="M2080" s="7" t="n">
        <v>2024</v>
      </c>
    </row>
    <row r="2081" customFormat="false" ht="15" hidden="false" customHeight="false" outlineLevel="0" collapsed="false">
      <c r="A2081" s="3" t="n">
        <v>2907</v>
      </c>
      <c r="B2081" s="3" t="s">
        <v>725</v>
      </c>
      <c r="C2081" s="4" t="s">
        <v>14</v>
      </c>
      <c r="D2081" s="5" t="n">
        <v>6142</v>
      </c>
      <c r="E2081" s="6" t="n">
        <v>75</v>
      </c>
      <c r="F2081" s="7" t="n">
        <v>45</v>
      </c>
      <c r="G2081" s="6" t="n">
        <v>275.85515869939</v>
      </c>
      <c r="H2081" s="8" t="n">
        <v>101573.059872589</v>
      </c>
      <c r="I2081" s="9" t="n">
        <v>11.8361453538057</v>
      </c>
      <c r="J2081" s="9" t="n">
        <v>40.0956715350205</v>
      </c>
      <c r="K2081" s="3" t="s">
        <v>726</v>
      </c>
      <c r="L2081" s="3" t="s">
        <v>727</v>
      </c>
      <c r="M2081" s="7" t="n">
        <v>2016</v>
      </c>
    </row>
    <row r="2082" customFormat="false" ht="15" hidden="false" customHeight="false" outlineLevel="0" collapsed="false">
      <c r="A2082" s="3" t="n">
        <v>2908</v>
      </c>
      <c r="B2082" s="3" t="s">
        <v>725</v>
      </c>
      <c r="C2082" s="4" t="s">
        <v>18</v>
      </c>
      <c r="D2082" s="5" t="n">
        <v>7003</v>
      </c>
      <c r="E2082" s="6" t="n">
        <v>112</v>
      </c>
      <c r="F2082" s="7" t="n">
        <v>57</v>
      </c>
      <c r="G2082" s="6" t="n">
        <v>171.8352956493</v>
      </c>
      <c r="H2082" s="8" t="n">
        <v>61647.9551411041</v>
      </c>
      <c r="I2082" s="9" t="n">
        <v>7.96998235728377</v>
      </c>
      <c r="J2082" s="9" t="n">
        <v>21.9657442425068</v>
      </c>
      <c r="K2082" s="3" t="s">
        <v>726</v>
      </c>
      <c r="L2082" s="3" t="s">
        <v>727</v>
      </c>
      <c r="M2082" s="7" t="n">
        <v>2018</v>
      </c>
    </row>
    <row r="2083" customFormat="false" ht="15" hidden="false" customHeight="false" outlineLevel="0" collapsed="false">
      <c r="A2083" s="3" t="n">
        <v>2909</v>
      </c>
      <c r="B2083" s="3" t="s">
        <v>725</v>
      </c>
      <c r="C2083" s="4" t="s">
        <v>19</v>
      </c>
      <c r="D2083" s="5" t="n">
        <v>7003</v>
      </c>
      <c r="E2083" s="6" t="n">
        <v>112</v>
      </c>
      <c r="F2083" s="7" t="n">
        <v>54</v>
      </c>
      <c r="G2083" s="6" t="n">
        <v>306.291158893286</v>
      </c>
      <c r="H2083" s="8" t="n">
        <v>109885.594529467</v>
      </c>
      <c r="I2083" s="9" t="n">
        <v>11.8463035992084</v>
      </c>
      <c r="J2083" s="9" t="n">
        <v>39.1532672875424</v>
      </c>
      <c r="K2083" s="3" t="s">
        <v>726</v>
      </c>
      <c r="L2083" s="3" t="s">
        <v>727</v>
      </c>
      <c r="M2083" s="7" t="n">
        <v>2019</v>
      </c>
    </row>
    <row r="2084" customFormat="false" ht="15" hidden="false" customHeight="false" outlineLevel="0" collapsed="false">
      <c r="A2084" s="3" t="n">
        <v>2910</v>
      </c>
      <c r="B2084" s="3" t="s">
        <v>725</v>
      </c>
      <c r="C2084" s="4" t="s">
        <v>20</v>
      </c>
      <c r="D2084" s="5" t="n">
        <v>7598</v>
      </c>
      <c r="E2084" s="6" t="n">
        <v>115</v>
      </c>
      <c r="F2084" s="7" t="n">
        <v>54</v>
      </c>
      <c r="G2084" s="6" t="n">
        <v>396.745446088144</v>
      </c>
      <c r="H2084" s="8" t="n">
        <v>142337.145406942</v>
      </c>
      <c r="I2084" s="9" t="n">
        <v>13.2917497323038</v>
      </c>
      <c r="J2084" s="9" t="n">
        <v>46.6164132425865</v>
      </c>
      <c r="K2084" s="3" t="s">
        <v>726</v>
      </c>
      <c r="L2084" s="3" t="s">
        <v>727</v>
      </c>
      <c r="M2084" s="7" t="n">
        <v>2020</v>
      </c>
    </row>
    <row r="2085" customFormat="false" ht="15" hidden="false" customHeight="false" outlineLevel="0" collapsed="false">
      <c r="A2085" s="3" t="n">
        <v>2911</v>
      </c>
      <c r="B2085" s="3" t="s">
        <v>725</v>
      </c>
      <c r="C2085" s="4" t="s">
        <v>21</v>
      </c>
      <c r="D2085" s="5" t="n">
        <v>7849</v>
      </c>
      <c r="E2085" s="6" t="n">
        <v>113</v>
      </c>
      <c r="F2085" s="7" t="n">
        <v>55</v>
      </c>
      <c r="G2085" s="6" t="n">
        <v>342.774249580006</v>
      </c>
      <c r="H2085" s="8" t="n">
        <v>19786.3370262225</v>
      </c>
      <c r="I2085" s="9" t="n">
        <v>11.1442354183171</v>
      </c>
      <c r="J2085" s="9" t="n">
        <v>39.0941283203623</v>
      </c>
      <c r="K2085" s="3" t="s">
        <v>726</v>
      </c>
      <c r="L2085" s="3" t="s">
        <v>727</v>
      </c>
      <c r="M2085" s="7" t="n">
        <v>2021</v>
      </c>
    </row>
    <row r="2086" customFormat="false" ht="15" hidden="false" customHeight="false" outlineLevel="0" collapsed="false">
      <c r="A2086" s="3" t="n">
        <v>2912</v>
      </c>
      <c r="B2086" s="3" t="s">
        <v>725</v>
      </c>
      <c r="C2086" s="4" t="s">
        <v>22</v>
      </c>
      <c r="D2086" s="5" t="n">
        <v>7847</v>
      </c>
      <c r="E2086" s="6" t="n">
        <v>115.2</v>
      </c>
      <c r="F2086" s="7" t="n">
        <v>55</v>
      </c>
      <c r="G2086" s="6" t="n">
        <v>314.129190684602</v>
      </c>
      <c r="H2086" s="8" t="n">
        <v>33050.7921233261</v>
      </c>
      <c r="I2086" s="9" t="n">
        <v>11.3896224159772</v>
      </c>
      <c r="J2086" s="9" t="n">
        <v>35.8362301662735</v>
      </c>
      <c r="K2086" s="3" t="s">
        <v>726</v>
      </c>
      <c r="L2086" s="3" t="s">
        <v>727</v>
      </c>
      <c r="M2086" s="7" t="n">
        <v>2022</v>
      </c>
    </row>
    <row r="2087" customFormat="false" ht="15" hidden="false" customHeight="false" outlineLevel="0" collapsed="false">
      <c r="A2087" s="3" t="n">
        <v>2913</v>
      </c>
      <c r="B2087" s="3" t="s">
        <v>725</v>
      </c>
      <c r="C2087" s="4" t="s">
        <v>23</v>
      </c>
      <c r="D2087" s="5" t="n">
        <v>7861</v>
      </c>
      <c r="E2087" s="6" t="n">
        <v>115</v>
      </c>
      <c r="F2087" s="7" t="n">
        <v>59</v>
      </c>
      <c r="G2087" s="6" t="n">
        <v>152.63069834542</v>
      </c>
      <c r="H2087" s="8" t="n">
        <v>13715.3815127902</v>
      </c>
      <c r="I2087" s="9" t="n">
        <v>7.07282989998693</v>
      </c>
      <c r="J2087" s="9" t="n">
        <v>17.3812805484837</v>
      </c>
      <c r="K2087" s="3" t="s">
        <v>726</v>
      </c>
      <c r="L2087" s="3" t="s">
        <v>727</v>
      </c>
      <c r="M2087" s="7" t="n">
        <v>2023</v>
      </c>
    </row>
    <row r="2088" customFormat="false" ht="15" hidden="false" customHeight="false" outlineLevel="0" collapsed="false">
      <c r="A2088" s="3" t="n">
        <v>2914</v>
      </c>
      <c r="B2088" s="3" t="s">
        <v>728</v>
      </c>
      <c r="C2088" s="4" t="s">
        <v>41</v>
      </c>
      <c r="D2088" s="5" t="n">
        <v>5731</v>
      </c>
      <c r="E2088" s="6" t="n">
        <v>78.9</v>
      </c>
      <c r="F2088" s="7" t="n">
        <v>50</v>
      </c>
      <c r="G2088" s="6" t="n">
        <v>124.050968903658</v>
      </c>
      <c r="H2088" s="8" t="n">
        <v>14872.1083043272</v>
      </c>
      <c r="I2088" s="9" t="n">
        <v>7.85099934869048</v>
      </c>
      <c r="J2088" s="9" t="n">
        <v>19.3770395958293</v>
      </c>
      <c r="K2088" s="3" t="s">
        <v>729</v>
      </c>
      <c r="L2088" s="3" t="s">
        <v>727</v>
      </c>
      <c r="M2088" s="7" t="n">
        <v>2016</v>
      </c>
    </row>
    <row r="2089" customFormat="false" ht="15" hidden="false" customHeight="false" outlineLevel="0" collapsed="false">
      <c r="A2089" s="3" t="n">
        <v>2915</v>
      </c>
      <c r="B2089" s="3" t="s">
        <v>728</v>
      </c>
      <c r="C2089" s="4" t="s">
        <v>42</v>
      </c>
      <c r="D2089" s="5" t="n">
        <v>5917</v>
      </c>
      <c r="E2089" s="6" t="n">
        <v>78.9</v>
      </c>
      <c r="F2089" s="7" t="n">
        <v>51</v>
      </c>
      <c r="G2089" s="6" t="n">
        <v>72.246339000797</v>
      </c>
      <c r="H2089" s="8" t="n">
        <v>6030.40029580884</v>
      </c>
      <c r="I2089" s="9" t="n">
        <v>5.42121011459497</v>
      </c>
      <c r="J2089" s="9" t="n">
        <v>10.9302966725363</v>
      </c>
      <c r="K2089" s="3" t="s">
        <v>729</v>
      </c>
      <c r="L2089" s="3" t="s">
        <v>727</v>
      </c>
      <c r="M2089" s="7" t="n">
        <v>2017</v>
      </c>
    </row>
    <row r="2090" customFormat="false" ht="15" hidden="false" customHeight="false" outlineLevel="0" collapsed="false">
      <c r="A2090" s="3" t="n">
        <v>2916</v>
      </c>
      <c r="B2090" s="3" t="s">
        <v>728</v>
      </c>
      <c r="C2090" s="4" t="s">
        <v>43</v>
      </c>
      <c r="D2090" s="5" t="n">
        <v>6116</v>
      </c>
      <c r="E2090" s="6" t="n">
        <v>82.9</v>
      </c>
      <c r="F2090" s="7" t="n">
        <v>51</v>
      </c>
      <c r="G2090" s="6" t="n">
        <v>98.2060805664944</v>
      </c>
      <c r="H2090" s="8" t="n">
        <v>8197.25934198384</v>
      </c>
      <c r="I2090" s="9" t="n">
        <v>6.61759564479073</v>
      </c>
      <c r="J2090" s="9" t="n">
        <v>14.3743619504025</v>
      </c>
      <c r="K2090" s="3" t="s">
        <v>729</v>
      </c>
      <c r="L2090" s="3" t="s">
        <v>727</v>
      </c>
      <c r="M2090" s="7" t="n">
        <v>2018</v>
      </c>
    </row>
    <row r="2091" customFormat="false" ht="15" hidden="false" customHeight="false" outlineLevel="0" collapsed="false">
      <c r="A2091" s="3" t="n">
        <v>2917</v>
      </c>
      <c r="B2091" s="3" t="s">
        <v>728</v>
      </c>
      <c r="C2091" s="4" t="s">
        <v>44</v>
      </c>
      <c r="D2091" s="5" t="n">
        <v>6293</v>
      </c>
      <c r="E2091" s="6" t="n">
        <v>82.9</v>
      </c>
      <c r="F2091" s="7" t="n">
        <v>51</v>
      </c>
      <c r="G2091" s="6" t="n">
        <v>33.5534016683405</v>
      </c>
      <c r="H2091" s="8" t="n">
        <v>2800.70168460607</v>
      </c>
      <c r="I2091" s="9" t="n">
        <v>3.36650978576757</v>
      </c>
      <c r="J2091" s="9" t="n">
        <v>4.75997879227862</v>
      </c>
      <c r="K2091" s="3" t="s">
        <v>729</v>
      </c>
      <c r="L2091" s="3" t="s">
        <v>727</v>
      </c>
      <c r="M2091" s="7" t="n">
        <v>2019</v>
      </c>
    </row>
    <row r="2092" customFormat="false" ht="15" hidden="false" customHeight="false" outlineLevel="0" collapsed="false">
      <c r="A2092" s="3" t="n">
        <v>2918</v>
      </c>
      <c r="B2092" s="3" t="s">
        <v>728</v>
      </c>
      <c r="C2092" s="4" t="s">
        <v>45</v>
      </c>
      <c r="D2092" s="5" t="n">
        <v>6593</v>
      </c>
      <c r="E2092" s="6" t="n">
        <v>85</v>
      </c>
      <c r="F2092" s="7" t="n">
        <v>52</v>
      </c>
      <c r="G2092" s="6" t="n">
        <v>122.363415553718</v>
      </c>
      <c r="H2092" s="8" t="n">
        <v>11961.6703054546</v>
      </c>
      <c r="I2092" s="9" t="n">
        <v>6.52399893471706</v>
      </c>
      <c r="J2092" s="9" t="n">
        <v>16.6144584422683</v>
      </c>
      <c r="K2092" s="3" t="s">
        <v>729</v>
      </c>
      <c r="L2092" s="3" t="s">
        <v>727</v>
      </c>
      <c r="M2092" s="7" t="n">
        <v>2020</v>
      </c>
    </row>
    <row r="2093" customFormat="false" ht="15" hidden="false" customHeight="false" outlineLevel="0" collapsed="false">
      <c r="A2093" s="3" t="n">
        <v>2919</v>
      </c>
      <c r="B2093" s="3" t="s">
        <v>728</v>
      </c>
      <c r="C2093" s="4" t="s">
        <v>46</v>
      </c>
      <c r="D2093" s="5" t="n">
        <v>7189</v>
      </c>
      <c r="E2093" s="6" t="n">
        <v>90</v>
      </c>
      <c r="F2093" s="7" t="n">
        <v>72</v>
      </c>
      <c r="G2093" s="6" t="n">
        <v>126.098883179304</v>
      </c>
      <c r="H2093" s="8" t="n">
        <v>12326.832</v>
      </c>
      <c r="I2093" s="9" t="n">
        <v>5.57373816108902</v>
      </c>
      <c r="J2093" s="9" t="n">
        <v>15.7021973370715</v>
      </c>
      <c r="K2093" s="3" t="s">
        <v>729</v>
      </c>
      <c r="L2093" s="3" t="s">
        <v>727</v>
      </c>
      <c r="M2093" s="7" t="n">
        <v>2021</v>
      </c>
    </row>
    <row r="2094" customFormat="false" ht="15" hidden="false" customHeight="false" outlineLevel="0" collapsed="false">
      <c r="A2094" s="3" t="n">
        <v>2920</v>
      </c>
      <c r="B2094" s="3" t="s">
        <v>728</v>
      </c>
      <c r="C2094" s="4" t="s">
        <v>47</v>
      </c>
      <c r="D2094" s="5" t="n">
        <v>7319</v>
      </c>
      <c r="E2094" s="6" t="n">
        <v>104.39</v>
      </c>
      <c r="F2094" s="7" t="n">
        <v>71</v>
      </c>
      <c r="G2094" s="6" t="n">
        <v>189.19696357249</v>
      </c>
      <c r="H2094" s="8" t="n">
        <v>33660.9049139999</v>
      </c>
      <c r="I2094" s="9" t="n">
        <v>8.56932848536926</v>
      </c>
      <c r="J2094" s="9" t="n">
        <v>23.1408916792885</v>
      </c>
      <c r="K2094" s="3" t="s">
        <v>729</v>
      </c>
      <c r="L2094" s="3" t="s">
        <v>727</v>
      </c>
      <c r="M2094" s="7" t="n">
        <v>2022</v>
      </c>
    </row>
    <row r="2095" customFormat="false" ht="15" hidden="false" customHeight="false" outlineLevel="0" collapsed="false">
      <c r="A2095" s="3" t="n">
        <v>2921</v>
      </c>
      <c r="B2095" s="3" t="s">
        <v>728</v>
      </c>
      <c r="C2095" s="4" t="s">
        <v>48</v>
      </c>
      <c r="D2095" s="5" t="n">
        <v>7540</v>
      </c>
      <c r="E2095" s="6" t="n">
        <v>104.39</v>
      </c>
      <c r="F2095" s="7" t="n">
        <v>74</v>
      </c>
      <c r="G2095" s="6" t="n">
        <v>125.345446661026</v>
      </c>
      <c r="H2095" s="8" t="n">
        <v>28468.220604</v>
      </c>
      <c r="I2095" s="9" t="n">
        <v>5.76986343409274</v>
      </c>
      <c r="J2095" s="9" t="n">
        <v>14.8410083717677</v>
      </c>
      <c r="K2095" s="3" t="s">
        <v>729</v>
      </c>
      <c r="L2095" s="3" t="s">
        <v>727</v>
      </c>
      <c r="M2095" s="7" t="n">
        <v>2023</v>
      </c>
    </row>
    <row r="2096" customFormat="false" ht="15" hidden="false" customHeight="false" outlineLevel="0" collapsed="false">
      <c r="A2096" s="3" t="n">
        <v>2922</v>
      </c>
      <c r="B2096" s="3" t="s">
        <v>728</v>
      </c>
      <c r="C2096" s="4" t="s">
        <v>49</v>
      </c>
      <c r="D2096" s="5" t="n">
        <v>7831</v>
      </c>
      <c r="E2096" s="6" t="n">
        <v>108.1</v>
      </c>
      <c r="F2096" s="7" t="n">
        <v>72</v>
      </c>
      <c r="G2096" s="6" t="n">
        <v>138.338326044861</v>
      </c>
      <c r="H2096" s="8" t="n">
        <v>16716.6046261601</v>
      </c>
      <c r="I2096" s="9" t="n">
        <v>5.78865905432776</v>
      </c>
      <c r="J2096" s="9" t="n">
        <v>15.8140448709917</v>
      </c>
      <c r="K2096" s="3" t="s">
        <v>729</v>
      </c>
      <c r="L2096" s="3" t="s">
        <v>727</v>
      </c>
      <c r="M2096" s="7" t="n">
        <v>2024</v>
      </c>
    </row>
    <row r="2097" customFormat="false" ht="15" hidden="false" customHeight="false" outlineLevel="0" collapsed="false">
      <c r="A2097" s="3" t="n">
        <v>2972</v>
      </c>
      <c r="B2097" s="3" t="s">
        <v>730</v>
      </c>
      <c r="C2097" s="4" t="s">
        <v>17</v>
      </c>
      <c r="D2097" s="5" t="n">
        <v>8151</v>
      </c>
      <c r="E2097" s="6" t="n">
        <v>130</v>
      </c>
      <c r="F2097" s="7" t="n">
        <v>55</v>
      </c>
      <c r="G2097" s="6" t="n">
        <v>442.030141666667</v>
      </c>
      <c r="H2097" s="8" t="n">
        <v>155849.623323367</v>
      </c>
      <c r="I2097" s="9" t="n">
        <v>14.501272264631</v>
      </c>
      <c r="J2097" s="9" t="n">
        <v>48.5465828679503</v>
      </c>
      <c r="K2097" s="3" t="s">
        <v>731</v>
      </c>
      <c r="L2097" s="3" t="s">
        <v>732</v>
      </c>
      <c r="M2097" s="7" t="n">
        <v>2017</v>
      </c>
    </row>
    <row r="2098" customFormat="false" ht="15" hidden="false" customHeight="false" outlineLevel="0" collapsed="false">
      <c r="A2098" s="3" t="n">
        <v>2973</v>
      </c>
      <c r="B2098" s="3" t="s">
        <v>730</v>
      </c>
      <c r="C2098" s="4" t="s">
        <v>18</v>
      </c>
      <c r="D2098" s="5" t="n">
        <v>8151</v>
      </c>
      <c r="E2098" s="6" t="n">
        <v>131.76</v>
      </c>
      <c r="F2098" s="7" t="n">
        <v>54</v>
      </c>
      <c r="G2098" s="6" t="n">
        <v>376.050528157382</v>
      </c>
      <c r="H2098" s="8" t="n">
        <v>511052.667765882</v>
      </c>
      <c r="I2098" s="9" t="n">
        <v>10.7064294799848</v>
      </c>
      <c r="J2098" s="9" t="n">
        <v>41.3002788879849</v>
      </c>
      <c r="K2098" s="3" t="s">
        <v>731</v>
      </c>
      <c r="L2098" s="3" t="s">
        <v>732</v>
      </c>
      <c r="M2098" s="7" t="n">
        <v>2018</v>
      </c>
    </row>
    <row r="2099" customFormat="false" ht="15" hidden="false" customHeight="false" outlineLevel="0" collapsed="false">
      <c r="A2099" s="3" t="n">
        <v>2974</v>
      </c>
      <c r="B2099" s="3" t="s">
        <v>730</v>
      </c>
      <c r="C2099" s="4" t="s">
        <v>19</v>
      </c>
      <c r="D2099" s="5" t="n">
        <v>8900</v>
      </c>
      <c r="E2099" s="6" t="n">
        <v>140</v>
      </c>
      <c r="F2099" s="7" t="n">
        <v>58</v>
      </c>
      <c r="G2099" s="6" t="n">
        <v>666.377675</v>
      </c>
      <c r="H2099" s="8" t="n">
        <v>189977.61136575</v>
      </c>
      <c r="I2099" s="9" t="n">
        <v>18.7967560188965</v>
      </c>
      <c r="J2099" s="9" t="n">
        <v>67.0267415040206</v>
      </c>
      <c r="K2099" s="3" t="s">
        <v>731</v>
      </c>
      <c r="L2099" s="3" t="s">
        <v>732</v>
      </c>
      <c r="M2099" s="7" t="n">
        <v>2019</v>
      </c>
    </row>
    <row r="2100" customFormat="false" ht="15" hidden="false" customHeight="false" outlineLevel="0" collapsed="false">
      <c r="A2100" s="3" t="n">
        <v>2975</v>
      </c>
      <c r="B2100" s="3" t="s">
        <v>730</v>
      </c>
      <c r="C2100" s="4" t="s">
        <v>20</v>
      </c>
      <c r="D2100" s="5" t="n">
        <v>8228</v>
      </c>
      <c r="E2100" s="6" t="n">
        <v>175</v>
      </c>
      <c r="F2100" s="7" t="n">
        <v>58</v>
      </c>
      <c r="G2100" s="6" t="n">
        <v>705.229671052632</v>
      </c>
      <c r="H2100" s="8" t="n">
        <v>114952.436381579</v>
      </c>
      <c r="I2100" s="9" t="n">
        <v>21.2412041918616</v>
      </c>
      <c r="J2100" s="9" t="n">
        <v>76.5178020731652</v>
      </c>
      <c r="K2100" s="3" t="s">
        <v>731</v>
      </c>
      <c r="L2100" s="3" t="s">
        <v>732</v>
      </c>
      <c r="M2100" s="7" t="n">
        <v>2020</v>
      </c>
    </row>
    <row r="2101" customFormat="false" ht="15" hidden="false" customHeight="false" outlineLevel="0" collapsed="false">
      <c r="A2101" s="3" t="n">
        <v>2976</v>
      </c>
      <c r="B2101" s="3" t="s">
        <v>730</v>
      </c>
      <c r="C2101" s="4" t="s">
        <v>21</v>
      </c>
      <c r="D2101" s="5" t="n">
        <v>8713</v>
      </c>
      <c r="E2101" s="6" t="n">
        <v>189</v>
      </c>
      <c r="F2101" s="7" t="n">
        <v>59</v>
      </c>
      <c r="G2101" s="6" t="n">
        <v>538.78395</v>
      </c>
      <c r="H2101" s="8" t="n">
        <v>88899.35175</v>
      </c>
      <c r="I2101" s="9" t="n">
        <v>14.4015052147969</v>
      </c>
      <c r="J2101" s="9" t="n">
        <v>55.3559884911929</v>
      </c>
      <c r="K2101" s="3" t="s">
        <v>731</v>
      </c>
      <c r="L2101" s="3" t="s">
        <v>732</v>
      </c>
      <c r="M2101" s="7" t="n">
        <v>2021</v>
      </c>
    </row>
    <row r="2102" customFormat="false" ht="15" hidden="false" customHeight="false" outlineLevel="0" collapsed="false">
      <c r="A2102" s="3" t="n">
        <v>2977</v>
      </c>
      <c r="B2102" s="3" t="s">
        <v>730</v>
      </c>
      <c r="C2102" s="4" t="s">
        <v>22</v>
      </c>
      <c r="D2102" s="5" t="n">
        <v>9345</v>
      </c>
      <c r="E2102" s="6" t="n">
        <v>189</v>
      </c>
      <c r="F2102" s="7" t="n">
        <v>55</v>
      </c>
      <c r="G2102" s="6" t="n">
        <v>593.542247959183</v>
      </c>
      <c r="H2102" s="8" t="n">
        <v>30051.0440141735</v>
      </c>
      <c r="I2102" s="9" t="n">
        <v>15.2312580707261</v>
      </c>
      <c r="J2102" s="9" t="n">
        <v>56.8577940368146</v>
      </c>
      <c r="K2102" s="3" t="s">
        <v>731</v>
      </c>
      <c r="L2102" s="3" t="s">
        <v>732</v>
      </c>
      <c r="M2102" s="7" t="n">
        <v>2022</v>
      </c>
    </row>
    <row r="2103" customFormat="false" ht="15" hidden="false" customHeight="false" outlineLevel="0" collapsed="false">
      <c r="A2103" s="3" t="n">
        <v>2978</v>
      </c>
      <c r="B2103" s="3" t="s">
        <v>733</v>
      </c>
      <c r="C2103" s="4" t="s">
        <v>14</v>
      </c>
      <c r="D2103" s="5" t="n">
        <v>21006</v>
      </c>
      <c r="E2103" s="6" t="n">
        <v>477.278409090909</v>
      </c>
      <c r="F2103" s="7" t="n">
        <v>64</v>
      </c>
      <c r="G2103" s="6" t="n">
        <v>487.041347499998</v>
      </c>
      <c r="H2103" s="8" t="n">
        <v>54042.1079185998</v>
      </c>
      <c r="I2103" s="9" t="n">
        <v>7.2943759434462</v>
      </c>
      <c r="J2103" s="9" t="n">
        <v>20.6989666519575</v>
      </c>
      <c r="K2103" s="3" t="s">
        <v>734</v>
      </c>
      <c r="L2103" s="3" t="s">
        <v>735</v>
      </c>
      <c r="M2103" s="7" t="n">
        <v>2016</v>
      </c>
    </row>
    <row r="2104" customFormat="false" ht="15" hidden="false" customHeight="false" outlineLevel="0" collapsed="false">
      <c r="A2104" s="3" t="n">
        <v>2979</v>
      </c>
      <c r="B2104" s="3" t="s">
        <v>733</v>
      </c>
      <c r="C2104" s="4" t="s">
        <v>17</v>
      </c>
      <c r="D2104" s="5" t="n">
        <v>21223</v>
      </c>
      <c r="E2104" s="6" t="n">
        <v>477.278409090909</v>
      </c>
      <c r="F2104" s="7" t="n">
        <v>62</v>
      </c>
      <c r="G2104" s="6" t="n">
        <v>686.4620347</v>
      </c>
      <c r="H2104" s="8" t="n">
        <v>79677.648367629</v>
      </c>
      <c r="I2104" s="9" t="n">
        <v>8.38617872852281</v>
      </c>
      <c r="J2104" s="9" t="n">
        <v>28.9552569792659</v>
      </c>
      <c r="K2104" s="3" t="s">
        <v>734</v>
      </c>
      <c r="L2104" s="3" t="s">
        <v>735</v>
      </c>
      <c r="M2104" s="7" t="n">
        <v>2017</v>
      </c>
    </row>
    <row r="2105" customFormat="false" ht="15" hidden="false" customHeight="false" outlineLevel="0" collapsed="false">
      <c r="A2105" s="3" t="n">
        <v>2980</v>
      </c>
      <c r="B2105" s="3" t="s">
        <v>733</v>
      </c>
      <c r="C2105" s="4" t="s">
        <v>18</v>
      </c>
      <c r="D2105" s="5" t="n">
        <v>20924</v>
      </c>
      <c r="E2105" s="6" t="n">
        <v>474</v>
      </c>
      <c r="F2105" s="7" t="n">
        <v>64</v>
      </c>
      <c r="G2105" s="6" t="n">
        <v>477.433320603621</v>
      </c>
      <c r="H2105" s="8" t="n">
        <v>53338.8505778365</v>
      </c>
      <c r="I2105" s="9" t="n">
        <v>6.60189543620643</v>
      </c>
      <c r="J2105" s="9" t="n">
        <v>20.4261110528751</v>
      </c>
      <c r="K2105" s="3" t="s">
        <v>734</v>
      </c>
      <c r="L2105" s="3" t="s">
        <v>735</v>
      </c>
      <c r="M2105" s="7" t="n">
        <v>2018</v>
      </c>
    </row>
    <row r="2106" customFormat="false" ht="15" hidden="false" customHeight="false" outlineLevel="0" collapsed="false">
      <c r="A2106" s="3" t="n">
        <v>2981</v>
      </c>
      <c r="B2106" s="3" t="s">
        <v>733</v>
      </c>
      <c r="C2106" s="4" t="s">
        <v>19</v>
      </c>
      <c r="D2106" s="5" t="n">
        <v>21011</v>
      </c>
      <c r="E2106" s="6" t="n">
        <v>477.4</v>
      </c>
      <c r="F2106" s="7" t="n">
        <v>64</v>
      </c>
      <c r="G2106" s="6" t="n">
        <v>1180.13681736419</v>
      </c>
      <c r="H2106" s="8" t="n">
        <v>295.034204341047</v>
      </c>
      <c r="I2106" s="9" t="n">
        <v>14.6820747413611</v>
      </c>
      <c r="J2106" s="9" t="n">
        <v>50.2809310867174</v>
      </c>
      <c r="K2106" s="3" t="s">
        <v>734</v>
      </c>
      <c r="L2106" s="3" t="s">
        <v>735</v>
      </c>
      <c r="M2106" s="7" t="n">
        <v>2019</v>
      </c>
    </row>
    <row r="2107" customFormat="false" ht="15" hidden="false" customHeight="false" outlineLevel="0" collapsed="false">
      <c r="A2107" s="3" t="n">
        <v>2982</v>
      </c>
      <c r="B2107" s="3" t="s">
        <v>733</v>
      </c>
      <c r="C2107" s="4" t="s">
        <v>20</v>
      </c>
      <c r="D2107" s="5" t="n">
        <v>21485</v>
      </c>
      <c r="E2107" s="6" t="n">
        <v>475</v>
      </c>
      <c r="F2107" s="7" t="n">
        <v>78</v>
      </c>
      <c r="G2107" s="6" t="n">
        <v>764.31421212121</v>
      </c>
      <c r="H2107" s="8" t="n">
        <v>91801.7800178786</v>
      </c>
      <c r="I2107" s="9" t="n">
        <v>9.13176417878772</v>
      </c>
      <c r="J2107" s="9" t="n">
        <v>31.7587039487771</v>
      </c>
      <c r="K2107" s="3" t="s">
        <v>734</v>
      </c>
      <c r="L2107" s="3" t="s">
        <v>735</v>
      </c>
      <c r="M2107" s="7" t="n">
        <v>2020</v>
      </c>
    </row>
    <row r="2108" customFormat="false" ht="15" hidden="false" customHeight="false" outlineLevel="0" collapsed="false">
      <c r="A2108" s="3" t="n">
        <v>2983</v>
      </c>
      <c r="B2108" s="3" t="s">
        <v>733</v>
      </c>
      <c r="C2108" s="4" t="s">
        <v>21</v>
      </c>
      <c r="D2108" s="5" t="n">
        <v>21609</v>
      </c>
      <c r="E2108" s="6" t="n">
        <v>475</v>
      </c>
      <c r="F2108" s="7" t="n">
        <v>75</v>
      </c>
      <c r="G2108" s="6" t="n">
        <v>354.310521313131</v>
      </c>
      <c r="H2108" s="8" t="n">
        <v>47428.0063829758</v>
      </c>
      <c r="I2108" s="9" t="n">
        <v>5.21622633354863</v>
      </c>
      <c r="J2108" s="9" t="n">
        <v>14.6780057658623</v>
      </c>
      <c r="K2108" s="3" t="s">
        <v>734</v>
      </c>
      <c r="L2108" s="3" t="s">
        <v>735</v>
      </c>
      <c r="M2108" s="7" t="n">
        <v>2021</v>
      </c>
    </row>
    <row r="2109" customFormat="false" ht="15" hidden="false" customHeight="false" outlineLevel="0" collapsed="false">
      <c r="A2109" s="3" t="n">
        <v>2984</v>
      </c>
      <c r="B2109" s="3" t="s">
        <v>733</v>
      </c>
      <c r="C2109" s="4" t="s">
        <v>22</v>
      </c>
      <c r="D2109" s="5" t="n">
        <v>21700</v>
      </c>
      <c r="E2109" s="6" t="n">
        <v>476</v>
      </c>
      <c r="F2109" s="7" t="n">
        <v>64</v>
      </c>
      <c r="G2109" s="6" t="n">
        <v>527.499968618791</v>
      </c>
      <c r="H2109" s="8" t="n">
        <v>87918.4197696938</v>
      </c>
      <c r="I2109" s="9" t="n">
        <v>7.09552824845602</v>
      </c>
      <c r="J2109" s="9" t="n">
        <v>21.761076653973</v>
      </c>
      <c r="K2109" s="3" t="s">
        <v>734</v>
      </c>
      <c r="L2109" s="3" t="s">
        <v>735</v>
      </c>
      <c r="M2109" s="7" t="n">
        <v>2022</v>
      </c>
    </row>
    <row r="2110" customFormat="false" ht="15" hidden="false" customHeight="false" outlineLevel="0" collapsed="false">
      <c r="A2110" s="3" t="n">
        <v>2985</v>
      </c>
      <c r="B2110" s="3" t="s">
        <v>733</v>
      </c>
      <c r="C2110" s="4" t="s">
        <v>23</v>
      </c>
      <c r="D2110" s="5" t="n">
        <v>20886</v>
      </c>
      <c r="E2110" s="6" t="n">
        <v>476</v>
      </c>
      <c r="F2110" s="7" t="n">
        <v>64</v>
      </c>
      <c r="G2110" s="6" t="n">
        <v>730.303191414141</v>
      </c>
      <c r="H2110" s="8" t="n">
        <v>173132.97758855</v>
      </c>
      <c r="I2110" s="9" t="n">
        <v>9.27807076038278</v>
      </c>
      <c r="J2110" s="9" t="n">
        <v>31.3015323932075</v>
      </c>
      <c r="K2110" s="3" t="s">
        <v>734</v>
      </c>
      <c r="L2110" s="3" t="s">
        <v>735</v>
      </c>
      <c r="M2110" s="7" t="n">
        <v>2023</v>
      </c>
    </row>
    <row r="2111" customFormat="false" ht="15" hidden="false" customHeight="false" outlineLevel="0" collapsed="false">
      <c r="A2111" s="3" t="n">
        <v>2986</v>
      </c>
      <c r="B2111" s="3" t="s">
        <v>733</v>
      </c>
      <c r="C2111" s="4" t="s">
        <v>24</v>
      </c>
      <c r="D2111" s="5" t="n">
        <v>21120</v>
      </c>
      <c r="E2111" s="6" t="n">
        <v>476</v>
      </c>
      <c r="F2111" s="7" t="n">
        <v>64</v>
      </c>
      <c r="G2111" s="6" t="n">
        <v>804.878951262624</v>
      </c>
      <c r="H2111" s="8" t="n">
        <v>213107.799925805</v>
      </c>
      <c r="I2111" s="9" t="n">
        <v>9.82068456445315</v>
      </c>
      <c r="J2111" s="9" t="n">
        <v>34.0222357757209</v>
      </c>
      <c r="K2111" s="3" t="s">
        <v>734</v>
      </c>
      <c r="L2111" s="3" t="s">
        <v>735</v>
      </c>
      <c r="M2111" s="7" t="n">
        <v>2024</v>
      </c>
    </row>
    <row r="2112" customFormat="false" ht="15" hidden="false" customHeight="false" outlineLevel="0" collapsed="false">
      <c r="A2112" s="3" t="n">
        <v>2987</v>
      </c>
      <c r="B2112" s="3" t="s">
        <v>736</v>
      </c>
      <c r="C2112" s="4" t="s">
        <v>14</v>
      </c>
      <c r="D2112" s="5" t="n">
        <v>20954</v>
      </c>
      <c r="E2112" s="6" t="n">
        <v>374.5</v>
      </c>
      <c r="F2112" s="7" t="n">
        <v>53</v>
      </c>
      <c r="G2112" s="6" t="n">
        <v>1530.56206020408</v>
      </c>
      <c r="H2112" s="8" t="n">
        <v>459092.089958214</v>
      </c>
      <c r="I2112" s="9" t="n">
        <v>11.7775521275264</v>
      </c>
      <c r="J2112" s="9" t="n">
        <v>65.2093990462552</v>
      </c>
      <c r="K2112" s="3" t="s">
        <v>737</v>
      </c>
      <c r="L2112" s="3" t="s">
        <v>738</v>
      </c>
      <c r="M2112" s="7" t="n">
        <v>2016</v>
      </c>
    </row>
    <row r="2113" customFormat="false" ht="15" hidden="false" customHeight="false" outlineLevel="0" collapsed="false">
      <c r="A2113" s="3" t="n">
        <v>2988</v>
      </c>
      <c r="B2113" s="3" t="s">
        <v>736</v>
      </c>
      <c r="C2113" s="4" t="s">
        <v>17</v>
      </c>
      <c r="D2113" s="5" t="n">
        <v>21350</v>
      </c>
      <c r="E2113" s="6" t="n">
        <v>397.067</v>
      </c>
      <c r="F2113" s="7" t="n">
        <v>60</v>
      </c>
      <c r="G2113" s="6" t="n">
        <v>1437.59423651515</v>
      </c>
      <c r="H2113" s="8" t="n">
        <v>422523.322054168</v>
      </c>
      <c r="I2113" s="9" t="n">
        <v>13.0943162739728</v>
      </c>
      <c r="J2113" s="9" t="n">
        <v>60.2776230232259</v>
      </c>
      <c r="K2113" s="3" t="s">
        <v>737</v>
      </c>
      <c r="L2113" s="3" t="s">
        <v>738</v>
      </c>
      <c r="M2113" s="7" t="n">
        <v>2017</v>
      </c>
    </row>
    <row r="2114" customFormat="false" ht="15" hidden="false" customHeight="false" outlineLevel="0" collapsed="false">
      <c r="A2114" s="3" t="n">
        <v>2989</v>
      </c>
      <c r="B2114" s="3" t="s">
        <v>736</v>
      </c>
      <c r="C2114" s="4" t="s">
        <v>18</v>
      </c>
      <c r="D2114" s="5" t="n">
        <v>21855</v>
      </c>
      <c r="E2114" s="6" t="n">
        <v>397.416</v>
      </c>
      <c r="F2114" s="7" t="n">
        <v>58</v>
      </c>
      <c r="G2114" s="6" t="n">
        <v>775.912868232321</v>
      </c>
      <c r="H2114" s="8" t="n">
        <v>218590.173238409</v>
      </c>
      <c r="I2114" s="9" t="n">
        <v>9.66171139776964</v>
      </c>
      <c r="J2114" s="9" t="n">
        <v>31.7818971727206</v>
      </c>
      <c r="K2114" s="3" t="s">
        <v>737</v>
      </c>
      <c r="L2114" s="3" t="s">
        <v>738</v>
      </c>
      <c r="M2114" s="7" t="n">
        <v>2018</v>
      </c>
    </row>
    <row r="2115" customFormat="false" ht="15" hidden="false" customHeight="false" outlineLevel="0" collapsed="false">
      <c r="A2115" s="3" t="n">
        <v>2990</v>
      </c>
      <c r="B2115" s="3" t="s">
        <v>736</v>
      </c>
      <c r="C2115" s="4" t="s">
        <v>19</v>
      </c>
      <c r="D2115" s="5" t="n">
        <v>22381</v>
      </c>
      <c r="E2115" s="6" t="n">
        <v>420.167</v>
      </c>
      <c r="F2115" s="7" t="n">
        <v>58</v>
      </c>
      <c r="G2115" s="6" t="n">
        <v>1251.58148272727</v>
      </c>
      <c r="H2115" s="8" t="n">
        <v>347376.440530954</v>
      </c>
      <c r="I2115" s="9" t="n">
        <v>12.7657547742658</v>
      </c>
      <c r="J2115" s="9" t="n">
        <v>50.0607459093987</v>
      </c>
      <c r="K2115" s="3" t="s">
        <v>737</v>
      </c>
      <c r="L2115" s="3" t="s">
        <v>738</v>
      </c>
      <c r="M2115" s="7" t="n">
        <v>2019</v>
      </c>
    </row>
    <row r="2116" customFormat="false" ht="15" hidden="false" customHeight="false" outlineLevel="0" collapsed="false">
      <c r="A2116" s="3" t="n">
        <v>2991</v>
      </c>
      <c r="B2116" s="3" t="s">
        <v>736</v>
      </c>
      <c r="C2116" s="4" t="s">
        <v>20</v>
      </c>
      <c r="D2116" s="5" t="n">
        <v>23064</v>
      </c>
      <c r="E2116" s="6" t="n">
        <v>418.875</v>
      </c>
      <c r="F2116" s="7" t="n">
        <v>58</v>
      </c>
      <c r="G2116" s="6" t="n">
        <v>1600.49696338384</v>
      </c>
      <c r="H2116" s="8" t="n">
        <v>321811.924427588</v>
      </c>
      <c r="I2116" s="9" t="n">
        <v>12.8967340750775</v>
      </c>
      <c r="J2116" s="9" t="n">
        <v>61.950728647336</v>
      </c>
      <c r="K2116" s="3" t="s">
        <v>737</v>
      </c>
      <c r="L2116" s="3" t="s">
        <v>738</v>
      </c>
      <c r="M2116" s="7" t="n">
        <v>2020</v>
      </c>
    </row>
    <row r="2117" customFormat="false" ht="15" hidden="false" customHeight="false" outlineLevel="0" collapsed="false">
      <c r="A2117" s="3" t="n">
        <v>2992</v>
      </c>
      <c r="B2117" s="3" t="s">
        <v>736</v>
      </c>
      <c r="C2117" s="4" t="s">
        <v>21</v>
      </c>
      <c r="D2117" s="5" t="n">
        <v>23593</v>
      </c>
      <c r="E2117" s="6" t="n">
        <v>426.65</v>
      </c>
      <c r="F2117" s="7" t="n">
        <v>73</v>
      </c>
      <c r="G2117" s="6" t="n">
        <v>955.109761326531</v>
      </c>
      <c r="H2117" s="8" t="n">
        <v>284546.3000944</v>
      </c>
      <c r="I2117" s="9" t="n">
        <v>8.48603885392634</v>
      </c>
      <c r="J2117" s="9" t="n">
        <v>36.239966738832</v>
      </c>
      <c r="K2117" s="3" t="s">
        <v>737</v>
      </c>
      <c r="L2117" s="3" t="s">
        <v>738</v>
      </c>
      <c r="M2117" s="7" t="n">
        <v>2021</v>
      </c>
    </row>
    <row r="2118" customFormat="false" ht="15" hidden="false" customHeight="false" outlineLevel="0" collapsed="false">
      <c r="A2118" s="3" t="n">
        <v>2993</v>
      </c>
      <c r="B2118" s="3" t="s">
        <v>736</v>
      </c>
      <c r="C2118" s="4" t="s">
        <v>22</v>
      </c>
      <c r="D2118" s="5" t="n">
        <v>23926</v>
      </c>
      <c r="E2118" s="6" t="n">
        <v>434.535</v>
      </c>
      <c r="F2118" s="7" t="n">
        <v>68</v>
      </c>
      <c r="G2118" s="6" t="n">
        <v>534.721271556956</v>
      </c>
      <c r="H2118" s="8" t="n">
        <v>187334.250277264</v>
      </c>
      <c r="I2118" s="9" t="n">
        <v>6.30515896355626</v>
      </c>
      <c r="J2118" s="9" t="n">
        <v>20.0066805179185</v>
      </c>
      <c r="K2118" s="3" t="s">
        <v>737</v>
      </c>
      <c r="L2118" s="3" t="s">
        <v>738</v>
      </c>
      <c r="M2118" s="7" t="n">
        <v>2022</v>
      </c>
    </row>
    <row r="2119" customFormat="false" ht="15" hidden="false" customHeight="false" outlineLevel="0" collapsed="false">
      <c r="A2119" s="3" t="n">
        <v>2994</v>
      </c>
      <c r="B2119" s="3" t="s">
        <v>736</v>
      </c>
      <c r="C2119" s="4" t="s">
        <v>23</v>
      </c>
      <c r="D2119" s="5" t="n">
        <v>24864</v>
      </c>
      <c r="E2119" s="6" t="n">
        <v>441.007</v>
      </c>
      <c r="F2119" s="7" t="n">
        <v>71</v>
      </c>
      <c r="G2119" s="6" t="n">
        <v>1399.26494016746</v>
      </c>
      <c r="H2119" s="8" t="n">
        <v>684729.619291694</v>
      </c>
      <c r="I2119" s="9" t="n">
        <v>10.1052993607388</v>
      </c>
      <c r="J2119" s="9" t="n">
        <v>50.3786621217784</v>
      </c>
      <c r="K2119" s="3" t="s">
        <v>737</v>
      </c>
      <c r="L2119" s="3" t="s">
        <v>738</v>
      </c>
      <c r="M2119" s="7" t="n">
        <v>2023</v>
      </c>
    </row>
    <row r="2120" customFormat="false" ht="15" hidden="false" customHeight="false" outlineLevel="0" collapsed="false">
      <c r="A2120" s="3" t="n">
        <v>2995</v>
      </c>
      <c r="B2120" s="3" t="s">
        <v>736</v>
      </c>
      <c r="C2120" s="4" t="s">
        <v>24</v>
      </c>
      <c r="D2120" s="5" t="n">
        <v>25575</v>
      </c>
      <c r="E2120" s="6" t="n">
        <v>443.02</v>
      </c>
      <c r="F2120" s="7" t="n">
        <v>57</v>
      </c>
      <c r="G2120" s="6" t="n">
        <v>724.542259948975</v>
      </c>
      <c r="H2120" s="8" t="n">
        <v>253328.95576856</v>
      </c>
      <c r="I2120" s="9" t="n">
        <v>7.61393354463796</v>
      </c>
      <c r="J2120" s="9" t="n">
        <v>25.291481669185</v>
      </c>
      <c r="K2120" s="3" t="s">
        <v>737</v>
      </c>
      <c r="L2120" s="3" t="s">
        <v>738</v>
      </c>
      <c r="M2120" s="7" t="n">
        <v>2024</v>
      </c>
    </row>
    <row r="2121" customFormat="false" ht="15" hidden="false" customHeight="false" outlineLevel="0" collapsed="false">
      <c r="A2121" s="3" t="n">
        <v>2996</v>
      </c>
      <c r="B2121" s="3" t="s">
        <v>739</v>
      </c>
      <c r="C2121" s="4" t="s">
        <v>41</v>
      </c>
      <c r="D2121" s="5" t="n">
        <v>8333</v>
      </c>
      <c r="E2121" s="6" t="n">
        <v>125</v>
      </c>
      <c r="F2121" s="7" t="n">
        <v>62</v>
      </c>
      <c r="G2121" s="6" t="n">
        <v>276.699579187818</v>
      </c>
      <c r="H2121" s="8" t="n">
        <v>205803.613008315</v>
      </c>
      <c r="I2121" s="9" t="n">
        <v>21.391726372442</v>
      </c>
      <c r="J2121" s="9" t="n">
        <v>29.7252004073338</v>
      </c>
      <c r="K2121" s="3" t="s">
        <v>740</v>
      </c>
      <c r="L2121" s="3" t="s">
        <v>741</v>
      </c>
      <c r="M2121" s="7" t="n">
        <v>2016</v>
      </c>
    </row>
    <row r="2122" customFormat="false" ht="15" hidden="false" customHeight="false" outlineLevel="0" collapsed="false">
      <c r="A2122" s="3" t="n">
        <v>2997</v>
      </c>
      <c r="B2122" s="3" t="s">
        <v>739</v>
      </c>
      <c r="C2122" s="4" t="s">
        <v>42</v>
      </c>
      <c r="D2122" s="5" t="n">
        <v>8356</v>
      </c>
      <c r="E2122" s="6" t="n">
        <v>129</v>
      </c>
      <c r="F2122" s="7" t="n">
        <v>64</v>
      </c>
      <c r="G2122" s="6" t="n">
        <v>179.635512531328</v>
      </c>
      <c r="H2122" s="8" t="n">
        <v>67941.743549599</v>
      </c>
      <c r="I2122" s="9" t="n">
        <v>14.581876088283</v>
      </c>
      <c r="J2122" s="9" t="n">
        <v>19.2447130816857</v>
      </c>
      <c r="K2122" s="3" t="s">
        <v>740</v>
      </c>
      <c r="L2122" s="3" t="s">
        <v>741</v>
      </c>
      <c r="M2122" s="7" t="n">
        <v>2017</v>
      </c>
    </row>
    <row r="2123" customFormat="false" ht="15" hidden="false" customHeight="false" outlineLevel="0" collapsed="false">
      <c r="A2123" s="3" t="n">
        <v>2998</v>
      </c>
      <c r="B2123" s="3" t="s">
        <v>739</v>
      </c>
      <c r="C2123" s="4" t="s">
        <v>43</v>
      </c>
      <c r="D2123" s="5" t="n">
        <v>8381</v>
      </c>
      <c r="E2123" s="6" t="n">
        <v>129</v>
      </c>
      <c r="F2123" s="7" t="n">
        <v>65</v>
      </c>
      <c r="G2123" s="6" t="n">
        <v>126.254162073935</v>
      </c>
      <c r="H2123" s="8" t="n">
        <v>48294.7420765217</v>
      </c>
      <c r="I2123" s="9" t="n">
        <v>12.220473534381</v>
      </c>
      <c r="J2123" s="9" t="n">
        <v>13.4855150405463</v>
      </c>
      <c r="K2123" s="3" t="s">
        <v>740</v>
      </c>
      <c r="L2123" s="3" t="s">
        <v>741</v>
      </c>
      <c r="M2123" s="7" t="n">
        <v>2018</v>
      </c>
    </row>
    <row r="2124" customFormat="false" ht="15" hidden="false" customHeight="false" outlineLevel="0" collapsed="false">
      <c r="A2124" s="3" t="n">
        <v>2999</v>
      </c>
      <c r="B2124" s="3" t="s">
        <v>739</v>
      </c>
      <c r="C2124" s="4" t="s">
        <v>44</v>
      </c>
      <c r="D2124" s="5" t="n">
        <v>8397</v>
      </c>
      <c r="E2124" s="6" t="n">
        <v>130.609848484849</v>
      </c>
      <c r="F2124" s="7" t="n">
        <v>71</v>
      </c>
      <c r="G2124" s="6" t="n">
        <v>167.684411055277</v>
      </c>
      <c r="H2124" s="8" t="n">
        <v>41654.4845502412</v>
      </c>
      <c r="I2124" s="9" t="n">
        <v>14.0501333803655</v>
      </c>
      <c r="J2124" s="9" t="n">
        <v>17.8276759073358</v>
      </c>
      <c r="K2124" s="3" t="s">
        <v>740</v>
      </c>
      <c r="L2124" s="3" t="s">
        <v>741</v>
      </c>
      <c r="M2124" s="7" t="n">
        <v>2019</v>
      </c>
    </row>
    <row r="2125" customFormat="false" ht="15" hidden="false" customHeight="false" outlineLevel="0" collapsed="false">
      <c r="A2125" s="3" t="n">
        <v>3000</v>
      </c>
      <c r="B2125" s="3" t="s">
        <v>739</v>
      </c>
      <c r="C2125" s="4" t="s">
        <v>45</v>
      </c>
      <c r="D2125" s="5" t="n">
        <v>8414</v>
      </c>
      <c r="E2125" s="6" t="n">
        <v>131</v>
      </c>
      <c r="F2125" s="7" t="n">
        <v>65</v>
      </c>
      <c r="G2125" s="6" t="n">
        <v>170.603906030151</v>
      </c>
      <c r="H2125" s="8" t="n">
        <v>43046.7775695276</v>
      </c>
      <c r="I2125" s="9" t="n">
        <v>13.324635848879</v>
      </c>
      <c r="J2125" s="9" t="n">
        <v>18.1511496354293</v>
      </c>
      <c r="K2125" s="3" t="s">
        <v>740</v>
      </c>
      <c r="L2125" s="3" t="s">
        <v>741</v>
      </c>
      <c r="M2125" s="7" t="n">
        <v>2020</v>
      </c>
    </row>
    <row r="2126" customFormat="false" ht="15" hidden="false" customHeight="false" outlineLevel="0" collapsed="false">
      <c r="A2126" s="3" t="n">
        <v>3001</v>
      </c>
      <c r="B2126" s="3" t="s">
        <v>739</v>
      </c>
      <c r="C2126" s="4" t="s">
        <v>46</v>
      </c>
      <c r="D2126" s="5" t="n">
        <v>8457</v>
      </c>
      <c r="E2126" s="6" t="n">
        <v>131</v>
      </c>
      <c r="F2126" s="7" t="n">
        <v>71</v>
      </c>
      <c r="G2126" s="6" t="n">
        <v>149.016644974875</v>
      </c>
      <c r="H2126" s="8" t="n">
        <v>102170.282294123</v>
      </c>
      <c r="I2126" s="9" t="n">
        <v>12.7248822175961</v>
      </c>
      <c r="J2126" s="9" t="n">
        <v>15.7737925607202</v>
      </c>
      <c r="K2126" s="3" t="s">
        <v>740</v>
      </c>
      <c r="L2126" s="3" t="s">
        <v>741</v>
      </c>
      <c r="M2126" s="7" t="n">
        <v>2021</v>
      </c>
    </row>
    <row r="2127" customFormat="false" ht="15" hidden="false" customHeight="false" outlineLevel="0" collapsed="false">
      <c r="A2127" s="3" t="n">
        <v>3002</v>
      </c>
      <c r="B2127" s="3" t="s">
        <v>739</v>
      </c>
      <c r="C2127" s="4" t="s">
        <v>47</v>
      </c>
      <c r="D2127" s="5" t="n">
        <v>8479</v>
      </c>
      <c r="E2127" s="6" t="n">
        <v>131</v>
      </c>
      <c r="F2127" s="7" t="n">
        <v>74</v>
      </c>
      <c r="G2127" s="6" t="n">
        <v>196.783857412061</v>
      </c>
      <c r="H2127" s="8" t="n">
        <v>87309.061856583</v>
      </c>
      <c r="I2127" s="9" t="n">
        <v>17.5783182360049</v>
      </c>
      <c r="J2127" s="9" t="n">
        <v>20.7760273674124</v>
      </c>
      <c r="K2127" s="3" t="s">
        <v>740</v>
      </c>
      <c r="L2127" s="3" t="s">
        <v>741</v>
      </c>
      <c r="M2127" s="7" t="n">
        <v>2022</v>
      </c>
    </row>
    <row r="2128" customFormat="false" ht="15" hidden="false" customHeight="false" outlineLevel="0" collapsed="false">
      <c r="A2128" s="3" t="n">
        <v>3003</v>
      </c>
      <c r="B2128" s="3" t="s">
        <v>739</v>
      </c>
      <c r="C2128" s="4" t="s">
        <v>48</v>
      </c>
      <c r="D2128" s="5" t="n">
        <v>8504</v>
      </c>
      <c r="E2128" s="6" t="n">
        <v>131</v>
      </c>
      <c r="F2128" s="7" t="n">
        <v>72</v>
      </c>
      <c r="G2128" s="6" t="n">
        <v>150.472602763819</v>
      </c>
      <c r="H2128" s="8" t="n">
        <v>70154.8415865754</v>
      </c>
      <c r="I2128" s="9" t="n">
        <v>14.6716388413916</v>
      </c>
      <c r="J2128" s="9" t="n">
        <v>15.796481940229</v>
      </c>
      <c r="K2128" s="3" t="s">
        <v>740</v>
      </c>
      <c r="L2128" s="3" t="s">
        <v>741</v>
      </c>
      <c r="M2128" s="7" t="n">
        <v>2023</v>
      </c>
    </row>
    <row r="2129" customFormat="false" ht="15" hidden="false" customHeight="false" outlineLevel="0" collapsed="false">
      <c r="A2129" s="3" t="n">
        <v>3004</v>
      </c>
      <c r="B2129" s="3" t="s">
        <v>739</v>
      </c>
      <c r="C2129" s="4" t="s">
        <v>49</v>
      </c>
      <c r="D2129" s="5" t="n">
        <v>8006</v>
      </c>
      <c r="E2129" s="6" t="n">
        <v>131</v>
      </c>
      <c r="F2129" s="7" t="n">
        <v>70</v>
      </c>
      <c r="G2129" s="6" t="n">
        <v>152.58506482412</v>
      </c>
      <c r="H2129" s="8" t="n">
        <v>161044.38081797</v>
      </c>
      <c r="I2129" s="9" t="n">
        <v>14.2513401808733</v>
      </c>
      <c r="J2129" s="9" t="n">
        <v>17.0613784023261</v>
      </c>
      <c r="K2129" s="3" t="s">
        <v>740</v>
      </c>
      <c r="L2129" s="3" t="s">
        <v>741</v>
      </c>
      <c r="M2129" s="7" t="n">
        <v>2024</v>
      </c>
    </row>
    <row r="2130" customFormat="false" ht="15" hidden="false" customHeight="false" outlineLevel="0" collapsed="false">
      <c r="A2130" s="3" t="n">
        <v>3005</v>
      </c>
      <c r="B2130" s="3" t="s">
        <v>742</v>
      </c>
      <c r="C2130" s="4" t="s">
        <v>41</v>
      </c>
      <c r="D2130" s="5" t="n">
        <v>6048</v>
      </c>
      <c r="E2130" s="6" t="n">
        <v>82.09</v>
      </c>
      <c r="F2130" s="7" t="n">
        <v>49</v>
      </c>
      <c r="G2130" s="6" t="n">
        <v>138.711626010101</v>
      </c>
      <c r="H2130" s="8" t="n">
        <v>108156.7838791</v>
      </c>
      <c r="I2130" s="9" t="n">
        <v>21.6239454571203</v>
      </c>
      <c r="J2130" s="9" t="n">
        <v>20.5314090058913</v>
      </c>
      <c r="K2130" s="3" t="s">
        <v>743</v>
      </c>
      <c r="L2130" s="3" t="s">
        <v>744</v>
      </c>
      <c r="M2130" s="7" t="n">
        <v>2016</v>
      </c>
    </row>
    <row r="2131" customFormat="false" ht="15" hidden="false" customHeight="false" outlineLevel="0" collapsed="false">
      <c r="A2131" s="3" t="n">
        <v>3006</v>
      </c>
      <c r="B2131" s="3" t="s">
        <v>742</v>
      </c>
      <c r="C2131" s="4" t="s">
        <v>42</v>
      </c>
      <c r="D2131" s="5" t="n">
        <v>6129</v>
      </c>
      <c r="E2131" s="6" t="n">
        <v>82.1</v>
      </c>
      <c r="F2131" s="7" t="n">
        <v>49</v>
      </c>
      <c r="G2131" s="6" t="n">
        <v>66.9134909090908</v>
      </c>
      <c r="H2131" s="8" t="n">
        <v>55380.2816159999</v>
      </c>
      <c r="I2131" s="9" t="n">
        <v>15.4522958482266</v>
      </c>
      <c r="J2131" s="9" t="n">
        <v>9.77331149794893</v>
      </c>
      <c r="K2131" s="3" t="s">
        <v>743</v>
      </c>
      <c r="L2131" s="3" t="s">
        <v>744</v>
      </c>
      <c r="M2131" s="7" t="n">
        <v>2017</v>
      </c>
    </row>
    <row r="2132" customFormat="false" ht="15" hidden="false" customHeight="false" outlineLevel="0" collapsed="false">
      <c r="A2132" s="3" t="n">
        <v>3007</v>
      </c>
      <c r="B2132" s="3" t="s">
        <v>742</v>
      </c>
      <c r="C2132" s="4" t="s">
        <v>43</v>
      </c>
      <c r="D2132" s="5" t="n">
        <v>6129</v>
      </c>
      <c r="E2132" s="6" t="n">
        <v>82.1</v>
      </c>
      <c r="F2132" s="7" t="n">
        <v>54</v>
      </c>
      <c r="G2132" s="6" t="n">
        <v>56.7504848484849</v>
      </c>
      <c r="H2132" s="8" t="n">
        <v>49441.0224</v>
      </c>
      <c r="I2132" s="9" t="n">
        <v>13.4325221703863</v>
      </c>
      <c r="J2132" s="9" t="n">
        <v>8.28891391778397</v>
      </c>
      <c r="K2132" s="3" t="s">
        <v>743</v>
      </c>
      <c r="L2132" s="3" t="s">
        <v>744</v>
      </c>
      <c r="M2132" s="7" t="n">
        <v>2018</v>
      </c>
    </row>
    <row r="2133" customFormat="false" ht="15" hidden="false" customHeight="false" outlineLevel="0" collapsed="false">
      <c r="A2133" s="3" t="n">
        <v>3008</v>
      </c>
      <c r="B2133" s="3" t="s">
        <v>742</v>
      </c>
      <c r="C2133" s="4" t="s">
        <v>44</v>
      </c>
      <c r="D2133" s="5" t="n">
        <v>6142</v>
      </c>
      <c r="E2133" s="6" t="n">
        <v>82.1</v>
      </c>
      <c r="F2133" s="7" t="n">
        <v>62</v>
      </c>
      <c r="G2133" s="6" t="n">
        <v>132.441855808081</v>
      </c>
      <c r="H2133" s="8" t="n">
        <v>121152.512019</v>
      </c>
      <c r="I2133" s="9" t="n">
        <v>18.6626736511053</v>
      </c>
      <c r="J2133" s="9" t="n">
        <v>19.2504833805057</v>
      </c>
      <c r="K2133" s="3" t="s">
        <v>743</v>
      </c>
      <c r="L2133" s="3" t="s">
        <v>744</v>
      </c>
      <c r="M2133" s="7" t="n">
        <v>2019</v>
      </c>
    </row>
    <row r="2134" customFormat="false" ht="15" hidden="false" customHeight="false" outlineLevel="0" collapsed="false">
      <c r="A2134" s="3" t="n">
        <v>3009</v>
      </c>
      <c r="B2134" s="3" t="s">
        <v>742</v>
      </c>
      <c r="C2134" s="4" t="s">
        <v>45</v>
      </c>
      <c r="D2134" s="5" t="n">
        <v>6153</v>
      </c>
      <c r="E2134" s="6" t="n">
        <v>82.1</v>
      </c>
      <c r="F2134" s="7" t="n">
        <v>56</v>
      </c>
      <c r="G2134" s="6" t="n">
        <v>60.7737673737373</v>
      </c>
      <c r="H2134" s="8" t="n">
        <v>14498.7976823525</v>
      </c>
      <c r="I2134" s="9" t="n">
        <v>10.9445918369252</v>
      </c>
      <c r="J2134" s="9" t="n">
        <v>8.84192686873895</v>
      </c>
      <c r="K2134" s="3" t="s">
        <v>743</v>
      </c>
      <c r="L2134" s="3" t="s">
        <v>744</v>
      </c>
      <c r="M2134" s="7" t="n">
        <v>2020</v>
      </c>
    </row>
    <row r="2135" customFormat="false" ht="15" hidden="false" customHeight="false" outlineLevel="0" collapsed="false">
      <c r="A2135" s="3" t="n">
        <v>3010</v>
      </c>
      <c r="B2135" s="3" t="s">
        <v>742</v>
      </c>
      <c r="C2135" s="4" t="s">
        <v>46</v>
      </c>
      <c r="D2135" s="5" t="n">
        <v>6174</v>
      </c>
      <c r="E2135" s="6" t="n">
        <v>82.1</v>
      </c>
      <c r="F2135" s="7" t="n">
        <v>63</v>
      </c>
      <c r="G2135" s="6" t="n">
        <v>20.5624324949494</v>
      </c>
      <c r="H2135" s="8" t="n">
        <v>7516.18594987887</v>
      </c>
      <c r="I2135" s="9" t="n">
        <v>8.07960126386646</v>
      </c>
      <c r="J2135" s="9" t="n">
        <v>2.98143632768387</v>
      </c>
      <c r="K2135" s="3" t="s">
        <v>743</v>
      </c>
      <c r="L2135" s="3" t="s">
        <v>744</v>
      </c>
      <c r="M2135" s="7" t="n">
        <v>2021</v>
      </c>
    </row>
    <row r="2136" customFormat="false" ht="15" hidden="false" customHeight="false" outlineLevel="0" collapsed="false">
      <c r="A2136" s="3" t="n">
        <v>3011</v>
      </c>
      <c r="B2136" s="3" t="s">
        <v>742</v>
      </c>
      <c r="C2136" s="4" t="s">
        <v>47</v>
      </c>
      <c r="D2136" s="5" t="n">
        <v>6189</v>
      </c>
      <c r="E2136" s="6" t="n">
        <v>82.1</v>
      </c>
      <c r="F2136" s="7" t="n">
        <v>76</v>
      </c>
      <c r="G2136" s="6" t="n">
        <v>57.0706768686869</v>
      </c>
      <c r="H2136" s="8" t="n">
        <v>21182.9231333505</v>
      </c>
      <c r="I2136" s="9" t="n">
        <v>11.2197243218191</v>
      </c>
      <c r="J2136" s="9" t="n">
        <v>8.25486956135331</v>
      </c>
      <c r="K2136" s="3" t="s">
        <v>743</v>
      </c>
      <c r="L2136" s="3" t="s">
        <v>744</v>
      </c>
      <c r="M2136" s="7" t="n">
        <v>2022</v>
      </c>
    </row>
    <row r="2137" customFormat="false" ht="15" hidden="false" customHeight="false" outlineLevel="0" collapsed="false">
      <c r="A2137" s="3" t="n">
        <v>3012</v>
      </c>
      <c r="B2137" s="3" t="s">
        <v>742</v>
      </c>
      <c r="C2137" s="4" t="s">
        <v>48</v>
      </c>
      <c r="D2137" s="5" t="n">
        <v>6218</v>
      </c>
      <c r="E2137" s="6" t="n">
        <v>82.1</v>
      </c>
      <c r="F2137" s="7" t="n">
        <v>69</v>
      </c>
      <c r="G2137" s="6" t="n">
        <v>114.058259984848</v>
      </c>
      <c r="H2137" s="8" t="n">
        <v>35727.6093576539</v>
      </c>
      <c r="I2137" s="9" t="n">
        <v>16.9798641461745</v>
      </c>
      <c r="J2137" s="9" t="n">
        <v>16.3757883979444</v>
      </c>
      <c r="K2137" s="3" t="s">
        <v>743</v>
      </c>
      <c r="L2137" s="3" t="s">
        <v>744</v>
      </c>
      <c r="M2137" s="7" t="n">
        <v>2023</v>
      </c>
    </row>
    <row r="2138" customFormat="false" ht="15" hidden="false" customHeight="false" outlineLevel="0" collapsed="false">
      <c r="A2138" s="3" t="n">
        <v>3013</v>
      </c>
      <c r="B2138" s="3" t="s">
        <v>742</v>
      </c>
      <c r="C2138" s="4" t="s">
        <v>49</v>
      </c>
      <c r="D2138" s="5" t="n">
        <v>6228</v>
      </c>
      <c r="E2138" s="6" t="n">
        <v>82.1</v>
      </c>
      <c r="F2138" s="7" t="n">
        <v>76</v>
      </c>
      <c r="G2138" s="6" t="n">
        <v>123.923212474747</v>
      </c>
      <c r="H2138" s="8" t="n">
        <v>39981.3460407278</v>
      </c>
      <c r="I2138" s="9" t="n">
        <v>18.8764754846409</v>
      </c>
      <c r="J2138" s="9" t="n">
        <v>17.8123710662008</v>
      </c>
      <c r="K2138" s="3" t="s">
        <v>743</v>
      </c>
      <c r="L2138" s="3" t="s">
        <v>744</v>
      </c>
      <c r="M2138" s="7" t="n">
        <v>2024</v>
      </c>
    </row>
    <row r="2139" customFormat="false" ht="15" hidden="false" customHeight="false" outlineLevel="0" collapsed="false">
      <c r="A2139" s="3" t="n">
        <v>3014</v>
      </c>
      <c r="B2139" s="3" t="s">
        <v>745</v>
      </c>
      <c r="C2139" s="4" t="s">
        <v>14</v>
      </c>
      <c r="D2139" s="5" t="n">
        <v>19931</v>
      </c>
      <c r="E2139" s="6" t="n">
        <v>265</v>
      </c>
      <c r="F2139" s="7" t="n">
        <v>57</v>
      </c>
      <c r="G2139" s="6" t="n">
        <v>834.127355959595</v>
      </c>
      <c r="H2139" s="8" t="n">
        <v>293204.106893357</v>
      </c>
      <c r="I2139" s="9" t="n">
        <v>7.96969342832438</v>
      </c>
      <c r="J2139" s="9" t="n">
        <v>37.3619443335384</v>
      </c>
      <c r="K2139" s="3" t="s">
        <v>746</v>
      </c>
      <c r="L2139" s="3" t="s">
        <v>747</v>
      </c>
      <c r="M2139" s="7" t="n">
        <v>2016</v>
      </c>
    </row>
    <row r="2140" customFormat="false" ht="15" hidden="false" customHeight="false" outlineLevel="0" collapsed="false">
      <c r="A2140" s="3" t="n">
        <v>3015</v>
      </c>
      <c r="B2140" s="3" t="s">
        <v>745</v>
      </c>
      <c r="C2140" s="4" t="s">
        <v>17</v>
      </c>
      <c r="D2140" s="5" t="n">
        <v>20067</v>
      </c>
      <c r="E2140" s="6" t="n">
        <v>266.99</v>
      </c>
      <c r="F2140" s="7" t="n">
        <v>61</v>
      </c>
      <c r="G2140" s="6" t="n">
        <v>853.732526604639</v>
      </c>
      <c r="H2140" s="8" t="n">
        <v>628782.543169583</v>
      </c>
      <c r="I2140" s="9" t="n">
        <v>7.96536006504818</v>
      </c>
      <c r="J2140" s="9" t="n">
        <v>38.085271144776</v>
      </c>
      <c r="K2140" s="3" t="s">
        <v>746</v>
      </c>
      <c r="L2140" s="3" t="s">
        <v>747</v>
      </c>
      <c r="M2140" s="7" t="n">
        <v>2017</v>
      </c>
    </row>
    <row r="2141" customFormat="false" ht="15" hidden="false" customHeight="false" outlineLevel="0" collapsed="false">
      <c r="A2141" s="3" t="n">
        <v>3016</v>
      </c>
      <c r="B2141" s="3" t="s">
        <v>745</v>
      </c>
      <c r="C2141" s="4" t="s">
        <v>18</v>
      </c>
      <c r="D2141" s="5" t="n">
        <v>20616</v>
      </c>
      <c r="E2141" s="6" t="n">
        <v>269</v>
      </c>
      <c r="F2141" s="7" t="n">
        <v>61</v>
      </c>
      <c r="G2141" s="6" t="n">
        <v>423.447253030304</v>
      </c>
      <c r="H2141" s="8" t="n">
        <v>361529.101903201</v>
      </c>
      <c r="I2141" s="9" t="n">
        <v>6.6448633208129</v>
      </c>
      <c r="J2141" s="9" t="n">
        <v>18.3870725137173</v>
      </c>
      <c r="K2141" s="3" t="s">
        <v>746</v>
      </c>
      <c r="L2141" s="3" t="s">
        <v>747</v>
      </c>
      <c r="M2141" s="7" t="n">
        <v>2018</v>
      </c>
    </row>
    <row r="2142" customFormat="false" ht="15" hidden="false" customHeight="false" outlineLevel="0" collapsed="false">
      <c r="A2142" s="3" t="n">
        <v>3017</v>
      </c>
      <c r="B2142" s="3" t="s">
        <v>745</v>
      </c>
      <c r="C2142" s="4" t="s">
        <v>19</v>
      </c>
      <c r="D2142" s="5" t="n">
        <v>20876</v>
      </c>
      <c r="E2142" s="6" t="n">
        <v>269</v>
      </c>
      <c r="F2142" s="7" t="n">
        <v>59</v>
      </c>
      <c r="G2142" s="6" t="n">
        <v>762.459035606062</v>
      </c>
      <c r="H2142" s="8" t="n">
        <v>923313.493429801</v>
      </c>
      <c r="I2142" s="9" t="n">
        <v>7.31934392193812</v>
      </c>
      <c r="J2142" s="9" t="n">
        <v>32.6954185798392</v>
      </c>
      <c r="K2142" s="3" t="s">
        <v>746</v>
      </c>
      <c r="L2142" s="3" t="s">
        <v>747</v>
      </c>
      <c r="M2142" s="7" t="n">
        <v>2019</v>
      </c>
    </row>
    <row r="2143" customFormat="false" ht="15" hidden="false" customHeight="false" outlineLevel="0" collapsed="false">
      <c r="A2143" s="3" t="n">
        <v>3018</v>
      </c>
      <c r="B2143" s="3" t="s">
        <v>745</v>
      </c>
      <c r="C2143" s="4" t="s">
        <v>20</v>
      </c>
      <c r="D2143" s="5" t="n">
        <v>21789</v>
      </c>
      <c r="E2143" s="6" t="n">
        <v>344</v>
      </c>
      <c r="F2143" s="7" t="n">
        <v>56</v>
      </c>
      <c r="G2143" s="6" t="n">
        <v>2037.82857651515</v>
      </c>
      <c r="H2143" s="8" t="n">
        <v>2778432.5404209</v>
      </c>
      <c r="I2143" s="9" t="n">
        <v>14.7276892078285</v>
      </c>
      <c r="J2143" s="9" t="n">
        <v>83.4942451778845</v>
      </c>
      <c r="K2143" s="3" t="s">
        <v>746</v>
      </c>
      <c r="L2143" s="3" t="s">
        <v>747</v>
      </c>
      <c r="M2143" s="7" t="n">
        <v>2020</v>
      </c>
    </row>
    <row r="2144" customFormat="false" ht="15" hidden="false" customHeight="false" outlineLevel="0" collapsed="false">
      <c r="A2144" s="3" t="n">
        <v>3019</v>
      </c>
      <c r="B2144" s="3" t="s">
        <v>745</v>
      </c>
      <c r="C2144" s="4" t="s">
        <v>21</v>
      </c>
      <c r="D2144" s="5" t="n">
        <v>22207</v>
      </c>
      <c r="E2144" s="6" t="n">
        <v>343</v>
      </c>
      <c r="F2144" s="7" t="n">
        <v>60</v>
      </c>
      <c r="G2144" s="6" t="n">
        <v>924.135508080806</v>
      </c>
      <c r="H2144" s="8" t="n">
        <v>1171430.4735012</v>
      </c>
      <c r="I2144" s="9" t="n">
        <v>7.61296197038482</v>
      </c>
      <c r="J2144" s="9" t="n">
        <v>37.2531875954912</v>
      </c>
      <c r="K2144" s="3" t="s">
        <v>746</v>
      </c>
      <c r="L2144" s="3" t="s">
        <v>747</v>
      </c>
      <c r="M2144" s="7" t="n">
        <v>2021</v>
      </c>
    </row>
    <row r="2145" customFormat="false" ht="15" hidden="false" customHeight="false" outlineLevel="0" collapsed="false">
      <c r="A2145" s="3" t="n">
        <v>3020</v>
      </c>
      <c r="B2145" s="3" t="s">
        <v>745</v>
      </c>
      <c r="C2145" s="4" t="s">
        <v>22</v>
      </c>
      <c r="D2145" s="5" t="n">
        <v>22817</v>
      </c>
      <c r="E2145" s="6" t="n">
        <v>344</v>
      </c>
      <c r="F2145" s="7" t="n">
        <v>46</v>
      </c>
      <c r="G2145" s="6" t="n">
        <v>1587.23145534905</v>
      </c>
      <c r="H2145" s="8" t="n">
        <v>1436317.48857446</v>
      </c>
      <c r="I2145" s="9" t="n">
        <v>11.1198487919104</v>
      </c>
      <c r="J2145" s="9" t="n">
        <v>62.2729434141961</v>
      </c>
      <c r="K2145" s="3" t="s">
        <v>746</v>
      </c>
      <c r="L2145" s="3" t="s">
        <v>747</v>
      </c>
      <c r="M2145" s="7" t="n">
        <v>2022</v>
      </c>
    </row>
    <row r="2146" customFormat="false" ht="15" hidden="false" customHeight="false" outlineLevel="0" collapsed="false">
      <c r="A2146" s="3" t="n">
        <v>3021</v>
      </c>
      <c r="B2146" s="3" t="s">
        <v>745</v>
      </c>
      <c r="C2146" s="4" t="s">
        <v>23</v>
      </c>
      <c r="D2146" s="5" t="n">
        <v>23108</v>
      </c>
      <c r="E2146" s="6" t="n">
        <v>445</v>
      </c>
      <c r="F2146" s="7" t="n">
        <v>49</v>
      </c>
      <c r="G2146" s="6" t="n">
        <v>1877.82432805294</v>
      </c>
      <c r="H2146" s="8" t="n">
        <v>1806805.01196598</v>
      </c>
      <c r="I2146" s="9" t="n">
        <v>13.7960513206674</v>
      </c>
      <c r="J2146" s="9" t="n">
        <v>72.7461940682237</v>
      </c>
      <c r="K2146" s="3" t="s">
        <v>746</v>
      </c>
      <c r="L2146" s="3" t="s">
        <v>747</v>
      </c>
      <c r="M2146" s="7" t="n">
        <v>2023</v>
      </c>
    </row>
    <row r="2147" customFormat="false" ht="15" hidden="false" customHeight="false" outlineLevel="0" collapsed="false">
      <c r="A2147" s="3" t="n">
        <v>3022</v>
      </c>
      <c r="B2147" s="3" t="s">
        <v>745</v>
      </c>
      <c r="C2147" s="4" t="s">
        <v>24</v>
      </c>
      <c r="D2147" s="5" t="n">
        <v>23052</v>
      </c>
      <c r="E2147" s="6" t="n">
        <v>347.29</v>
      </c>
      <c r="F2147" s="7" t="n">
        <v>55</v>
      </c>
      <c r="G2147" s="6" t="n">
        <v>1038.0129760101</v>
      </c>
      <c r="H2147" s="8" t="n">
        <v>976552.227700543</v>
      </c>
      <c r="I2147" s="9" t="n">
        <v>8.71541811507253</v>
      </c>
      <c r="J2147" s="9" t="n">
        <v>40.1994735245231</v>
      </c>
      <c r="K2147" s="3" t="s">
        <v>746</v>
      </c>
      <c r="L2147" s="3" t="s">
        <v>747</v>
      </c>
      <c r="M2147" s="7" t="n">
        <v>2024</v>
      </c>
    </row>
    <row r="2148" customFormat="false" ht="15" hidden="false" customHeight="false" outlineLevel="0" collapsed="false">
      <c r="A2148" s="3" t="n">
        <v>3023</v>
      </c>
      <c r="B2148" s="3" t="s">
        <v>748</v>
      </c>
      <c r="C2148" s="4" t="s">
        <v>14</v>
      </c>
      <c r="D2148" s="5" t="n">
        <v>5423</v>
      </c>
      <c r="E2148" s="6" t="n">
        <v>77.2</v>
      </c>
      <c r="F2148" s="7" t="n">
        <v>56</v>
      </c>
      <c r="G2148" s="6" t="n">
        <v>86.2158600796521</v>
      </c>
      <c r="H2148" s="8" t="n">
        <v>55372.9982947574</v>
      </c>
      <c r="I2148" s="9" t="n">
        <v>4.14304540830057</v>
      </c>
      <c r="J2148" s="9" t="n">
        <v>14.1929853429026</v>
      </c>
      <c r="K2148" s="3" t="s">
        <v>749</v>
      </c>
      <c r="L2148" s="3" t="s">
        <v>750</v>
      </c>
      <c r="M2148" s="7" t="n">
        <v>2016</v>
      </c>
    </row>
    <row r="2149" customFormat="false" ht="15" hidden="false" customHeight="false" outlineLevel="0" collapsed="false">
      <c r="A2149" s="3" t="n">
        <v>3024</v>
      </c>
      <c r="B2149" s="3" t="s">
        <v>748</v>
      </c>
      <c r="C2149" s="4" t="s">
        <v>17</v>
      </c>
      <c r="D2149" s="5" t="n">
        <v>5447</v>
      </c>
      <c r="E2149" s="6" t="n">
        <v>77.5</v>
      </c>
      <c r="F2149" s="7" t="n">
        <v>72</v>
      </c>
      <c r="G2149" s="6" t="n">
        <v>607.024537348486</v>
      </c>
      <c r="H2149" s="8"/>
      <c r="I2149" s="9" t="n">
        <v>14.5706579727327</v>
      </c>
      <c r="J2149" s="9" t="n">
        <v>99.762321289641</v>
      </c>
      <c r="K2149" s="3" t="s">
        <v>749</v>
      </c>
      <c r="L2149" s="3" t="s">
        <v>750</v>
      </c>
      <c r="M2149" s="7" t="n">
        <v>2017</v>
      </c>
    </row>
    <row r="2150" customFormat="false" ht="15" hidden="false" customHeight="false" outlineLevel="0" collapsed="false">
      <c r="A2150" s="3" t="n">
        <v>3025</v>
      </c>
      <c r="B2150" s="3" t="s">
        <v>748</v>
      </c>
      <c r="C2150" s="4" t="s">
        <v>18</v>
      </c>
      <c r="D2150" s="5" t="n">
        <v>5436</v>
      </c>
      <c r="E2150" s="6" t="n">
        <v>77.5</v>
      </c>
      <c r="F2150" s="7" t="n">
        <v>69</v>
      </c>
      <c r="G2150" s="6" t="n">
        <v>444.202144191919</v>
      </c>
      <c r="H2150" s="8"/>
      <c r="I2150" s="9" t="n">
        <v>11.0037382366317</v>
      </c>
      <c r="J2150" s="9" t="n">
        <v>73.150765797755</v>
      </c>
      <c r="K2150" s="3" t="s">
        <v>749</v>
      </c>
      <c r="L2150" s="3" t="s">
        <v>750</v>
      </c>
      <c r="M2150" s="7" t="n">
        <v>2018</v>
      </c>
    </row>
    <row r="2151" customFormat="false" ht="15" hidden="false" customHeight="false" outlineLevel="0" collapsed="false">
      <c r="A2151" s="3" t="n">
        <v>3026</v>
      </c>
      <c r="B2151" s="3" t="s">
        <v>748</v>
      </c>
      <c r="C2151" s="4" t="s">
        <v>19</v>
      </c>
      <c r="D2151" s="5" t="n">
        <v>5592</v>
      </c>
      <c r="E2151" s="6" t="n">
        <v>118.37</v>
      </c>
      <c r="F2151" s="7" t="n">
        <v>75</v>
      </c>
      <c r="G2151" s="6" t="n">
        <v>515.338824999999</v>
      </c>
      <c r="H2151" s="8" t="n">
        <v>330491.94186075</v>
      </c>
      <c r="I2151" s="9" t="n">
        <v>12.5134583722596</v>
      </c>
      <c r="J2151" s="9" t="n">
        <v>82.4979913736041</v>
      </c>
      <c r="K2151" s="3" t="s">
        <v>749</v>
      </c>
      <c r="L2151" s="3" t="s">
        <v>750</v>
      </c>
      <c r="M2151" s="7" t="n">
        <v>2019</v>
      </c>
    </row>
    <row r="2152" customFormat="false" ht="15" hidden="false" customHeight="false" outlineLevel="0" collapsed="false">
      <c r="A2152" s="3" t="n">
        <v>3027</v>
      </c>
      <c r="B2152" s="3" t="s">
        <v>748</v>
      </c>
      <c r="C2152" s="4" t="s">
        <v>20</v>
      </c>
      <c r="D2152" s="5" t="n">
        <v>5680</v>
      </c>
      <c r="E2152" s="6" t="n">
        <v>89.18</v>
      </c>
      <c r="F2152" s="7" t="n">
        <v>63</v>
      </c>
      <c r="G2152" s="6" t="n">
        <v>359.442885353534</v>
      </c>
      <c r="H2152" s="8" t="n">
        <v>187391.953850212</v>
      </c>
      <c r="I2152" s="9" t="n">
        <v>8.46772407284352</v>
      </c>
      <c r="J2152" s="9" t="n">
        <v>56.4947055929647</v>
      </c>
      <c r="K2152" s="3" t="s">
        <v>749</v>
      </c>
      <c r="L2152" s="3" t="s">
        <v>750</v>
      </c>
      <c r="M2152" s="7" t="n">
        <v>2020</v>
      </c>
    </row>
    <row r="2153" customFormat="false" ht="15" hidden="false" customHeight="false" outlineLevel="0" collapsed="false">
      <c r="A2153" s="3" t="n">
        <v>3028</v>
      </c>
      <c r="B2153" s="3" t="s">
        <v>748</v>
      </c>
      <c r="C2153" s="4" t="s">
        <v>21</v>
      </c>
      <c r="D2153" s="5" t="n">
        <v>6430</v>
      </c>
      <c r="E2153" s="6" t="n">
        <v>92.74</v>
      </c>
      <c r="F2153" s="7" t="n">
        <v>74</v>
      </c>
      <c r="G2153" s="6" t="n">
        <v>129.547513636364</v>
      </c>
      <c r="H2153" s="8" t="n">
        <v>96610.0582943187</v>
      </c>
      <c r="I2153" s="9" t="n">
        <v>4.36751029742944</v>
      </c>
      <c r="J2153" s="9" t="n">
        <v>18.0358154879782</v>
      </c>
      <c r="K2153" s="3" t="s">
        <v>749</v>
      </c>
      <c r="L2153" s="3" t="s">
        <v>750</v>
      </c>
      <c r="M2153" s="7" t="n">
        <v>2021</v>
      </c>
    </row>
    <row r="2154" customFormat="false" ht="15" hidden="false" customHeight="false" outlineLevel="0" collapsed="false">
      <c r="A2154" s="3" t="n">
        <v>3029</v>
      </c>
      <c r="B2154" s="3" t="s">
        <v>748</v>
      </c>
      <c r="C2154" s="4" t="s">
        <v>22</v>
      </c>
      <c r="D2154" s="5" t="n">
        <v>5877</v>
      </c>
      <c r="E2154" s="6" t="n">
        <v>91</v>
      </c>
      <c r="F2154" s="7" t="n">
        <v>74</v>
      </c>
      <c r="G2154" s="6" t="n">
        <v>239.679003919191</v>
      </c>
      <c r="H2154" s="8" t="n">
        <v>296104.235021847</v>
      </c>
      <c r="I2154" s="9" t="n">
        <v>6.36283861444429</v>
      </c>
      <c r="J2154" s="9" t="n">
        <v>36.5083306249134</v>
      </c>
      <c r="K2154" s="3" t="s">
        <v>749</v>
      </c>
      <c r="L2154" s="3" t="s">
        <v>750</v>
      </c>
      <c r="M2154" s="7" t="n">
        <v>2022</v>
      </c>
    </row>
    <row r="2155" customFormat="false" ht="15" hidden="false" customHeight="false" outlineLevel="0" collapsed="false">
      <c r="A2155" s="3" t="n">
        <v>3030</v>
      </c>
      <c r="B2155" s="3" t="s">
        <v>748</v>
      </c>
      <c r="C2155" s="4" t="s">
        <v>23</v>
      </c>
      <c r="D2155" s="5" t="n">
        <v>5315</v>
      </c>
      <c r="E2155" s="6" t="n">
        <v>92.44</v>
      </c>
      <c r="F2155" s="7" t="n">
        <v>60</v>
      </c>
      <c r="G2155" s="6" t="n">
        <v>26.6712378446118</v>
      </c>
      <c r="H2155" s="8" t="n">
        <v>29862.9848774765</v>
      </c>
      <c r="I2155" s="9" t="n">
        <v>1.58152571769158</v>
      </c>
      <c r="J2155" s="9" t="n">
        <v>4.49218442667166</v>
      </c>
      <c r="K2155" s="3" t="s">
        <v>749</v>
      </c>
      <c r="L2155" s="3" t="s">
        <v>750</v>
      </c>
      <c r="M2155" s="7" t="n">
        <v>2023</v>
      </c>
    </row>
    <row r="2156" customFormat="false" ht="15" hidden="false" customHeight="false" outlineLevel="0" collapsed="false">
      <c r="A2156" s="3" t="n">
        <v>3031</v>
      </c>
      <c r="B2156" s="3" t="s">
        <v>748</v>
      </c>
      <c r="C2156" s="4" t="s">
        <v>24</v>
      </c>
      <c r="D2156" s="5" t="n">
        <v>5561</v>
      </c>
      <c r="E2156" s="6" t="n">
        <v>94.32</v>
      </c>
      <c r="F2156" s="7" t="n">
        <v>60</v>
      </c>
      <c r="G2156" s="6" t="n">
        <v>365.820974367169</v>
      </c>
      <c r="H2156" s="8" t="n">
        <v>374490.931459671</v>
      </c>
      <c r="I2156" s="9" t="n">
        <v>8.66854367499633</v>
      </c>
      <c r="J2156" s="9" t="n">
        <v>58.727552361242</v>
      </c>
      <c r="K2156" s="3" t="s">
        <v>749</v>
      </c>
      <c r="L2156" s="3" t="s">
        <v>750</v>
      </c>
      <c r="M2156" s="7" t="n">
        <v>2024</v>
      </c>
    </row>
    <row r="2157" customFormat="false" ht="15" hidden="false" customHeight="false" outlineLevel="0" collapsed="false">
      <c r="A2157" s="3" t="n">
        <v>3032</v>
      </c>
      <c r="B2157" s="3" t="s">
        <v>748</v>
      </c>
      <c r="C2157" s="4" t="s">
        <v>37</v>
      </c>
      <c r="D2157" s="5" t="n">
        <v>6072</v>
      </c>
      <c r="E2157" s="6" t="n">
        <v>94.32</v>
      </c>
      <c r="F2157" s="7" t="n">
        <v>54</v>
      </c>
      <c r="G2157" s="6" t="n">
        <v>412.573490770202</v>
      </c>
      <c r="H2157" s="8" t="n">
        <v>680560.601699987</v>
      </c>
      <c r="I2157" s="9" t="n">
        <v>9.56495313556865</v>
      </c>
      <c r="J2157" s="9" t="n">
        <v>60.8257161954717</v>
      </c>
      <c r="K2157" s="3" t="s">
        <v>749</v>
      </c>
      <c r="L2157" s="3" t="s">
        <v>750</v>
      </c>
      <c r="M2157" s="7" t="n">
        <v>2025</v>
      </c>
    </row>
    <row r="2158" customFormat="false" ht="15" hidden="false" customHeight="false" outlineLevel="0" collapsed="false">
      <c r="A2158" s="3" t="n">
        <v>3033</v>
      </c>
      <c r="B2158" s="3" t="s">
        <v>751</v>
      </c>
      <c r="C2158" s="4" t="s">
        <v>14</v>
      </c>
      <c r="D2158" s="5" t="n">
        <v>10309</v>
      </c>
      <c r="E2158" s="6" t="n">
        <v>158</v>
      </c>
      <c r="F2158" s="7" t="n">
        <v>60</v>
      </c>
      <c r="G2158" s="6" t="n">
        <v>800.937232070707</v>
      </c>
      <c r="H2158" s="8" t="n">
        <v>85996.6306074318</v>
      </c>
      <c r="I2158" s="9" t="n">
        <v>10.3721128236476</v>
      </c>
      <c r="J2158" s="9" t="n">
        <v>69.3598486247479</v>
      </c>
      <c r="K2158" s="3" t="s">
        <v>752</v>
      </c>
      <c r="L2158" s="3" t="s">
        <v>753</v>
      </c>
      <c r="M2158" s="7" t="n">
        <v>2016</v>
      </c>
    </row>
    <row r="2159" customFormat="false" ht="15" hidden="false" customHeight="false" outlineLevel="0" collapsed="false">
      <c r="A2159" s="3" t="n">
        <v>3034</v>
      </c>
      <c r="B2159" s="3" t="s">
        <v>751</v>
      </c>
      <c r="C2159" s="4" t="s">
        <v>17</v>
      </c>
      <c r="D2159" s="5" t="n">
        <v>10237</v>
      </c>
      <c r="E2159" s="6" t="n">
        <v>170.72</v>
      </c>
      <c r="F2159" s="7" t="n">
        <v>73</v>
      </c>
      <c r="G2159" s="6" t="n">
        <v>1001.73039166917</v>
      </c>
      <c r="H2159" s="8" t="n">
        <v>187944.656084969</v>
      </c>
      <c r="I2159" s="9" t="n">
        <v>13.0466671487156</v>
      </c>
      <c r="J2159" s="9" t="n">
        <v>87.5983289059699</v>
      </c>
      <c r="K2159" s="3" t="s">
        <v>752</v>
      </c>
      <c r="L2159" s="3" t="s">
        <v>753</v>
      </c>
      <c r="M2159" s="7" t="n">
        <v>2017</v>
      </c>
    </row>
    <row r="2160" customFormat="false" ht="15" hidden="false" customHeight="false" outlineLevel="0" collapsed="false">
      <c r="A2160" s="3" t="n">
        <v>3035</v>
      </c>
      <c r="B2160" s="3" t="s">
        <v>751</v>
      </c>
      <c r="C2160" s="4" t="s">
        <v>18</v>
      </c>
      <c r="D2160" s="5" t="n">
        <v>10060</v>
      </c>
      <c r="E2160" s="6" t="n">
        <v>169</v>
      </c>
      <c r="F2160" s="7" t="n">
        <v>74</v>
      </c>
      <c r="G2160" s="6" t="n">
        <v>441.811980948094</v>
      </c>
      <c r="H2160" s="8" t="n">
        <v>82490.7149628186</v>
      </c>
      <c r="I2160" s="9" t="n">
        <v>7.30947497181182</v>
      </c>
      <c r="J2160" s="9" t="n">
        <v>39.3149006521086</v>
      </c>
      <c r="K2160" s="3" t="s">
        <v>752</v>
      </c>
      <c r="L2160" s="3" t="s">
        <v>753</v>
      </c>
      <c r="M2160" s="7" t="n">
        <v>2018</v>
      </c>
    </row>
    <row r="2161" customFormat="false" ht="15" hidden="false" customHeight="false" outlineLevel="0" collapsed="false">
      <c r="A2161" s="3" t="n">
        <v>3036</v>
      </c>
      <c r="B2161" s="3" t="s">
        <v>751</v>
      </c>
      <c r="C2161" s="4" t="s">
        <v>19</v>
      </c>
      <c r="D2161" s="5" t="n">
        <v>10353</v>
      </c>
      <c r="E2161" s="6" t="n">
        <v>169</v>
      </c>
      <c r="F2161" s="7" t="n">
        <v>74</v>
      </c>
      <c r="G2161" s="6" t="n">
        <v>407.025720925673</v>
      </c>
      <c r="H2161" s="8" t="n">
        <v>71461.5058229204</v>
      </c>
      <c r="I2161" s="9" t="n">
        <v>6.81178557924435</v>
      </c>
      <c r="J2161" s="9" t="n">
        <v>35.1943796588533</v>
      </c>
      <c r="K2161" s="3" t="s">
        <v>752</v>
      </c>
      <c r="L2161" s="3" t="s">
        <v>753</v>
      </c>
      <c r="M2161" s="7" t="n">
        <v>2019</v>
      </c>
    </row>
    <row r="2162" customFormat="false" ht="15" hidden="false" customHeight="false" outlineLevel="0" collapsed="false">
      <c r="A2162" s="3" t="n">
        <v>3037</v>
      </c>
      <c r="B2162" s="3" t="s">
        <v>751</v>
      </c>
      <c r="C2162" s="4" t="s">
        <v>20</v>
      </c>
      <c r="D2162" s="5" t="n">
        <v>10415</v>
      </c>
      <c r="E2162" s="6" t="n">
        <v>169</v>
      </c>
      <c r="F2162" s="7" t="n">
        <v>75</v>
      </c>
      <c r="G2162" s="6" t="n">
        <v>312.593170516936</v>
      </c>
      <c r="H2162" s="8" t="n">
        <v>54781.953133093</v>
      </c>
      <c r="I2162" s="9" t="n">
        <v>5.48941763169139</v>
      </c>
      <c r="J2162" s="9" t="n">
        <v>26.7945461185761</v>
      </c>
      <c r="K2162" s="3" t="s">
        <v>752</v>
      </c>
      <c r="L2162" s="3" t="s">
        <v>753</v>
      </c>
      <c r="M2162" s="7" t="n">
        <v>2020</v>
      </c>
    </row>
    <row r="2163" customFormat="false" ht="15" hidden="false" customHeight="false" outlineLevel="0" collapsed="false">
      <c r="A2163" s="3" t="n">
        <v>3038</v>
      </c>
      <c r="B2163" s="3" t="s">
        <v>751</v>
      </c>
      <c r="C2163" s="4" t="s">
        <v>21</v>
      </c>
      <c r="D2163" s="5" t="n">
        <v>10334</v>
      </c>
      <c r="E2163" s="6" t="n">
        <v>169</v>
      </c>
      <c r="F2163" s="7" t="n">
        <v>74</v>
      </c>
      <c r="G2163" s="6" t="n">
        <v>269.365105138115</v>
      </c>
      <c r="H2163" s="8" t="n">
        <v>244057.714780179</v>
      </c>
      <c r="I2163" s="9" t="n">
        <v>4.68520761797797</v>
      </c>
      <c r="J2163" s="9" t="n">
        <v>23.3340729721691</v>
      </c>
      <c r="K2163" s="3" t="s">
        <v>752</v>
      </c>
      <c r="L2163" s="3" t="s">
        <v>753</v>
      </c>
      <c r="M2163" s="7" t="n">
        <v>2021</v>
      </c>
    </row>
    <row r="2164" customFormat="false" ht="15" hidden="false" customHeight="false" outlineLevel="0" collapsed="false">
      <c r="A2164" s="3" t="n">
        <v>3039</v>
      </c>
      <c r="B2164" s="3" t="s">
        <v>751</v>
      </c>
      <c r="C2164" s="4" t="s">
        <v>22</v>
      </c>
      <c r="D2164" s="5" t="n">
        <v>10199</v>
      </c>
      <c r="E2164" s="6" t="n">
        <v>239</v>
      </c>
      <c r="F2164" s="7" t="n">
        <v>53</v>
      </c>
      <c r="G2164" s="6" t="n">
        <v>1254.97276938775</v>
      </c>
      <c r="H2164" s="8" t="n">
        <v>263594.480482204</v>
      </c>
      <c r="I2164" s="9" t="n">
        <v>16.3616226758433</v>
      </c>
      <c r="J2164" s="9" t="n">
        <v>110.152506838574</v>
      </c>
      <c r="K2164" s="3" t="s">
        <v>752</v>
      </c>
      <c r="L2164" s="3" t="s">
        <v>753</v>
      </c>
      <c r="M2164" s="7" t="n">
        <v>2022</v>
      </c>
    </row>
    <row r="2165" customFormat="false" ht="15" hidden="false" customHeight="false" outlineLevel="0" collapsed="false">
      <c r="A2165" s="3" t="n">
        <v>3040</v>
      </c>
      <c r="B2165" s="3" t="s">
        <v>751</v>
      </c>
      <c r="C2165" s="4" t="s">
        <v>23</v>
      </c>
      <c r="D2165" s="5" t="n">
        <v>10959</v>
      </c>
      <c r="E2165" s="6" t="n">
        <v>239</v>
      </c>
      <c r="F2165" s="7" t="n">
        <v>58</v>
      </c>
      <c r="G2165" s="6" t="n">
        <v>63.0721666666652</v>
      </c>
      <c r="H2165" s="8" t="n">
        <v>18219.6567849996</v>
      </c>
      <c r="I2165" s="9" t="n">
        <v>5.42207982562508</v>
      </c>
      <c r="J2165" s="9" t="n">
        <v>5.15210253715385</v>
      </c>
      <c r="K2165" s="3" t="s">
        <v>752</v>
      </c>
      <c r="L2165" s="3" t="s">
        <v>753</v>
      </c>
      <c r="M2165" s="7" t="n">
        <v>2023</v>
      </c>
    </row>
    <row r="2166" customFormat="false" ht="15" hidden="false" customHeight="false" outlineLevel="0" collapsed="false">
      <c r="A2166" s="3" t="n">
        <v>3041</v>
      </c>
      <c r="B2166" s="3" t="s">
        <v>751</v>
      </c>
      <c r="C2166" s="4" t="s">
        <v>24</v>
      </c>
      <c r="D2166" s="5" t="n">
        <v>10351</v>
      </c>
      <c r="E2166" s="6" t="n">
        <v>240</v>
      </c>
      <c r="F2166" s="7" t="n">
        <v>62</v>
      </c>
      <c r="G2166" s="6" t="n">
        <v>62.0313486842092</v>
      </c>
      <c r="H2166" s="8" t="n">
        <v>26683.4049499994</v>
      </c>
      <c r="I2166" s="9" t="n">
        <v>6.36285184393788</v>
      </c>
      <c r="J2166" s="9" t="n">
        <v>5.35001634415529</v>
      </c>
      <c r="K2166" s="3" t="s">
        <v>752</v>
      </c>
      <c r="L2166" s="3" t="s">
        <v>753</v>
      </c>
      <c r="M2166" s="7" t="n">
        <v>2024</v>
      </c>
    </row>
    <row r="2167" customFormat="false" ht="15" hidden="false" customHeight="false" outlineLevel="0" collapsed="false">
      <c r="A2167" s="3" t="n">
        <v>3042</v>
      </c>
      <c r="B2167" s="3" t="s">
        <v>754</v>
      </c>
      <c r="C2167" s="4" t="s">
        <v>14</v>
      </c>
      <c r="D2167" s="5" t="n">
        <v>5076</v>
      </c>
      <c r="E2167" s="6" t="n">
        <v>72.73</v>
      </c>
      <c r="F2167" s="7" t="n">
        <v>55</v>
      </c>
      <c r="G2167" s="6" t="n">
        <v>34.2329618792722</v>
      </c>
      <c r="H2167" s="8" t="n">
        <v>39367.9061611631</v>
      </c>
      <c r="I2167" s="9" t="n">
        <v>7.76336676047527</v>
      </c>
      <c r="J2167" s="9" t="n">
        <v>6.0207286836376</v>
      </c>
      <c r="K2167" s="3" t="s">
        <v>755</v>
      </c>
      <c r="L2167" s="3" t="s">
        <v>755</v>
      </c>
      <c r="M2167" s="7" t="n">
        <v>2016</v>
      </c>
    </row>
    <row r="2168" customFormat="false" ht="15" hidden="false" customHeight="false" outlineLevel="0" collapsed="false">
      <c r="A2168" s="3" t="n">
        <v>3043</v>
      </c>
      <c r="B2168" s="3" t="s">
        <v>754</v>
      </c>
      <c r="C2168" s="4" t="s">
        <v>17</v>
      </c>
      <c r="D2168" s="5" t="n">
        <v>5076</v>
      </c>
      <c r="E2168" s="6" t="n">
        <v>72.8</v>
      </c>
      <c r="F2168" s="7" t="n">
        <v>58</v>
      </c>
      <c r="G2168" s="6" t="n">
        <v>14.7046324999999</v>
      </c>
      <c r="H2168" s="8" t="n">
        <v>16910.3273749998</v>
      </c>
      <c r="I2168" s="9" t="n">
        <v>6.00306340068293</v>
      </c>
      <c r="J2168" s="9" t="n">
        <v>2.59328492883851</v>
      </c>
      <c r="K2168" s="3" t="s">
        <v>755</v>
      </c>
      <c r="L2168" s="3" t="s">
        <v>755</v>
      </c>
      <c r="M2168" s="7" t="n">
        <v>2017</v>
      </c>
    </row>
    <row r="2169" customFormat="false" ht="15" hidden="false" customHeight="false" outlineLevel="0" collapsed="false">
      <c r="A2169" s="3" t="n">
        <v>3044</v>
      </c>
      <c r="B2169" s="3" t="s">
        <v>754</v>
      </c>
      <c r="C2169" s="4" t="s">
        <v>18</v>
      </c>
      <c r="D2169" s="5" t="n">
        <v>5076</v>
      </c>
      <c r="E2169" s="6" t="n">
        <v>72.8</v>
      </c>
      <c r="F2169" s="7" t="n">
        <v>59</v>
      </c>
      <c r="G2169" s="6" t="n">
        <v>31.231864257352</v>
      </c>
      <c r="H2169" s="8" t="n">
        <v>35916.6438959548</v>
      </c>
      <c r="I2169" s="9" t="n">
        <v>8.10006095990116</v>
      </c>
      <c r="J2169" s="9" t="n">
        <v>5.50800048067311</v>
      </c>
      <c r="K2169" s="3" t="s">
        <v>755</v>
      </c>
      <c r="L2169" s="3" t="s">
        <v>755</v>
      </c>
      <c r="M2169" s="7" t="n">
        <v>2018</v>
      </c>
    </row>
    <row r="2170" customFormat="false" ht="15" hidden="false" customHeight="false" outlineLevel="0" collapsed="false">
      <c r="A2170" s="3" t="n">
        <v>3045</v>
      </c>
      <c r="B2170" s="3" t="s">
        <v>754</v>
      </c>
      <c r="C2170" s="4" t="s">
        <v>19</v>
      </c>
      <c r="D2170" s="5" t="n">
        <v>5076</v>
      </c>
      <c r="E2170" s="6" t="n">
        <v>72.8</v>
      </c>
      <c r="F2170" s="7" t="n">
        <v>60</v>
      </c>
      <c r="G2170" s="6" t="n">
        <v>53.5070654104106</v>
      </c>
      <c r="H2170" s="8" t="n">
        <v>61533.1252219722</v>
      </c>
      <c r="I2170" s="9" t="n">
        <v>10.7737171461678</v>
      </c>
      <c r="J2170" s="9" t="n">
        <v>9.43641851064247</v>
      </c>
      <c r="K2170" s="3" t="s">
        <v>755</v>
      </c>
      <c r="L2170" s="3" t="s">
        <v>755</v>
      </c>
      <c r="M2170" s="7" t="n">
        <v>2019</v>
      </c>
    </row>
    <row r="2171" customFormat="false" ht="15" hidden="false" customHeight="false" outlineLevel="0" collapsed="false">
      <c r="A2171" s="3" t="n">
        <v>3046</v>
      </c>
      <c r="B2171" s="3" t="s">
        <v>754</v>
      </c>
      <c r="C2171" s="4" t="s">
        <v>20</v>
      </c>
      <c r="D2171" s="5" t="n">
        <v>4990</v>
      </c>
      <c r="E2171" s="6" t="n">
        <v>73.3</v>
      </c>
      <c r="F2171" s="7" t="n">
        <v>46</v>
      </c>
      <c r="G2171" s="6" t="n">
        <v>36.0147494226006</v>
      </c>
      <c r="H2171" s="8" t="n">
        <v>17942.5481623396</v>
      </c>
      <c r="I2171" s="9" t="n">
        <v>6.7951929434966</v>
      </c>
      <c r="J2171" s="9" t="n">
        <v>6.44326577214914</v>
      </c>
      <c r="K2171" s="3" t="s">
        <v>755</v>
      </c>
      <c r="L2171" s="3" t="s">
        <v>755</v>
      </c>
      <c r="M2171" s="7" t="n">
        <v>2020</v>
      </c>
    </row>
    <row r="2172" customFormat="false" ht="15" hidden="false" customHeight="false" outlineLevel="0" collapsed="false">
      <c r="A2172" s="3" t="n">
        <v>3047</v>
      </c>
      <c r="B2172" s="3" t="s">
        <v>754</v>
      </c>
      <c r="C2172" s="4" t="s">
        <v>21</v>
      </c>
      <c r="D2172" s="5" t="n">
        <v>5012</v>
      </c>
      <c r="E2172" s="6" t="n">
        <v>73.3</v>
      </c>
      <c r="F2172" s="7" t="n">
        <v>45</v>
      </c>
      <c r="G2172" s="6" t="n">
        <v>65.879346673345</v>
      </c>
      <c r="H2172" s="8" t="n">
        <v>51805.5418435183</v>
      </c>
      <c r="I2172" s="9" t="n">
        <v>11.0050287030865</v>
      </c>
      <c r="J2172" s="9" t="n">
        <v>11.7667329140043</v>
      </c>
      <c r="K2172" s="3" t="s">
        <v>755</v>
      </c>
      <c r="L2172" s="3" t="s">
        <v>755</v>
      </c>
      <c r="M2172" s="7" t="n">
        <v>2021</v>
      </c>
    </row>
    <row r="2173" customFormat="false" ht="15" hidden="false" customHeight="false" outlineLevel="0" collapsed="false">
      <c r="A2173" s="3" t="n">
        <v>3048</v>
      </c>
      <c r="B2173" s="3" t="s">
        <v>754</v>
      </c>
      <c r="C2173" s="4" t="s">
        <v>22</v>
      </c>
      <c r="D2173" s="5" t="n">
        <v>4973</v>
      </c>
      <c r="E2173" s="6" t="n">
        <v>72.75</v>
      </c>
      <c r="F2173" s="7" t="n">
        <v>71</v>
      </c>
      <c r="G2173" s="6" t="n">
        <v>64.7630293629865</v>
      </c>
      <c r="H2173" s="8" t="n">
        <v>20836.1400503915</v>
      </c>
      <c r="I2173" s="9" t="n">
        <v>11.0815457634481</v>
      </c>
      <c r="J2173" s="9" t="n">
        <v>11.6580622620163</v>
      </c>
      <c r="K2173" s="3" t="s">
        <v>755</v>
      </c>
      <c r="L2173" s="3" t="s">
        <v>755</v>
      </c>
      <c r="M2173" s="7" t="n">
        <v>2022</v>
      </c>
    </row>
    <row r="2174" customFormat="false" ht="15" hidden="false" customHeight="false" outlineLevel="0" collapsed="false">
      <c r="A2174" s="3" t="n">
        <v>3049</v>
      </c>
      <c r="B2174" s="3" t="s">
        <v>754</v>
      </c>
      <c r="C2174" s="4" t="s">
        <v>23</v>
      </c>
      <c r="D2174" s="5" t="n">
        <v>5076</v>
      </c>
      <c r="E2174" s="6" t="n">
        <v>72.75</v>
      </c>
      <c r="F2174" s="7" t="n">
        <v>66</v>
      </c>
      <c r="G2174" s="6" t="n">
        <v>129.144248003934</v>
      </c>
      <c r="H2174" s="8" t="n">
        <v>67729.35440925</v>
      </c>
      <c r="I2174" s="9" t="n">
        <v>18.9329042918642</v>
      </c>
      <c r="J2174" s="9" t="n">
        <v>22.7756682796926</v>
      </c>
      <c r="K2174" s="3" t="s">
        <v>755</v>
      </c>
      <c r="L2174" s="3" t="s">
        <v>755</v>
      </c>
      <c r="M2174" s="7" t="n">
        <v>2023</v>
      </c>
    </row>
    <row r="2175" customFormat="false" ht="15" hidden="false" customHeight="false" outlineLevel="0" collapsed="false">
      <c r="A2175" s="3" t="n">
        <v>3050</v>
      </c>
      <c r="B2175" s="3" t="s">
        <v>756</v>
      </c>
      <c r="C2175" s="4" t="s">
        <v>14</v>
      </c>
      <c r="D2175" s="5" t="n">
        <v>48080</v>
      </c>
      <c r="E2175" s="6" t="n">
        <v>710</v>
      </c>
      <c r="F2175" s="7" t="n">
        <v>65</v>
      </c>
      <c r="G2175" s="6" t="n">
        <v>1476.75583297334</v>
      </c>
      <c r="H2175" s="8" t="n">
        <v>620503.26589874</v>
      </c>
      <c r="I2175" s="9" t="n">
        <v>6.66613281020664</v>
      </c>
      <c r="J2175" s="9" t="n">
        <v>27.4201880957648</v>
      </c>
      <c r="K2175" s="3" t="s">
        <v>757</v>
      </c>
      <c r="L2175" s="3" t="s">
        <v>758</v>
      </c>
      <c r="M2175" s="7" t="n">
        <v>2016</v>
      </c>
    </row>
    <row r="2176" customFormat="false" ht="15" hidden="false" customHeight="false" outlineLevel="0" collapsed="false">
      <c r="A2176" s="3" t="n">
        <v>3051</v>
      </c>
      <c r="B2176" s="3" t="s">
        <v>756</v>
      </c>
      <c r="C2176" s="4" t="s">
        <v>17</v>
      </c>
      <c r="D2176" s="5" t="n">
        <v>48315</v>
      </c>
      <c r="E2176" s="6" t="n">
        <v>710</v>
      </c>
      <c r="F2176" s="7" t="n">
        <v>70</v>
      </c>
      <c r="G2176" s="6" t="n">
        <v>1421.62767670689</v>
      </c>
      <c r="H2176" s="8" t="n">
        <v>611769.038117274</v>
      </c>
      <c r="I2176" s="9" t="n">
        <v>5.67228566837995</v>
      </c>
      <c r="J2176" s="9" t="n">
        <v>26.340351157219</v>
      </c>
      <c r="K2176" s="3" t="s">
        <v>757</v>
      </c>
      <c r="L2176" s="3" t="s">
        <v>758</v>
      </c>
      <c r="M2176" s="7" t="n">
        <v>2017</v>
      </c>
    </row>
    <row r="2177" customFormat="false" ht="15" hidden="false" customHeight="false" outlineLevel="0" collapsed="false">
      <c r="A2177" s="3" t="n">
        <v>3052</v>
      </c>
      <c r="B2177" s="3" t="s">
        <v>756</v>
      </c>
      <c r="C2177" s="4" t="s">
        <v>18</v>
      </c>
      <c r="D2177" s="5" t="n">
        <v>49689</v>
      </c>
      <c r="E2177" s="6" t="n">
        <v>710</v>
      </c>
      <c r="F2177" s="7" t="n">
        <v>69</v>
      </c>
      <c r="G2177" s="6" t="n">
        <v>1787.6889823756</v>
      </c>
      <c r="H2177" s="8" t="n">
        <v>1095281.28572188</v>
      </c>
      <c r="I2177" s="9" t="n">
        <v>6.7045165634118</v>
      </c>
      <c r="J2177" s="9" t="n">
        <v>32.2069338646862</v>
      </c>
      <c r="K2177" s="3" t="s">
        <v>757</v>
      </c>
      <c r="L2177" s="3" t="s">
        <v>758</v>
      </c>
      <c r="M2177" s="7" t="n">
        <v>2018</v>
      </c>
    </row>
    <row r="2178" customFormat="false" ht="15" hidden="false" customHeight="false" outlineLevel="0" collapsed="false">
      <c r="A2178" s="3" t="n">
        <v>3053</v>
      </c>
      <c r="B2178" s="3" t="s">
        <v>756</v>
      </c>
      <c r="C2178" s="4" t="s">
        <v>19</v>
      </c>
      <c r="D2178" s="5" t="n">
        <v>49770</v>
      </c>
      <c r="E2178" s="6" t="n">
        <v>710</v>
      </c>
      <c r="F2178" s="7" t="n">
        <v>72</v>
      </c>
      <c r="G2178" s="6" t="n">
        <v>481.987070773725</v>
      </c>
      <c r="H2178" s="8" t="n">
        <v>568974.169358684</v>
      </c>
      <c r="I2178" s="9" t="n">
        <v>3.98668322196784</v>
      </c>
      <c r="J2178" s="9" t="n">
        <v>8.66932775374906</v>
      </c>
      <c r="K2178" s="3" t="s">
        <v>757</v>
      </c>
      <c r="L2178" s="3" t="s">
        <v>758</v>
      </c>
      <c r="M2178" s="7" t="n">
        <v>2019</v>
      </c>
    </row>
    <row r="2179" customFormat="false" ht="15" hidden="false" customHeight="false" outlineLevel="0" collapsed="false">
      <c r="A2179" s="3" t="n">
        <v>3054</v>
      </c>
      <c r="B2179" s="3" t="s">
        <v>756</v>
      </c>
      <c r="C2179" s="4" t="s">
        <v>20</v>
      </c>
      <c r="D2179" s="5" t="n">
        <v>49890</v>
      </c>
      <c r="E2179" s="6" t="n">
        <v>710</v>
      </c>
      <c r="F2179" s="7" t="n">
        <v>72</v>
      </c>
      <c r="G2179" s="6" t="n">
        <v>4452.53777899651</v>
      </c>
      <c r="H2179" s="8" t="n">
        <v>6012528.91524573</v>
      </c>
      <c r="I2179" s="9" t="n">
        <v>11.6086325553911</v>
      </c>
      <c r="J2179" s="9" t="n">
        <v>79.6746753995113</v>
      </c>
      <c r="K2179" s="3" t="s">
        <v>757</v>
      </c>
      <c r="L2179" s="3" t="s">
        <v>758</v>
      </c>
      <c r="M2179" s="7" t="n">
        <v>2020</v>
      </c>
    </row>
    <row r="2180" customFormat="false" ht="15" hidden="false" customHeight="false" outlineLevel="0" collapsed="false">
      <c r="A2180" s="3" t="n">
        <v>3055</v>
      </c>
      <c r="B2180" s="3" t="s">
        <v>756</v>
      </c>
      <c r="C2180" s="4" t="s">
        <v>45</v>
      </c>
      <c r="D2180" s="5" t="n">
        <v>49910</v>
      </c>
      <c r="E2180" s="6" t="n">
        <v>710</v>
      </c>
      <c r="F2180" s="7" t="n">
        <v>72</v>
      </c>
      <c r="G2180" s="6" t="n">
        <v>3354.76852631462</v>
      </c>
      <c r="H2180" s="8" t="n">
        <v>4413238.2535892</v>
      </c>
      <c r="I2180" s="9" t="n">
        <v>9.34721877823693</v>
      </c>
      <c r="J2180" s="9" t="n">
        <v>60.1717530603518</v>
      </c>
      <c r="K2180" s="3" t="s">
        <v>757</v>
      </c>
      <c r="L2180" s="3" t="s">
        <v>758</v>
      </c>
      <c r="M2180" s="7" t="n">
        <v>2020</v>
      </c>
    </row>
    <row r="2181" customFormat="false" ht="15" hidden="false" customHeight="false" outlineLevel="0" collapsed="false">
      <c r="A2181" s="3" t="n">
        <v>3056</v>
      </c>
      <c r="B2181" s="3" t="s">
        <v>756</v>
      </c>
      <c r="C2181" s="4" t="s">
        <v>46</v>
      </c>
      <c r="D2181" s="5" t="n">
        <v>48413</v>
      </c>
      <c r="E2181" s="6" t="n">
        <v>710</v>
      </c>
      <c r="F2181" s="7" t="n">
        <v>67</v>
      </c>
      <c r="G2181" s="6" t="n">
        <v>229.369000151521</v>
      </c>
      <c r="H2181" s="8" t="n">
        <v>293744.621210048</v>
      </c>
      <c r="I2181" s="9" t="n">
        <v>2.47315966276433</v>
      </c>
      <c r="J2181" s="9" t="n">
        <v>4.24121609264729</v>
      </c>
      <c r="K2181" s="3" t="s">
        <v>757</v>
      </c>
      <c r="L2181" s="3" t="s">
        <v>758</v>
      </c>
      <c r="M2181" s="7" t="n">
        <v>2021</v>
      </c>
    </row>
    <row r="2182" customFormat="false" ht="15" hidden="false" customHeight="false" outlineLevel="0" collapsed="false">
      <c r="A2182" s="3" t="n">
        <v>3057</v>
      </c>
      <c r="B2182" s="3" t="s">
        <v>756</v>
      </c>
      <c r="C2182" s="4" t="s">
        <v>47</v>
      </c>
      <c r="D2182" s="5" t="n">
        <v>49945</v>
      </c>
      <c r="E2182" s="6" t="n">
        <v>709</v>
      </c>
      <c r="F2182" s="7" t="n">
        <v>63</v>
      </c>
      <c r="G2182" s="6" t="n">
        <v>1082.42607894301</v>
      </c>
      <c r="H2182" s="8" t="n">
        <v>728656.763562068</v>
      </c>
      <c r="I2182" s="9" t="n">
        <v>5.24763628827861</v>
      </c>
      <c r="J2182" s="9" t="n">
        <v>19.4009905538762</v>
      </c>
      <c r="K2182" s="3" t="s">
        <v>757</v>
      </c>
      <c r="L2182" s="3" t="s">
        <v>758</v>
      </c>
      <c r="M2182" s="7" t="n">
        <v>2022</v>
      </c>
    </row>
    <row r="2183" customFormat="false" ht="15" hidden="false" customHeight="false" outlineLevel="0" collapsed="false">
      <c r="A2183" s="3" t="n">
        <v>3058</v>
      </c>
      <c r="B2183" s="3" t="s">
        <v>756</v>
      </c>
      <c r="C2183" s="4" t="s">
        <v>48</v>
      </c>
      <c r="D2183" s="5" t="n">
        <v>50101</v>
      </c>
      <c r="E2183" s="6" t="n">
        <v>709</v>
      </c>
      <c r="F2183" s="7" t="n">
        <v>71</v>
      </c>
      <c r="G2183" s="6" t="n">
        <v>1561.72530376771</v>
      </c>
      <c r="H2183" s="8" t="n">
        <v>1090084.26202986</v>
      </c>
      <c r="I2183" s="9" t="n">
        <v>6.73225426960546</v>
      </c>
      <c r="J2183" s="9" t="n">
        <v>27.8281570929742</v>
      </c>
      <c r="K2183" s="3" t="s">
        <v>757</v>
      </c>
      <c r="L2183" s="3" t="s">
        <v>758</v>
      </c>
      <c r="M2183" s="7" t="n">
        <v>2023</v>
      </c>
    </row>
    <row r="2184" customFormat="false" ht="15" hidden="false" customHeight="false" outlineLevel="0" collapsed="false">
      <c r="A2184" s="3" t="n">
        <v>3059</v>
      </c>
      <c r="B2184" s="3" t="s">
        <v>756</v>
      </c>
      <c r="C2184" s="4" t="s">
        <v>49</v>
      </c>
      <c r="D2184" s="5" t="n">
        <v>49991</v>
      </c>
      <c r="E2184" s="6" t="n">
        <v>746</v>
      </c>
      <c r="F2184" s="7" t="n">
        <v>69</v>
      </c>
      <c r="G2184" s="6" t="n">
        <v>1646.4669179293</v>
      </c>
      <c r="H2184" s="8" t="n">
        <v>1170967.27203132</v>
      </c>
      <c r="I2184" s="9" t="n">
        <v>6.17537801973049</v>
      </c>
      <c r="J2184" s="9" t="n">
        <v>29.4834878890387</v>
      </c>
      <c r="K2184" s="3" t="s">
        <v>757</v>
      </c>
      <c r="L2184" s="3" t="s">
        <v>758</v>
      </c>
      <c r="M2184" s="7" t="n">
        <v>2024</v>
      </c>
    </row>
    <row r="2185" customFormat="false" ht="15" hidden="false" customHeight="false" outlineLevel="0" collapsed="false">
      <c r="A2185" s="3" t="n">
        <v>3069</v>
      </c>
      <c r="B2185" s="3" t="s">
        <v>759</v>
      </c>
      <c r="C2185" s="4" t="s">
        <v>14</v>
      </c>
      <c r="D2185" s="5" t="n">
        <v>26643</v>
      </c>
      <c r="E2185" s="6" t="n">
        <v>589</v>
      </c>
      <c r="F2185" s="7" t="n">
        <v>65</v>
      </c>
      <c r="G2185" s="6" t="n">
        <v>659.593608417084</v>
      </c>
      <c r="H2185" s="8" t="n">
        <v>406285.292578919</v>
      </c>
      <c r="I2185" s="9" t="n">
        <v>6.23279073288915</v>
      </c>
      <c r="J2185" s="9" t="n">
        <v>22.1013858939859</v>
      </c>
      <c r="K2185" s="3" t="s">
        <v>760</v>
      </c>
      <c r="L2185" s="3" t="s">
        <v>761</v>
      </c>
      <c r="M2185" s="7" t="n">
        <v>2016</v>
      </c>
    </row>
    <row r="2186" customFormat="false" ht="15" hidden="false" customHeight="false" outlineLevel="0" collapsed="false">
      <c r="A2186" s="3" t="n">
        <v>3070</v>
      </c>
      <c r="B2186" s="3" t="s">
        <v>759</v>
      </c>
      <c r="C2186" s="4" t="s">
        <v>17</v>
      </c>
      <c r="D2186" s="5" t="n">
        <v>26806</v>
      </c>
      <c r="E2186" s="6" t="n">
        <v>589</v>
      </c>
      <c r="F2186" s="7" t="n">
        <v>63</v>
      </c>
      <c r="G2186" s="6" t="n">
        <v>585.888692713567</v>
      </c>
      <c r="H2186" s="8" t="n">
        <v>376652.442579464</v>
      </c>
      <c r="I2186" s="9" t="n">
        <v>5.6047912642995</v>
      </c>
      <c r="J2186" s="9" t="n">
        <v>19.5659427167577</v>
      </c>
      <c r="K2186" s="3" t="s">
        <v>760</v>
      </c>
      <c r="L2186" s="3" t="s">
        <v>761</v>
      </c>
      <c r="M2186" s="7" t="n">
        <v>2017</v>
      </c>
    </row>
    <row r="2187" customFormat="false" ht="15" hidden="false" customHeight="false" outlineLevel="0" collapsed="false">
      <c r="A2187" s="3" t="n">
        <v>3071</v>
      </c>
      <c r="B2187" s="3" t="s">
        <v>759</v>
      </c>
      <c r="C2187" s="4" t="s">
        <v>18</v>
      </c>
      <c r="D2187" s="5" t="n">
        <v>26990</v>
      </c>
      <c r="E2187" s="6" t="n">
        <v>589</v>
      </c>
      <c r="F2187" s="7" t="n">
        <v>62</v>
      </c>
      <c r="G2187" s="6" t="n">
        <v>484.790744711055</v>
      </c>
      <c r="H2187" s="8" t="n">
        <v>328652.813066828</v>
      </c>
      <c r="I2187" s="9" t="n">
        <v>4.79774756323692</v>
      </c>
      <c r="J2187" s="9" t="n">
        <v>16.0793730029073</v>
      </c>
      <c r="K2187" s="3" t="s">
        <v>760</v>
      </c>
      <c r="L2187" s="3" t="s">
        <v>761</v>
      </c>
      <c r="M2187" s="7" t="n">
        <v>2018</v>
      </c>
    </row>
    <row r="2188" customFormat="false" ht="15" hidden="false" customHeight="false" outlineLevel="0" collapsed="false">
      <c r="A2188" s="3" t="n">
        <v>3072</v>
      </c>
      <c r="B2188" s="3" t="s">
        <v>759</v>
      </c>
      <c r="C2188" s="4" t="s">
        <v>19</v>
      </c>
      <c r="D2188" s="5" t="n">
        <v>27167</v>
      </c>
      <c r="E2188" s="6" t="n">
        <v>589</v>
      </c>
      <c r="F2188" s="7" t="n">
        <v>69</v>
      </c>
      <c r="G2188" s="6" t="n">
        <v>383.977726356783</v>
      </c>
      <c r="H2188" s="8" t="n">
        <v>144575.293527856</v>
      </c>
      <c r="I2188" s="9" t="n">
        <v>4.26495605775266</v>
      </c>
      <c r="J2188" s="9" t="n">
        <v>12.6526654339323</v>
      </c>
      <c r="K2188" s="3" t="s">
        <v>760</v>
      </c>
      <c r="L2188" s="3" t="s">
        <v>761</v>
      </c>
      <c r="M2188" s="7" t="n">
        <v>2019</v>
      </c>
    </row>
    <row r="2189" customFormat="false" ht="15" hidden="false" customHeight="false" outlineLevel="0" collapsed="false">
      <c r="A2189" s="3" t="n">
        <v>3073</v>
      </c>
      <c r="B2189" s="3" t="s">
        <v>759</v>
      </c>
      <c r="C2189" s="4" t="s">
        <v>20</v>
      </c>
      <c r="D2189" s="5" t="n">
        <v>27323</v>
      </c>
      <c r="E2189" s="6" t="n">
        <v>591</v>
      </c>
      <c r="F2189" s="7" t="n">
        <v>71</v>
      </c>
      <c r="G2189" s="6" t="n">
        <v>520.289116633165</v>
      </c>
      <c r="H2189" s="8" t="n">
        <v>206050.098860233</v>
      </c>
      <c r="I2189" s="9" t="n">
        <v>4.9898015286786</v>
      </c>
      <c r="J2189" s="9" t="n">
        <v>16.9997507187265</v>
      </c>
      <c r="K2189" s="3" t="s">
        <v>760</v>
      </c>
      <c r="L2189" s="3" t="s">
        <v>761</v>
      </c>
      <c r="M2189" s="7" t="n">
        <v>2020</v>
      </c>
    </row>
    <row r="2190" customFormat="false" ht="15" hidden="false" customHeight="false" outlineLevel="0" collapsed="false">
      <c r="A2190" s="3" t="n">
        <v>3074</v>
      </c>
      <c r="B2190" s="3" t="s">
        <v>759</v>
      </c>
      <c r="C2190" s="4" t="s">
        <v>21</v>
      </c>
      <c r="D2190" s="5" t="n">
        <v>27571</v>
      </c>
      <c r="E2190" s="6" t="n">
        <v>591</v>
      </c>
      <c r="F2190" s="7" t="n">
        <v>72</v>
      </c>
      <c r="G2190" s="6" t="n">
        <v>466.259629736182</v>
      </c>
      <c r="H2190" s="8" t="n">
        <v>214605.319778672</v>
      </c>
      <c r="I2190" s="9" t="n">
        <v>4.51250754722763</v>
      </c>
      <c r="J2190" s="9" t="n">
        <v>15.1388529563796</v>
      </c>
      <c r="K2190" s="3" t="s">
        <v>760</v>
      </c>
      <c r="L2190" s="3" t="s">
        <v>761</v>
      </c>
      <c r="M2190" s="7" t="n">
        <v>2021</v>
      </c>
    </row>
    <row r="2191" customFormat="false" ht="15" hidden="false" customHeight="false" outlineLevel="0" collapsed="false">
      <c r="A2191" s="3" t="n">
        <v>3075</v>
      </c>
      <c r="B2191" s="3" t="s">
        <v>759</v>
      </c>
      <c r="C2191" s="4" t="s">
        <v>22</v>
      </c>
      <c r="D2191" s="5" t="n">
        <v>27833</v>
      </c>
      <c r="E2191" s="6" t="n">
        <v>591</v>
      </c>
      <c r="F2191" s="7" t="n">
        <v>73</v>
      </c>
      <c r="G2191" s="6" t="n">
        <v>548.960018379399</v>
      </c>
      <c r="H2191" s="8" t="n">
        <v>253828.133298267</v>
      </c>
      <c r="I2191" s="9" t="n">
        <v>5.24506437159846</v>
      </c>
      <c r="J2191" s="9" t="n">
        <v>17.656245960399</v>
      </c>
      <c r="K2191" s="3" t="s">
        <v>760</v>
      </c>
      <c r="L2191" s="3" t="s">
        <v>761</v>
      </c>
      <c r="M2191" s="7" t="n">
        <v>2022</v>
      </c>
    </row>
    <row r="2192" customFormat="false" ht="15" hidden="false" customHeight="false" outlineLevel="0" collapsed="false">
      <c r="A2192" s="3" t="n">
        <v>3076</v>
      </c>
      <c r="B2192" s="3" t="s">
        <v>759</v>
      </c>
      <c r="C2192" s="4" t="s">
        <v>23</v>
      </c>
      <c r="D2192" s="5" t="n">
        <v>28038</v>
      </c>
      <c r="E2192" s="6" t="n">
        <v>591</v>
      </c>
      <c r="F2192" s="7" t="n">
        <v>73</v>
      </c>
      <c r="G2192" s="6" t="n">
        <v>262.535095326635</v>
      </c>
      <c r="H2192" s="8" t="n">
        <v>119910.279439487</v>
      </c>
      <c r="I2192" s="9" t="n">
        <v>3.32648832918349</v>
      </c>
      <c r="J2192" s="9" t="n">
        <v>8.38219983900179</v>
      </c>
      <c r="K2192" s="3" t="s">
        <v>760</v>
      </c>
      <c r="L2192" s="3" t="s">
        <v>761</v>
      </c>
      <c r="M2192" s="7" t="n">
        <v>2023</v>
      </c>
    </row>
    <row r="2193" customFormat="false" ht="15" hidden="false" customHeight="false" outlineLevel="0" collapsed="false">
      <c r="A2193" s="3" t="n">
        <v>3077</v>
      </c>
      <c r="B2193" s="3" t="s">
        <v>759</v>
      </c>
      <c r="C2193" s="4" t="s">
        <v>24</v>
      </c>
      <c r="D2193" s="5" t="n">
        <v>28254</v>
      </c>
      <c r="E2193" s="6" t="n">
        <v>591</v>
      </c>
      <c r="F2193" s="7" t="n">
        <v>77</v>
      </c>
      <c r="G2193" s="6" t="n">
        <v>444.306759580548</v>
      </c>
      <c r="H2193" s="8" t="n">
        <v>209389.307429099</v>
      </c>
      <c r="I2193" s="9" t="n">
        <v>4.55340661531658</v>
      </c>
      <c r="J2193" s="9" t="n">
        <v>14.0387736992586</v>
      </c>
      <c r="K2193" s="3" t="s">
        <v>760</v>
      </c>
      <c r="L2193" s="3" t="s">
        <v>761</v>
      </c>
      <c r="M2193" s="7" t="n">
        <v>2024</v>
      </c>
    </row>
    <row r="2194" customFormat="false" ht="15" hidden="false" customHeight="false" outlineLevel="0" collapsed="false">
      <c r="A2194" s="3" t="n">
        <v>3087</v>
      </c>
      <c r="B2194" s="3" t="s">
        <v>762</v>
      </c>
      <c r="C2194" s="4" t="s">
        <v>41</v>
      </c>
      <c r="D2194" s="5" t="n">
        <v>12449</v>
      </c>
      <c r="E2194" s="6" t="n">
        <v>200.442538006273</v>
      </c>
      <c r="F2194" s="7" t="n">
        <v>65</v>
      </c>
      <c r="G2194" s="6" t="n">
        <v>134.983346899053</v>
      </c>
      <c r="H2194" s="8" t="n">
        <v>114009.634457878</v>
      </c>
      <c r="I2194" s="9" t="n">
        <v>5.1638948759415</v>
      </c>
      <c r="J2194" s="9" t="n">
        <v>9.70651655907825</v>
      </c>
      <c r="K2194" s="3" t="s">
        <v>763</v>
      </c>
      <c r="L2194" s="3" t="s">
        <v>764</v>
      </c>
      <c r="M2194" s="7" t="n">
        <v>2016</v>
      </c>
    </row>
    <row r="2195" customFormat="false" ht="15" hidden="false" customHeight="false" outlineLevel="0" collapsed="false">
      <c r="A2195" s="3" t="n">
        <v>3088</v>
      </c>
      <c r="B2195" s="3" t="s">
        <v>762</v>
      </c>
      <c r="C2195" s="4" t="s">
        <v>44</v>
      </c>
      <c r="D2195" s="5" t="n">
        <v>12586</v>
      </c>
      <c r="E2195" s="6" t="n">
        <v>206.1</v>
      </c>
      <c r="F2195" s="7" t="n">
        <v>74</v>
      </c>
      <c r="G2195" s="6" t="n">
        <v>98.0698603518105</v>
      </c>
      <c r="H2195" s="8" t="n">
        <v>108746.726048312</v>
      </c>
      <c r="I2195" s="9" t="n">
        <v>9.59908037081488</v>
      </c>
      <c r="J2195" s="9" t="n">
        <v>6.95623144339499</v>
      </c>
      <c r="K2195" s="3" t="s">
        <v>763</v>
      </c>
      <c r="L2195" s="3" t="s">
        <v>764</v>
      </c>
      <c r="M2195" s="7" t="n">
        <v>2019</v>
      </c>
    </row>
    <row r="2196" customFormat="false" ht="15" hidden="false" customHeight="false" outlineLevel="0" collapsed="false">
      <c r="A2196" s="3" t="n">
        <v>3089</v>
      </c>
      <c r="B2196" s="3" t="s">
        <v>762</v>
      </c>
      <c r="C2196" s="4" t="s">
        <v>45</v>
      </c>
      <c r="D2196" s="5" t="n">
        <v>12664</v>
      </c>
      <c r="E2196" s="6" t="n">
        <v>206.1</v>
      </c>
      <c r="F2196" s="7" t="n">
        <v>75</v>
      </c>
      <c r="G2196" s="6" t="n">
        <v>33.3179031865989</v>
      </c>
      <c r="H2196" s="8" t="n">
        <v>33738.0419457819</v>
      </c>
      <c r="I2196" s="9" t="n">
        <v>11.2514695794709</v>
      </c>
      <c r="J2196" s="9" t="n">
        <v>2.35518178883303</v>
      </c>
      <c r="K2196" s="3" t="s">
        <v>763</v>
      </c>
      <c r="L2196" s="3" t="s">
        <v>764</v>
      </c>
      <c r="M2196" s="7" t="n">
        <v>2020</v>
      </c>
    </row>
    <row r="2197" customFormat="false" ht="15" hidden="false" customHeight="false" outlineLevel="0" collapsed="false">
      <c r="A2197" s="3" t="n">
        <v>3090</v>
      </c>
      <c r="B2197" s="3" t="s">
        <v>762</v>
      </c>
      <c r="C2197" s="4" t="s">
        <v>46</v>
      </c>
      <c r="D2197" s="5" t="n">
        <v>12676</v>
      </c>
      <c r="E2197" s="6" t="n">
        <v>206.1</v>
      </c>
      <c r="F2197" s="7" t="n">
        <v>72</v>
      </c>
      <c r="G2197" s="6" t="n">
        <v>316.365274999999</v>
      </c>
      <c r="H2197" s="8" t="n">
        <v>331266.546517534</v>
      </c>
      <c r="I2197" s="9" t="n">
        <v>11.7601927002826</v>
      </c>
      <c r="J2197" s="9" t="n">
        <v>22.3421134219258</v>
      </c>
      <c r="K2197" s="3" t="s">
        <v>763</v>
      </c>
      <c r="L2197" s="3" t="s">
        <v>764</v>
      </c>
      <c r="M2197" s="7" t="n">
        <v>2021</v>
      </c>
    </row>
    <row r="2198" customFormat="false" ht="15" hidden="false" customHeight="false" outlineLevel="0" collapsed="false">
      <c r="A2198" s="3" t="n">
        <v>3091</v>
      </c>
      <c r="B2198" s="3" t="s">
        <v>762</v>
      </c>
      <c r="C2198" s="4" t="s">
        <v>47</v>
      </c>
      <c r="D2198" s="5" t="n">
        <v>12698</v>
      </c>
      <c r="E2198" s="6" t="n">
        <v>206.1</v>
      </c>
      <c r="F2198" s="7" t="n">
        <v>60</v>
      </c>
      <c r="G2198" s="6" t="n">
        <v>291.324828365391</v>
      </c>
      <c r="H2198" s="8" t="n">
        <v>332881.275281768</v>
      </c>
      <c r="I2198" s="9" t="n">
        <v>13.2965172221769</v>
      </c>
      <c r="J2198" s="9" t="n">
        <v>20.538080464279</v>
      </c>
      <c r="K2198" s="3" t="s">
        <v>763</v>
      </c>
      <c r="L2198" s="3" t="s">
        <v>764</v>
      </c>
      <c r="M2198" s="7" t="n">
        <v>2022</v>
      </c>
    </row>
    <row r="2199" customFormat="false" ht="15" hidden="false" customHeight="false" outlineLevel="0" collapsed="false">
      <c r="A2199" s="3" t="n">
        <v>3092</v>
      </c>
      <c r="B2199" s="3" t="s">
        <v>762</v>
      </c>
      <c r="C2199" s="4" t="s">
        <v>48</v>
      </c>
      <c r="D2199" s="5" t="n">
        <v>12714</v>
      </c>
      <c r="E2199" s="6" t="n">
        <v>206.1</v>
      </c>
      <c r="F2199" s="7" t="n">
        <v>62</v>
      </c>
      <c r="G2199" s="6" t="n">
        <v>654.967055616878</v>
      </c>
      <c r="H2199" s="8" t="n">
        <v>683130.639008403</v>
      </c>
      <c r="I2199" s="9" t="n">
        <v>16.578372376023</v>
      </c>
      <c r="J2199" s="9" t="n">
        <v>45.9900034779513</v>
      </c>
      <c r="K2199" s="3" t="s">
        <v>763</v>
      </c>
      <c r="L2199" s="3" t="s">
        <v>764</v>
      </c>
      <c r="M2199" s="7" t="n">
        <v>2023</v>
      </c>
    </row>
    <row r="2200" customFormat="false" ht="15" hidden="false" customHeight="false" outlineLevel="0" collapsed="false">
      <c r="A2200" s="3" t="n">
        <v>3093</v>
      </c>
      <c r="B2200" s="3" t="s">
        <v>762</v>
      </c>
      <c r="C2200" s="4" t="s">
        <v>49</v>
      </c>
      <c r="D2200" s="5" t="n">
        <v>12420</v>
      </c>
      <c r="E2200" s="6" t="n">
        <v>213</v>
      </c>
      <c r="F2200" s="7" t="n">
        <v>65</v>
      </c>
      <c r="G2200" s="6" t="n">
        <v>145.309979007552</v>
      </c>
      <c r="H2200" s="8" t="n">
        <v>191086.981694301</v>
      </c>
      <c r="I2200" s="9" t="n">
        <v>9.71008275647228</v>
      </c>
      <c r="J2200" s="9" t="n">
        <v>10.4734923222005</v>
      </c>
      <c r="K2200" s="3" t="s">
        <v>763</v>
      </c>
      <c r="L2200" s="3" t="s">
        <v>764</v>
      </c>
      <c r="M2200" s="7" t="n">
        <v>2024</v>
      </c>
    </row>
    <row r="2201" customFormat="false" ht="15" hidden="false" customHeight="false" outlineLevel="0" collapsed="false">
      <c r="A2201" s="3" t="n">
        <v>3094</v>
      </c>
      <c r="B2201" s="3" t="s">
        <v>765</v>
      </c>
      <c r="C2201" s="4" t="s">
        <v>14</v>
      </c>
      <c r="D2201" s="5" t="n">
        <v>34692</v>
      </c>
      <c r="E2201" s="6" t="n">
        <v>587.12</v>
      </c>
      <c r="F2201" s="7" t="n">
        <v>77</v>
      </c>
      <c r="G2201" s="6" t="n">
        <v>850.839060492333</v>
      </c>
      <c r="H2201" s="8" t="n">
        <v>297793.671172317</v>
      </c>
      <c r="I2201" s="9" t="n">
        <v>3.64506745785097</v>
      </c>
      <c r="J2201" s="9" t="n">
        <v>21.8949660101249</v>
      </c>
      <c r="K2201" s="3" t="s">
        <v>766</v>
      </c>
      <c r="L2201" s="3" t="s">
        <v>767</v>
      </c>
      <c r="M2201" s="7" t="n">
        <v>2016</v>
      </c>
    </row>
    <row r="2202" customFormat="false" ht="15" hidden="false" customHeight="false" outlineLevel="0" collapsed="false">
      <c r="A2202" s="3" t="n">
        <v>3095</v>
      </c>
      <c r="B2202" s="3" t="s">
        <v>765</v>
      </c>
      <c r="C2202" s="4" t="s">
        <v>17</v>
      </c>
      <c r="D2202" s="5" t="n">
        <v>35306</v>
      </c>
      <c r="E2202" s="6" t="n">
        <v>591.5</v>
      </c>
      <c r="F2202" s="7" t="n">
        <v>68</v>
      </c>
      <c r="G2202" s="6" t="n">
        <v>1207.3022358797</v>
      </c>
      <c r="H2202" s="8" t="n">
        <v>422555.782557894</v>
      </c>
      <c r="I2202" s="9" t="n">
        <v>5.14550032551406</v>
      </c>
      <c r="J2202" s="9" t="n">
        <v>30.6115388711158</v>
      </c>
      <c r="K2202" s="3" t="s">
        <v>766</v>
      </c>
      <c r="L2202" s="3" t="s">
        <v>767</v>
      </c>
      <c r="M2202" s="7" t="n">
        <v>2017</v>
      </c>
    </row>
    <row r="2203" customFormat="false" ht="15" hidden="false" customHeight="false" outlineLevel="0" collapsed="false">
      <c r="A2203" s="3" t="n">
        <v>3096</v>
      </c>
      <c r="B2203" s="3" t="s">
        <v>765</v>
      </c>
      <c r="C2203" s="4" t="s">
        <v>18</v>
      </c>
      <c r="D2203" s="5" t="n">
        <v>36444</v>
      </c>
      <c r="E2203" s="6" t="n">
        <v>607.38</v>
      </c>
      <c r="F2203" s="7" t="n">
        <v>64</v>
      </c>
      <c r="G2203" s="6" t="n">
        <v>679.562735299076</v>
      </c>
      <c r="H2203" s="8" t="n">
        <v>230398.949775799</v>
      </c>
      <c r="I2203" s="9" t="n">
        <v>3.01144868134599</v>
      </c>
      <c r="J2203" s="9" t="n">
        <v>16.6924925958915</v>
      </c>
      <c r="K2203" s="3" t="s">
        <v>766</v>
      </c>
      <c r="L2203" s="3" t="s">
        <v>767</v>
      </c>
      <c r="M2203" s="7" t="n">
        <v>2018</v>
      </c>
    </row>
    <row r="2204" customFormat="false" ht="15" hidden="false" customHeight="false" outlineLevel="0" collapsed="false">
      <c r="A2204" s="3" t="n">
        <v>3097</v>
      </c>
      <c r="B2204" s="3" t="s">
        <v>765</v>
      </c>
      <c r="C2204" s="4" t="s">
        <v>19</v>
      </c>
      <c r="D2204" s="5" t="n">
        <v>36937</v>
      </c>
      <c r="E2204" s="6" t="n">
        <v>616.33</v>
      </c>
      <c r="F2204" s="7" t="n">
        <v>64</v>
      </c>
      <c r="G2204" s="6" t="n">
        <v>891.060882499995</v>
      </c>
      <c r="H2204" s="8" t="n">
        <v>311898.040701473</v>
      </c>
      <c r="I2204" s="9" t="n">
        <v>3.65455682081237</v>
      </c>
      <c r="J2204" s="9" t="n">
        <v>21.5955084513895</v>
      </c>
      <c r="K2204" s="3" t="s">
        <v>766</v>
      </c>
      <c r="L2204" s="3" t="s">
        <v>767</v>
      </c>
      <c r="M2204" s="7" t="n">
        <v>2019</v>
      </c>
    </row>
    <row r="2205" customFormat="false" ht="15" hidden="false" customHeight="false" outlineLevel="0" collapsed="false">
      <c r="A2205" s="3" t="n">
        <v>3098</v>
      </c>
      <c r="B2205" s="3" t="s">
        <v>765</v>
      </c>
      <c r="C2205" s="4" t="s">
        <v>20</v>
      </c>
      <c r="D2205" s="5" t="n">
        <v>37163</v>
      </c>
      <c r="E2205" s="6" t="n">
        <v>645.5</v>
      </c>
      <c r="F2205" s="7" t="n">
        <v>64</v>
      </c>
      <c r="G2205" s="6" t="n">
        <v>1145.28071729581</v>
      </c>
      <c r="H2205" s="8" t="n">
        <v>413068.396307081</v>
      </c>
      <c r="I2205" s="9" t="n">
        <v>4.99321084827005</v>
      </c>
      <c r="J2205" s="9" t="n">
        <v>27.5123303161347</v>
      </c>
      <c r="K2205" s="3" t="s">
        <v>766</v>
      </c>
      <c r="L2205" s="3" t="s">
        <v>767</v>
      </c>
      <c r="M2205" s="7" t="n">
        <v>2020</v>
      </c>
    </row>
    <row r="2206" customFormat="false" ht="15" hidden="false" customHeight="false" outlineLevel="0" collapsed="false">
      <c r="A2206" s="3" t="n">
        <v>3099</v>
      </c>
      <c r="B2206" s="3" t="s">
        <v>765</v>
      </c>
      <c r="C2206" s="4" t="s">
        <v>21</v>
      </c>
      <c r="D2206" s="5" t="n">
        <v>40660</v>
      </c>
      <c r="E2206" s="6" t="n">
        <v>665.75</v>
      </c>
      <c r="F2206" s="7" t="n">
        <v>63</v>
      </c>
      <c r="G2206" s="6" t="n">
        <v>132.602724380068</v>
      </c>
      <c r="H2206" s="8" t="n">
        <v>47475.7534097958</v>
      </c>
      <c r="I2206" s="9" t="n">
        <v>0.485647147379587</v>
      </c>
      <c r="J2206" s="9" t="n">
        <v>2.91946146427149</v>
      </c>
      <c r="K2206" s="3" t="s">
        <v>766</v>
      </c>
      <c r="L2206" s="3" t="s">
        <v>767</v>
      </c>
      <c r="M2206" s="7" t="n">
        <v>2021</v>
      </c>
    </row>
    <row r="2207" customFormat="false" ht="15" hidden="false" customHeight="false" outlineLevel="0" collapsed="false">
      <c r="A2207" s="3" t="n">
        <v>3100</v>
      </c>
      <c r="B2207" s="3" t="s">
        <v>765</v>
      </c>
      <c r="C2207" s="4" t="s">
        <v>22</v>
      </c>
      <c r="D2207" s="5" t="n">
        <v>39090</v>
      </c>
      <c r="E2207" s="6" t="n">
        <v>679.94</v>
      </c>
      <c r="F2207" s="7" t="n">
        <v>57</v>
      </c>
      <c r="G2207" s="6" t="n">
        <v>1293.3173844167</v>
      </c>
      <c r="H2207" s="8" t="n">
        <v>636596.682957588</v>
      </c>
      <c r="I2207" s="9" t="n">
        <v>4.95867566650587</v>
      </c>
      <c r="J2207" s="9" t="n">
        <v>29.618094832548</v>
      </c>
      <c r="K2207" s="3" t="s">
        <v>766</v>
      </c>
      <c r="L2207" s="3" t="s">
        <v>767</v>
      </c>
      <c r="M2207" s="7" t="n">
        <v>2022</v>
      </c>
    </row>
    <row r="2208" customFormat="false" ht="15" hidden="false" customHeight="false" outlineLevel="0" collapsed="false">
      <c r="A2208" s="3" t="n">
        <v>3101</v>
      </c>
      <c r="B2208" s="3" t="s">
        <v>765</v>
      </c>
      <c r="C2208" s="4" t="s">
        <v>23</v>
      </c>
      <c r="D2208" s="5" t="n">
        <v>39808</v>
      </c>
      <c r="E2208" s="6" t="n">
        <v>696.6</v>
      </c>
      <c r="F2208" s="7" t="n">
        <v>61</v>
      </c>
      <c r="G2208" s="6" t="n">
        <v>298.446937163878</v>
      </c>
      <c r="H2208" s="8" t="n">
        <v>178196.697241808</v>
      </c>
      <c r="I2208" s="9" t="n">
        <v>3.17682925739169</v>
      </c>
      <c r="J2208" s="9" t="n">
        <v>6.71142037561799</v>
      </c>
      <c r="K2208" s="3" t="s">
        <v>766</v>
      </c>
      <c r="L2208" s="3" t="s">
        <v>767</v>
      </c>
      <c r="M2208" s="7" t="n">
        <v>2023</v>
      </c>
    </row>
    <row r="2209" customFormat="false" ht="15" hidden="false" customHeight="false" outlineLevel="0" collapsed="false">
      <c r="A2209" s="3" t="n">
        <v>3102</v>
      </c>
      <c r="B2209" s="3" t="s">
        <v>765</v>
      </c>
      <c r="C2209" s="4" t="s">
        <v>24</v>
      </c>
      <c r="D2209" s="5" t="n">
        <v>40420</v>
      </c>
      <c r="E2209" s="6" t="n">
        <v>691.4</v>
      </c>
      <c r="F2209" s="7" t="n">
        <v>52</v>
      </c>
      <c r="G2209" s="6" t="n">
        <v>1344.75127001256</v>
      </c>
      <c r="H2209" s="8" t="n">
        <v>902495.57961903</v>
      </c>
      <c r="I2209" s="9" t="n">
        <v>5.09801844603135</v>
      </c>
      <c r="J2209" s="9" t="n">
        <v>29.7010530582895</v>
      </c>
      <c r="K2209" s="3" t="s">
        <v>766</v>
      </c>
      <c r="L2209" s="3" t="s">
        <v>767</v>
      </c>
      <c r="M2209" s="7" t="n">
        <v>2024</v>
      </c>
    </row>
    <row r="2210" customFormat="false" ht="15" hidden="false" customHeight="false" outlineLevel="0" collapsed="false">
      <c r="A2210" s="3" t="n">
        <v>3103</v>
      </c>
      <c r="B2210" s="3" t="s">
        <v>768</v>
      </c>
      <c r="C2210" s="4" t="s">
        <v>41</v>
      </c>
      <c r="D2210" s="5" t="n">
        <v>21763</v>
      </c>
      <c r="E2210" s="6" t="n">
        <v>240</v>
      </c>
      <c r="F2210" s="7" t="n">
        <v>67</v>
      </c>
      <c r="G2210" s="6" t="n">
        <v>437.11226312814</v>
      </c>
      <c r="H2210" s="8" t="n">
        <v>353186.708607537</v>
      </c>
      <c r="I2210" s="9" t="n">
        <v>4.68250310116559</v>
      </c>
      <c r="J2210" s="9" t="n">
        <v>17.980091734051</v>
      </c>
      <c r="K2210" s="3" t="s">
        <v>769</v>
      </c>
      <c r="L2210" s="3" t="s">
        <v>770</v>
      </c>
      <c r="M2210" s="7" t="n">
        <v>2016</v>
      </c>
    </row>
    <row r="2211" customFormat="false" ht="15" hidden="false" customHeight="false" outlineLevel="0" collapsed="false">
      <c r="A2211" s="3" t="n">
        <v>3104</v>
      </c>
      <c r="B2211" s="3" t="s">
        <v>768</v>
      </c>
      <c r="C2211" s="4" t="s">
        <v>42</v>
      </c>
      <c r="D2211" s="5" t="n">
        <v>22038</v>
      </c>
      <c r="E2211" s="6" t="n">
        <v>300.8</v>
      </c>
      <c r="F2211" s="7" t="n">
        <v>57</v>
      </c>
      <c r="G2211" s="6" t="n">
        <v>6.89041156641737</v>
      </c>
      <c r="H2211" s="8" t="n">
        <v>7493.57487557356</v>
      </c>
      <c r="I2211" s="9" t="n">
        <v>0.929717877314436</v>
      </c>
      <c r="J2211" s="9" t="n">
        <v>0.279892111842864</v>
      </c>
      <c r="K2211" s="3" t="s">
        <v>769</v>
      </c>
      <c r="L2211" s="3" t="s">
        <v>770</v>
      </c>
      <c r="M2211" s="7" t="n">
        <v>2017</v>
      </c>
    </row>
    <row r="2212" customFormat="false" ht="15" hidden="false" customHeight="false" outlineLevel="0" collapsed="false">
      <c r="A2212" s="3" t="n">
        <v>3105</v>
      </c>
      <c r="B2212" s="3" t="s">
        <v>768</v>
      </c>
      <c r="C2212" s="4" t="s">
        <v>43</v>
      </c>
      <c r="D2212" s="5" t="n">
        <v>22038</v>
      </c>
      <c r="E2212" s="6" t="n">
        <v>300.8</v>
      </c>
      <c r="F2212" s="7" t="n">
        <v>76</v>
      </c>
      <c r="G2212" s="6" t="n">
        <v>10.2118650000015</v>
      </c>
      <c r="H2212" s="8" t="n">
        <v>11592.4295948035</v>
      </c>
      <c r="I2212" s="9" t="n">
        <v>0.767377022860774</v>
      </c>
      <c r="J2212" s="9" t="n">
        <v>0.414811282773747</v>
      </c>
      <c r="K2212" s="3" t="s">
        <v>769</v>
      </c>
      <c r="L2212" s="3" t="s">
        <v>770</v>
      </c>
      <c r="M2212" s="7" t="n">
        <v>2018</v>
      </c>
    </row>
    <row r="2213" customFormat="false" ht="15" hidden="false" customHeight="false" outlineLevel="0" collapsed="false">
      <c r="A2213" s="3" t="n">
        <v>3106</v>
      </c>
      <c r="B2213" s="3" t="s">
        <v>768</v>
      </c>
      <c r="C2213" s="4" t="s">
        <v>44</v>
      </c>
      <c r="D2213" s="5" t="n">
        <v>22038</v>
      </c>
      <c r="E2213" s="6" t="n">
        <v>300.8</v>
      </c>
      <c r="F2213" s="7" t="n">
        <v>69</v>
      </c>
      <c r="G2213" s="6" t="n">
        <v>700.705024999999</v>
      </c>
      <c r="H2213" s="8" t="n">
        <v>866844.989247599</v>
      </c>
      <c r="I2213" s="9" t="n">
        <v>6.01381573966514</v>
      </c>
      <c r="J2213" s="9" t="n">
        <v>28.3850227690496</v>
      </c>
      <c r="K2213" s="3" t="s">
        <v>769</v>
      </c>
      <c r="L2213" s="3" t="s">
        <v>770</v>
      </c>
      <c r="M2213" s="7" t="n">
        <v>2019</v>
      </c>
    </row>
    <row r="2214" customFormat="false" ht="15" hidden="false" customHeight="false" outlineLevel="0" collapsed="false">
      <c r="A2214" s="3" t="n">
        <v>3107</v>
      </c>
      <c r="B2214" s="3" t="s">
        <v>768</v>
      </c>
      <c r="C2214" s="4" t="s">
        <v>45</v>
      </c>
      <c r="D2214" s="5" t="n">
        <v>22038</v>
      </c>
      <c r="E2214" s="6" t="n">
        <v>300.8</v>
      </c>
      <c r="F2214" s="7" t="n">
        <v>76</v>
      </c>
      <c r="G2214" s="6" t="n">
        <v>199.659800000001</v>
      </c>
      <c r="H2214" s="8" t="n">
        <v>261785.144728802</v>
      </c>
      <c r="I2214" s="9" t="n">
        <v>2.08929939902393</v>
      </c>
      <c r="J2214" s="9" t="n">
        <v>8.11028521786549</v>
      </c>
      <c r="K2214" s="3" t="s">
        <v>769</v>
      </c>
      <c r="L2214" s="3" t="s">
        <v>770</v>
      </c>
      <c r="M2214" s="7" t="n">
        <v>2020</v>
      </c>
    </row>
    <row r="2215" customFormat="false" ht="15" hidden="false" customHeight="false" outlineLevel="0" collapsed="false">
      <c r="A2215" s="3" t="n">
        <v>3108</v>
      </c>
      <c r="B2215" s="3" t="s">
        <v>768</v>
      </c>
      <c r="C2215" s="4" t="s">
        <v>46</v>
      </c>
      <c r="D2215" s="5" t="n">
        <v>22038</v>
      </c>
      <c r="E2215" s="6" t="n">
        <v>300.8</v>
      </c>
      <c r="F2215" s="7" t="n">
        <v>73</v>
      </c>
      <c r="G2215" s="6" t="n">
        <v>26.8536500000002</v>
      </c>
      <c r="H2215" s="8" t="n">
        <v>39771.3297960002</v>
      </c>
      <c r="I2215" s="9" t="n">
        <v>0.874648996617778</v>
      </c>
      <c r="J2215" s="9" t="n">
        <v>1.09080926977155</v>
      </c>
      <c r="K2215" s="3" t="s">
        <v>769</v>
      </c>
      <c r="L2215" s="3" t="s">
        <v>770</v>
      </c>
      <c r="M2215" s="7" t="n">
        <v>2021</v>
      </c>
    </row>
    <row r="2216" customFormat="false" ht="15" hidden="false" customHeight="false" outlineLevel="0" collapsed="false">
      <c r="A2216" s="3" t="n">
        <v>3109</v>
      </c>
      <c r="B2216" s="3" t="s">
        <v>768</v>
      </c>
      <c r="C2216" s="4" t="s">
        <v>47</v>
      </c>
      <c r="D2216" s="5" t="n">
        <v>21992</v>
      </c>
      <c r="E2216" s="6" t="n">
        <v>300.8</v>
      </c>
      <c r="F2216" s="7" t="n">
        <v>69</v>
      </c>
      <c r="G2216" s="6" t="n">
        <v>62.6771725000017</v>
      </c>
      <c r="H2216" s="8" t="n">
        <v>81821.2880684022</v>
      </c>
      <c r="I2216" s="9" t="n">
        <v>1.35632487237814</v>
      </c>
      <c r="J2216" s="9" t="n">
        <v>2.5513047871926</v>
      </c>
      <c r="K2216" s="3" t="s">
        <v>769</v>
      </c>
      <c r="L2216" s="3" t="s">
        <v>770</v>
      </c>
      <c r="M2216" s="7" t="n">
        <v>2022</v>
      </c>
    </row>
    <row r="2217" customFormat="false" ht="15" hidden="false" customHeight="false" outlineLevel="0" collapsed="false">
      <c r="A2217" s="3" t="n">
        <v>3110</v>
      </c>
      <c r="B2217" s="3" t="s">
        <v>768</v>
      </c>
      <c r="C2217" s="4" t="s">
        <v>48</v>
      </c>
      <c r="D2217" s="5" t="n">
        <v>21827</v>
      </c>
      <c r="E2217" s="6" t="n">
        <v>300.8</v>
      </c>
      <c r="F2217" s="7" t="n">
        <v>68</v>
      </c>
      <c r="G2217" s="6" t="n">
        <v>197.371635</v>
      </c>
      <c r="H2217" s="8" t="n">
        <v>262243.743991801</v>
      </c>
      <c r="I2217" s="9" t="n">
        <v>2.62117525724868</v>
      </c>
      <c r="J2217" s="9" t="n">
        <v>8.0726641361472</v>
      </c>
      <c r="K2217" s="3" t="s">
        <v>769</v>
      </c>
      <c r="L2217" s="3" t="s">
        <v>770</v>
      </c>
      <c r="M2217" s="7" t="n">
        <v>2023</v>
      </c>
    </row>
    <row r="2218" customFormat="false" ht="15" hidden="false" customHeight="false" outlineLevel="0" collapsed="false">
      <c r="A2218" s="3" t="n">
        <v>3111</v>
      </c>
      <c r="B2218" s="3" t="s">
        <v>768</v>
      </c>
      <c r="C2218" s="4" t="s">
        <v>49</v>
      </c>
      <c r="D2218" s="5" t="n">
        <v>21963</v>
      </c>
      <c r="E2218" s="6" t="n">
        <v>300.8</v>
      </c>
      <c r="F2218" s="7" t="n">
        <v>68</v>
      </c>
      <c r="G2218" s="6" t="n">
        <v>202.190800000001</v>
      </c>
      <c r="H2218" s="8" t="n">
        <v>293399.069880001</v>
      </c>
      <c r="I2218" s="9" t="n">
        <v>2.72751855989835</v>
      </c>
      <c r="J2218" s="9" t="n">
        <v>8.241142116987</v>
      </c>
      <c r="K2218" s="3" t="s">
        <v>769</v>
      </c>
      <c r="L2218" s="3" t="s">
        <v>770</v>
      </c>
      <c r="M2218" s="7" t="n">
        <v>2024</v>
      </c>
    </row>
    <row r="2219" customFormat="false" ht="15" hidden="false" customHeight="false" outlineLevel="0" collapsed="false">
      <c r="A2219" s="3" t="n">
        <v>3112</v>
      </c>
      <c r="B2219" s="3" t="s">
        <v>771</v>
      </c>
      <c r="C2219" s="4" t="s">
        <v>14</v>
      </c>
      <c r="D2219" s="5" t="n">
        <v>18117</v>
      </c>
      <c r="E2219" s="6" t="n">
        <v>405.6</v>
      </c>
      <c r="F2219" s="7" t="n">
        <v>58</v>
      </c>
      <c r="G2219" s="6" t="n">
        <v>1639.46991407045</v>
      </c>
      <c r="H2219" s="8" t="n">
        <v>138649.970632938</v>
      </c>
      <c r="I2219" s="9" t="n">
        <v>11.8254516918825</v>
      </c>
      <c r="J2219" s="9" t="n">
        <v>80.7873496503731</v>
      </c>
      <c r="K2219" s="3" t="s">
        <v>772</v>
      </c>
      <c r="L2219" s="3" t="s">
        <v>773</v>
      </c>
      <c r="M2219" s="7" t="n">
        <v>2016</v>
      </c>
    </row>
    <row r="2220" customFormat="false" ht="15" hidden="false" customHeight="false" outlineLevel="0" collapsed="false">
      <c r="A2220" s="3" t="n">
        <v>3113</v>
      </c>
      <c r="B2220" s="3" t="s">
        <v>771</v>
      </c>
      <c r="C2220" s="4" t="s">
        <v>17</v>
      </c>
      <c r="D2220" s="5" t="n">
        <v>22381</v>
      </c>
      <c r="E2220" s="6" t="n">
        <v>408</v>
      </c>
      <c r="F2220" s="7" t="n">
        <v>53</v>
      </c>
      <c r="G2220" s="6" t="n">
        <v>1264.20457816774</v>
      </c>
      <c r="H2220" s="8" t="n">
        <v>447528.420671378</v>
      </c>
      <c r="I2220" s="9" t="n">
        <v>21.1738221653122</v>
      </c>
      <c r="J2220" s="9" t="n">
        <v>50.5656443775819</v>
      </c>
      <c r="K2220" s="3" t="s">
        <v>772</v>
      </c>
      <c r="L2220" s="3" t="s">
        <v>773</v>
      </c>
      <c r="M2220" s="7" t="n">
        <v>2017</v>
      </c>
    </row>
    <row r="2221" customFormat="false" ht="15" hidden="false" customHeight="false" outlineLevel="0" collapsed="false">
      <c r="A2221" s="3" t="n">
        <v>3114</v>
      </c>
      <c r="B2221" s="3" t="s">
        <v>771</v>
      </c>
      <c r="C2221" s="4" t="s">
        <v>18</v>
      </c>
      <c r="D2221" s="5" t="n">
        <v>22553</v>
      </c>
      <c r="E2221" s="6" t="n">
        <v>405.05</v>
      </c>
      <c r="F2221" s="7" t="n">
        <v>65</v>
      </c>
      <c r="G2221" s="6" t="n">
        <v>398.742489978054</v>
      </c>
      <c r="H2221" s="8" t="n">
        <v>106635.704094831</v>
      </c>
      <c r="I2221" s="9" t="n">
        <v>6.2603517606799</v>
      </c>
      <c r="J2221" s="9" t="n">
        <v>15.8272648971238</v>
      </c>
      <c r="K2221" s="3" t="s">
        <v>772</v>
      </c>
      <c r="L2221" s="3" t="s">
        <v>773</v>
      </c>
      <c r="M2221" s="7" t="n">
        <v>2018</v>
      </c>
    </row>
    <row r="2222" customFormat="false" ht="15" hidden="false" customHeight="false" outlineLevel="0" collapsed="false">
      <c r="A2222" s="3" t="n">
        <v>3115</v>
      </c>
      <c r="B2222" s="3" t="s">
        <v>771</v>
      </c>
      <c r="C2222" s="4" t="s">
        <v>19</v>
      </c>
      <c r="D2222" s="5" t="n">
        <v>22553</v>
      </c>
      <c r="E2222" s="6" t="n">
        <v>504.58</v>
      </c>
      <c r="F2222" s="7" t="n">
        <v>76</v>
      </c>
      <c r="G2222" s="6" t="n">
        <v>1494.74370112736</v>
      </c>
      <c r="H2222" s="8" t="n">
        <v>217649.630321155</v>
      </c>
      <c r="I2222" s="9" t="n">
        <v>14.1646395540689</v>
      </c>
      <c r="J2222" s="9" t="n">
        <v>59.3307839160858</v>
      </c>
      <c r="K2222" s="3" t="s">
        <v>772</v>
      </c>
      <c r="L2222" s="3" t="s">
        <v>773</v>
      </c>
      <c r="M2222" s="7" t="n">
        <v>2019</v>
      </c>
    </row>
    <row r="2223" customFormat="false" ht="15" hidden="false" customHeight="false" outlineLevel="0" collapsed="false">
      <c r="A2223" s="3" t="n">
        <v>3116</v>
      </c>
      <c r="B2223" s="3" t="s">
        <v>771</v>
      </c>
      <c r="C2223" s="4" t="s">
        <v>20</v>
      </c>
      <c r="D2223" s="5" t="n">
        <v>22397</v>
      </c>
      <c r="E2223" s="6" t="n">
        <v>396.6</v>
      </c>
      <c r="F2223" s="7" t="n">
        <v>79</v>
      </c>
      <c r="G2223" s="6" t="n">
        <v>1485.14168865103</v>
      </c>
      <c r="H2223" s="8" t="n">
        <v>216934.646461256</v>
      </c>
      <c r="I2223" s="9" t="n">
        <v>16.9873150555197</v>
      </c>
      <c r="J2223" s="9" t="n">
        <v>59.1976181238347</v>
      </c>
      <c r="K2223" s="3" t="s">
        <v>772</v>
      </c>
      <c r="L2223" s="3" t="s">
        <v>773</v>
      </c>
      <c r="M2223" s="7" t="n">
        <v>2020</v>
      </c>
    </row>
    <row r="2224" customFormat="false" ht="15" hidden="false" customHeight="false" outlineLevel="0" collapsed="false">
      <c r="A2224" s="3" t="n">
        <v>3117</v>
      </c>
      <c r="B2224" s="3" t="s">
        <v>771</v>
      </c>
      <c r="C2224" s="4" t="s">
        <v>21</v>
      </c>
      <c r="D2224" s="5" t="n">
        <v>22632</v>
      </c>
      <c r="E2224" s="6" t="n">
        <v>385.91</v>
      </c>
      <c r="F2224" s="7" t="n">
        <v>79</v>
      </c>
      <c r="G2224" s="6" t="n">
        <v>702.495783163264</v>
      </c>
      <c r="H2224" s="8" t="n">
        <v>100344.497667041</v>
      </c>
      <c r="I2224" s="9" t="n">
        <v>8.70116262289733</v>
      </c>
      <c r="J2224" s="9" t="n">
        <v>27.7867952990238</v>
      </c>
      <c r="K2224" s="3" t="s">
        <v>772</v>
      </c>
      <c r="L2224" s="3" t="s">
        <v>773</v>
      </c>
      <c r="M2224" s="7" t="n">
        <v>2021</v>
      </c>
    </row>
    <row r="2225" customFormat="false" ht="15" hidden="false" customHeight="false" outlineLevel="0" collapsed="false">
      <c r="A2225" s="3" t="n">
        <v>3118</v>
      </c>
      <c r="B2225" s="3" t="s">
        <v>771</v>
      </c>
      <c r="C2225" s="4" t="s">
        <v>22</v>
      </c>
      <c r="D2225" s="5" t="n">
        <v>22839</v>
      </c>
      <c r="E2225" s="6" t="n">
        <v>427.4</v>
      </c>
      <c r="F2225" s="7" t="n">
        <v>57</v>
      </c>
      <c r="G2225" s="6" t="n">
        <v>1506.39583367347</v>
      </c>
      <c r="H2225" s="8" t="n">
        <v>2336022.24952746</v>
      </c>
      <c r="I2225" s="9" t="n">
        <v>11.0692662513065</v>
      </c>
      <c r="J2225" s="9" t="n">
        <v>59.0445335213593</v>
      </c>
      <c r="K2225" s="3" t="s">
        <v>772</v>
      </c>
      <c r="L2225" s="3" t="s">
        <v>773</v>
      </c>
      <c r="M2225" s="7" t="n">
        <v>2022</v>
      </c>
    </row>
    <row r="2226" customFormat="false" ht="15" hidden="false" customHeight="false" outlineLevel="0" collapsed="false">
      <c r="A2226" s="3" t="n">
        <v>3119</v>
      </c>
      <c r="B2226" s="3" t="s">
        <v>771</v>
      </c>
      <c r="C2226" s="4" t="s">
        <v>23</v>
      </c>
      <c r="D2226" s="5" t="n">
        <v>22630</v>
      </c>
      <c r="E2226" s="6" t="n">
        <v>428.26</v>
      </c>
      <c r="F2226" s="7" t="n">
        <v>66</v>
      </c>
      <c r="G2226" s="6" t="n">
        <v>1140.76760959183</v>
      </c>
      <c r="H2226" s="8" t="n">
        <v>219358.203648413</v>
      </c>
      <c r="I2226" s="9" t="n">
        <v>10.4916495599293</v>
      </c>
      <c r="J2226" s="9" t="n">
        <v>45.1263598297878</v>
      </c>
      <c r="K2226" s="3" t="s">
        <v>772</v>
      </c>
      <c r="L2226" s="3" t="s">
        <v>773</v>
      </c>
      <c r="M2226" s="7" t="n">
        <v>2023</v>
      </c>
    </row>
    <row r="2227" customFormat="false" ht="15" hidden="false" customHeight="false" outlineLevel="0" collapsed="false">
      <c r="A2227" s="3" t="n">
        <v>3120</v>
      </c>
      <c r="B2227" s="3" t="s">
        <v>771</v>
      </c>
      <c r="C2227" s="4" t="s">
        <v>24</v>
      </c>
      <c r="D2227" s="5" t="n">
        <v>22859</v>
      </c>
      <c r="E2227" s="6" t="n">
        <v>432.31</v>
      </c>
      <c r="F2227" s="7" t="n">
        <v>72</v>
      </c>
      <c r="G2227" s="6" t="n">
        <v>617.596089924244</v>
      </c>
      <c r="H2227" s="8" t="n">
        <v>92355.3192872715</v>
      </c>
      <c r="I2227" s="9" t="n">
        <v>6.67364326917007</v>
      </c>
      <c r="J2227" s="9" t="n">
        <v>24.1197889740865</v>
      </c>
      <c r="K2227" s="3" t="s">
        <v>772</v>
      </c>
      <c r="L2227" s="3" t="s">
        <v>773</v>
      </c>
      <c r="M2227" s="7" t="n">
        <v>2024</v>
      </c>
    </row>
    <row r="2228" customFormat="false" ht="15" hidden="false" customHeight="false" outlineLevel="0" collapsed="false">
      <c r="A2228" s="3" t="n">
        <v>3121</v>
      </c>
      <c r="B2228" s="3" t="s">
        <v>774</v>
      </c>
      <c r="C2228" s="4" t="s">
        <v>14</v>
      </c>
      <c r="D2228" s="5" t="n">
        <v>11740</v>
      </c>
      <c r="E2228" s="6" t="n">
        <v>186.5</v>
      </c>
      <c r="F2228" s="7" t="n">
        <v>68</v>
      </c>
      <c r="G2228" s="6" t="n">
        <v>395.468237244898</v>
      </c>
      <c r="H2228" s="8" t="n">
        <v>49065.7441949745</v>
      </c>
      <c r="I2228" s="9" t="n">
        <v>7.45812535189163</v>
      </c>
      <c r="J2228" s="9" t="n">
        <v>30.0725118607471</v>
      </c>
      <c r="K2228" s="3" t="s">
        <v>775</v>
      </c>
      <c r="L2228" s="3" t="s">
        <v>738</v>
      </c>
      <c r="M2228" s="7" t="n">
        <v>2016</v>
      </c>
    </row>
    <row r="2229" customFormat="false" ht="15" hidden="false" customHeight="false" outlineLevel="0" collapsed="false">
      <c r="A2229" s="3" t="n">
        <v>3122</v>
      </c>
      <c r="B2229" s="3" t="s">
        <v>774</v>
      </c>
      <c r="C2229" s="4" t="s">
        <v>17</v>
      </c>
      <c r="D2229" s="5" t="n">
        <v>11882</v>
      </c>
      <c r="E2229" s="6" t="n">
        <v>186.5</v>
      </c>
      <c r="F2229" s="7" t="n">
        <v>66</v>
      </c>
      <c r="G2229" s="6" t="n">
        <v>140.43983023196</v>
      </c>
      <c r="H2229" s="8" t="n">
        <v>17424.3697368793</v>
      </c>
      <c r="I2229" s="9" t="n">
        <v>5.30202906386664</v>
      </c>
      <c r="J2229" s="9" t="n">
        <v>10.5807979751703</v>
      </c>
      <c r="K2229" s="3" t="s">
        <v>775</v>
      </c>
      <c r="L2229" s="3" t="s">
        <v>738</v>
      </c>
      <c r="M2229" s="7" t="n">
        <v>2017</v>
      </c>
    </row>
    <row r="2230" customFormat="false" ht="15" hidden="false" customHeight="false" outlineLevel="0" collapsed="false">
      <c r="A2230" s="3" t="n">
        <v>3123</v>
      </c>
      <c r="B2230" s="3" t="s">
        <v>774</v>
      </c>
      <c r="C2230" s="4" t="s">
        <v>18</v>
      </c>
      <c r="D2230" s="5" t="n">
        <v>11878</v>
      </c>
      <c r="E2230" s="6" t="n">
        <v>219</v>
      </c>
      <c r="F2230" s="7" t="n">
        <v>66</v>
      </c>
      <c r="G2230" s="6" t="n">
        <v>306.135392577321</v>
      </c>
      <c r="H2230" s="8" t="n">
        <v>53619.6140099178</v>
      </c>
      <c r="I2230" s="9" t="n">
        <v>8.06807512594667</v>
      </c>
      <c r="J2230" s="9" t="n">
        <v>23.0721408973633</v>
      </c>
      <c r="K2230" s="3" t="s">
        <v>775</v>
      </c>
      <c r="L2230" s="3" t="s">
        <v>738</v>
      </c>
      <c r="M2230" s="7" t="n">
        <v>2018</v>
      </c>
    </row>
    <row r="2231" customFormat="false" ht="15" hidden="false" customHeight="false" outlineLevel="0" collapsed="false">
      <c r="A2231" s="3" t="n">
        <v>3124</v>
      </c>
      <c r="B2231" s="3" t="s">
        <v>774</v>
      </c>
      <c r="C2231" s="4" t="s">
        <v>19</v>
      </c>
      <c r="D2231" s="5" t="n">
        <v>11965</v>
      </c>
      <c r="E2231" s="6" t="n">
        <v>219</v>
      </c>
      <c r="F2231" s="7" t="n">
        <v>67</v>
      </c>
      <c r="G2231" s="6" t="n">
        <v>51.2240551546395</v>
      </c>
      <c r="H2231" s="8" t="n">
        <v>9720.2767061444</v>
      </c>
      <c r="I2231" s="9" t="n">
        <v>4.49140921989946</v>
      </c>
      <c r="J2231" s="9" t="n">
        <v>3.83247144744388</v>
      </c>
      <c r="K2231" s="3" t="s">
        <v>775</v>
      </c>
      <c r="L2231" s="3" t="s">
        <v>738</v>
      </c>
      <c r="M2231" s="7" t="n">
        <v>2019</v>
      </c>
    </row>
    <row r="2232" customFormat="false" ht="15" hidden="false" customHeight="false" outlineLevel="0" collapsed="false">
      <c r="A2232" s="3" t="n">
        <v>3125</v>
      </c>
      <c r="B2232" s="3" t="s">
        <v>774</v>
      </c>
      <c r="C2232" s="4" t="s">
        <v>20</v>
      </c>
      <c r="D2232" s="5" t="n">
        <v>12058</v>
      </c>
      <c r="E2232" s="6" t="n">
        <v>219</v>
      </c>
      <c r="F2232" s="7" t="n">
        <v>69</v>
      </c>
      <c r="G2232" s="6" t="n">
        <v>1529.68658100515</v>
      </c>
      <c r="H2232" s="8" t="n">
        <v>241323.355019373</v>
      </c>
      <c r="I2232" s="9" t="n">
        <v>19.6918793779757</v>
      </c>
      <c r="J2232" s="9" t="n">
        <v>113.253953404915</v>
      </c>
      <c r="K2232" s="3" t="s">
        <v>775</v>
      </c>
      <c r="L2232" s="3" t="s">
        <v>738</v>
      </c>
      <c r="M2232" s="7" t="n">
        <v>2020</v>
      </c>
    </row>
    <row r="2233" customFormat="false" ht="15" hidden="false" customHeight="false" outlineLevel="0" collapsed="false">
      <c r="A2233" s="3" t="n">
        <v>3126</v>
      </c>
      <c r="B2233" s="3" t="s">
        <v>774</v>
      </c>
      <c r="C2233" s="4" t="s">
        <v>21</v>
      </c>
      <c r="D2233" s="5" t="n">
        <v>11886</v>
      </c>
      <c r="E2233" s="6" t="n">
        <v>219</v>
      </c>
      <c r="F2233" s="7" t="n">
        <v>69</v>
      </c>
      <c r="G2233" s="6" t="n">
        <v>120.505733265305</v>
      </c>
      <c r="H2233" s="8" t="n">
        <v>18367.4838642977</v>
      </c>
      <c r="I2233" s="9" t="n">
        <v>3.80034742798917</v>
      </c>
      <c r="J2233" s="9" t="n">
        <v>9.0758990839331</v>
      </c>
      <c r="K2233" s="3" t="s">
        <v>775</v>
      </c>
      <c r="L2233" s="3" t="s">
        <v>738</v>
      </c>
      <c r="M2233" s="7" t="n">
        <v>2021</v>
      </c>
    </row>
    <row r="2234" customFormat="false" ht="15" hidden="false" customHeight="false" outlineLevel="0" collapsed="false">
      <c r="A2234" s="3" t="n">
        <v>3127</v>
      </c>
      <c r="B2234" s="3" t="s">
        <v>774</v>
      </c>
      <c r="C2234" s="4" t="s">
        <v>22</v>
      </c>
      <c r="D2234" s="5" t="n">
        <v>11996</v>
      </c>
      <c r="E2234" s="6" t="n">
        <v>193</v>
      </c>
      <c r="F2234" s="7" t="n">
        <v>59</v>
      </c>
      <c r="G2234" s="6" t="n">
        <v>450.61759387755</v>
      </c>
      <c r="H2234" s="8" t="n">
        <v>78416.4736865712</v>
      </c>
      <c r="I2234" s="9" t="n">
        <v>9.64582845103661</v>
      </c>
      <c r="J2234" s="9" t="n">
        <v>33.6270958411489</v>
      </c>
      <c r="K2234" s="3" t="s">
        <v>775</v>
      </c>
      <c r="L2234" s="3" t="s">
        <v>738</v>
      </c>
      <c r="M2234" s="7" t="n">
        <v>2022</v>
      </c>
    </row>
    <row r="2235" customFormat="false" ht="15" hidden="false" customHeight="false" outlineLevel="0" collapsed="false">
      <c r="A2235" s="3" t="n">
        <v>3128</v>
      </c>
      <c r="B2235" s="3" t="s">
        <v>774</v>
      </c>
      <c r="C2235" s="4" t="s">
        <v>23</v>
      </c>
      <c r="D2235" s="5" t="n">
        <v>12322</v>
      </c>
      <c r="E2235" s="6" t="n">
        <v>219</v>
      </c>
      <c r="F2235" s="7" t="n">
        <v>58</v>
      </c>
      <c r="G2235" s="6" t="n">
        <v>399.774891836734</v>
      </c>
      <c r="H2235" s="8" t="n">
        <v>79199.4038217755</v>
      </c>
      <c r="I2235" s="9" t="n">
        <v>7.69684020679302</v>
      </c>
      <c r="J2235" s="9" t="n">
        <v>29.0437028293652</v>
      </c>
      <c r="K2235" s="3" t="s">
        <v>775</v>
      </c>
      <c r="L2235" s="3" t="s">
        <v>738</v>
      </c>
      <c r="M2235" s="7" t="n">
        <v>2023</v>
      </c>
    </row>
    <row r="2236" customFormat="false" ht="15" hidden="false" customHeight="false" outlineLevel="0" collapsed="false">
      <c r="A2236" s="3" t="n">
        <v>3129</v>
      </c>
      <c r="B2236" s="3" t="s">
        <v>774</v>
      </c>
      <c r="C2236" s="4" t="s">
        <v>24</v>
      </c>
      <c r="D2236" s="5" t="n">
        <v>12451</v>
      </c>
      <c r="E2236" s="6" t="n">
        <v>219</v>
      </c>
      <c r="F2236" s="7" t="n">
        <v>58</v>
      </c>
      <c r="G2236" s="6" t="n">
        <v>433.996098469388</v>
      </c>
      <c r="H2236" s="8" t="n">
        <v>82637.1971095562</v>
      </c>
      <c r="I2236" s="9" t="n">
        <v>7.73691077836549</v>
      </c>
      <c r="J2236" s="9" t="n">
        <v>31.1177212332285</v>
      </c>
      <c r="K2236" s="3" t="s">
        <v>775</v>
      </c>
      <c r="L2236" s="3" t="s">
        <v>738</v>
      </c>
      <c r="M2236" s="7" t="n">
        <v>2024</v>
      </c>
    </row>
    <row r="2237" customFormat="false" ht="15" hidden="false" customHeight="false" outlineLevel="0" collapsed="false">
      <c r="A2237" s="3" t="n">
        <v>3130</v>
      </c>
      <c r="B2237" s="3" t="s">
        <v>774</v>
      </c>
      <c r="C2237" s="4" t="s">
        <v>37</v>
      </c>
      <c r="D2237" s="5" t="n">
        <v>12553</v>
      </c>
      <c r="E2237" s="6" t="n">
        <v>219</v>
      </c>
      <c r="F2237" s="7" t="n">
        <v>58</v>
      </c>
      <c r="G2237" s="6" t="n">
        <v>62.4858612244903</v>
      </c>
      <c r="H2237" s="8" t="n">
        <v>10491.3760995919</v>
      </c>
      <c r="I2237" s="9" t="n">
        <v>3.42321402505521</v>
      </c>
      <c r="J2237" s="9" t="n">
        <v>4.45606898527417</v>
      </c>
      <c r="K2237" s="3" t="s">
        <v>775</v>
      </c>
      <c r="L2237" s="3" t="s">
        <v>738</v>
      </c>
      <c r="M2237" s="7" t="n">
        <v>2025</v>
      </c>
    </row>
    <row r="2238" customFormat="false" ht="15" hidden="false" customHeight="false" outlineLevel="0" collapsed="false">
      <c r="A2238" s="3" t="n">
        <v>3131</v>
      </c>
      <c r="B2238" s="3" t="s">
        <v>776</v>
      </c>
      <c r="C2238" s="4" t="s">
        <v>14</v>
      </c>
      <c r="D2238" s="5" t="n">
        <v>47935</v>
      </c>
      <c r="E2238" s="6" t="n">
        <v>753.1</v>
      </c>
      <c r="F2238" s="7" t="n">
        <v>57</v>
      </c>
      <c r="G2238" s="6" t="n">
        <v>2310.12456244846</v>
      </c>
      <c r="H2238" s="8" t="n">
        <v>1288051.53203526</v>
      </c>
      <c r="I2238" s="9" t="n">
        <v>10.0500135719013</v>
      </c>
      <c r="J2238" s="9" t="n">
        <v>43.0238092850274</v>
      </c>
      <c r="K2238" s="3" t="s">
        <v>777</v>
      </c>
      <c r="L2238" s="3" t="s">
        <v>778</v>
      </c>
      <c r="M2238" s="7" t="n">
        <v>2016</v>
      </c>
    </row>
    <row r="2239" customFormat="false" ht="15" hidden="false" customHeight="false" outlineLevel="0" collapsed="false">
      <c r="A2239" s="3" t="n">
        <v>3132</v>
      </c>
      <c r="B2239" s="3" t="s">
        <v>776</v>
      </c>
      <c r="C2239" s="4" t="s">
        <v>17</v>
      </c>
      <c r="D2239" s="5" t="n">
        <v>48162</v>
      </c>
      <c r="E2239" s="6" t="n">
        <v>755</v>
      </c>
      <c r="F2239" s="7" t="n">
        <v>63</v>
      </c>
      <c r="G2239" s="6" t="n">
        <v>2811.99286399485</v>
      </c>
      <c r="H2239" s="8" t="n">
        <v>570314.789854456</v>
      </c>
      <c r="I2239" s="9" t="n">
        <v>10.7901475417467</v>
      </c>
      <c r="J2239" s="9" t="n">
        <v>52.2669761718569</v>
      </c>
      <c r="K2239" s="3" t="s">
        <v>777</v>
      </c>
      <c r="L2239" s="3" t="s">
        <v>778</v>
      </c>
      <c r="M2239" s="7" t="n">
        <v>2017</v>
      </c>
    </row>
    <row r="2240" customFormat="false" ht="15" hidden="false" customHeight="false" outlineLevel="0" collapsed="false">
      <c r="A2240" s="3" t="n">
        <v>3133</v>
      </c>
      <c r="B2240" s="3" t="s">
        <v>776</v>
      </c>
      <c r="C2240" s="4" t="s">
        <v>18</v>
      </c>
      <c r="D2240" s="5" t="n">
        <v>47649</v>
      </c>
      <c r="E2240" s="6" t="n">
        <v>759.3</v>
      </c>
      <c r="F2240" s="7" t="n">
        <v>66</v>
      </c>
      <c r="G2240" s="6" t="n">
        <v>2546.21606108947</v>
      </c>
      <c r="H2240" s="8" t="n">
        <v>392567.113918827</v>
      </c>
      <c r="I2240" s="9" t="n">
        <v>10.0174697409676</v>
      </c>
      <c r="J2240" s="9" t="n">
        <v>47.8364714203649</v>
      </c>
      <c r="K2240" s="3" t="s">
        <v>777</v>
      </c>
      <c r="L2240" s="3" t="s">
        <v>778</v>
      </c>
      <c r="M2240" s="7" t="n">
        <v>2018</v>
      </c>
    </row>
    <row r="2241" customFormat="false" ht="15" hidden="false" customHeight="false" outlineLevel="0" collapsed="false">
      <c r="A2241" s="3" t="n">
        <v>3134</v>
      </c>
      <c r="B2241" s="3" t="s">
        <v>776</v>
      </c>
      <c r="C2241" s="4" t="s">
        <v>19</v>
      </c>
      <c r="D2241" s="5" t="n">
        <v>46183</v>
      </c>
      <c r="E2241" s="6" t="n">
        <v>728</v>
      </c>
      <c r="F2241" s="7" t="n">
        <v>67</v>
      </c>
      <c r="G2241" s="6" t="n">
        <v>2329.54528544256</v>
      </c>
      <c r="H2241" s="8" t="n">
        <v>367788.609665671</v>
      </c>
      <c r="I2241" s="9" t="n">
        <v>10.8694936384715</v>
      </c>
      <c r="J2241" s="9" t="n">
        <v>45.1550877985134</v>
      </c>
      <c r="K2241" s="3" t="s">
        <v>777</v>
      </c>
      <c r="L2241" s="3" t="s">
        <v>778</v>
      </c>
      <c r="M2241" s="7" t="n">
        <v>2019</v>
      </c>
    </row>
    <row r="2242" customFormat="false" ht="15" hidden="false" customHeight="false" outlineLevel="0" collapsed="false">
      <c r="A2242" s="3" t="n">
        <v>3135</v>
      </c>
      <c r="B2242" s="3" t="s">
        <v>776</v>
      </c>
      <c r="C2242" s="4" t="s">
        <v>20</v>
      </c>
      <c r="D2242" s="5" t="n">
        <v>46131</v>
      </c>
      <c r="E2242" s="6" t="n">
        <v>706.3</v>
      </c>
      <c r="F2242" s="7" t="n">
        <v>68</v>
      </c>
      <c r="G2242" s="6" t="n">
        <v>2804.12239937671</v>
      </c>
      <c r="H2242" s="8" t="n">
        <v>442210.102381707</v>
      </c>
      <c r="I2242" s="9" t="n">
        <v>10.4750939468456</v>
      </c>
      <c r="J2242" s="9" t="n">
        <v>54.2663099671365</v>
      </c>
      <c r="K2242" s="3" t="s">
        <v>777</v>
      </c>
      <c r="L2242" s="3" t="s">
        <v>778</v>
      </c>
      <c r="M2242" s="7" t="n">
        <v>2020</v>
      </c>
    </row>
    <row r="2243" customFormat="false" ht="15" hidden="false" customHeight="false" outlineLevel="0" collapsed="false">
      <c r="A2243" s="3" t="n">
        <v>3136</v>
      </c>
      <c r="B2243" s="3" t="s">
        <v>776</v>
      </c>
      <c r="C2243" s="4" t="s">
        <v>21</v>
      </c>
      <c r="D2243" s="5" t="n">
        <v>48690</v>
      </c>
      <c r="E2243" s="6" t="n">
        <v>713.527811726768</v>
      </c>
      <c r="F2243" s="7" t="n">
        <v>68</v>
      </c>
      <c r="G2243" s="6" t="n">
        <v>1665.47471650385</v>
      </c>
      <c r="H2243" s="8" t="n">
        <v>284413.117337362</v>
      </c>
      <c r="I2243" s="9" t="n">
        <v>7.83546588758868</v>
      </c>
      <c r="J2243" s="9" t="n">
        <v>30.6207584791593</v>
      </c>
      <c r="K2243" s="3" t="s">
        <v>777</v>
      </c>
      <c r="L2243" s="3" t="s">
        <v>778</v>
      </c>
      <c r="M2243" s="7" t="n">
        <v>2021</v>
      </c>
    </row>
    <row r="2244" customFormat="false" ht="15" hidden="false" customHeight="false" outlineLevel="0" collapsed="false">
      <c r="A2244" s="3" t="n">
        <v>3137</v>
      </c>
      <c r="B2244" s="3" t="s">
        <v>776</v>
      </c>
      <c r="C2244" s="4" t="s">
        <v>22</v>
      </c>
      <c r="D2244" s="5" t="n">
        <v>47198</v>
      </c>
      <c r="E2244" s="6" t="n">
        <v>715.143645693821</v>
      </c>
      <c r="F2244" s="7" t="n">
        <v>58</v>
      </c>
      <c r="G2244" s="6" t="n">
        <v>1843.533716778</v>
      </c>
      <c r="H2244" s="8" t="n">
        <v>371324.561233424</v>
      </c>
      <c r="I2244" s="9" t="n">
        <v>9.6772345487492</v>
      </c>
      <c r="J2244" s="9" t="n">
        <v>34.9659364143426</v>
      </c>
      <c r="K2244" s="3" t="s">
        <v>777</v>
      </c>
      <c r="L2244" s="3" t="s">
        <v>778</v>
      </c>
      <c r="M2244" s="7" t="n">
        <v>2022</v>
      </c>
    </row>
    <row r="2245" customFormat="false" ht="15" hidden="false" customHeight="false" outlineLevel="0" collapsed="false">
      <c r="A2245" s="3" t="n">
        <v>3138</v>
      </c>
      <c r="B2245" s="3" t="s">
        <v>776</v>
      </c>
      <c r="C2245" s="4" t="s">
        <v>23</v>
      </c>
      <c r="D2245" s="5" t="n">
        <v>47083</v>
      </c>
      <c r="E2245" s="6" t="n">
        <v>705.0068</v>
      </c>
      <c r="F2245" s="7" t="n">
        <v>72</v>
      </c>
      <c r="G2245" s="6" t="n">
        <v>2469.83335704747</v>
      </c>
      <c r="H2245" s="8" t="n">
        <v>554675.17532572</v>
      </c>
      <c r="I2245" s="9" t="n">
        <v>11.3050206311488</v>
      </c>
      <c r="J2245" s="9" t="n">
        <v>46.9592550977474</v>
      </c>
      <c r="K2245" s="3" t="s">
        <v>777</v>
      </c>
      <c r="L2245" s="3" t="s">
        <v>778</v>
      </c>
      <c r="M2245" s="7" t="n">
        <v>2023</v>
      </c>
    </row>
    <row r="2246" customFormat="false" ht="15" hidden="false" customHeight="false" outlineLevel="0" collapsed="false">
      <c r="A2246" s="3" t="n">
        <v>3139</v>
      </c>
      <c r="B2246" s="3" t="s">
        <v>776</v>
      </c>
      <c r="C2246" s="4" t="s">
        <v>24</v>
      </c>
      <c r="D2246" s="5" t="n">
        <v>47707</v>
      </c>
      <c r="E2246" s="6" t="n">
        <v>705</v>
      </c>
      <c r="F2246" s="7" t="n">
        <v>58</v>
      </c>
      <c r="G2246" s="6" t="n">
        <v>2781.72143313658</v>
      </c>
      <c r="H2246" s="8" t="n">
        <v>619823.169731494</v>
      </c>
      <c r="I2246" s="9" t="n">
        <v>11.478792304966</v>
      </c>
      <c r="J2246" s="9" t="n">
        <v>52.0544333380322</v>
      </c>
      <c r="K2246" s="3" t="s">
        <v>777</v>
      </c>
      <c r="L2246" s="3" t="s">
        <v>778</v>
      </c>
      <c r="M2246" s="7" t="n">
        <v>2024</v>
      </c>
    </row>
    <row r="2247" customFormat="false" ht="15" hidden="false" customHeight="false" outlineLevel="0" collapsed="false">
      <c r="A2247" s="3" t="n">
        <v>3140</v>
      </c>
      <c r="B2247" s="3" t="s">
        <v>779</v>
      </c>
      <c r="C2247" s="4" t="s">
        <v>14</v>
      </c>
      <c r="D2247" s="5" t="n">
        <v>47376</v>
      </c>
      <c r="E2247" s="6" t="n">
        <v>692.42</v>
      </c>
      <c r="F2247" s="7" t="n">
        <v>70</v>
      </c>
      <c r="G2247" s="6" t="n">
        <v>743.976094189524</v>
      </c>
      <c r="H2247" s="8" t="n">
        <v>618764.917537427</v>
      </c>
      <c r="I2247" s="9" t="n">
        <v>5.64524475542006</v>
      </c>
      <c r="J2247" s="9" t="n">
        <v>14.019314690737</v>
      </c>
      <c r="K2247" s="3" t="s">
        <v>780</v>
      </c>
      <c r="L2247" s="3" t="s">
        <v>781</v>
      </c>
      <c r="M2247" s="7" t="n">
        <v>2016</v>
      </c>
    </row>
    <row r="2248" customFormat="false" ht="15" hidden="false" customHeight="false" outlineLevel="0" collapsed="false">
      <c r="A2248" s="3" t="n">
        <v>3141</v>
      </c>
      <c r="B2248" s="3" t="s">
        <v>779</v>
      </c>
      <c r="C2248" s="4" t="s">
        <v>17</v>
      </c>
      <c r="D2248" s="5" t="n">
        <v>48701</v>
      </c>
      <c r="E2248" s="6" t="n">
        <v>689.98</v>
      </c>
      <c r="F2248" s="7" t="n">
        <v>70</v>
      </c>
      <c r="G2248" s="6" t="n">
        <v>3372.64043291449</v>
      </c>
      <c r="H2248" s="8" t="n">
        <v>2618922.74896676</v>
      </c>
      <c r="I2248" s="9" t="n">
        <v>10.5104261135915</v>
      </c>
      <c r="J2248" s="9" t="n">
        <v>61.9940255364941</v>
      </c>
      <c r="K2248" s="3" t="s">
        <v>780</v>
      </c>
      <c r="L2248" s="3" t="s">
        <v>781</v>
      </c>
      <c r="M2248" s="7" t="n">
        <v>2017</v>
      </c>
    </row>
    <row r="2249" customFormat="false" ht="15" hidden="false" customHeight="false" outlineLevel="0" collapsed="false">
      <c r="A2249" s="3" t="n">
        <v>3142</v>
      </c>
      <c r="B2249" s="3" t="s">
        <v>779</v>
      </c>
      <c r="C2249" s="4" t="s">
        <v>18</v>
      </c>
      <c r="D2249" s="5" t="n">
        <v>49043</v>
      </c>
      <c r="E2249" s="6" t="n">
        <v>693.876</v>
      </c>
      <c r="F2249" s="7" t="n">
        <v>72</v>
      </c>
      <c r="G2249" s="6" t="n">
        <v>2452.33941315851</v>
      </c>
      <c r="H2249" s="8" t="n">
        <v>2033651.50514995</v>
      </c>
      <c r="I2249" s="9" t="n">
        <v>8.03888792331123</v>
      </c>
      <c r="J2249" s="9" t="n">
        <v>44.763210156523</v>
      </c>
      <c r="K2249" s="3" t="s">
        <v>780</v>
      </c>
      <c r="L2249" s="3" t="s">
        <v>781</v>
      </c>
      <c r="M2249" s="7" t="n">
        <v>2018</v>
      </c>
    </row>
    <row r="2250" customFormat="false" ht="15" hidden="false" customHeight="false" outlineLevel="0" collapsed="false">
      <c r="A2250" s="3" t="n">
        <v>3143</v>
      </c>
      <c r="B2250" s="3" t="s">
        <v>779</v>
      </c>
      <c r="C2250" s="4" t="s">
        <v>19</v>
      </c>
      <c r="D2250" s="5" t="n">
        <v>49253</v>
      </c>
      <c r="E2250" s="6" t="n">
        <v>727.82</v>
      </c>
      <c r="F2250" s="7" t="n">
        <v>73</v>
      </c>
      <c r="G2250" s="6" t="n">
        <v>1967.29053240182</v>
      </c>
      <c r="H2250" s="8" t="n">
        <v>1726061.36731871</v>
      </c>
      <c r="I2250" s="9" t="n">
        <v>7.43002467608347</v>
      </c>
      <c r="J2250" s="9" t="n">
        <v>35.7563753729993</v>
      </c>
      <c r="K2250" s="3" t="s">
        <v>780</v>
      </c>
      <c r="L2250" s="3" t="s">
        <v>781</v>
      </c>
      <c r="M2250" s="7" t="n">
        <v>2019</v>
      </c>
    </row>
    <row r="2251" customFormat="false" ht="15" hidden="false" customHeight="false" outlineLevel="0" collapsed="false">
      <c r="A2251" s="3" t="n">
        <v>3144</v>
      </c>
      <c r="B2251" s="3" t="s">
        <v>779</v>
      </c>
      <c r="C2251" s="4" t="s">
        <v>20</v>
      </c>
      <c r="D2251" s="5" t="n">
        <v>49431</v>
      </c>
      <c r="E2251" s="6" t="n">
        <v>732.6</v>
      </c>
      <c r="F2251" s="7" t="n">
        <v>72</v>
      </c>
      <c r="G2251" s="6" t="n">
        <v>2442.06525871064</v>
      </c>
      <c r="H2251" s="8" t="n">
        <v>1969305.84527685</v>
      </c>
      <c r="I2251" s="9" t="n">
        <v>8.86126847148301</v>
      </c>
      <c r="J2251" s="9" t="n">
        <v>44.1046177619735</v>
      </c>
      <c r="K2251" s="3" t="s">
        <v>780</v>
      </c>
      <c r="L2251" s="3" t="s">
        <v>781</v>
      </c>
      <c r="M2251" s="7" t="n">
        <v>2020</v>
      </c>
    </row>
    <row r="2252" customFormat="false" ht="15" hidden="false" customHeight="false" outlineLevel="0" collapsed="false">
      <c r="A2252" s="3" t="n">
        <v>3145</v>
      </c>
      <c r="B2252" s="3" t="s">
        <v>779</v>
      </c>
      <c r="C2252" s="4" t="s">
        <v>21</v>
      </c>
      <c r="D2252" s="5" t="n">
        <v>49775</v>
      </c>
      <c r="E2252" s="6" t="n">
        <v>733.444</v>
      </c>
      <c r="F2252" s="7" t="n">
        <v>72</v>
      </c>
      <c r="G2252" s="6" t="n">
        <v>1913.9347924412</v>
      </c>
      <c r="H2252" s="8" t="n">
        <v>1814678.1341052</v>
      </c>
      <c r="I2252" s="9" t="n">
        <v>5.75904503117861</v>
      </c>
      <c r="J2252" s="9" t="n">
        <v>34.4217973215601</v>
      </c>
      <c r="K2252" s="3" t="s">
        <v>780</v>
      </c>
      <c r="L2252" s="3" t="s">
        <v>781</v>
      </c>
      <c r="M2252" s="7" t="n">
        <v>2021</v>
      </c>
    </row>
    <row r="2253" customFormat="false" ht="15" hidden="false" customHeight="false" outlineLevel="0" collapsed="false">
      <c r="A2253" s="3" t="n">
        <v>3146</v>
      </c>
      <c r="B2253" s="3" t="s">
        <v>779</v>
      </c>
      <c r="C2253" s="4" t="s">
        <v>22</v>
      </c>
      <c r="D2253" s="5" t="n">
        <v>49861</v>
      </c>
      <c r="E2253" s="6" t="n">
        <v>735.846</v>
      </c>
      <c r="F2253" s="7" t="n">
        <v>67</v>
      </c>
      <c r="G2253" s="6" t="n">
        <v>1474.51496897985</v>
      </c>
      <c r="H2253" s="8" t="n">
        <v>1531917.83672223</v>
      </c>
      <c r="I2253" s="9" t="n">
        <v>8.45439039616022</v>
      </c>
      <c r="J2253" s="9" t="n">
        <v>26.4731655737595</v>
      </c>
      <c r="K2253" s="3" t="s">
        <v>780</v>
      </c>
      <c r="L2253" s="3" t="s">
        <v>781</v>
      </c>
      <c r="M2253" s="7" t="n">
        <v>2022</v>
      </c>
    </row>
    <row r="2254" customFormat="false" ht="15" hidden="false" customHeight="false" outlineLevel="0" collapsed="false">
      <c r="A2254" s="3" t="n">
        <v>3147</v>
      </c>
      <c r="B2254" s="3" t="s">
        <v>779</v>
      </c>
      <c r="C2254" s="4" t="s">
        <v>23</v>
      </c>
      <c r="D2254" s="5" t="n">
        <v>49968</v>
      </c>
      <c r="E2254" s="6" t="n">
        <v>735.6</v>
      </c>
      <c r="F2254" s="7" t="n">
        <v>70</v>
      </c>
      <c r="G2254" s="6" t="n">
        <v>1394.32854289533</v>
      </c>
      <c r="H2254" s="8" t="n">
        <v>1329589.8686487</v>
      </c>
      <c r="I2254" s="9" t="n">
        <v>7.36141154456763</v>
      </c>
      <c r="J2254" s="9" t="n">
        <v>24.979907472155</v>
      </c>
      <c r="K2254" s="3" t="s">
        <v>780</v>
      </c>
      <c r="L2254" s="3" t="s">
        <v>781</v>
      </c>
      <c r="M2254" s="7" t="n">
        <v>2023</v>
      </c>
    </row>
    <row r="2255" customFormat="false" ht="15" hidden="false" customHeight="false" outlineLevel="0" collapsed="false">
      <c r="A2255" s="3" t="n">
        <v>3148</v>
      </c>
      <c r="B2255" s="3" t="s">
        <v>779</v>
      </c>
      <c r="C2255" s="4" t="s">
        <v>24</v>
      </c>
      <c r="D2255" s="5" t="n">
        <v>50132</v>
      </c>
      <c r="E2255" s="6" t="n">
        <v>721.55</v>
      </c>
      <c r="F2255" s="7" t="n">
        <v>73</v>
      </c>
      <c r="G2255" s="6" t="n">
        <v>1404.52175503757</v>
      </c>
      <c r="H2255" s="8" t="n">
        <v>1525675.80162711</v>
      </c>
      <c r="I2255" s="9" t="n">
        <v>7.08961691067008</v>
      </c>
      <c r="J2255" s="9" t="n">
        <v>25.0114939518983</v>
      </c>
      <c r="K2255" s="3" t="s">
        <v>780</v>
      </c>
      <c r="L2255" s="3" t="s">
        <v>781</v>
      </c>
      <c r="M2255" s="7" t="n">
        <v>2024</v>
      </c>
    </row>
    <row r="2256" customFormat="false" ht="15" hidden="false" customHeight="false" outlineLevel="0" collapsed="false">
      <c r="A2256" s="3" t="n">
        <v>3149</v>
      </c>
      <c r="B2256" s="3" t="s">
        <v>782</v>
      </c>
      <c r="C2256" s="4" t="s">
        <v>14</v>
      </c>
      <c r="D2256" s="5" t="n">
        <v>9154</v>
      </c>
      <c r="E2256" s="6" t="n">
        <v>177.934</v>
      </c>
      <c r="F2256" s="7" t="n">
        <v>69</v>
      </c>
      <c r="G2256" s="6" t="n">
        <v>440.991929234693</v>
      </c>
      <c r="H2256" s="8" t="n">
        <v>53479.0912582912</v>
      </c>
      <c r="I2256" s="9" t="n">
        <v>12.778375215121</v>
      </c>
      <c r="J2256" s="9" t="n">
        <v>43.0076712128402</v>
      </c>
      <c r="K2256" s="3" t="s">
        <v>783</v>
      </c>
      <c r="L2256" s="3" t="s">
        <v>784</v>
      </c>
      <c r="M2256" s="7" t="n">
        <v>2016</v>
      </c>
    </row>
    <row r="2257" customFormat="false" ht="15" hidden="false" customHeight="false" outlineLevel="0" collapsed="false">
      <c r="A2257" s="3" t="n">
        <v>3150</v>
      </c>
      <c r="B2257" s="3" t="s">
        <v>782</v>
      </c>
      <c r="C2257" s="4" t="s">
        <v>17</v>
      </c>
      <c r="D2257" s="5" t="n">
        <v>9259</v>
      </c>
      <c r="E2257" s="6" t="n">
        <v>194.5</v>
      </c>
      <c r="F2257" s="7" t="n">
        <v>70</v>
      </c>
      <c r="G2257" s="6" t="n">
        <v>560.793533265306</v>
      </c>
      <c r="H2257" s="8" t="n">
        <v>63913.6389862469</v>
      </c>
      <c r="I2257" s="9" t="n">
        <v>14.0360603866015</v>
      </c>
      <c r="J2257" s="9" t="n">
        <v>54.2196347147929</v>
      </c>
      <c r="K2257" s="3" t="s">
        <v>783</v>
      </c>
      <c r="L2257" s="3" t="s">
        <v>784</v>
      </c>
      <c r="M2257" s="7" t="n">
        <v>2017</v>
      </c>
    </row>
    <row r="2258" customFormat="false" ht="15" hidden="false" customHeight="false" outlineLevel="0" collapsed="false">
      <c r="A2258" s="3" t="n">
        <v>3151</v>
      </c>
      <c r="B2258" s="3" t="s">
        <v>782</v>
      </c>
      <c r="C2258" s="4" t="s">
        <v>18</v>
      </c>
      <c r="D2258" s="5" t="n">
        <v>9284</v>
      </c>
      <c r="E2258" s="6" t="n">
        <v>189.421</v>
      </c>
      <c r="F2258" s="7" t="n">
        <v>74</v>
      </c>
      <c r="G2258" s="6" t="n">
        <v>580.323340510205</v>
      </c>
      <c r="H2258" s="8" t="n">
        <v>79306.9877141246</v>
      </c>
      <c r="I2258" s="9" t="n">
        <v>14.5515347534182</v>
      </c>
      <c r="J2258" s="9" t="n">
        <v>55.9567626770714</v>
      </c>
      <c r="K2258" s="3" t="s">
        <v>783</v>
      </c>
      <c r="L2258" s="3" t="s">
        <v>784</v>
      </c>
      <c r="M2258" s="7" t="n">
        <v>2018</v>
      </c>
    </row>
    <row r="2259" customFormat="false" ht="15" hidden="false" customHeight="false" outlineLevel="0" collapsed="false">
      <c r="A2259" s="3" t="n">
        <v>3152</v>
      </c>
      <c r="B2259" s="3" t="s">
        <v>782</v>
      </c>
      <c r="C2259" s="4" t="s">
        <v>19</v>
      </c>
      <c r="D2259" s="5" t="n">
        <v>9285</v>
      </c>
      <c r="E2259" s="6" t="n">
        <v>189.421</v>
      </c>
      <c r="F2259" s="7" t="n">
        <v>74</v>
      </c>
      <c r="G2259" s="6" t="n">
        <v>819.315292397959</v>
      </c>
      <c r="H2259" s="8" t="n">
        <v>146673.823645083</v>
      </c>
      <c r="I2259" s="9" t="n">
        <v>18.9250550501481</v>
      </c>
      <c r="J2259" s="9" t="n">
        <v>78.9926761653758</v>
      </c>
      <c r="K2259" s="3" t="s">
        <v>783</v>
      </c>
      <c r="L2259" s="3" t="s">
        <v>784</v>
      </c>
      <c r="M2259" s="7" t="n">
        <v>2019</v>
      </c>
    </row>
    <row r="2260" customFormat="false" ht="15" hidden="false" customHeight="false" outlineLevel="0" collapsed="false">
      <c r="A2260" s="3" t="n">
        <v>3153</v>
      </c>
      <c r="B2260" s="3" t="s">
        <v>782</v>
      </c>
      <c r="C2260" s="4" t="s">
        <v>20</v>
      </c>
      <c r="D2260" s="5" t="n">
        <v>9384</v>
      </c>
      <c r="E2260" s="6" t="n">
        <v>186.9</v>
      </c>
      <c r="F2260" s="7" t="n">
        <v>70</v>
      </c>
      <c r="G2260" s="6" t="n">
        <v>797.400571763959</v>
      </c>
      <c r="H2260" s="8" t="n">
        <v>249650.17100786</v>
      </c>
      <c r="I2260" s="9" t="n">
        <v>16.4750463842285</v>
      </c>
      <c r="J2260" s="9" t="n">
        <v>75.8603316954121</v>
      </c>
      <c r="K2260" s="3" t="s">
        <v>783</v>
      </c>
      <c r="L2260" s="3" t="s">
        <v>784</v>
      </c>
      <c r="M2260" s="7" t="n">
        <v>2020</v>
      </c>
    </row>
    <row r="2261" customFormat="false" ht="15" hidden="false" customHeight="false" outlineLevel="0" collapsed="false">
      <c r="A2261" s="3" t="n">
        <v>3154</v>
      </c>
      <c r="B2261" s="3" t="s">
        <v>782</v>
      </c>
      <c r="C2261" s="4" t="s">
        <v>21</v>
      </c>
      <c r="D2261" s="5" t="n">
        <v>9403</v>
      </c>
      <c r="E2261" s="6" t="n">
        <v>186.6</v>
      </c>
      <c r="F2261" s="7" t="n">
        <v>73</v>
      </c>
      <c r="G2261" s="6" t="n">
        <v>974.335715141987</v>
      </c>
      <c r="H2261" s="8" t="n">
        <v>470935.424556728</v>
      </c>
      <c r="I2261" s="9" t="n">
        <v>18.4223294053238</v>
      </c>
      <c r="J2261" s="9" t="n">
        <v>92.7598121930725</v>
      </c>
      <c r="K2261" s="3" t="s">
        <v>783</v>
      </c>
      <c r="L2261" s="3" t="s">
        <v>784</v>
      </c>
      <c r="M2261" s="7" t="n">
        <v>2021</v>
      </c>
    </row>
    <row r="2262" customFormat="false" ht="15" hidden="false" customHeight="false" outlineLevel="0" collapsed="false">
      <c r="A2262" s="3" t="n">
        <v>3155</v>
      </c>
      <c r="B2262" s="3" t="s">
        <v>782</v>
      </c>
      <c r="C2262" s="4" t="s">
        <v>22</v>
      </c>
      <c r="D2262" s="5" t="n">
        <v>9305</v>
      </c>
      <c r="E2262" s="6" t="n">
        <v>186.5</v>
      </c>
      <c r="F2262" s="7" t="n">
        <v>71</v>
      </c>
      <c r="G2262" s="6" t="n">
        <v>677.759994264214</v>
      </c>
      <c r="H2262" s="8" t="n">
        <v>438173.374070986</v>
      </c>
      <c r="I2262" s="9" t="n">
        <v>15.6440050217256</v>
      </c>
      <c r="J2262" s="9" t="n">
        <v>65.2044487162722</v>
      </c>
      <c r="K2262" s="3" t="s">
        <v>783</v>
      </c>
      <c r="L2262" s="3" t="s">
        <v>784</v>
      </c>
      <c r="M2262" s="7" t="n">
        <v>2022</v>
      </c>
    </row>
    <row r="2263" customFormat="false" ht="15" hidden="false" customHeight="false" outlineLevel="0" collapsed="false">
      <c r="A2263" s="3" t="n">
        <v>3156</v>
      </c>
      <c r="B2263" s="3" t="s">
        <v>782</v>
      </c>
      <c r="C2263" s="4" t="s">
        <v>23</v>
      </c>
      <c r="D2263" s="5" t="n">
        <v>9412</v>
      </c>
      <c r="E2263" s="6" t="n">
        <v>186.903885012265</v>
      </c>
      <c r="F2263" s="7" t="n">
        <v>71</v>
      </c>
      <c r="G2263" s="6" t="n">
        <v>798.713317591837</v>
      </c>
      <c r="H2263" s="8" t="n">
        <v>484203.229813833</v>
      </c>
      <c r="I2263" s="9" t="n">
        <v>17.6505969250018</v>
      </c>
      <c r="J2263" s="9" t="n">
        <v>75.9672983666566</v>
      </c>
      <c r="K2263" s="3" t="s">
        <v>783</v>
      </c>
      <c r="L2263" s="3" t="s">
        <v>784</v>
      </c>
      <c r="M2263" s="7" t="n">
        <v>2023</v>
      </c>
    </row>
    <row r="2264" customFormat="false" ht="15" hidden="false" customHeight="false" outlineLevel="0" collapsed="false">
      <c r="A2264" s="3" t="n">
        <v>3157</v>
      </c>
      <c r="B2264" s="3" t="s">
        <v>782</v>
      </c>
      <c r="C2264" s="4" t="s">
        <v>24</v>
      </c>
      <c r="D2264" s="5" t="n">
        <v>9397</v>
      </c>
      <c r="E2264" s="6" t="n">
        <v>210.581939929167</v>
      </c>
      <c r="F2264" s="7" t="n">
        <v>71</v>
      </c>
      <c r="G2264" s="6" t="n">
        <v>787.30793455008</v>
      </c>
      <c r="H2264" s="8" t="n">
        <v>360179.728942504</v>
      </c>
      <c r="I2264" s="9" t="n">
        <v>17.1916656363305</v>
      </c>
      <c r="J2264" s="9" t="n">
        <v>74.7965549427982</v>
      </c>
      <c r="K2264" s="3" t="s">
        <v>783</v>
      </c>
      <c r="L2264" s="3" t="s">
        <v>784</v>
      </c>
      <c r="M2264" s="7" t="n">
        <v>2024</v>
      </c>
    </row>
    <row r="2265" customFormat="false" ht="15" hidden="false" customHeight="false" outlineLevel="0" collapsed="false">
      <c r="A2265" s="3" t="n">
        <v>3158</v>
      </c>
      <c r="B2265" s="3" t="s">
        <v>785</v>
      </c>
      <c r="C2265" s="4" t="s">
        <v>41</v>
      </c>
      <c r="D2265" s="5" t="n">
        <v>14986</v>
      </c>
      <c r="E2265" s="6" t="n">
        <v>165</v>
      </c>
      <c r="F2265" s="7" t="n">
        <v>69</v>
      </c>
      <c r="G2265" s="6" t="n">
        <v>189.551126977687</v>
      </c>
      <c r="H2265" s="8" t="n">
        <v>179173.581877913</v>
      </c>
      <c r="I2265" s="9" t="n">
        <v>10.8964978979727</v>
      </c>
      <c r="J2265" s="9" t="n">
        <v>11.3229168243486</v>
      </c>
      <c r="K2265" s="3" t="s">
        <v>786</v>
      </c>
      <c r="L2265" s="3" t="s">
        <v>787</v>
      </c>
      <c r="M2265" s="7" t="n">
        <v>2016</v>
      </c>
    </row>
    <row r="2266" customFormat="false" ht="15" hidden="false" customHeight="false" outlineLevel="0" collapsed="false">
      <c r="A2266" s="3" t="n">
        <v>3159</v>
      </c>
      <c r="B2266" s="3" t="s">
        <v>785</v>
      </c>
      <c r="C2266" s="4" t="s">
        <v>42</v>
      </c>
      <c r="D2266" s="5" t="n">
        <v>15033</v>
      </c>
      <c r="E2266" s="6" t="n">
        <v>165.6</v>
      </c>
      <c r="F2266" s="7" t="n">
        <v>69</v>
      </c>
      <c r="G2266" s="6" t="n">
        <v>102.380159090909</v>
      </c>
      <c r="H2266" s="8" t="n">
        <v>130668.616089</v>
      </c>
      <c r="I2266" s="9" t="n">
        <v>6.70405806664467</v>
      </c>
      <c r="J2266" s="9" t="n">
        <v>6.09660161928223</v>
      </c>
      <c r="K2266" s="3" t="s">
        <v>786</v>
      </c>
      <c r="L2266" s="3" t="s">
        <v>787</v>
      </c>
      <c r="M2266" s="7" t="n">
        <v>2017</v>
      </c>
    </row>
    <row r="2267" customFormat="false" ht="15" hidden="false" customHeight="false" outlineLevel="0" collapsed="false">
      <c r="A2267" s="3" t="n">
        <v>3160</v>
      </c>
      <c r="B2267" s="3" t="s">
        <v>785</v>
      </c>
      <c r="C2267" s="4" t="s">
        <v>43</v>
      </c>
      <c r="D2267" s="5" t="n">
        <v>15070</v>
      </c>
      <c r="E2267" s="6" t="n">
        <v>163.84</v>
      </c>
      <c r="F2267" s="7" t="n">
        <v>68</v>
      </c>
      <c r="G2267" s="6" t="n">
        <v>189.472802717732</v>
      </c>
      <c r="H2267" s="8" t="n">
        <v>50020.8199174812</v>
      </c>
      <c r="I2267" s="9" t="n">
        <v>11.5587634682877</v>
      </c>
      <c r="J2267" s="9" t="n">
        <v>11.2551503675842</v>
      </c>
      <c r="K2267" s="3" t="s">
        <v>786</v>
      </c>
      <c r="L2267" s="3" t="s">
        <v>787</v>
      </c>
      <c r="M2267" s="7" t="n">
        <v>2018</v>
      </c>
    </row>
    <row r="2268" customFormat="false" ht="15" hidden="false" customHeight="false" outlineLevel="0" collapsed="false">
      <c r="A2268" s="3" t="n">
        <v>3161</v>
      </c>
      <c r="B2268" s="3" t="s">
        <v>785</v>
      </c>
      <c r="C2268" s="4" t="s">
        <v>44</v>
      </c>
      <c r="D2268" s="5" t="n">
        <v>15174</v>
      </c>
      <c r="E2268" s="6" t="n">
        <v>165.4</v>
      </c>
      <c r="F2268" s="7" t="n">
        <v>72</v>
      </c>
      <c r="G2268" s="6" t="n">
        <v>268.208270845846</v>
      </c>
      <c r="H2268" s="8" t="n">
        <v>52568.8210857858</v>
      </c>
      <c r="I2268" s="9" t="n">
        <v>14.9771578538103</v>
      </c>
      <c r="J2268" s="9" t="n">
        <v>15.7796832114395</v>
      </c>
      <c r="K2268" s="3" t="s">
        <v>786</v>
      </c>
      <c r="L2268" s="3" t="s">
        <v>787</v>
      </c>
      <c r="M2268" s="7" t="n">
        <v>2019</v>
      </c>
    </row>
    <row r="2269" customFormat="false" ht="15" hidden="false" customHeight="false" outlineLevel="0" collapsed="false">
      <c r="A2269" s="3" t="n">
        <v>3162</v>
      </c>
      <c r="B2269" s="3" t="s">
        <v>785</v>
      </c>
      <c r="C2269" s="4" t="s">
        <v>45</v>
      </c>
      <c r="D2269" s="5" t="n">
        <v>15247</v>
      </c>
      <c r="E2269" s="6" t="n">
        <v>165.4</v>
      </c>
      <c r="F2269" s="7" t="n">
        <v>53</v>
      </c>
      <c r="G2269" s="6" t="n">
        <v>161.188633033033</v>
      </c>
      <c r="H2269" s="8" t="n">
        <v>36767.1271948347</v>
      </c>
      <c r="I2269" s="9" t="n">
        <v>8.98968166849616</v>
      </c>
      <c r="J2269" s="9" t="n">
        <v>9.46384647501307</v>
      </c>
      <c r="K2269" s="3" t="s">
        <v>786</v>
      </c>
      <c r="L2269" s="3" t="s">
        <v>787</v>
      </c>
      <c r="M2269" s="7" t="n">
        <v>2020</v>
      </c>
    </row>
    <row r="2270" customFormat="false" ht="15" hidden="false" customHeight="false" outlineLevel="0" collapsed="false">
      <c r="A2270" s="3" t="n">
        <v>3163</v>
      </c>
      <c r="B2270" s="3" t="s">
        <v>785</v>
      </c>
      <c r="C2270" s="4" t="s">
        <v>46</v>
      </c>
      <c r="D2270" s="5" t="n">
        <v>15341</v>
      </c>
      <c r="E2270" s="6" t="n">
        <v>166.3</v>
      </c>
      <c r="F2270" s="7" t="n">
        <v>66</v>
      </c>
      <c r="G2270" s="6" t="n">
        <v>126.091628414831</v>
      </c>
      <c r="H2270" s="8" t="n">
        <v>34387.7089012927</v>
      </c>
      <c r="I2270" s="9" t="n">
        <v>9.94135001686156</v>
      </c>
      <c r="J2270" s="9" t="n">
        <v>7.35783861723004</v>
      </c>
      <c r="K2270" s="3" t="s">
        <v>786</v>
      </c>
      <c r="L2270" s="3" t="s">
        <v>787</v>
      </c>
      <c r="M2270" s="7" t="n">
        <v>2021</v>
      </c>
    </row>
    <row r="2271" customFormat="false" ht="15" hidden="false" customHeight="false" outlineLevel="0" collapsed="false">
      <c r="A2271" s="3" t="n">
        <v>3164</v>
      </c>
      <c r="B2271" s="3" t="s">
        <v>785</v>
      </c>
      <c r="C2271" s="4" t="s">
        <v>47</v>
      </c>
      <c r="D2271" s="5" t="n">
        <v>15172</v>
      </c>
      <c r="E2271" s="6" t="n">
        <v>167</v>
      </c>
      <c r="F2271" s="7" t="n">
        <v>56</v>
      </c>
      <c r="G2271" s="6" t="n">
        <v>140.623571428571</v>
      </c>
      <c r="H2271" s="8" t="n">
        <v>41578.1713642857</v>
      </c>
      <c r="I2271" s="9" t="n">
        <v>10.0901489729713</v>
      </c>
      <c r="J2271" s="9" t="n">
        <v>8.29722684890387</v>
      </c>
      <c r="K2271" s="3" t="s">
        <v>786</v>
      </c>
      <c r="L2271" s="3" t="s">
        <v>787</v>
      </c>
      <c r="M2271" s="7" t="n">
        <v>2022</v>
      </c>
    </row>
    <row r="2272" customFormat="false" ht="15" hidden="false" customHeight="false" outlineLevel="0" collapsed="false">
      <c r="A2272" s="3" t="n">
        <v>3165</v>
      </c>
      <c r="B2272" s="3" t="s">
        <v>785</v>
      </c>
      <c r="C2272" s="4" t="s">
        <v>48</v>
      </c>
      <c r="D2272" s="5" t="n">
        <v>15215</v>
      </c>
      <c r="E2272" s="6" t="n">
        <v>169.83</v>
      </c>
      <c r="F2272" s="7" t="n">
        <v>61</v>
      </c>
      <c r="G2272" s="6" t="n">
        <v>263.992166450041</v>
      </c>
      <c r="H2272" s="8" t="n">
        <v>63115.2471548757</v>
      </c>
      <c r="I2272" s="9" t="n">
        <v>15.7046591309627</v>
      </c>
      <c r="J2272" s="9" t="n">
        <v>15.4897809803614</v>
      </c>
      <c r="K2272" s="3" t="s">
        <v>786</v>
      </c>
      <c r="L2272" s="3" t="s">
        <v>787</v>
      </c>
      <c r="M2272" s="7" t="n">
        <v>2023</v>
      </c>
    </row>
    <row r="2273" customFormat="false" ht="15" hidden="false" customHeight="false" outlineLevel="0" collapsed="false">
      <c r="A2273" s="3" t="n">
        <v>3166</v>
      </c>
      <c r="B2273" s="3" t="s">
        <v>785</v>
      </c>
      <c r="C2273" s="4" t="s">
        <v>49</v>
      </c>
      <c r="D2273" s="5" t="n">
        <v>15175</v>
      </c>
      <c r="E2273" s="6" t="n">
        <v>169.8</v>
      </c>
      <c r="F2273" s="7" t="n">
        <v>64</v>
      </c>
      <c r="G2273" s="6" t="n">
        <v>179.707765306123</v>
      </c>
      <c r="H2273" s="8" t="n">
        <v>54198.0649386735</v>
      </c>
      <c r="I2273" s="9" t="n">
        <v>11.9926073367</v>
      </c>
      <c r="J2273" s="9" t="n">
        <v>10.6012192973488</v>
      </c>
      <c r="K2273" s="3" t="s">
        <v>786</v>
      </c>
      <c r="L2273" s="3" t="s">
        <v>787</v>
      </c>
      <c r="M2273" s="7" t="n">
        <v>2024</v>
      </c>
    </row>
    <row r="2274" customFormat="false" ht="15" hidden="false" customHeight="false" outlineLevel="0" collapsed="false">
      <c r="A2274" s="3" t="n">
        <v>3185</v>
      </c>
      <c r="B2274" s="3" t="s">
        <v>788</v>
      </c>
      <c r="C2274" s="4" t="s">
        <v>14</v>
      </c>
      <c r="D2274" s="5" t="n">
        <v>8082</v>
      </c>
      <c r="E2274" s="6" t="n">
        <v>210</v>
      </c>
      <c r="F2274" s="7" t="n">
        <v>53</v>
      </c>
      <c r="G2274" s="6" t="n">
        <v>286.700835</v>
      </c>
      <c r="H2274" s="8" t="n">
        <v>328452.50419938</v>
      </c>
      <c r="I2274" s="9" t="n">
        <v>13.7802971148664</v>
      </c>
      <c r="J2274" s="9" t="n">
        <v>31.6691425849376</v>
      </c>
      <c r="K2274" s="3" t="s">
        <v>789</v>
      </c>
      <c r="L2274" s="3" t="s">
        <v>790</v>
      </c>
      <c r="M2274" s="7" t="n">
        <v>2016</v>
      </c>
    </row>
    <row r="2275" customFormat="false" ht="15" hidden="false" customHeight="false" outlineLevel="0" collapsed="false">
      <c r="A2275" s="3" t="n">
        <v>3186</v>
      </c>
      <c r="B2275" s="3" t="s">
        <v>788</v>
      </c>
      <c r="C2275" s="4" t="s">
        <v>17</v>
      </c>
      <c r="D2275" s="5" t="n">
        <v>8090</v>
      </c>
      <c r="E2275" s="6" t="n">
        <v>210</v>
      </c>
      <c r="F2275" s="7" t="n">
        <v>64</v>
      </c>
      <c r="G2275" s="6" t="n">
        <v>331.20701479798</v>
      </c>
      <c r="H2275" s="8" t="n">
        <v>91366.7671021706</v>
      </c>
      <c r="I2275" s="9" t="n">
        <v>15.5769951626304</v>
      </c>
      <c r="J2275" s="9" t="n">
        <v>36.6495527577584</v>
      </c>
      <c r="K2275" s="3" t="s">
        <v>789</v>
      </c>
      <c r="L2275" s="3" t="s">
        <v>790</v>
      </c>
      <c r="M2275" s="7" t="n">
        <v>2017</v>
      </c>
    </row>
    <row r="2276" customFormat="false" ht="15" hidden="false" customHeight="false" outlineLevel="0" collapsed="false">
      <c r="A2276" s="3" t="n">
        <v>3187</v>
      </c>
      <c r="B2276" s="3" t="s">
        <v>788</v>
      </c>
      <c r="C2276" s="4" t="s">
        <v>18</v>
      </c>
      <c r="D2276" s="5" t="n">
        <v>8090</v>
      </c>
      <c r="E2276" s="6" t="n">
        <v>212.954545454545</v>
      </c>
      <c r="F2276" s="7" t="n">
        <v>60</v>
      </c>
      <c r="G2276" s="6" t="n">
        <v>232.813254042929</v>
      </c>
      <c r="H2276" s="8" t="n">
        <v>318438.243867853</v>
      </c>
      <c r="I2276" s="9" t="n">
        <v>11.8168063033384</v>
      </c>
      <c r="J2276" s="9" t="n">
        <v>25.7618385345979</v>
      </c>
      <c r="K2276" s="3" t="s">
        <v>789</v>
      </c>
      <c r="L2276" s="3" t="s">
        <v>790</v>
      </c>
      <c r="M2276" s="7" t="n">
        <v>2018</v>
      </c>
    </row>
    <row r="2277" customFormat="false" ht="15" hidden="false" customHeight="false" outlineLevel="0" collapsed="false">
      <c r="A2277" s="3" t="n">
        <v>3188</v>
      </c>
      <c r="B2277" s="3" t="s">
        <v>788</v>
      </c>
      <c r="C2277" s="4" t="s">
        <v>19</v>
      </c>
      <c r="D2277" s="5" t="n">
        <v>8543</v>
      </c>
      <c r="E2277" s="6" t="n">
        <v>212.954545454545</v>
      </c>
      <c r="F2277" s="7" t="n">
        <v>62</v>
      </c>
      <c r="G2277" s="6" t="n">
        <v>172.185932323233</v>
      </c>
      <c r="H2277" s="8" t="n">
        <v>249763.9597596</v>
      </c>
      <c r="I2277" s="9" t="n">
        <v>10.1476670611704</v>
      </c>
      <c r="J2277" s="9" t="n">
        <v>18.042841524858</v>
      </c>
      <c r="K2277" s="3" t="s">
        <v>789</v>
      </c>
      <c r="L2277" s="3" t="s">
        <v>790</v>
      </c>
      <c r="M2277" s="7" t="n">
        <v>2019</v>
      </c>
    </row>
    <row r="2278" customFormat="false" ht="15" hidden="false" customHeight="false" outlineLevel="0" collapsed="false">
      <c r="A2278" s="3" t="n">
        <v>3189</v>
      </c>
      <c r="B2278" s="3" t="s">
        <v>788</v>
      </c>
      <c r="C2278" s="4" t="s">
        <v>20</v>
      </c>
      <c r="D2278" s="5" t="n">
        <v>8543</v>
      </c>
      <c r="E2278" s="6" t="n">
        <v>212.954545454545</v>
      </c>
      <c r="F2278" s="7" t="n">
        <v>71</v>
      </c>
      <c r="G2278" s="6" t="n">
        <v>253.492110858586</v>
      </c>
      <c r="H2278" s="8" t="n">
        <v>59803.8587937576</v>
      </c>
      <c r="I2278" s="9" t="n">
        <v>12.15544056837</v>
      </c>
      <c r="J2278" s="9" t="n">
        <v>26.4898948960476</v>
      </c>
      <c r="K2278" s="3" t="s">
        <v>789</v>
      </c>
      <c r="L2278" s="3" t="s">
        <v>790</v>
      </c>
      <c r="M2278" s="7" t="n">
        <v>2020</v>
      </c>
    </row>
    <row r="2279" customFormat="false" ht="15" hidden="false" customHeight="false" outlineLevel="0" collapsed="false">
      <c r="A2279" s="3" t="n">
        <v>3190</v>
      </c>
      <c r="B2279" s="3" t="s">
        <v>788</v>
      </c>
      <c r="C2279" s="4" t="s">
        <v>21</v>
      </c>
      <c r="D2279" s="5" t="n">
        <v>8543</v>
      </c>
      <c r="E2279" s="6" t="n">
        <v>212.954545454545</v>
      </c>
      <c r="F2279" s="7" t="n">
        <v>60</v>
      </c>
      <c r="G2279" s="6" t="n">
        <v>175.636482611872</v>
      </c>
      <c r="H2279" s="8" t="n">
        <v>273895.961536119</v>
      </c>
      <c r="I2279" s="9" t="n">
        <v>9.16730753634033</v>
      </c>
      <c r="J2279" s="9" t="n">
        <v>18.404414222415</v>
      </c>
      <c r="K2279" s="3" t="s">
        <v>789</v>
      </c>
      <c r="L2279" s="3" t="s">
        <v>790</v>
      </c>
      <c r="M2279" s="7" t="n">
        <v>2021</v>
      </c>
    </row>
    <row r="2280" customFormat="false" ht="15" hidden="false" customHeight="false" outlineLevel="0" collapsed="false">
      <c r="A2280" s="3" t="n">
        <v>3194</v>
      </c>
      <c r="B2280" s="3" t="s">
        <v>791</v>
      </c>
      <c r="C2280" s="4" t="s">
        <v>14</v>
      </c>
      <c r="D2280" s="5" t="n">
        <v>20640</v>
      </c>
      <c r="E2280" s="6" t="n">
        <v>255.577727272727</v>
      </c>
      <c r="F2280" s="7" t="n">
        <v>62</v>
      </c>
      <c r="G2280" s="6" t="n">
        <v>628.771188282828</v>
      </c>
      <c r="H2280" s="8" t="n">
        <v>468356.56764336</v>
      </c>
      <c r="I2280" s="9" t="n">
        <v>5.14171946897537</v>
      </c>
      <c r="J2280" s="9" t="n">
        <v>27.1962568324769</v>
      </c>
      <c r="K2280" s="3" t="s">
        <v>792</v>
      </c>
      <c r="L2280" s="3" t="s">
        <v>793</v>
      </c>
      <c r="M2280" s="7" t="n">
        <v>2016</v>
      </c>
    </row>
    <row r="2281" customFormat="false" ht="15" hidden="false" customHeight="false" outlineLevel="0" collapsed="false">
      <c r="A2281" s="3" t="n">
        <v>3195</v>
      </c>
      <c r="B2281" s="3" t="s">
        <v>791</v>
      </c>
      <c r="C2281" s="4" t="s">
        <v>17</v>
      </c>
      <c r="D2281" s="5" t="n">
        <v>20826</v>
      </c>
      <c r="E2281" s="6" t="n">
        <v>255.577727272727</v>
      </c>
      <c r="F2281" s="7" t="n">
        <v>65</v>
      </c>
      <c r="G2281" s="6" t="n">
        <v>540.908303416025</v>
      </c>
      <c r="H2281" s="8" t="n">
        <v>438252.561960518</v>
      </c>
      <c r="I2281" s="9" t="n">
        <v>8.49480743035451</v>
      </c>
      <c r="J2281" s="9" t="n">
        <v>23.2506692786298</v>
      </c>
      <c r="K2281" s="3" t="s">
        <v>792</v>
      </c>
      <c r="L2281" s="3" t="s">
        <v>793</v>
      </c>
      <c r="M2281" s="7" t="n">
        <v>2017</v>
      </c>
    </row>
    <row r="2282" customFormat="false" ht="15" hidden="false" customHeight="false" outlineLevel="0" collapsed="false">
      <c r="A2282" s="3" t="n">
        <v>3196</v>
      </c>
      <c r="B2282" s="3" t="s">
        <v>791</v>
      </c>
      <c r="C2282" s="4" t="s">
        <v>18</v>
      </c>
      <c r="D2282" s="5" t="n">
        <v>21307</v>
      </c>
      <c r="E2282" s="6" t="n">
        <v>453.59</v>
      </c>
      <c r="F2282" s="7" t="n">
        <v>56</v>
      </c>
      <c r="G2282" s="6" t="n">
        <v>729.87820135787</v>
      </c>
      <c r="H2282" s="8" t="n">
        <v>459845.163201499</v>
      </c>
      <c r="I2282" s="9" t="n">
        <v>6.49429631071321</v>
      </c>
      <c r="J2282" s="9" t="n">
        <v>30.6651971918973</v>
      </c>
      <c r="K2282" s="3" t="s">
        <v>792</v>
      </c>
      <c r="L2282" s="3" t="s">
        <v>793</v>
      </c>
      <c r="M2282" s="7" t="n">
        <v>2018</v>
      </c>
    </row>
    <row r="2283" customFormat="false" ht="15" hidden="false" customHeight="false" outlineLevel="0" collapsed="false">
      <c r="A2283" s="3" t="n">
        <v>3197</v>
      </c>
      <c r="B2283" s="3" t="s">
        <v>794</v>
      </c>
      <c r="C2283" s="4" t="s">
        <v>14</v>
      </c>
      <c r="D2283" s="5" t="n">
        <v>34910</v>
      </c>
      <c r="E2283" s="6" t="n">
        <v>811.9</v>
      </c>
      <c r="F2283" s="7" t="n">
        <v>53</v>
      </c>
      <c r="G2283" s="6" t="n">
        <v>2264.49672319588</v>
      </c>
      <c r="H2283" s="8" t="n">
        <v>1617720.22710356</v>
      </c>
      <c r="I2283" s="9" t="n">
        <v>13.7270789808556</v>
      </c>
      <c r="J2283" s="9" t="n">
        <v>57.9092634877239</v>
      </c>
      <c r="K2283" s="3" t="s">
        <v>795</v>
      </c>
      <c r="L2283" s="3" t="s">
        <v>796</v>
      </c>
      <c r="M2283" s="7" t="n">
        <v>2016</v>
      </c>
    </row>
    <row r="2284" customFormat="false" ht="15" hidden="false" customHeight="false" outlineLevel="0" collapsed="false">
      <c r="A2284" s="3" t="n">
        <v>3198</v>
      </c>
      <c r="B2284" s="3" t="s">
        <v>794</v>
      </c>
      <c r="C2284" s="4" t="s">
        <v>17</v>
      </c>
      <c r="D2284" s="5" t="n">
        <v>34910</v>
      </c>
      <c r="E2284" s="6" t="n">
        <v>722</v>
      </c>
      <c r="F2284" s="7" t="n">
        <v>70</v>
      </c>
      <c r="G2284" s="6" t="n">
        <v>1063.46401112905</v>
      </c>
      <c r="H2284" s="8" t="n">
        <v>191317.175602116</v>
      </c>
      <c r="I2284" s="9" t="n">
        <v>6.11735893139424</v>
      </c>
      <c r="J2284" s="9" t="n">
        <v>27.270344424943</v>
      </c>
      <c r="K2284" s="3" t="s">
        <v>795</v>
      </c>
      <c r="L2284" s="3" t="s">
        <v>796</v>
      </c>
      <c r="M2284" s="7" t="n">
        <v>2017</v>
      </c>
    </row>
    <row r="2285" customFormat="false" ht="15" hidden="false" customHeight="false" outlineLevel="0" collapsed="false">
      <c r="A2285" s="3" t="n">
        <v>3199</v>
      </c>
      <c r="B2285" s="3" t="s">
        <v>794</v>
      </c>
      <c r="C2285" s="4" t="s">
        <v>42</v>
      </c>
      <c r="D2285" s="5" t="n">
        <v>35710</v>
      </c>
      <c r="E2285" s="6" t="n">
        <v>721.95</v>
      </c>
      <c r="F2285" s="7" t="n">
        <v>64</v>
      </c>
      <c r="G2285" s="6" t="n">
        <v>1711.17914623772</v>
      </c>
      <c r="H2285" s="8" t="n">
        <v>689553.860559413</v>
      </c>
      <c r="I2285" s="9" t="n">
        <v>9.08111276567216</v>
      </c>
      <c r="J2285" s="9" t="n">
        <v>42.8966426725597</v>
      </c>
      <c r="K2285" s="3" t="s">
        <v>795</v>
      </c>
      <c r="L2285" s="3" t="s">
        <v>796</v>
      </c>
      <c r="M2285" s="7" t="n">
        <v>2017</v>
      </c>
    </row>
    <row r="2286" customFormat="false" ht="15" hidden="false" customHeight="false" outlineLevel="0" collapsed="false">
      <c r="A2286" s="3" t="n">
        <v>3200</v>
      </c>
      <c r="B2286" s="3" t="s">
        <v>794</v>
      </c>
      <c r="C2286" s="4" t="s">
        <v>18</v>
      </c>
      <c r="D2286" s="5" t="n">
        <v>36063</v>
      </c>
      <c r="E2286" s="6" t="n">
        <v>722</v>
      </c>
      <c r="F2286" s="7" t="n">
        <v>61</v>
      </c>
      <c r="G2286" s="6" t="n">
        <v>2429.91129645729</v>
      </c>
      <c r="H2286" s="8" t="n">
        <v>375670.029657535</v>
      </c>
      <c r="I2286" s="9" t="n">
        <v>12.3539031921481</v>
      </c>
      <c r="J2286" s="9" t="n">
        <v>60.3179041273242</v>
      </c>
      <c r="K2286" s="3" t="s">
        <v>795</v>
      </c>
      <c r="L2286" s="3" t="s">
        <v>796</v>
      </c>
      <c r="M2286" s="7" t="n">
        <v>2018</v>
      </c>
    </row>
    <row r="2287" customFormat="false" ht="15" hidden="false" customHeight="false" outlineLevel="0" collapsed="false">
      <c r="A2287" s="3" t="n">
        <v>3201</v>
      </c>
      <c r="B2287" s="3" t="s">
        <v>794</v>
      </c>
      <c r="C2287" s="4" t="s">
        <v>19</v>
      </c>
      <c r="D2287" s="5" t="n">
        <v>36070</v>
      </c>
      <c r="E2287" s="6" t="n">
        <v>709.19</v>
      </c>
      <c r="F2287" s="7" t="n">
        <v>70</v>
      </c>
      <c r="G2287" s="6" t="n">
        <v>815.875672224179</v>
      </c>
      <c r="H2287" s="8" t="n">
        <v>117486.096800282</v>
      </c>
      <c r="I2287" s="9" t="n">
        <v>5.25574147304125</v>
      </c>
      <c r="J2287" s="9" t="n">
        <v>20.2486239873872</v>
      </c>
      <c r="K2287" s="3" t="s">
        <v>795</v>
      </c>
      <c r="L2287" s="3" t="s">
        <v>796</v>
      </c>
      <c r="M2287" s="7" t="n">
        <v>2019</v>
      </c>
    </row>
    <row r="2288" customFormat="false" ht="15" hidden="false" customHeight="false" outlineLevel="0" collapsed="false">
      <c r="A2288" s="3" t="n">
        <v>3202</v>
      </c>
      <c r="B2288" s="3" t="s">
        <v>794</v>
      </c>
      <c r="C2288" s="4" t="s">
        <v>20</v>
      </c>
      <c r="D2288" s="5" t="n">
        <v>36700</v>
      </c>
      <c r="E2288" s="6" t="n">
        <v>734.95</v>
      </c>
      <c r="F2288" s="7" t="n">
        <v>56</v>
      </c>
      <c r="G2288" s="6" t="n">
        <v>1636.61464361383</v>
      </c>
      <c r="H2288" s="8" t="n">
        <v>232798.03662736</v>
      </c>
      <c r="I2288" s="9" t="n">
        <v>8.63906241154033</v>
      </c>
      <c r="J2288" s="9" t="n">
        <v>39.8113185947677</v>
      </c>
      <c r="K2288" s="3" t="s">
        <v>795</v>
      </c>
      <c r="L2288" s="3" t="s">
        <v>796</v>
      </c>
      <c r="M2288" s="7" t="n">
        <v>2020</v>
      </c>
    </row>
    <row r="2289" customFormat="false" ht="15" hidden="false" customHeight="false" outlineLevel="0" collapsed="false">
      <c r="A2289" s="3" t="n">
        <v>3203</v>
      </c>
      <c r="B2289" s="3" t="s">
        <v>794</v>
      </c>
      <c r="C2289" s="4" t="s">
        <v>21</v>
      </c>
      <c r="D2289" s="5" t="n">
        <v>37700</v>
      </c>
      <c r="E2289" s="6" t="n">
        <v>709.2</v>
      </c>
      <c r="F2289" s="7" t="n">
        <v>64</v>
      </c>
      <c r="G2289" s="6" t="n">
        <v>1398.85808091235</v>
      </c>
      <c r="H2289" s="8" t="n">
        <v>218333.769268799</v>
      </c>
      <c r="I2289" s="9" t="n">
        <v>7.18696645264862</v>
      </c>
      <c r="J2289" s="9" t="n">
        <v>33.2162025624049</v>
      </c>
      <c r="K2289" s="3" t="s">
        <v>795</v>
      </c>
      <c r="L2289" s="3" t="s">
        <v>796</v>
      </c>
      <c r="M2289" s="7" t="n">
        <v>2021</v>
      </c>
    </row>
    <row r="2290" customFormat="false" ht="15" hidden="false" customHeight="false" outlineLevel="0" collapsed="false">
      <c r="A2290" s="3" t="n">
        <v>3204</v>
      </c>
      <c r="B2290" s="3" t="s">
        <v>794</v>
      </c>
      <c r="C2290" s="4" t="s">
        <v>22</v>
      </c>
      <c r="D2290" s="5" t="n">
        <v>39476</v>
      </c>
      <c r="E2290" s="6" t="n">
        <v>770.969</v>
      </c>
      <c r="F2290" s="7" t="n">
        <v>74</v>
      </c>
      <c r="G2290" s="6" t="n">
        <v>1214.31136788945</v>
      </c>
      <c r="H2290" s="8" t="n">
        <v>240008.64186335</v>
      </c>
      <c r="I2290" s="9" t="n">
        <v>6.67223231298547</v>
      </c>
      <c r="J2290" s="9" t="n">
        <v>27.5368713065711</v>
      </c>
      <c r="K2290" s="3" t="s">
        <v>795</v>
      </c>
      <c r="L2290" s="3" t="s">
        <v>796</v>
      </c>
      <c r="M2290" s="7" t="n">
        <v>2022</v>
      </c>
    </row>
    <row r="2291" customFormat="false" ht="15" hidden="false" customHeight="false" outlineLevel="0" collapsed="false">
      <c r="A2291" s="3" t="n">
        <v>3205</v>
      </c>
      <c r="B2291" s="3" t="s">
        <v>794</v>
      </c>
      <c r="C2291" s="4" t="s">
        <v>23</v>
      </c>
      <c r="D2291" s="5" t="n">
        <v>38339</v>
      </c>
      <c r="E2291" s="6" t="n">
        <v>775.5</v>
      </c>
      <c r="F2291" s="7" t="n">
        <v>76</v>
      </c>
      <c r="G2291" s="6" t="n">
        <v>1162.3652785769</v>
      </c>
      <c r="H2291" s="8" t="n">
        <v>215479.275342585</v>
      </c>
      <c r="I2291" s="9" t="n">
        <v>8.55321588025652</v>
      </c>
      <c r="J2291" s="9" t="n">
        <v>27.1406048520272</v>
      </c>
      <c r="K2291" s="3" t="s">
        <v>795</v>
      </c>
      <c r="L2291" s="3" t="s">
        <v>796</v>
      </c>
      <c r="M2291" s="7" t="n">
        <v>2023</v>
      </c>
    </row>
    <row r="2292" customFormat="false" ht="15" hidden="false" customHeight="false" outlineLevel="0" collapsed="false">
      <c r="A2292" s="3" t="n">
        <v>3206</v>
      </c>
      <c r="B2292" s="3" t="s">
        <v>794</v>
      </c>
      <c r="C2292" s="4" t="s">
        <v>24</v>
      </c>
      <c r="D2292" s="5" t="n">
        <v>38339</v>
      </c>
      <c r="E2292" s="6" t="n">
        <v>775.5</v>
      </c>
      <c r="F2292" s="7" t="n">
        <v>81</v>
      </c>
      <c r="G2292" s="6" t="n">
        <v>414.588333190234</v>
      </c>
      <c r="H2292" s="8" t="n">
        <v>85007.1918373256</v>
      </c>
      <c r="I2292" s="9" t="n">
        <v>5.03756349132891</v>
      </c>
      <c r="J2292" s="9" t="n">
        <v>9.65389318565565</v>
      </c>
      <c r="K2292" s="3" t="s">
        <v>795</v>
      </c>
      <c r="L2292" s="3" t="s">
        <v>796</v>
      </c>
      <c r="M2292" s="7" t="n">
        <v>2024</v>
      </c>
    </row>
    <row r="2293" customFormat="false" ht="15" hidden="false" customHeight="false" outlineLevel="0" collapsed="false">
      <c r="A2293" s="3" t="n">
        <v>3207</v>
      </c>
      <c r="B2293" s="3" t="s">
        <v>797</v>
      </c>
      <c r="C2293" s="4" t="s">
        <v>14</v>
      </c>
      <c r="D2293" s="5" t="n">
        <v>12713</v>
      </c>
      <c r="E2293" s="6" t="n">
        <v>203</v>
      </c>
      <c r="F2293" s="7" t="n">
        <v>59</v>
      </c>
      <c r="G2293" s="6" t="n">
        <v>682.217221275508</v>
      </c>
      <c r="H2293" s="8" t="n">
        <v>71339.4548287799</v>
      </c>
      <c r="I2293" s="9" t="n">
        <v>9.58403263113386</v>
      </c>
      <c r="J2293" s="9" t="n">
        <v>47.9072039881182</v>
      </c>
      <c r="K2293" s="3" t="s">
        <v>798</v>
      </c>
      <c r="L2293" s="3" t="s">
        <v>799</v>
      </c>
      <c r="M2293" s="7" t="n">
        <v>2016</v>
      </c>
    </row>
    <row r="2294" customFormat="false" ht="15" hidden="false" customHeight="false" outlineLevel="0" collapsed="false">
      <c r="A2294" s="3" t="n">
        <v>3208</v>
      </c>
      <c r="B2294" s="3" t="s">
        <v>797</v>
      </c>
      <c r="C2294" s="4" t="s">
        <v>17</v>
      </c>
      <c r="D2294" s="5" t="n">
        <v>12983</v>
      </c>
      <c r="E2294" s="6" t="n">
        <v>203</v>
      </c>
      <c r="F2294" s="7" t="n">
        <v>62</v>
      </c>
      <c r="G2294" s="6" t="n">
        <v>38.3694670408167</v>
      </c>
      <c r="H2294" s="8" t="n">
        <v>10097.3089464613</v>
      </c>
      <c r="I2294" s="9" t="n">
        <v>3.06687520611079</v>
      </c>
      <c r="J2294" s="9" t="n">
        <v>2.64562559930805</v>
      </c>
      <c r="K2294" s="3" t="s">
        <v>798</v>
      </c>
      <c r="L2294" s="3" t="s">
        <v>799</v>
      </c>
      <c r="M2294" s="7" t="n">
        <v>2017</v>
      </c>
    </row>
    <row r="2295" customFormat="false" ht="15" hidden="false" customHeight="false" outlineLevel="0" collapsed="false">
      <c r="A2295" s="3" t="n">
        <v>3209</v>
      </c>
      <c r="B2295" s="3" t="s">
        <v>797</v>
      </c>
      <c r="C2295" s="4" t="s">
        <v>18</v>
      </c>
      <c r="D2295" s="5" t="n">
        <v>12983</v>
      </c>
      <c r="E2295" s="6" t="n">
        <v>221</v>
      </c>
      <c r="F2295" s="7" t="n">
        <v>54</v>
      </c>
      <c r="G2295" s="6" t="n">
        <v>1283.92966989796</v>
      </c>
      <c r="H2295" s="8" t="n">
        <v>308605.335456674</v>
      </c>
      <c r="I2295" s="9" t="n">
        <v>13.9413804162457</v>
      </c>
      <c r="J2295" s="9" t="n">
        <v>88.5286521905484</v>
      </c>
      <c r="K2295" s="3" t="s">
        <v>798</v>
      </c>
      <c r="L2295" s="3" t="s">
        <v>799</v>
      </c>
      <c r="M2295" s="7" t="n">
        <v>2018</v>
      </c>
    </row>
    <row r="2296" customFormat="false" ht="15" hidden="false" customHeight="false" outlineLevel="0" collapsed="false">
      <c r="A2296" s="3" t="n">
        <v>3210</v>
      </c>
      <c r="B2296" s="3" t="s">
        <v>797</v>
      </c>
      <c r="C2296" s="4" t="s">
        <v>19</v>
      </c>
      <c r="D2296" s="5" t="n">
        <v>13153</v>
      </c>
      <c r="E2296" s="6" t="n">
        <v>237.33</v>
      </c>
      <c r="F2296" s="7" t="n">
        <v>60</v>
      </c>
      <c r="G2296" s="6" t="n">
        <v>320.562195609138</v>
      </c>
      <c r="H2296" s="8" t="n">
        <v>82730.6914428064</v>
      </c>
      <c r="I2296" s="9" t="n">
        <v>5.56025652468519</v>
      </c>
      <c r="J2296" s="9" t="n">
        <v>21.817508728931</v>
      </c>
      <c r="K2296" s="3" t="s">
        <v>798</v>
      </c>
      <c r="L2296" s="3" t="s">
        <v>799</v>
      </c>
      <c r="M2296" s="7" t="n">
        <v>2019</v>
      </c>
    </row>
    <row r="2297" customFormat="false" ht="15" hidden="false" customHeight="false" outlineLevel="0" collapsed="false">
      <c r="A2297" s="3" t="n">
        <v>3211</v>
      </c>
      <c r="B2297" s="3" t="s">
        <v>797</v>
      </c>
      <c r="C2297" s="4" t="s">
        <v>20</v>
      </c>
      <c r="D2297" s="5" t="n">
        <v>13480</v>
      </c>
      <c r="E2297" s="6" t="n">
        <v>248</v>
      </c>
      <c r="F2297" s="7" t="n">
        <v>60</v>
      </c>
      <c r="G2297" s="6" t="n">
        <v>92.2993678391954</v>
      </c>
      <c r="H2297" s="8" t="n">
        <v>15091.8696353868</v>
      </c>
      <c r="I2297" s="9" t="n">
        <v>2.12005523515555</v>
      </c>
      <c r="J2297" s="9" t="n">
        <v>6.11272739111615</v>
      </c>
      <c r="K2297" s="3" t="s">
        <v>798</v>
      </c>
      <c r="L2297" s="3" t="s">
        <v>799</v>
      </c>
      <c r="M2297" s="7" t="n">
        <v>2020</v>
      </c>
    </row>
    <row r="2298" customFormat="false" ht="15" hidden="false" customHeight="false" outlineLevel="0" collapsed="false">
      <c r="A2298" s="3" t="n">
        <v>3212</v>
      </c>
      <c r="B2298" s="3" t="s">
        <v>797</v>
      </c>
      <c r="C2298" s="4" t="s">
        <v>21</v>
      </c>
      <c r="D2298" s="5" t="n">
        <v>13604</v>
      </c>
      <c r="E2298" s="6" t="n">
        <v>250.9</v>
      </c>
      <c r="F2298" s="7" t="n">
        <v>69</v>
      </c>
      <c r="G2298" s="6" t="n">
        <v>174.125187929293</v>
      </c>
      <c r="H2298" s="8" t="n">
        <v>49676.1748643479</v>
      </c>
      <c r="I2298" s="9" t="n">
        <v>3.38310050175658</v>
      </c>
      <c r="J2298" s="9" t="n">
        <v>11.4581010861277</v>
      </c>
      <c r="K2298" s="3" t="s">
        <v>798</v>
      </c>
      <c r="L2298" s="3" t="s">
        <v>799</v>
      </c>
      <c r="M2298" s="7" t="n">
        <v>2021</v>
      </c>
    </row>
    <row r="2299" customFormat="false" ht="15" hidden="false" customHeight="false" outlineLevel="0" collapsed="false">
      <c r="A2299" s="3" t="n">
        <v>3213</v>
      </c>
      <c r="B2299" s="3" t="s">
        <v>797</v>
      </c>
      <c r="C2299" s="4" t="s">
        <v>22</v>
      </c>
      <c r="D2299" s="5" t="n">
        <v>13556</v>
      </c>
      <c r="E2299" s="6" t="n">
        <v>250.9</v>
      </c>
      <c r="F2299" s="7" t="n">
        <v>57</v>
      </c>
      <c r="G2299" s="6" t="n">
        <v>237.856788778379</v>
      </c>
      <c r="H2299" s="8" t="n">
        <v>70388.9595031856</v>
      </c>
      <c r="I2299" s="9" t="n">
        <v>3.3328164768636</v>
      </c>
      <c r="J2299" s="9" t="n">
        <v>15.7073045957152</v>
      </c>
      <c r="K2299" s="3" t="s">
        <v>798</v>
      </c>
      <c r="L2299" s="3" t="s">
        <v>799</v>
      </c>
      <c r="M2299" s="7" t="n">
        <v>2022</v>
      </c>
    </row>
    <row r="2300" customFormat="false" ht="15" hidden="false" customHeight="false" outlineLevel="0" collapsed="false">
      <c r="A2300" s="3" t="n">
        <v>3214</v>
      </c>
      <c r="B2300" s="3" t="s">
        <v>797</v>
      </c>
      <c r="C2300" s="4" t="s">
        <v>23</v>
      </c>
      <c r="D2300" s="5" t="n">
        <v>13617</v>
      </c>
      <c r="E2300" s="6" t="n">
        <v>243</v>
      </c>
      <c r="F2300" s="7" t="n">
        <v>55</v>
      </c>
      <c r="G2300" s="6" t="n">
        <v>502.457826130653</v>
      </c>
      <c r="H2300" s="8" t="n">
        <v>145300.754160462</v>
      </c>
      <c r="I2300" s="9" t="n">
        <v>16.1898766313395</v>
      </c>
      <c r="J2300" s="9" t="n">
        <v>33.0320747059266</v>
      </c>
      <c r="K2300" s="3" t="s">
        <v>798</v>
      </c>
      <c r="L2300" s="3" t="s">
        <v>799</v>
      </c>
      <c r="M2300" s="7" t="n">
        <v>2023</v>
      </c>
    </row>
    <row r="2301" customFormat="false" ht="15" hidden="false" customHeight="false" outlineLevel="0" collapsed="false">
      <c r="A2301" s="3" t="n">
        <v>3215</v>
      </c>
      <c r="B2301" s="3" t="s">
        <v>797</v>
      </c>
      <c r="C2301" s="4" t="s">
        <v>24</v>
      </c>
      <c r="D2301" s="5" t="n">
        <v>14050</v>
      </c>
      <c r="E2301" s="6" t="n">
        <v>243.5</v>
      </c>
      <c r="F2301" s="7" t="n">
        <v>62</v>
      </c>
      <c r="G2301" s="6" t="n">
        <v>408.130336161615</v>
      </c>
      <c r="H2301" s="8" t="n">
        <v>96984.0117820847</v>
      </c>
      <c r="I2301" s="9" t="n">
        <v>16.1790223064308</v>
      </c>
      <c r="J2301" s="9" t="n">
        <v>25.9327603312238</v>
      </c>
      <c r="K2301" s="3" t="s">
        <v>798</v>
      </c>
      <c r="L2301" s="3" t="s">
        <v>799</v>
      </c>
      <c r="M2301" s="7" t="n">
        <v>2024</v>
      </c>
    </row>
    <row r="2302" customFormat="false" ht="15" hidden="false" customHeight="false" outlineLevel="0" collapsed="false">
      <c r="A2302" s="3" t="n">
        <v>3216</v>
      </c>
      <c r="B2302" s="3" t="s">
        <v>800</v>
      </c>
      <c r="C2302" s="4" t="s">
        <v>14</v>
      </c>
      <c r="D2302" s="5" t="n">
        <v>4358</v>
      </c>
      <c r="E2302" s="6" t="n">
        <v>76</v>
      </c>
      <c r="F2302" s="7" t="n">
        <v>57</v>
      </c>
      <c r="G2302" s="6" t="n">
        <v>85.8488138888886</v>
      </c>
      <c r="H2302" s="8" t="n">
        <v>9188.39855052775</v>
      </c>
      <c r="I2302" s="9" t="n">
        <v>4.50134153523984</v>
      </c>
      <c r="J2302" s="9" t="n">
        <v>17.5862509851247</v>
      </c>
      <c r="K2302" s="3" t="s">
        <v>801</v>
      </c>
      <c r="L2302" s="3" t="s">
        <v>802</v>
      </c>
      <c r="M2302" s="7" t="n">
        <v>2016</v>
      </c>
    </row>
    <row r="2303" customFormat="false" ht="15" hidden="false" customHeight="false" outlineLevel="0" collapsed="false">
      <c r="A2303" s="3" t="n">
        <v>3217</v>
      </c>
      <c r="B2303" s="3" t="s">
        <v>800</v>
      </c>
      <c r="C2303" s="4" t="s">
        <v>17</v>
      </c>
      <c r="D2303" s="5" t="n">
        <v>4527</v>
      </c>
      <c r="E2303" s="6" t="n">
        <v>77</v>
      </c>
      <c r="F2303" s="7" t="n">
        <v>53</v>
      </c>
      <c r="G2303" s="6" t="n">
        <v>55.0463487121211</v>
      </c>
      <c r="H2303" s="8" t="n">
        <v>5921.33573096286</v>
      </c>
      <c r="I2303" s="9" t="n">
        <v>4.2817356956808</v>
      </c>
      <c r="J2303" s="9" t="n">
        <v>10.8851820543123</v>
      </c>
      <c r="K2303" s="3" t="s">
        <v>801</v>
      </c>
      <c r="L2303" s="3" t="s">
        <v>802</v>
      </c>
      <c r="M2303" s="7" t="n">
        <v>2017</v>
      </c>
    </row>
    <row r="2304" customFormat="false" ht="15" hidden="false" customHeight="false" outlineLevel="0" collapsed="false">
      <c r="A2304" s="3" t="n">
        <v>3218</v>
      </c>
      <c r="B2304" s="3" t="s">
        <v>800</v>
      </c>
      <c r="C2304" s="4" t="s">
        <v>18</v>
      </c>
      <c r="D2304" s="5" t="n">
        <v>4868</v>
      </c>
      <c r="E2304" s="6" t="n">
        <v>80</v>
      </c>
      <c r="F2304" s="7" t="n">
        <v>52</v>
      </c>
      <c r="G2304" s="6" t="n">
        <v>21.4605369696964</v>
      </c>
      <c r="H2304" s="8" t="n">
        <v>2620.33156399994</v>
      </c>
      <c r="I2304" s="9" t="n">
        <v>3.28583509513742</v>
      </c>
      <c r="J2304" s="9" t="n">
        <v>3.94645985450652</v>
      </c>
      <c r="K2304" s="3" t="s">
        <v>801</v>
      </c>
      <c r="L2304" s="3" t="s">
        <v>802</v>
      </c>
      <c r="M2304" s="7" t="n">
        <v>2018</v>
      </c>
    </row>
    <row r="2305" customFormat="false" ht="15" hidden="false" customHeight="false" outlineLevel="0" collapsed="false">
      <c r="A2305" s="3" t="n">
        <v>3219</v>
      </c>
      <c r="B2305" s="3" t="s">
        <v>800</v>
      </c>
      <c r="C2305" s="4" t="s">
        <v>19</v>
      </c>
      <c r="D2305" s="5" t="n">
        <v>5119</v>
      </c>
      <c r="E2305" s="6" t="n">
        <v>80</v>
      </c>
      <c r="F2305" s="7" t="n">
        <v>47</v>
      </c>
      <c r="G2305" s="6" t="n">
        <v>263.659690902761</v>
      </c>
      <c r="H2305" s="8" t="n">
        <v>47848.4693117186</v>
      </c>
      <c r="I2305" s="9" t="n">
        <v>10.398597064681</v>
      </c>
      <c r="J2305" s="9" t="n">
        <v>46.1079998992954</v>
      </c>
      <c r="K2305" s="3" t="s">
        <v>801</v>
      </c>
      <c r="L2305" s="3" t="s">
        <v>802</v>
      </c>
      <c r="M2305" s="7" t="n">
        <v>2019</v>
      </c>
    </row>
    <row r="2306" customFormat="false" ht="15" hidden="false" customHeight="false" outlineLevel="0" collapsed="false">
      <c r="A2306" s="3" t="n">
        <v>3220</v>
      </c>
      <c r="B2306" s="3" t="s">
        <v>800</v>
      </c>
      <c r="C2306" s="4" t="s">
        <v>20</v>
      </c>
      <c r="D2306" s="5" t="n">
        <v>5336</v>
      </c>
      <c r="E2306" s="6" t="n">
        <v>80</v>
      </c>
      <c r="F2306" s="7" t="n">
        <v>47</v>
      </c>
      <c r="G2306" s="6" t="n">
        <v>346.330898109961</v>
      </c>
      <c r="H2306" s="8" t="n">
        <v>49600.9524556422</v>
      </c>
      <c r="I2306" s="9" t="n">
        <v>11.5916664875317</v>
      </c>
      <c r="J2306" s="9" t="n">
        <v>57.9430846973922</v>
      </c>
      <c r="K2306" s="3" t="s">
        <v>801</v>
      </c>
      <c r="L2306" s="3" t="s">
        <v>802</v>
      </c>
      <c r="M2306" s="7" t="n">
        <v>2020</v>
      </c>
    </row>
    <row r="2307" customFormat="false" ht="15" hidden="false" customHeight="false" outlineLevel="0" collapsed="false">
      <c r="A2307" s="3" t="n">
        <v>3221</v>
      </c>
      <c r="B2307" s="3" t="s">
        <v>800</v>
      </c>
      <c r="C2307" s="4" t="s">
        <v>21</v>
      </c>
      <c r="D2307" s="5" t="n">
        <v>5657</v>
      </c>
      <c r="E2307" s="6" t="n">
        <v>80</v>
      </c>
      <c r="F2307" s="7" t="n">
        <v>47</v>
      </c>
      <c r="G2307" s="6" t="n">
        <v>318.902323280997</v>
      </c>
      <c r="H2307" s="8" t="n">
        <v>71408.5204380418</v>
      </c>
      <c r="I2307" s="9" t="n">
        <v>10.8124275408795</v>
      </c>
      <c r="J2307" s="9" t="n">
        <v>50.4648723372172</v>
      </c>
      <c r="K2307" s="3" t="s">
        <v>801</v>
      </c>
      <c r="L2307" s="3" t="s">
        <v>802</v>
      </c>
      <c r="M2307" s="7" t="n">
        <v>2021</v>
      </c>
    </row>
    <row r="2308" customFormat="false" ht="15" hidden="false" customHeight="false" outlineLevel="0" collapsed="false">
      <c r="A2308" s="3" t="n">
        <v>3222</v>
      </c>
      <c r="B2308" s="3" t="s">
        <v>800</v>
      </c>
      <c r="C2308" s="4" t="s">
        <v>22</v>
      </c>
      <c r="D2308" s="5" t="n">
        <v>5944</v>
      </c>
      <c r="E2308" s="6" t="n">
        <v>80</v>
      </c>
      <c r="F2308" s="7" t="n">
        <v>47</v>
      </c>
      <c r="G2308" s="6" t="n">
        <v>205.005932309533</v>
      </c>
      <c r="H2308" s="8" t="n">
        <v>63566.1275386929</v>
      </c>
      <c r="I2308" s="9" t="n">
        <v>8.44671626013495</v>
      </c>
      <c r="J2308" s="9" t="n">
        <v>30.874881702203</v>
      </c>
      <c r="K2308" s="3" t="s">
        <v>801</v>
      </c>
      <c r="L2308" s="3" t="s">
        <v>802</v>
      </c>
      <c r="M2308" s="7" t="n">
        <v>2022</v>
      </c>
    </row>
    <row r="2309" customFormat="false" ht="15" hidden="false" customHeight="false" outlineLevel="0" collapsed="false">
      <c r="A2309" s="3" t="n">
        <v>3223</v>
      </c>
      <c r="B2309" s="3" t="s">
        <v>800</v>
      </c>
      <c r="C2309" s="4" t="s">
        <v>23</v>
      </c>
      <c r="D2309" s="5" t="n">
        <v>6218</v>
      </c>
      <c r="E2309" s="6" t="n">
        <v>80</v>
      </c>
      <c r="F2309" s="7" t="n">
        <v>45</v>
      </c>
      <c r="G2309" s="6" t="n">
        <v>101.643139110453</v>
      </c>
      <c r="H2309" s="8" t="n">
        <v>30743.5871907171</v>
      </c>
      <c r="I2309" s="9" t="n">
        <v>6.10933606346491</v>
      </c>
      <c r="J2309" s="9" t="n">
        <v>14.6333926504937</v>
      </c>
      <c r="K2309" s="3" t="s">
        <v>801</v>
      </c>
      <c r="L2309" s="3" t="s">
        <v>802</v>
      </c>
      <c r="M2309" s="7" t="n">
        <v>2023</v>
      </c>
    </row>
    <row r="2310" customFormat="false" ht="15" hidden="false" customHeight="false" outlineLevel="0" collapsed="false">
      <c r="A2310" s="3" t="n">
        <v>3224</v>
      </c>
      <c r="B2310" s="3" t="s">
        <v>800</v>
      </c>
      <c r="C2310" s="4" t="s">
        <v>24</v>
      </c>
      <c r="D2310" s="5" t="n">
        <v>6660</v>
      </c>
      <c r="E2310" s="6" t="n">
        <v>80</v>
      </c>
      <c r="F2310" s="7" t="n">
        <v>47</v>
      </c>
      <c r="G2310" s="6" t="n">
        <v>461.895429852102</v>
      </c>
      <c r="H2310" s="8" t="n">
        <v>147677.968156848</v>
      </c>
      <c r="I2310" s="9" t="n">
        <v>14.1629322611949</v>
      </c>
      <c r="J2310" s="9" t="n">
        <v>61.9149647096702</v>
      </c>
      <c r="K2310" s="3" t="s">
        <v>801</v>
      </c>
      <c r="L2310" s="3" t="s">
        <v>802</v>
      </c>
      <c r="M2310" s="7" t="n">
        <v>2024</v>
      </c>
    </row>
    <row r="2311" customFormat="false" ht="15" hidden="false" customHeight="false" outlineLevel="0" collapsed="false">
      <c r="A2311" s="3" t="n">
        <v>3225</v>
      </c>
      <c r="B2311" s="3" t="s">
        <v>803</v>
      </c>
      <c r="C2311" s="4" t="s">
        <v>46</v>
      </c>
      <c r="D2311" s="5" t="n">
        <v>3014</v>
      </c>
      <c r="E2311" s="6" t="n">
        <v>47.65</v>
      </c>
      <c r="F2311" s="7" t="n">
        <v>54</v>
      </c>
      <c r="G2311" s="6" t="n">
        <v>39.9741828199999</v>
      </c>
      <c r="H2311" s="8" t="n">
        <v>50007.7027078199</v>
      </c>
      <c r="I2311" s="9" t="n">
        <v>10.7438322309215</v>
      </c>
      <c r="J2311" s="9" t="n">
        <v>11.8728237511392</v>
      </c>
      <c r="K2311" s="3" t="s">
        <v>804</v>
      </c>
      <c r="L2311" s="3" t="s">
        <v>805</v>
      </c>
      <c r="M2311" s="7" t="n">
        <v>2021</v>
      </c>
    </row>
    <row r="2312" customFormat="false" ht="15" hidden="false" customHeight="false" outlineLevel="0" collapsed="false">
      <c r="A2312" s="3" t="n">
        <v>3226</v>
      </c>
      <c r="B2312" s="3" t="s">
        <v>803</v>
      </c>
      <c r="C2312" s="4" t="s">
        <v>47</v>
      </c>
      <c r="D2312" s="5" t="n">
        <v>3014</v>
      </c>
      <c r="E2312" s="6" t="n">
        <v>47.65</v>
      </c>
      <c r="F2312" s="7" t="n">
        <v>50</v>
      </c>
      <c r="G2312" s="6" t="n">
        <v>34.97795</v>
      </c>
      <c r="H2312" s="8" t="n">
        <v>43757.41545</v>
      </c>
      <c r="I2312" s="9" t="n">
        <v>10.0249245703791</v>
      </c>
      <c r="J2312" s="9" t="n">
        <v>10.3888811785386</v>
      </c>
      <c r="K2312" s="3" t="s">
        <v>804</v>
      </c>
      <c r="L2312" s="3" t="s">
        <v>805</v>
      </c>
      <c r="M2312" s="7" t="n">
        <v>2022</v>
      </c>
    </row>
    <row r="2313" customFormat="false" ht="15" hidden="false" customHeight="false" outlineLevel="0" collapsed="false">
      <c r="A2313" s="3" t="n">
        <v>3227</v>
      </c>
      <c r="B2313" s="3" t="s">
        <v>803</v>
      </c>
      <c r="C2313" s="4" t="s">
        <v>48</v>
      </c>
      <c r="D2313" s="5" t="n">
        <v>3014</v>
      </c>
      <c r="E2313" s="6" t="n">
        <v>47.65</v>
      </c>
      <c r="F2313" s="7" t="n">
        <v>64</v>
      </c>
      <c r="G2313" s="6" t="n">
        <v>26.1450925</v>
      </c>
      <c r="H2313" s="8" t="n">
        <v>33701.0242325</v>
      </c>
      <c r="I2313" s="9" t="n">
        <v>7.69085377694349</v>
      </c>
      <c r="J2313" s="9" t="n">
        <v>7.7441388008631</v>
      </c>
      <c r="K2313" s="3" t="s">
        <v>804</v>
      </c>
      <c r="L2313" s="3" t="s">
        <v>805</v>
      </c>
      <c r="M2313" s="7" t="n">
        <v>2023</v>
      </c>
    </row>
    <row r="2314" customFormat="false" ht="15" hidden="false" customHeight="false" outlineLevel="0" collapsed="false">
      <c r="A2314" s="3" t="n">
        <v>3228</v>
      </c>
      <c r="B2314" s="3" t="s">
        <v>803</v>
      </c>
      <c r="C2314" s="4" t="s">
        <v>49</v>
      </c>
      <c r="D2314" s="5" t="n">
        <v>3014</v>
      </c>
      <c r="E2314" s="6" t="n">
        <v>47.65</v>
      </c>
      <c r="F2314" s="7" t="n">
        <v>63</v>
      </c>
      <c r="G2314" s="6" t="n">
        <v>38.5539953147174</v>
      </c>
      <c r="H2314" s="8" t="n">
        <v>49696.0999606708</v>
      </c>
      <c r="I2314" s="9" t="n">
        <v>10.4784087383146</v>
      </c>
      <c r="J2314" s="9" t="n">
        <v>11.4510106018944</v>
      </c>
      <c r="K2314" s="3" t="s">
        <v>804</v>
      </c>
      <c r="L2314" s="3" t="s">
        <v>805</v>
      </c>
      <c r="M2314" s="7" t="n">
        <v>2024</v>
      </c>
    </row>
    <row r="2315" customFormat="false" ht="15" hidden="false" customHeight="false" outlineLevel="0" collapsed="false">
      <c r="A2315" s="3" t="n">
        <v>3238</v>
      </c>
      <c r="B2315" s="3" t="s">
        <v>806</v>
      </c>
      <c r="C2315" s="4" t="s">
        <v>14</v>
      </c>
      <c r="D2315" s="5" t="n">
        <v>23235</v>
      </c>
      <c r="E2315" s="6" t="n">
        <v>316</v>
      </c>
      <c r="F2315" s="7" t="n">
        <v>69</v>
      </c>
      <c r="G2315" s="6" t="n">
        <v>953.894173736697</v>
      </c>
      <c r="H2315" s="8" t="n">
        <v>149351.210781955</v>
      </c>
      <c r="I2315" s="9" t="n">
        <v>10.0025481576427</v>
      </c>
      <c r="J2315" s="9" t="n">
        <v>36.6508214645804</v>
      </c>
      <c r="K2315" s="3" t="s">
        <v>807</v>
      </c>
      <c r="L2315" s="3" t="s">
        <v>808</v>
      </c>
      <c r="M2315" s="7" t="n">
        <v>2016</v>
      </c>
    </row>
    <row r="2316" customFormat="false" ht="15" hidden="false" customHeight="false" outlineLevel="0" collapsed="false">
      <c r="A2316" s="3" t="n">
        <v>3239</v>
      </c>
      <c r="B2316" s="3" t="s">
        <v>806</v>
      </c>
      <c r="C2316" s="4" t="s">
        <v>17</v>
      </c>
      <c r="D2316" s="5" t="n">
        <v>23343</v>
      </c>
      <c r="E2316" s="6" t="n">
        <v>316</v>
      </c>
      <c r="F2316" s="7" t="n">
        <v>62</v>
      </c>
      <c r="G2316" s="6" t="n">
        <v>1247.13610974227</v>
      </c>
      <c r="H2316" s="8" t="n">
        <v>175347.337029763</v>
      </c>
      <c r="I2316" s="9" t="n">
        <v>10.4495981814452</v>
      </c>
      <c r="J2316" s="9" t="n">
        <v>47.8271892338043</v>
      </c>
      <c r="K2316" s="3" t="s">
        <v>807</v>
      </c>
      <c r="L2316" s="3" t="s">
        <v>808</v>
      </c>
      <c r="M2316" s="7" t="n">
        <v>2017</v>
      </c>
    </row>
    <row r="2317" customFormat="false" ht="15" hidden="false" customHeight="false" outlineLevel="0" collapsed="false">
      <c r="A2317" s="3" t="n">
        <v>3240</v>
      </c>
      <c r="B2317" s="3" t="s">
        <v>806</v>
      </c>
      <c r="C2317" s="4" t="s">
        <v>18</v>
      </c>
      <c r="D2317" s="5" t="n">
        <v>23381</v>
      </c>
      <c r="E2317" s="6" t="n">
        <v>317.68</v>
      </c>
      <c r="F2317" s="7" t="n">
        <v>62</v>
      </c>
      <c r="G2317" s="6" t="n">
        <v>723.13378172589</v>
      </c>
      <c r="H2317" s="8" t="n">
        <v>101701.535061929</v>
      </c>
      <c r="I2317" s="9" t="n">
        <v>6.49906392083445</v>
      </c>
      <c r="J2317" s="9" t="n">
        <v>27.6868305660465</v>
      </c>
      <c r="K2317" s="3" t="s">
        <v>807</v>
      </c>
      <c r="L2317" s="3" t="s">
        <v>808</v>
      </c>
      <c r="M2317" s="7" t="n">
        <v>2018</v>
      </c>
    </row>
    <row r="2318" customFormat="false" ht="15" hidden="false" customHeight="false" outlineLevel="0" collapsed="false">
      <c r="A2318" s="3" t="n">
        <v>3241</v>
      </c>
      <c r="B2318" s="3" t="s">
        <v>806</v>
      </c>
      <c r="C2318" s="4" t="s">
        <v>19</v>
      </c>
      <c r="D2318" s="5" t="n">
        <v>23415</v>
      </c>
      <c r="E2318" s="6" t="n">
        <v>317.7</v>
      </c>
      <c r="F2318" s="7" t="n">
        <v>63</v>
      </c>
      <c r="G2318" s="6" t="n">
        <v>169.05935550692</v>
      </c>
      <c r="H2318" s="8" t="n">
        <v>25118.8390412181</v>
      </c>
      <c r="I2318" s="9" t="n">
        <v>3.22060417843728</v>
      </c>
      <c r="J2318" s="9" t="n">
        <v>6.46342511390104</v>
      </c>
      <c r="K2318" s="3" t="s">
        <v>807</v>
      </c>
      <c r="L2318" s="3" t="s">
        <v>808</v>
      </c>
      <c r="M2318" s="7" t="n">
        <v>2019</v>
      </c>
    </row>
    <row r="2319" customFormat="false" ht="15" hidden="false" customHeight="false" outlineLevel="0" collapsed="false">
      <c r="A2319" s="3" t="n">
        <v>3242</v>
      </c>
      <c r="B2319" s="3" t="s">
        <v>806</v>
      </c>
      <c r="C2319" s="4" t="s">
        <v>20</v>
      </c>
      <c r="D2319" s="5" t="n">
        <v>22137</v>
      </c>
      <c r="E2319" s="6" t="n">
        <v>317.7</v>
      </c>
      <c r="F2319" s="7" t="n">
        <v>62</v>
      </c>
      <c r="G2319" s="6" t="n">
        <v>1066.11771979696</v>
      </c>
      <c r="H2319" s="8" t="n">
        <v>152116.78965204</v>
      </c>
      <c r="I2319" s="9" t="n">
        <v>7.82415064402447</v>
      </c>
      <c r="J2319" s="9" t="n">
        <v>42.9944690768829</v>
      </c>
      <c r="K2319" s="3" t="s">
        <v>807</v>
      </c>
      <c r="L2319" s="3" t="s">
        <v>808</v>
      </c>
      <c r="M2319" s="7" t="n">
        <v>2020</v>
      </c>
    </row>
    <row r="2320" customFormat="false" ht="15" hidden="false" customHeight="false" outlineLevel="0" collapsed="false">
      <c r="A2320" s="3" t="n">
        <v>3243</v>
      </c>
      <c r="B2320" s="3" t="s">
        <v>806</v>
      </c>
      <c r="C2320" s="4" t="s">
        <v>21</v>
      </c>
      <c r="D2320" s="5" t="n">
        <v>22210</v>
      </c>
      <c r="E2320" s="6" t="n">
        <v>317.7</v>
      </c>
      <c r="F2320" s="7" t="n">
        <v>62</v>
      </c>
      <c r="G2320" s="6" t="n">
        <v>230.184792512691</v>
      </c>
      <c r="H2320" s="8" t="n">
        <v>36508.162121274</v>
      </c>
      <c r="I2320" s="9" t="n">
        <v>3.88649800081829</v>
      </c>
      <c r="J2320" s="9" t="n">
        <v>9.27781575780795</v>
      </c>
      <c r="K2320" s="3" t="s">
        <v>807</v>
      </c>
      <c r="L2320" s="3" t="s">
        <v>808</v>
      </c>
      <c r="M2320" s="7" t="n">
        <v>2021</v>
      </c>
    </row>
    <row r="2321" customFormat="false" ht="15" hidden="false" customHeight="false" outlineLevel="0" collapsed="false">
      <c r="A2321" s="3" t="n">
        <v>3244</v>
      </c>
      <c r="B2321" s="3" t="s">
        <v>806</v>
      </c>
      <c r="C2321" s="4" t="s">
        <v>22</v>
      </c>
      <c r="D2321" s="5" t="n">
        <v>22210</v>
      </c>
      <c r="E2321" s="6" t="n">
        <v>320.52</v>
      </c>
      <c r="F2321" s="7" t="n">
        <v>69</v>
      </c>
      <c r="G2321" s="6" t="n">
        <v>606.304623984773</v>
      </c>
      <c r="H2321" s="8" t="n">
        <v>121418.563999191</v>
      </c>
      <c r="I2321" s="9" t="n">
        <v>6.83810936000004</v>
      </c>
      <c r="J2321" s="9" t="n">
        <v>24.4376812778699</v>
      </c>
      <c r="K2321" s="3" t="s">
        <v>807</v>
      </c>
      <c r="L2321" s="3" t="s">
        <v>808</v>
      </c>
      <c r="M2321" s="7" t="n">
        <v>2022</v>
      </c>
    </row>
    <row r="2322" customFormat="false" ht="15" hidden="false" customHeight="false" outlineLevel="0" collapsed="false">
      <c r="A2322" s="3" t="n">
        <v>3245</v>
      </c>
      <c r="B2322" s="3" t="s">
        <v>806</v>
      </c>
      <c r="C2322" s="4" t="s">
        <v>23</v>
      </c>
      <c r="D2322" s="5" t="n">
        <v>22374</v>
      </c>
      <c r="E2322" s="6" t="n">
        <v>319.01</v>
      </c>
      <c r="F2322" s="7" t="n">
        <v>58</v>
      </c>
      <c r="G2322" s="6" t="n">
        <v>235.077580778894</v>
      </c>
      <c r="H2322" s="8" t="n">
        <v>49975.142897785</v>
      </c>
      <c r="I2322" s="9" t="n">
        <v>3.97521298379554</v>
      </c>
      <c r="J2322" s="9" t="n">
        <v>9.40557289003811</v>
      </c>
      <c r="K2322" s="3" t="s">
        <v>807</v>
      </c>
      <c r="L2322" s="3" t="s">
        <v>808</v>
      </c>
      <c r="M2322" s="7" t="n">
        <v>2023</v>
      </c>
    </row>
    <row r="2323" customFormat="false" ht="15" hidden="false" customHeight="false" outlineLevel="0" collapsed="false">
      <c r="A2323" s="3" t="n">
        <v>3246</v>
      </c>
      <c r="B2323" s="3" t="s">
        <v>806</v>
      </c>
      <c r="C2323" s="4" t="s">
        <v>24</v>
      </c>
      <c r="D2323" s="5" t="n">
        <v>23090</v>
      </c>
      <c r="E2323" s="6" t="n">
        <v>319</v>
      </c>
      <c r="F2323" s="7" t="n">
        <v>55</v>
      </c>
      <c r="G2323" s="6" t="n">
        <v>396.701266834169</v>
      </c>
      <c r="H2323" s="8" t="n">
        <v>102479.838261271</v>
      </c>
      <c r="I2323" s="9" t="n">
        <v>4.86356003358521</v>
      </c>
      <c r="J2323" s="9" t="n">
        <v>15.3378980996554</v>
      </c>
      <c r="K2323" s="3" t="s">
        <v>807</v>
      </c>
      <c r="L2323" s="3" t="s">
        <v>808</v>
      </c>
      <c r="M2323" s="7" t="n">
        <v>2024</v>
      </c>
    </row>
    <row r="2324" customFormat="false" ht="15" hidden="false" customHeight="false" outlineLevel="0" collapsed="false">
      <c r="A2324" s="3" t="n">
        <v>3247</v>
      </c>
      <c r="B2324" s="3" t="s">
        <v>809</v>
      </c>
      <c r="C2324" s="4" t="s">
        <v>14</v>
      </c>
      <c r="D2324" s="5" t="n">
        <v>10621</v>
      </c>
      <c r="E2324" s="6" t="n">
        <v>310.707196969697</v>
      </c>
      <c r="F2324" s="7" t="n">
        <v>54</v>
      </c>
      <c r="G2324" s="6" t="n">
        <v>300.121005624511</v>
      </c>
      <c r="H2324" s="8" t="n">
        <v>51351.5037964422</v>
      </c>
      <c r="I2324" s="9" t="n">
        <v>16.3190207632528</v>
      </c>
      <c r="J2324" s="9" t="n">
        <v>25.2265103649019</v>
      </c>
      <c r="K2324" s="3" t="s">
        <v>810</v>
      </c>
      <c r="L2324" s="3" t="s">
        <v>811</v>
      </c>
      <c r="M2324" s="7" t="n">
        <v>2016</v>
      </c>
    </row>
    <row r="2325" customFormat="false" ht="15" hidden="false" customHeight="false" outlineLevel="0" collapsed="false">
      <c r="A2325" s="3" t="n">
        <v>3248</v>
      </c>
      <c r="B2325" s="3" t="s">
        <v>809</v>
      </c>
      <c r="C2325" s="4" t="s">
        <v>17</v>
      </c>
      <c r="D2325" s="5" t="n">
        <v>10621</v>
      </c>
      <c r="E2325" s="6" t="n">
        <v>308</v>
      </c>
      <c r="F2325" s="7" t="n">
        <v>56</v>
      </c>
      <c r="G2325" s="6" t="n">
        <v>209.540934536083</v>
      </c>
      <c r="H2325" s="8" t="n">
        <v>36424.5006504072</v>
      </c>
      <c r="I2325" s="9" t="n">
        <v>11.2606182244774</v>
      </c>
      <c r="J2325" s="9" t="n">
        <v>17.661237963023</v>
      </c>
      <c r="K2325" s="3" t="s">
        <v>810</v>
      </c>
      <c r="L2325" s="3" t="s">
        <v>811</v>
      </c>
      <c r="M2325" s="7" t="n">
        <v>2017</v>
      </c>
    </row>
    <row r="2326" customFormat="false" ht="15" hidden="false" customHeight="false" outlineLevel="0" collapsed="false">
      <c r="A2326" s="3" t="n">
        <v>3249</v>
      </c>
      <c r="B2326" s="3" t="s">
        <v>809</v>
      </c>
      <c r="C2326" s="4" t="s">
        <v>18</v>
      </c>
      <c r="D2326" s="5" t="n">
        <v>10665</v>
      </c>
      <c r="E2326" s="6" t="n">
        <v>308</v>
      </c>
      <c r="F2326" s="7" t="n">
        <v>55</v>
      </c>
      <c r="G2326" s="6" t="n">
        <v>330.563160670103</v>
      </c>
      <c r="H2326" s="8" t="n">
        <v>56833.7242140108</v>
      </c>
      <c r="I2326" s="9" t="n">
        <v>15.2215663262625</v>
      </c>
      <c r="J2326" s="9" t="n">
        <v>27.7466954316816</v>
      </c>
      <c r="K2326" s="3" t="s">
        <v>810</v>
      </c>
      <c r="L2326" s="3" t="s">
        <v>811</v>
      </c>
      <c r="M2326" s="7" t="n">
        <v>2018</v>
      </c>
    </row>
    <row r="2327" customFormat="false" ht="15" hidden="false" customHeight="false" outlineLevel="0" collapsed="false">
      <c r="A2327" s="3" t="n">
        <v>3250</v>
      </c>
      <c r="B2327" s="3" t="s">
        <v>809</v>
      </c>
      <c r="C2327" s="4" t="s">
        <v>19</v>
      </c>
      <c r="D2327" s="5" t="n">
        <v>10730</v>
      </c>
      <c r="E2327" s="6" t="n">
        <v>308</v>
      </c>
      <c r="F2327" s="7" t="n">
        <v>59</v>
      </c>
      <c r="G2327" s="6" t="n">
        <v>251.141154841836</v>
      </c>
      <c r="H2327" s="8" t="n">
        <v>38796.2855999668</v>
      </c>
      <c r="I2327" s="9" t="n">
        <v>11.9327074894085</v>
      </c>
      <c r="J2327" s="9" t="n">
        <v>20.9524995254056</v>
      </c>
      <c r="K2327" s="3" t="s">
        <v>810</v>
      </c>
      <c r="L2327" s="3" t="s">
        <v>811</v>
      </c>
      <c r="M2327" s="7" t="n">
        <v>2019</v>
      </c>
    </row>
    <row r="2328" customFormat="false" ht="15" hidden="false" customHeight="false" outlineLevel="0" collapsed="false">
      <c r="A2328" s="3" t="n">
        <v>3251</v>
      </c>
      <c r="B2328" s="3" t="s">
        <v>809</v>
      </c>
      <c r="C2328" s="4" t="s">
        <v>20</v>
      </c>
      <c r="D2328" s="5" t="n">
        <v>10803</v>
      </c>
      <c r="E2328" s="6" t="n">
        <v>313</v>
      </c>
      <c r="F2328" s="7" t="n">
        <v>65</v>
      </c>
      <c r="G2328" s="6" t="n">
        <v>292.899309693877</v>
      </c>
      <c r="H2328" s="8" t="n">
        <v>115156.292599245</v>
      </c>
      <c r="I2328" s="9" t="n">
        <v>13.0954724075444</v>
      </c>
      <c r="J2328" s="9" t="n">
        <v>24.2047257200396</v>
      </c>
      <c r="K2328" s="3" t="s">
        <v>810</v>
      </c>
      <c r="L2328" s="3" t="s">
        <v>811</v>
      </c>
      <c r="M2328" s="7" t="n">
        <v>2020</v>
      </c>
    </row>
    <row r="2329" customFormat="false" ht="15" hidden="false" customHeight="false" outlineLevel="0" collapsed="false">
      <c r="A2329" s="3" t="n">
        <v>3252</v>
      </c>
      <c r="B2329" s="3" t="s">
        <v>809</v>
      </c>
      <c r="C2329" s="4" t="s">
        <v>21</v>
      </c>
      <c r="D2329" s="5" t="n">
        <v>10941</v>
      </c>
      <c r="E2329" s="6" t="n">
        <v>313</v>
      </c>
      <c r="F2329" s="7" t="n">
        <v>73</v>
      </c>
      <c r="G2329" s="6" t="n">
        <v>169.357137113402</v>
      </c>
      <c r="H2329" s="8" t="n">
        <v>150910.75773901</v>
      </c>
      <c r="I2329" s="9" t="n">
        <v>9.54853628334325</v>
      </c>
      <c r="J2329" s="9" t="n">
        <v>13.8568386494442</v>
      </c>
      <c r="K2329" s="3" t="s">
        <v>810</v>
      </c>
      <c r="L2329" s="3" t="s">
        <v>811</v>
      </c>
      <c r="M2329" s="7" t="n">
        <v>2021</v>
      </c>
    </row>
    <row r="2330" customFormat="false" ht="15" hidden="false" customHeight="false" outlineLevel="0" collapsed="false">
      <c r="A2330" s="3" t="n">
        <v>3253</v>
      </c>
      <c r="B2330" s="3" t="s">
        <v>809</v>
      </c>
      <c r="C2330" s="4" t="s">
        <v>22</v>
      </c>
      <c r="D2330" s="5" t="n">
        <v>11016</v>
      </c>
      <c r="E2330" s="6" t="n">
        <v>313</v>
      </c>
      <c r="F2330" s="7" t="n">
        <v>49</v>
      </c>
      <c r="G2330" s="6" t="n">
        <v>208.694374226804</v>
      </c>
      <c r="H2330" s="8" t="n">
        <v>123553.330373495</v>
      </c>
      <c r="I2330" s="9" t="n">
        <v>12.3775999779568</v>
      </c>
      <c r="J2330" s="9" t="n">
        <v>16.9591659225388</v>
      </c>
      <c r="K2330" s="3" t="s">
        <v>810</v>
      </c>
      <c r="L2330" s="3" t="s">
        <v>811</v>
      </c>
      <c r="M2330" s="7" t="n">
        <v>2022</v>
      </c>
    </row>
    <row r="2331" customFormat="false" ht="15" hidden="false" customHeight="false" outlineLevel="0" collapsed="false">
      <c r="A2331" s="3" t="n">
        <v>3254</v>
      </c>
      <c r="B2331" s="3" t="s">
        <v>809</v>
      </c>
      <c r="C2331" s="4" t="s">
        <v>23</v>
      </c>
      <c r="D2331" s="5" t="n">
        <v>11100</v>
      </c>
      <c r="E2331" s="6" t="n">
        <v>313</v>
      </c>
      <c r="F2331" s="7" t="n">
        <v>49</v>
      </c>
      <c r="G2331" s="6" t="n">
        <v>282.399636313131</v>
      </c>
      <c r="H2331" s="8" t="n">
        <v>209362.618373466</v>
      </c>
      <c r="I2331" s="9" t="n">
        <v>12.2408306150052</v>
      </c>
      <c r="J2331" s="9" t="n">
        <v>22.7750232383601</v>
      </c>
      <c r="K2331" s="3" t="s">
        <v>810</v>
      </c>
      <c r="L2331" s="3" t="s">
        <v>811</v>
      </c>
      <c r="M2331" s="7" t="n">
        <v>2023</v>
      </c>
    </row>
    <row r="2332" customFormat="false" ht="15" hidden="false" customHeight="false" outlineLevel="0" collapsed="false">
      <c r="A2332" s="3" t="n">
        <v>3255</v>
      </c>
      <c r="B2332" s="3" t="s">
        <v>809</v>
      </c>
      <c r="C2332" s="4" t="s">
        <v>24</v>
      </c>
      <c r="D2332" s="5" t="n">
        <v>11149</v>
      </c>
      <c r="E2332" s="6" t="n">
        <v>313</v>
      </c>
      <c r="F2332" s="7" t="n">
        <v>49</v>
      </c>
      <c r="G2332" s="6" t="n">
        <v>165.075102463389</v>
      </c>
      <c r="H2332" s="8" t="n">
        <v>178598.05485719</v>
      </c>
      <c r="I2332" s="9" t="n">
        <v>7.88333835094186</v>
      </c>
      <c r="J2332" s="9" t="n">
        <v>13.2181858469518</v>
      </c>
      <c r="K2332" s="3" t="s">
        <v>810</v>
      </c>
      <c r="L2332" s="3" t="s">
        <v>811</v>
      </c>
      <c r="M2332" s="7" t="n">
        <v>2024</v>
      </c>
    </row>
    <row r="2333" customFormat="false" ht="15" hidden="false" customHeight="false" outlineLevel="0" collapsed="false">
      <c r="A2333" s="3" t="n">
        <v>3306</v>
      </c>
      <c r="B2333" s="3" t="s">
        <v>812</v>
      </c>
      <c r="C2333" s="4" t="s">
        <v>41</v>
      </c>
      <c r="D2333" s="5" t="n">
        <v>3880</v>
      </c>
      <c r="E2333" s="6" t="n">
        <v>40.4</v>
      </c>
      <c r="F2333" s="7" t="n">
        <v>60</v>
      </c>
      <c r="G2333" s="6" t="n">
        <v>264.973861363636</v>
      </c>
      <c r="H2333" s="8" t="n">
        <v>54717.1023715909</v>
      </c>
      <c r="I2333" s="9" t="n">
        <v>12.0001411781315</v>
      </c>
      <c r="J2333" s="9" t="n">
        <v>61.1348686552638</v>
      </c>
      <c r="K2333" s="3" t="s">
        <v>813</v>
      </c>
      <c r="L2333" s="3" t="s">
        <v>814</v>
      </c>
      <c r="M2333" s="7" t="n">
        <v>2016</v>
      </c>
    </row>
    <row r="2334" customFormat="false" ht="15" hidden="false" customHeight="false" outlineLevel="0" collapsed="false">
      <c r="A2334" s="3" t="n">
        <v>3307</v>
      </c>
      <c r="B2334" s="3" t="s">
        <v>812</v>
      </c>
      <c r="C2334" s="4" t="s">
        <v>42</v>
      </c>
      <c r="D2334" s="5" t="n">
        <v>3890</v>
      </c>
      <c r="E2334" s="6" t="n">
        <v>40.4</v>
      </c>
      <c r="F2334" s="7" t="n">
        <v>57</v>
      </c>
      <c r="G2334" s="6" t="n">
        <v>318.16045530303</v>
      </c>
      <c r="H2334" s="8" t="n">
        <v>32277.3781904924</v>
      </c>
      <c r="I2334" s="9" t="n">
        <v>14.0589381041697</v>
      </c>
      <c r="J2334" s="9" t="n">
        <v>73.2173949270796</v>
      </c>
      <c r="K2334" s="3" t="s">
        <v>813</v>
      </c>
      <c r="L2334" s="3" t="s">
        <v>814</v>
      </c>
      <c r="M2334" s="7" t="n">
        <v>2017</v>
      </c>
    </row>
    <row r="2335" customFormat="false" ht="15" hidden="false" customHeight="false" outlineLevel="0" collapsed="false">
      <c r="A2335" s="3" t="n">
        <v>3308</v>
      </c>
      <c r="B2335" s="3" t="s">
        <v>812</v>
      </c>
      <c r="C2335" s="4" t="s">
        <v>43</v>
      </c>
      <c r="D2335" s="5" t="n">
        <v>3934</v>
      </c>
      <c r="E2335" s="6" t="n">
        <v>40.4</v>
      </c>
      <c r="F2335" s="7" t="n">
        <v>57</v>
      </c>
      <c r="G2335" s="6" t="n">
        <v>333.23320580808</v>
      </c>
      <c r="H2335" s="8" t="n">
        <v>54043.7613179545</v>
      </c>
      <c r="I2335" s="9" t="n">
        <v>15.1594036437278</v>
      </c>
      <c r="J2335" s="9" t="n">
        <v>75.8283472249316</v>
      </c>
      <c r="K2335" s="3" t="s">
        <v>813</v>
      </c>
      <c r="L2335" s="3" t="s">
        <v>814</v>
      </c>
      <c r="M2335" s="7" t="n">
        <v>2018</v>
      </c>
    </row>
    <row r="2336" customFormat="false" ht="15" hidden="false" customHeight="false" outlineLevel="0" collapsed="false">
      <c r="A2336" s="3" t="n">
        <v>3309</v>
      </c>
      <c r="B2336" s="3" t="s">
        <v>812</v>
      </c>
      <c r="C2336" s="4" t="s">
        <v>44</v>
      </c>
      <c r="D2336" s="5" t="n">
        <v>3976</v>
      </c>
      <c r="E2336" s="6" t="n">
        <v>40.4</v>
      </c>
      <c r="F2336" s="7" t="n">
        <v>57</v>
      </c>
      <c r="G2336" s="6" t="n">
        <v>407.959394191919</v>
      </c>
      <c r="H2336" s="8" t="n">
        <v>26770.2954468737</v>
      </c>
      <c r="I2336" s="9" t="n">
        <v>17.8420543144656</v>
      </c>
      <c r="J2336" s="9" t="n">
        <v>91.6002704975269</v>
      </c>
      <c r="K2336" s="3" t="s">
        <v>813</v>
      </c>
      <c r="L2336" s="3" t="s">
        <v>814</v>
      </c>
      <c r="M2336" s="7" t="n">
        <v>2019</v>
      </c>
    </row>
    <row r="2337" customFormat="false" ht="15" hidden="false" customHeight="false" outlineLevel="0" collapsed="false">
      <c r="A2337" s="3" t="n">
        <v>3310</v>
      </c>
      <c r="B2337" s="3" t="s">
        <v>812</v>
      </c>
      <c r="C2337" s="4" t="s">
        <v>45</v>
      </c>
      <c r="D2337" s="5" t="n">
        <v>3984</v>
      </c>
      <c r="E2337" s="6" t="n">
        <v>40.4</v>
      </c>
      <c r="F2337" s="7" t="n">
        <v>58</v>
      </c>
      <c r="G2337" s="6" t="n">
        <v>296.815368434344</v>
      </c>
      <c r="H2337" s="8" t="n">
        <v>65299.3810555557</v>
      </c>
      <c r="I2337" s="9" t="n">
        <v>12.9692856618662</v>
      </c>
      <c r="J2337" s="9" t="n">
        <v>66.6936872625801</v>
      </c>
      <c r="K2337" s="3" t="s">
        <v>813</v>
      </c>
      <c r="L2337" s="3" t="s">
        <v>814</v>
      </c>
      <c r="M2337" s="7" t="n">
        <v>2020</v>
      </c>
    </row>
    <row r="2338" customFormat="false" ht="15" hidden="false" customHeight="false" outlineLevel="0" collapsed="false">
      <c r="A2338" s="3" t="n">
        <v>3311</v>
      </c>
      <c r="B2338" s="3" t="s">
        <v>812</v>
      </c>
      <c r="C2338" s="4" t="s">
        <v>46</v>
      </c>
      <c r="D2338" s="5" t="n">
        <v>3988</v>
      </c>
      <c r="E2338" s="6" t="n">
        <v>41.33</v>
      </c>
      <c r="F2338" s="7" t="n">
        <v>63</v>
      </c>
      <c r="G2338" s="6" t="n">
        <v>186.224591939547</v>
      </c>
      <c r="H2338" s="8" t="n">
        <v>78685.8492814005</v>
      </c>
      <c r="I2338" s="9" t="n">
        <v>8.10033510195705</v>
      </c>
      <c r="J2338" s="9" t="n">
        <v>41.8022401738825</v>
      </c>
      <c r="K2338" s="3" t="s">
        <v>813</v>
      </c>
      <c r="L2338" s="3" t="s">
        <v>814</v>
      </c>
      <c r="M2338" s="7" t="n">
        <v>2021</v>
      </c>
    </row>
    <row r="2339" customFormat="false" ht="15" hidden="false" customHeight="false" outlineLevel="0" collapsed="false">
      <c r="A2339" s="3" t="n">
        <v>3312</v>
      </c>
      <c r="B2339" s="3" t="s">
        <v>812</v>
      </c>
      <c r="C2339" s="4" t="s">
        <v>47</v>
      </c>
      <c r="D2339" s="5" t="n">
        <v>4053</v>
      </c>
      <c r="E2339" s="6" t="n">
        <v>41.33</v>
      </c>
      <c r="F2339" s="7" t="n">
        <v>63</v>
      </c>
      <c r="G2339" s="6" t="n">
        <v>81.92046075764</v>
      </c>
      <c r="H2339" s="8" t="n">
        <v>34970.8616519074</v>
      </c>
      <c r="I2339" s="9" t="n">
        <v>4.67781202965694</v>
      </c>
      <c r="J2339" s="9" t="n">
        <v>18.0939529654724</v>
      </c>
      <c r="K2339" s="3" t="s">
        <v>813</v>
      </c>
      <c r="L2339" s="3" t="s">
        <v>814</v>
      </c>
      <c r="M2339" s="7" t="n">
        <v>2022</v>
      </c>
    </row>
    <row r="2340" customFormat="false" ht="15" hidden="false" customHeight="false" outlineLevel="0" collapsed="false">
      <c r="A2340" s="3" t="n">
        <v>3313</v>
      </c>
      <c r="B2340" s="3" t="s">
        <v>812</v>
      </c>
      <c r="C2340" s="4" t="s">
        <v>48</v>
      </c>
      <c r="D2340" s="5" t="n">
        <v>4027</v>
      </c>
      <c r="E2340" s="6" t="n">
        <v>41.33</v>
      </c>
      <c r="F2340" s="7" t="n">
        <v>63</v>
      </c>
      <c r="G2340" s="6" t="n">
        <v>258.889018010076</v>
      </c>
      <c r="H2340" s="8" t="n">
        <v>112772.056245189</v>
      </c>
      <c r="I2340" s="9" t="n">
        <v>11.2815981559739</v>
      </c>
      <c r="J2340" s="9" t="n">
        <v>57.392902978594</v>
      </c>
      <c r="K2340" s="3" t="s">
        <v>813</v>
      </c>
      <c r="L2340" s="3" t="s">
        <v>814</v>
      </c>
      <c r="M2340" s="7" t="n">
        <v>2023</v>
      </c>
    </row>
    <row r="2341" customFormat="false" ht="15" hidden="false" customHeight="false" outlineLevel="0" collapsed="false">
      <c r="A2341" s="3" t="n">
        <v>3321</v>
      </c>
      <c r="B2341" s="3" t="s">
        <v>815</v>
      </c>
      <c r="C2341" s="4" t="s">
        <v>14</v>
      </c>
      <c r="D2341" s="5" t="n">
        <v>21901</v>
      </c>
      <c r="E2341" s="6" t="n">
        <v>191.73</v>
      </c>
      <c r="F2341" s="7" t="n">
        <v>76</v>
      </c>
      <c r="G2341" s="6" t="n">
        <v>377.146599160563</v>
      </c>
      <c r="H2341" s="8" t="n">
        <v>644730.417843749</v>
      </c>
      <c r="I2341" s="9" t="n">
        <v>5.33658036084034</v>
      </c>
      <c r="J2341" s="9" t="n">
        <v>15.3734891048409</v>
      </c>
      <c r="K2341" s="3" t="s">
        <v>816</v>
      </c>
      <c r="L2341" s="3" t="s">
        <v>817</v>
      </c>
      <c r="M2341" s="7" t="n">
        <v>2016</v>
      </c>
    </row>
    <row r="2342" customFormat="false" ht="15" hidden="false" customHeight="false" outlineLevel="0" collapsed="false">
      <c r="A2342" s="3" t="n">
        <v>3322</v>
      </c>
      <c r="B2342" s="3" t="s">
        <v>815</v>
      </c>
      <c r="C2342" s="4" t="s">
        <v>17</v>
      </c>
      <c r="D2342" s="5" t="n">
        <v>21934</v>
      </c>
      <c r="E2342" s="6" t="n">
        <v>176.69</v>
      </c>
      <c r="F2342" s="7" t="n">
        <v>73</v>
      </c>
      <c r="G2342" s="6" t="n">
        <v>728.823423943231</v>
      </c>
      <c r="H2342" s="8" t="n">
        <v>1331287.735338</v>
      </c>
      <c r="I2342" s="9" t="n">
        <v>8.527161814622</v>
      </c>
      <c r="J2342" s="9" t="n">
        <v>29.7455605471917</v>
      </c>
      <c r="K2342" s="3" t="s">
        <v>816</v>
      </c>
      <c r="L2342" s="3" t="s">
        <v>817</v>
      </c>
      <c r="M2342" s="7" t="n">
        <v>2017</v>
      </c>
    </row>
    <row r="2343" customFormat="false" ht="15" hidden="false" customHeight="false" outlineLevel="0" collapsed="false">
      <c r="A2343" s="3" t="n">
        <v>3323</v>
      </c>
      <c r="B2343" s="3" t="s">
        <v>815</v>
      </c>
      <c r="C2343" s="4" t="s">
        <v>18</v>
      </c>
      <c r="D2343" s="5" t="n">
        <v>21984</v>
      </c>
      <c r="E2343" s="6" t="n">
        <v>174.1</v>
      </c>
      <c r="F2343" s="7" t="n">
        <v>73</v>
      </c>
      <c r="G2343" s="6" t="n">
        <v>780.901299924786</v>
      </c>
      <c r="H2343" s="8" t="n">
        <v>1479529.97479125</v>
      </c>
      <c r="I2343" s="9" t="n">
        <v>9.16301525478741</v>
      </c>
      <c r="J2343" s="9" t="n">
        <v>31.7985344838443</v>
      </c>
      <c r="K2343" s="3" t="s">
        <v>816</v>
      </c>
      <c r="L2343" s="3" t="s">
        <v>817</v>
      </c>
      <c r="M2343" s="7" t="n">
        <v>2018</v>
      </c>
    </row>
    <row r="2344" customFormat="false" ht="15" hidden="false" customHeight="false" outlineLevel="0" collapsed="false">
      <c r="A2344" s="3" t="n">
        <v>3324</v>
      </c>
      <c r="B2344" s="3" t="s">
        <v>815</v>
      </c>
      <c r="C2344" s="4" t="s">
        <v>19</v>
      </c>
      <c r="D2344" s="5" t="n">
        <v>21905</v>
      </c>
      <c r="E2344" s="6" t="n">
        <v>174.7</v>
      </c>
      <c r="F2344" s="7" t="n">
        <v>73</v>
      </c>
      <c r="G2344" s="6" t="n">
        <v>611.85544881735</v>
      </c>
      <c r="H2344" s="8" t="n">
        <v>1185667.270278</v>
      </c>
      <c r="I2344" s="9" t="n">
        <v>8.7896244348541</v>
      </c>
      <c r="J2344" s="9" t="n">
        <v>25.0047921535028</v>
      </c>
      <c r="K2344" s="3" t="s">
        <v>816</v>
      </c>
      <c r="L2344" s="3" t="s">
        <v>817</v>
      </c>
      <c r="M2344" s="7" t="n">
        <v>2019</v>
      </c>
    </row>
    <row r="2345" customFormat="false" ht="15" hidden="false" customHeight="false" outlineLevel="0" collapsed="false">
      <c r="A2345" s="3" t="n">
        <v>3325</v>
      </c>
      <c r="B2345" s="3" t="s">
        <v>815</v>
      </c>
      <c r="C2345" s="4" t="s">
        <v>20</v>
      </c>
      <c r="D2345" s="5" t="n">
        <v>21930</v>
      </c>
      <c r="E2345" s="6" t="n">
        <v>176.8</v>
      </c>
      <c r="F2345" s="7" t="n">
        <v>65</v>
      </c>
      <c r="G2345" s="6" t="n">
        <v>921.623410232779</v>
      </c>
      <c r="H2345" s="8" t="n">
        <v>1825220.39100982</v>
      </c>
      <c r="I2345" s="9" t="n">
        <v>10.4178521494872</v>
      </c>
      <c r="J2345" s="9" t="n">
        <v>37.5181192771223</v>
      </c>
      <c r="K2345" s="3" t="s">
        <v>816</v>
      </c>
      <c r="L2345" s="3" t="s">
        <v>817</v>
      </c>
      <c r="M2345" s="7" t="n">
        <v>2020</v>
      </c>
    </row>
    <row r="2346" customFormat="false" ht="15" hidden="false" customHeight="false" outlineLevel="0" collapsed="false">
      <c r="A2346" s="3" t="n">
        <v>3326</v>
      </c>
      <c r="B2346" s="3" t="s">
        <v>815</v>
      </c>
      <c r="C2346" s="4" t="s">
        <v>21</v>
      </c>
      <c r="D2346" s="5" t="n">
        <v>21980</v>
      </c>
      <c r="E2346" s="6" t="n">
        <v>176.798003633478</v>
      </c>
      <c r="F2346" s="7" t="n">
        <v>72</v>
      </c>
      <c r="G2346" s="6" t="n">
        <v>726.982348970991</v>
      </c>
      <c r="H2346" s="8" t="n">
        <v>1399772.32544373</v>
      </c>
      <c r="I2346" s="9" t="n">
        <v>8.74620427238145</v>
      </c>
      <c r="J2346" s="9" t="n">
        <v>29.6083259249851</v>
      </c>
      <c r="K2346" s="3" t="s">
        <v>816</v>
      </c>
      <c r="L2346" s="3" t="s">
        <v>817</v>
      </c>
      <c r="M2346" s="7" t="n">
        <v>2021</v>
      </c>
    </row>
    <row r="2347" customFormat="false" ht="15" hidden="false" customHeight="false" outlineLevel="0" collapsed="false">
      <c r="A2347" s="3" t="n">
        <v>3327</v>
      </c>
      <c r="B2347" s="3" t="s">
        <v>815</v>
      </c>
      <c r="C2347" s="4" t="s">
        <v>22</v>
      </c>
      <c r="D2347" s="5" t="n">
        <v>23240</v>
      </c>
      <c r="E2347" s="6" t="n">
        <v>177</v>
      </c>
      <c r="F2347" s="7" t="n">
        <v>73</v>
      </c>
      <c r="G2347" s="6" t="n">
        <v>453.981254805827</v>
      </c>
      <c r="H2347" s="8" t="n">
        <v>909032.6812022</v>
      </c>
      <c r="I2347" s="9" t="n">
        <v>7.67751549247746</v>
      </c>
      <c r="J2347" s="9" t="n">
        <v>17.4871675705649</v>
      </c>
      <c r="K2347" s="3" t="s">
        <v>816</v>
      </c>
      <c r="L2347" s="3" t="s">
        <v>817</v>
      </c>
      <c r="M2347" s="7" t="n">
        <v>2022</v>
      </c>
    </row>
    <row r="2348" customFormat="false" ht="15" hidden="false" customHeight="false" outlineLevel="0" collapsed="false">
      <c r="A2348" s="3" t="n">
        <v>3328</v>
      </c>
      <c r="B2348" s="3" t="s">
        <v>815</v>
      </c>
      <c r="C2348" s="4" t="s">
        <v>23</v>
      </c>
      <c r="D2348" s="5" t="n">
        <v>21473</v>
      </c>
      <c r="E2348" s="6" t="n">
        <v>176.85</v>
      </c>
      <c r="F2348" s="7" t="n">
        <v>73</v>
      </c>
      <c r="G2348" s="6" t="n">
        <v>385.182374584714</v>
      </c>
      <c r="H2348" s="8" t="n">
        <v>788087.588919199</v>
      </c>
      <c r="I2348" s="9" t="n">
        <v>5.64295735040307</v>
      </c>
      <c r="J2348" s="9" t="n">
        <v>16.0579964131807</v>
      </c>
      <c r="K2348" s="3" t="s">
        <v>816</v>
      </c>
      <c r="L2348" s="3" t="s">
        <v>817</v>
      </c>
      <c r="M2348" s="7" t="n">
        <v>2023</v>
      </c>
    </row>
    <row r="2349" customFormat="false" ht="15" hidden="false" customHeight="false" outlineLevel="0" collapsed="false">
      <c r="A2349" s="3" t="n">
        <v>3329</v>
      </c>
      <c r="B2349" s="3" t="s">
        <v>815</v>
      </c>
      <c r="C2349" s="4" t="s">
        <v>24</v>
      </c>
      <c r="D2349" s="5" t="n">
        <v>22028</v>
      </c>
      <c r="E2349" s="6" t="n">
        <v>176.8</v>
      </c>
      <c r="F2349" s="7" t="n">
        <v>75</v>
      </c>
      <c r="G2349" s="6" t="n">
        <v>246.266864388578</v>
      </c>
      <c r="H2349" s="8" t="n">
        <v>540124.136120703</v>
      </c>
      <c r="I2349" s="9" t="n">
        <v>4.28667232948088</v>
      </c>
      <c r="J2349" s="9" t="n">
        <v>9.98061048427562</v>
      </c>
      <c r="K2349" s="3" t="s">
        <v>816</v>
      </c>
      <c r="L2349" s="3" t="s">
        <v>817</v>
      </c>
      <c r="M2349" s="7" t="n">
        <v>2024</v>
      </c>
    </row>
    <row r="2350" customFormat="false" ht="15" hidden="false" customHeight="false" outlineLevel="0" collapsed="false">
      <c r="A2350" s="3" t="n">
        <v>3330</v>
      </c>
      <c r="B2350" s="3" t="s">
        <v>818</v>
      </c>
      <c r="C2350" s="4" t="s">
        <v>14</v>
      </c>
      <c r="D2350" s="5" t="n">
        <v>22508</v>
      </c>
      <c r="E2350" s="6" t="n">
        <v>373.7</v>
      </c>
      <c r="F2350" s="7" t="n">
        <v>70</v>
      </c>
      <c r="G2350" s="6" t="n">
        <v>771.431630325816</v>
      </c>
      <c r="H2350" s="8" t="n">
        <v>2051799.85012648</v>
      </c>
      <c r="I2350" s="9" t="n">
        <v>6.66498110769318</v>
      </c>
      <c r="J2350" s="9" t="n">
        <v>30.5975553499757</v>
      </c>
      <c r="K2350" s="3" t="s">
        <v>819</v>
      </c>
      <c r="L2350" s="3" t="s">
        <v>820</v>
      </c>
      <c r="M2350" s="7" t="n">
        <v>2016</v>
      </c>
    </row>
    <row r="2351" customFormat="false" ht="15" hidden="false" customHeight="false" outlineLevel="0" collapsed="false">
      <c r="A2351" s="3" t="n">
        <v>3331</v>
      </c>
      <c r="B2351" s="3" t="s">
        <v>818</v>
      </c>
      <c r="C2351" s="4" t="s">
        <v>17</v>
      </c>
      <c r="D2351" s="5" t="n">
        <v>22428</v>
      </c>
      <c r="E2351" s="6" t="n">
        <v>378.04</v>
      </c>
      <c r="F2351" s="7" t="n">
        <v>70</v>
      </c>
      <c r="G2351" s="6" t="n">
        <v>1285.12625689223</v>
      </c>
      <c r="H2351" s="8" t="n">
        <v>2196974.74120754</v>
      </c>
      <c r="I2351" s="9" t="n">
        <v>9.40446423920404</v>
      </c>
      <c r="J2351" s="9" t="n">
        <v>51.294750764668</v>
      </c>
      <c r="K2351" s="3" t="s">
        <v>819</v>
      </c>
      <c r="L2351" s="3" t="s">
        <v>820</v>
      </c>
      <c r="M2351" s="7" t="n">
        <v>2017</v>
      </c>
    </row>
    <row r="2352" customFormat="false" ht="15" hidden="false" customHeight="false" outlineLevel="0" collapsed="false">
      <c r="A2352" s="3" t="n">
        <v>3332</v>
      </c>
      <c r="B2352" s="3" t="s">
        <v>818</v>
      </c>
      <c r="C2352" s="4" t="s">
        <v>18</v>
      </c>
      <c r="D2352" s="5" t="n">
        <v>22473</v>
      </c>
      <c r="E2352" s="6" t="n">
        <v>378</v>
      </c>
      <c r="F2352" s="7" t="n">
        <v>70</v>
      </c>
      <c r="G2352" s="6" t="n">
        <v>590.145498120296</v>
      </c>
      <c r="H2352" s="8" t="n">
        <v>1016549.22633214</v>
      </c>
      <c r="I2352" s="9" t="n">
        <v>4.98164288222709</v>
      </c>
      <c r="J2352" s="9" t="n">
        <v>23.5080021187814</v>
      </c>
      <c r="K2352" s="3" t="s">
        <v>819</v>
      </c>
      <c r="L2352" s="3" t="s">
        <v>820</v>
      </c>
      <c r="M2352" s="7" t="n">
        <v>2018</v>
      </c>
    </row>
    <row r="2353" customFormat="false" ht="15" hidden="false" customHeight="false" outlineLevel="0" collapsed="false">
      <c r="A2353" s="3" t="n">
        <v>3333</v>
      </c>
      <c r="B2353" s="3" t="s">
        <v>818</v>
      </c>
      <c r="C2353" s="4" t="s">
        <v>19</v>
      </c>
      <c r="D2353" s="5" t="n">
        <v>22535</v>
      </c>
      <c r="E2353" s="6" t="n">
        <v>379.5</v>
      </c>
      <c r="F2353" s="7" t="n">
        <v>70</v>
      </c>
      <c r="G2353" s="6" t="n">
        <v>737.92813596491</v>
      </c>
      <c r="H2353" s="8" t="n">
        <v>1416991.7445239</v>
      </c>
      <c r="I2353" s="9" t="n">
        <v>6.75724042219056</v>
      </c>
      <c r="J2353" s="9" t="n">
        <v>29.3139391267189</v>
      </c>
      <c r="K2353" s="3" t="s">
        <v>819</v>
      </c>
      <c r="L2353" s="3" t="s">
        <v>820</v>
      </c>
      <c r="M2353" s="7" t="n">
        <v>2019</v>
      </c>
    </row>
    <row r="2354" customFormat="false" ht="15" hidden="false" customHeight="false" outlineLevel="0" collapsed="false">
      <c r="A2354" s="3" t="n">
        <v>3334</v>
      </c>
      <c r="B2354" s="3" t="s">
        <v>818</v>
      </c>
      <c r="C2354" s="4" t="s">
        <v>20</v>
      </c>
      <c r="D2354" s="5" t="n">
        <v>22634</v>
      </c>
      <c r="E2354" s="6" t="n">
        <v>380</v>
      </c>
      <c r="F2354" s="7" t="n">
        <v>70</v>
      </c>
      <c r="G2354" s="6" t="n">
        <v>675.239845238096</v>
      </c>
      <c r="H2354" s="8" t="n">
        <v>1212764.52403988</v>
      </c>
      <c r="I2354" s="9" t="n">
        <v>5.71994635865573</v>
      </c>
      <c r="J2354" s="9" t="n">
        <v>26.6331750646293</v>
      </c>
      <c r="K2354" s="3" t="s">
        <v>819</v>
      </c>
      <c r="L2354" s="3" t="s">
        <v>820</v>
      </c>
      <c r="M2354" s="7" t="n">
        <v>2020</v>
      </c>
    </row>
    <row r="2355" customFormat="false" ht="15" hidden="false" customHeight="false" outlineLevel="0" collapsed="false">
      <c r="A2355" s="3" t="n">
        <v>3335</v>
      </c>
      <c r="B2355" s="3" t="s">
        <v>818</v>
      </c>
      <c r="C2355" s="4" t="s">
        <v>21</v>
      </c>
      <c r="D2355" s="5" t="n">
        <v>22693</v>
      </c>
      <c r="E2355" s="6" t="n">
        <v>381.5</v>
      </c>
      <c r="F2355" s="7" t="n">
        <v>70</v>
      </c>
      <c r="G2355" s="6" t="n">
        <v>567.665909774434</v>
      </c>
      <c r="H2355" s="8" t="n">
        <v>1103792.3016018</v>
      </c>
      <c r="I2355" s="9" t="n">
        <v>4.99623635679336</v>
      </c>
      <c r="J2355" s="9" t="n">
        <v>22.3933246063085</v>
      </c>
      <c r="K2355" s="3" t="s">
        <v>819</v>
      </c>
      <c r="L2355" s="3" t="s">
        <v>820</v>
      </c>
      <c r="M2355" s="7" t="n">
        <v>2021</v>
      </c>
    </row>
    <row r="2356" customFormat="false" ht="15" hidden="false" customHeight="false" outlineLevel="0" collapsed="false">
      <c r="A2356" s="3" t="n">
        <v>3336</v>
      </c>
      <c r="B2356" s="3" t="s">
        <v>818</v>
      </c>
      <c r="C2356" s="4" t="s">
        <v>22</v>
      </c>
      <c r="D2356" s="5" t="n">
        <v>22892</v>
      </c>
      <c r="E2356" s="6" t="n">
        <v>381.5</v>
      </c>
      <c r="F2356" s="7" t="n">
        <v>68</v>
      </c>
      <c r="G2356" s="6" t="n">
        <v>705.68640726817</v>
      </c>
      <c r="H2356" s="8" t="n">
        <v>1454200.92259345</v>
      </c>
      <c r="I2356" s="9" t="n">
        <v>5.78684429641964</v>
      </c>
      <c r="J2356" s="9" t="n">
        <v>27.5959716114104</v>
      </c>
      <c r="K2356" s="3" t="s">
        <v>819</v>
      </c>
      <c r="L2356" s="3" t="s">
        <v>820</v>
      </c>
      <c r="M2356" s="7" t="n">
        <v>2022</v>
      </c>
    </row>
    <row r="2357" customFormat="false" ht="15" hidden="false" customHeight="false" outlineLevel="0" collapsed="false">
      <c r="A2357" s="3" t="n">
        <v>3337</v>
      </c>
      <c r="B2357" s="3" t="s">
        <v>818</v>
      </c>
      <c r="C2357" s="4" t="s">
        <v>23</v>
      </c>
      <c r="D2357" s="5" t="n">
        <v>23120</v>
      </c>
      <c r="E2357" s="6" t="n">
        <v>384.88</v>
      </c>
      <c r="F2357" s="7" t="n">
        <v>69</v>
      </c>
      <c r="G2357" s="6" t="n">
        <v>446.409491854638</v>
      </c>
      <c r="H2357" s="8" t="n">
        <v>1068869.49501199</v>
      </c>
      <c r="I2357" s="9" t="n">
        <v>4.74165640417936</v>
      </c>
      <c r="J2357" s="9" t="n">
        <v>17.2847564701041</v>
      </c>
      <c r="K2357" s="3" t="s">
        <v>819</v>
      </c>
      <c r="L2357" s="3" t="s">
        <v>820</v>
      </c>
      <c r="M2357" s="7" t="n">
        <v>2023</v>
      </c>
    </row>
    <row r="2358" customFormat="false" ht="15" hidden="false" customHeight="false" outlineLevel="0" collapsed="false">
      <c r="A2358" s="3" t="n">
        <v>3338</v>
      </c>
      <c r="B2358" s="3" t="s">
        <v>818</v>
      </c>
      <c r="C2358" s="4" t="s">
        <v>24</v>
      </c>
      <c r="D2358" s="5" t="n">
        <v>23200</v>
      </c>
      <c r="E2358" s="6" t="n">
        <v>385.6493318</v>
      </c>
      <c r="F2358" s="7" t="n">
        <v>73</v>
      </c>
      <c r="G2358" s="6" t="n">
        <v>613.308935463658</v>
      </c>
      <c r="H2358" s="8" t="n">
        <v>1411444.65171865</v>
      </c>
      <c r="I2358" s="9" t="n">
        <v>5.51628667911151</v>
      </c>
      <c r="J2358" s="9" t="n">
        <v>23.6002987635532</v>
      </c>
      <c r="K2358" s="3" t="s">
        <v>819</v>
      </c>
      <c r="L2358" s="3" t="s">
        <v>820</v>
      </c>
      <c r="M2358" s="7" t="n">
        <v>2024</v>
      </c>
    </row>
    <row r="2359" customFormat="false" ht="15" hidden="false" customHeight="false" outlineLevel="0" collapsed="false">
      <c r="A2359" s="3" t="n">
        <v>3339</v>
      </c>
      <c r="B2359" s="3" t="s">
        <v>821</v>
      </c>
      <c r="C2359" s="4" t="s">
        <v>14</v>
      </c>
      <c r="D2359" s="5" t="n">
        <v>29761</v>
      </c>
      <c r="E2359" s="6" t="n">
        <v>440</v>
      </c>
      <c r="F2359" s="7" t="n">
        <v>59</v>
      </c>
      <c r="G2359" s="6" t="n">
        <v>696.851184343435</v>
      </c>
      <c r="H2359" s="8" t="n">
        <v>739635.688087672</v>
      </c>
      <c r="I2359" s="9" t="n">
        <v>6.45838334647965</v>
      </c>
      <c r="J2359" s="9" t="n">
        <v>20.9034859236569</v>
      </c>
      <c r="K2359" s="3" t="s">
        <v>822</v>
      </c>
      <c r="L2359" s="3" t="s">
        <v>823</v>
      </c>
      <c r="M2359" s="7" t="n">
        <v>2016</v>
      </c>
    </row>
    <row r="2360" customFormat="false" ht="15" hidden="false" customHeight="false" outlineLevel="0" collapsed="false">
      <c r="A2360" s="3" t="n">
        <v>3340</v>
      </c>
      <c r="B2360" s="3" t="s">
        <v>821</v>
      </c>
      <c r="C2360" s="4" t="s">
        <v>17</v>
      </c>
      <c r="D2360" s="5" t="n">
        <v>36699</v>
      </c>
      <c r="E2360" s="6" t="n">
        <v>457.727083333333</v>
      </c>
      <c r="F2360" s="7" t="n">
        <v>72</v>
      </c>
      <c r="G2360" s="6" t="n">
        <v>1175.72395291165</v>
      </c>
      <c r="H2360" s="8" t="n">
        <v>1491993.69624488</v>
      </c>
      <c r="I2360" s="9" t="n">
        <v>8.79537564681994</v>
      </c>
      <c r="J2360" s="9" t="n">
        <v>28.6793173826797</v>
      </c>
      <c r="K2360" s="3" t="s">
        <v>822</v>
      </c>
      <c r="L2360" s="3" t="s">
        <v>823</v>
      </c>
      <c r="M2360" s="7" t="n">
        <v>2017</v>
      </c>
    </row>
    <row r="2361" customFormat="false" ht="15" hidden="false" customHeight="false" outlineLevel="0" collapsed="false">
      <c r="A2361" s="3" t="n">
        <v>3341</v>
      </c>
      <c r="B2361" s="3" t="s">
        <v>821</v>
      </c>
      <c r="C2361" s="4" t="s">
        <v>18</v>
      </c>
      <c r="D2361" s="5" t="n">
        <v>30154</v>
      </c>
      <c r="E2361" s="6" t="n">
        <v>463.4</v>
      </c>
      <c r="F2361" s="7" t="n">
        <v>74</v>
      </c>
      <c r="G2361" s="6" t="n">
        <v>354.236917690237</v>
      </c>
      <c r="H2361" s="8" t="n">
        <v>465017.428959504</v>
      </c>
      <c r="I2361" s="9" t="n">
        <v>4.50318497128844</v>
      </c>
      <c r="J2361" s="9" t="n">
        <v>10.5163871126643</v>
      </c>
      <c r="K2361" s="3" t="s">
        <v>822</v>
      </c>
      <c r="L2361" s="3" t="s">
        <v>823</v>
      </c>
      <c r="M2361" s="7" t="n">
        <v>2018</v>
      </c>
    </row>
    <row r="2362" customFormat="false" ht="15" hidden="false" customHeight="false" outlineLevel="0" collapsed="false">
      <c r="A2362" s="3" t="n">
        <v>3342</v>
      </c>
      <c r="B2362" s="3" t="s">
        <v>821</v>
      </c>
      <c r="C2362" s="4" t="s">
        <v>19</v>
      </c>
      <c r="D2362" s="5" t="n">
        <v>30297</v>
      </c>
      <c r="E2362" s="6" t="n">
        <v>466.12</v>
      </c>
      <c r="F2362" s="7" t="n">
        <v>75</v>
      </c>
      <c r="G2362" s="6" t="n">
        <v>321.873829658605</v>
      </c>
      <c r="H2362" s="8" t="n">
        <v>420141.909853377</v>
      </c>
      <c r="I2362" s="9" t="n">
        <v>4.56484474396028</v>
      </c>
      <c r="J2362" s="9" t="n">
        <v>9.5105079917685</v>
      </c>
      <c r="K2362" s="3" t="s">
        <v>822</v>
      </c>
      <c r="L2362" s="3" t="s">
        <v>823</v>
      </c>
      <c r="M2362" s="7" t="n">
        <v>2019</v>
      </c>
    </row>
    <row r="2363" customFormat="false" ht="15" hidden="false" customHeight="false" outlineLevel="0" collapsed="false">
      <c r="A2363" s="3" t="n">
        <v>3343</v>
      </c>
      <c r="B2363" s="3" t="s">
        <v>821</v>
      </c>
      <c r="C2363" s="4" t="s">
        <v>20</v>
      </c>
      <c r="D2363" s="5" t="n">
        <v>30491</v>
      </c>
      <c r="E2363" s="6" t="n">
        <v>464.84</v>
      </c>
      <c r="F2363" s="7" t="n">
        <v>75</v>
      </c>
      <c r="G2363" s="6" t="n">
        <v>180.451830207963</v>
      </c>
      <c r="H2363" s="8" t="n">
        <v>243294.180077886</v>
      </c>
      <c r="I2363" s="9" t="n">
        <v>3.55716714776441</v>
      </c>
      <c r="J2363" s="9" t="n">
        <v>5.28342828538176</v>
      </c>
      <c r="K2363" s="3" t="s">
        <v>822</v>
      </c>
      <c r="L2363" s="3" t="s">
        <v>823</v>
      </c>
      <c r="M2363" s="7" t="n">
        <v>2020</v>
      </c>
    </row>
    <row r="2364" customFormat="false" ht="15" hidden="false" customHeight="false" outlineLevel="0" collapsed="false">
      <c r="A2364" s="3" t="n">
        <v>3344</v>
      </c>
      <c r="B2364" s="3" t="s">
        <v>821</v>
      </c>
      <c r="C2364" s="4" t="s">
        <v>21</v>
      </c>
      <c r="D2364" s="5" t="n">
        <v>30512</v>
      </c>
      <c r="E2364" s="6" t="n">
        <v>469.711666666667</v>
      </c>
      <c r="F2364" s="7" t="n">
        <v>78</v>
      </c>
      <c r="G2364" s="6" t="n">
        <v>307.007471827201</v>
      </c>
      <c r="H2364" s="8" t="n">
        <v>428624.699761055</v>
      </c>
      <c r="I2364" s="9" t="n">
        <v>4.28922880791481</v>
      </c>
      <c r="J2364" s="9" t="n">
        <v>9.00732730109117</v>
      </c>
      <c r="K2364" s="3" t="s">
        <v>822</v>
      </c>
      <c r="L2364" s="3" t="s">
        <v>823</v>
      </c>
      <c r="M2364" s="7" t="n">
        <v>2021</v>
      </c>
    </row>
    <row r="2365" customFormat="false" ht="15" hidden="false" customHeight="false" outlineLevel="0" collapsed="false">
      <c r="A2365" s="3" t="n">
        <v>3345</v>
      </c>
      <c r="B2365" s="3" t="s">
        <v>821</v>
      </c>
      <c r="C2365" s="4" t="s">
        <v>22</v>
      </c>
      <c r="D2365" s="5" t="n">
        <v>30444</v>
      </c>
      <c r="E2365" s="6" t="n">
        <v>474.7</v>
      </c>
      <c r="F2365" s="7" t="n">
        <v>75</v>
      </c>
      <c r="G2365" s="6" t="n">
        <v>573.815962474646</v>
      </c>
      <c r="H2365" s="8" t="n">
        <v>860190.294866867</v>
      </c>
      <c r="I2365" s="9" t="n">
        <v>5.91834253994409</v>
      </c>
      <c r="J2365" s="9" t="n">
        <v>16.8728554741769</v>
      </c>
      <c r="K2365" s="3" t="s">
        <v>822</v>
      </c>
      <c r="L2365" s="3" t="s">
        <v>823</v>
      </c>
      <c r="M2365" s="7" t="n">
        <v>2022</v>
      </c>
    </row>
    <row r="2366" customFormat="false" ht="15" hidden="false" customHeight="false" outlineLevel="0" collapsed="false">
      <c r="A2366" s="3" t="n">
        <v>3346</v>
      </c>
      <c r="B2366" s="3" t="s">
        <v>821</v>
      </c>
      <c r="C2366" s="4" t="s">
        <v>23</v>
      </c>
      <c r="D2366" s="5" t="n">
        <v>30631</v>
      </c>
      <c r="E2366" s="6" t="n">
        <v>474.783941688362</v>
      </c>
      <c r="F2366" s="7" t="n">
        <v>75</v>
      </c>
      <c r="G2366" s="6" t="n">
        <v>394.218255573748</v>
      </c>
      <c r="H2366" s="8" t="n">
        <v>567323.63183537</v>
      </c>
      <c r="I2366" s="9" t="n">
        <v>5.05724651334602</v>
      </c>
      <c r="J2366" s="9" t="n">
        <v>11.5210810276741</v>
      </c>
      <c r="K2366" s="3" t="s">
        <v>822</v>
      </c>
      <c r="L2366" s="3" t="s">
        <v>823</v>
      </c>
      <c r="M2366" s="7" t="n">
        <v>2023</v>
      </c>
    </row>
    <row r="2367" customFormat="false" ht="15" hidden="false" customHeight="false" outlineLevel="0" collapsed="false">
      <c r="A2367" s="3" t="n">
        <v>3347</v>
      </c>
      <c r="B2367" s="3" t="s">
        <v>821</v>
      </c>
      <c r="C2367" s="4" t="s">
        <v>48</v>
      </c>
      <c r="D2367" s="5" t="n">
        <v>29487</v>
      </c>
      <c r="E2367" s="6" t="n">
        <v>474.783941688362</v>
      </c>
      <c r="F2367" s="7" t="n">
        <v>75</v>
      </c>
      <c r="G2367" s="6" t="n">
        <v>515.863868367984</v>
      </c>
      <c r="H2367" s="8" t="n">
        <v>877064.477447678</v>
      </c>
      <c r="I2367" s="9" t="n">
        <v>5.85747104430903</v>
      </c>
      <c r="J2367" s="9" t="n">
        <v>15.6181904513831</v>
      </c>
      <c r="K2367" s="3" t="s">
        <v>822</v>
      </c>
      <c r="L2367" s="3" t="s">
        <v>823</v>
      </c>
      <c r="M2367" s="7" t="n">
        <v>2023</v>
      </c>
    </row>
    <row r="2368" customFormat="false" ht="15" hidden="false" customHeight="false" outlineLevel="0" collapsed="false">
      <c r="A2368" s="3" t="n">
        <v>3348</v>
      </c>
      <c r="B2368" s="3" t="s">
        <v>821</v>
      </c>
      <c r="C2368" s="4" t="s">
        <v>49</v>
      </c>
      <c r="D2368" s="5" t="n">
        <v>29506</v>
      </c>
      <c r="E2368" s="6" t="n">
        <v>474.783941688362</v>
      </c>
      <c r="F2368" s="7" t="n">
        <v>75</v>
      </c>
      <c r="G2368" s="6" t="n">
        <v>595.441365141448</v>
      </c>
      <c r="H2368" s="8" t="n">
        <v>1128854.95205553</v>
      </c>
      <c r="I2368" s="9" t="n">
        <v>6.08872147813628</v>
      </c>
      <c r="J2368" s="9" t="n">
        <v>18.0653482540621</v>
      </c>
      <c r="K2368" s="3" t="s">
        <v>822</v>
      </c>
      <c r="L2368" s="3" t="s">
        <v>823</v>
      </c>
      <c r="M2368" s="7" t="n">
        <v>2024</v>
      </c>
    </row>
    <row r="2369" customFormat="false" ht="15" hidden="false" customHeight="false" outlineLevel="0" collapsed="false">
      <c r="A2369" s="3" t="n">
        <v>3349</v>
      </c>
      <c r="B2369" s="3" t="s">
        <v>824</v>
      </c>
      <c r="C2369" s="4" t="s">
        <v>14</v>
      </c>
      <c r="D2369" s="5" t="n">
        <v>26587</v>
      </c>
      <c r="E2369" s="6" t="n">
        <v>420</v>
      </c>
      <c r="F2369" s="7" t="n">
        <v>69</v>
      </c>
      <c r="G2369" s="6" t="n">
        <v>386.092439210895</v>
      </c>
      <c r="H2369" s="8" t="n">
        <v>498168.533166279</v>
      </c>
      <c r="I2369" s="9" t="n">
        <v>4.14235142030269</v>
      </c>
      <c r="J2369" s="9" t="n">
        <v>12.9642726215778</v>
      </c>
      <c r="K2369" s="3" t="s">
        <v>825</v>
      </c>
      <c r="L2369" s="3" t="s">
        <v>826</v>
      </c>
      <c r="M2369" s="7" t="n">
        <v>2016</v>
      </c>
    </row>
    <row r="2370" customFormat="false" ht="15" hidden="false" customHeight="false" outlineLevel="0" collapsed="false">
      <c r="A2370" s="3" t="n">
        <v>3350</v>
      </c>
      <c r="B2370" s="3" t="s">
        <v>824</v>
      </c>
      <c r="C2370" s="4" t="s">
        <v>17</v>
      </c>
      <c r="D2370" s="5" t="n">
        <v>26656</v>
      </c>
      <c r="E2370" s="6" t="n">
        <v>436</v>
      </c>
      <c r="F2370" s="7" t="n">
        <v>71</v>
      </c>
      <c r="G2370" s="6" t="n">
        <v>556.622311369744</v>
      </c>
      <c r="H2370" s="8" t="n">
        <v>639348.251632993</v>
      </c>
      <c r="I2370" s="9" t="n">
        <v>4.9176643775459</v>
      </c>
      <c r="J2370" s="9" t="n">
        <v>18.6931850469043</v>
      </c>
      <c r="K2370" s="3" t="s">
        <v>825</v>
      </c>
      <c r="L2370" s="3" t="s">
        <v>826</v>
      </c>
      <c r="M2370" s="7" t="n">
        <v>2017</v>
      </c>
    </row>
    <row r="2371" customFormat="false" ht="15" hidden="false" customHeight="false" outlineLevel="0" collapsed="false">
      <c r="A2371" s="3" t="n">
        <v>3351</v>
      </c>
      <c r="B2371" s="3" t="s">
        <v>824</v>
      </c>
      <c r="C2371" s="4" t="s">
        <v>18</v>
      </c>
      <c r="D2371" s="5" t="n">
        <v>26888</v>
      </c>
      <c r="E2371" s="6" t="n">
        <v>436</v>
      </c>
      <c r="F2371" s="7" t="n">
        <v>71</v>
      </c>
      <c r="G2371" s="6" t="n">
        <v>1052.56611304452</v>
      </c>
      <c r="H2371" s="8" t="n">
        <v>1500946.90451892</v>
      </c>
      <c r="I2371" s="9" t="n">
        <v>7.13152393089417</v>
      </c>
      <c r="J2371" s="9" t="n">
        <v>35.0435874516584</v>
      </c>
      <c r="K2371" s="3" t="s">
        <v>825</v>
      </c>
      <c r="L2371" s="3" t="s">
        <v>826</v>
      </c>
      <c r="M2371" s="7" t="n">
        <v>2018</v>
      </c>
    </row>
    <row r="2372" customFormat="false" ht="15" hidden="false" customHeight="false" outlineLevel="0" collapsed="false">
      <c r="A2372" s="3" t="n">
        <v>3352</v>
      </c>
      <c r="B2372" s="3" t="s">
        <v>824</v>
      </c>
      <c r="C2372" s="4" t="s">
        <v>19</v>
      </c>
      <c r="D2372" s="5" t="n">
        <v>27023</v>
      </c>
      <c r="E2372" s="6" t="n">
        <v>436</v>
      </c>
      <c r="F2372" s="7" t="n">
        <v>71</v>
      </c>
      <c r="G2372" s="6" t="n">
        <v>1689.11953698415</v>
      </c>
      <c r="H2372" s="8" t="n">
        <v>2124336.70449608</v>
      </c>
      <c r="I2372" s="9" t="n">
        <v>10.7573694254461</v>
      </c>
      <c r="J2372" s="9" t="n">
        <v>55.9557213010877</v>
      </c>
      <c r="K2372" s="3" t="s">
        <v>825</v>
      </c>
      <c r="L2372" s="3" t="s">
        <v>826</v>
      </c>
      <c r="M2372" s="7" t="n">
        <v>2019</v>
      </c>
    </row>
    <row r="2373" customFormat="false" ht="15" hidden="false" customHeight="false" outlineLevel="0" collapsed="false">
      <c r="A2373" s="3" t="n">
        <v>3353</v>
      </c>
      <c r="B2373" s="3" t="s">
        <v>824</v>
      </c>
      <c r="C2373" s="4" t="s">
        <v>20</v>
      </c>
      <c r="D2373" s="5" t="n">
        <v>27051</v>
      </c>
      <c r="E2373" s="6" t="n">
        <v>440</v>
      </c>
      <c r="F2373" s="7" t="n">
        <v>71</v>
      </c>
      <c r="G2373" s="6" t="n">
        <v>2522.97628802555</v>
      </c>
      <c r="H2373" s="8" t="n">
        <v>3249546.14564686</v>
      </c>
      <c r="I2373" s="9" t="n">
        <v>13.8053293437928</v>
      </c>
      <c r="J2373" s="9" t="n">
        <v>83.2637637207257</v>
      </c>
      <c r="K2373" s="3" t="s">
        <v>825</v>
      </c>
      <c r="L2373" s="3" t="s">
        <v>826</v>
      </c>
      <c r="M2373" s="7" t="n">
        <v>2020</v>
      </c>
    </row>
    <row r="2374" customFormat="false" ht="15" hidden="false" customHeight="false" outlineLevel="0" collapsed="false">
      <c r="A2374" s="3" t="n">
        <v>3354</v>
      </c>
      <c r="B2374" s="3" t="s">
        <v>824</v>
      </c>
      <c r="C2374" s="4" t="s">
        <v>21</v>
      </c>
      <c r="D2374" s="5" t="n">
        <v>27287</v>
      </c>
      <c r="E2374" s="6" t="n">
        <v>440.44</v>
      </c>
      <c r="F2374" s="7" t="n">
        <v>62</v>
      </c>
      <c r="G2374" s="6" t="n">
        <v>2425.90748385983</v>
      </c>
      <c r="H2374" s="8" t="n">
        <v>3608646.72449203</v>
      </c>
      <c r="I2374" s="9" t="n">
        <v>12.9519731586699</v>
      </c>
      <c r="J2374" s="9" t="n">
        <v>79.5858974348782</v>
      </c>
      <c r="K2374" s="3" t="s">
        <v>825</v>
      </c>
      <c r="L2374" s="3" t="s">
        <v>826</v>
      </c>
      <c r="M2374" s="7" t="n">
        <v>2021</v>
      </c>
    </row>
    <row r="2375" customFormat="false" ht="15" hidden="false" customHeight="false" outlineLevel="0" collapsed="false">
      <c r="A2375" s="3" t="n">
        <v>3355</v>
      </c>
      <c r="B2375" s="3" t="s">
        <v>824</v>
      </c>
      <c r="C2375" s="4" t="s">
        <v>22</v>
      </c>
      <c r="D2375" s="5" t="n">
        <v>27395</v>
      </c>
      <c r="E2375" s="6" t="n">
        <v>440.44</v>
      </c>
      <c r="F2375" s="7" t="n">
        <v>71</v>
      </c>
      <c r="G2375" s="6" t="n">
        <v>125.961362913809</v>
      </c>
      <c r="H2375" s="8" t="n">
        <v>164348.850777108</v>
      </c>
      <c r="I2375" s="9" t="n">
        <v>2.31084046353944</v>
      </c>
      <c r="J2375" s="9" t="n">
        <v>4.11607918213474</v>
      </c>
      <c r="K2375" s="3" t="s">
        <v>825</v>
      </c>
      <c r="L2375" s="3" t="s">
        <v>826</v>
      </c>
      <c r="M2375" s="7" t="n">
        <v>2022</v>
      </c>
    </row>
    <row r="2376" customFormat="false" ht="15" hidden="false" customHeight="false" outlineLevel="0" collapsed="false">
      <c r="A2376" s="3" t="n">
        <v>3356</v>
      </c>
      <c r="B2376" s="3" t="s">
        <v>824</v>
      </c>
      <c r="C2376" s="4" t="s">
        <v>23</v>
      </c>
      <c r="D2376" s="5" t="n">
        <v>27439</v>
      </c>
      <c r="E2376" s="6" t="n">
        <v>443.2</v>
      </c>
      <c r="F2376" s="7" t="n">
        <v>75</v>
      </c>
      <c r="G2376" s="6" t="n">
        <v>509.34174155773</v>
      </c>
      <c r="H2376" s="8" t="n">
        <v>732557.78059955</v>
      </c>
      <c r="I2376" s="9" t="n">
        <v>4.44440950260243</v>
      </c>
      <c r="J2376" s="9" t="n">
        <v>16.6172312518526</v>
      </c>
      <c r="K2376" s="3" t="s">
        <v>825</v>
      </c>
      <c r="L2376" s="3" t="s">
        <v>826</v>
      </c>
      <c r="M2376" s="7" t="n">
        <v>2023</v>
      </c>
    </row>
    <row r="2377" customFormat="false" ht="15" hidden="false" customHeight="false" outlineLevel="0" collapsed="false">
      <c r="A2377" s="3" t="n">
        <v>3357</v>
      </c>
      <c r="B2377" s="3" t="s">
        <v>824</v>
      </c>
      <c r="C2377" s="4" t="s">
        <v>24</v>
      </c>
      <c r="D2377" s="5" t="n">
        <v>27153</v>
      </c>
      <c r="E2377" s="6" t="n">
        <v>443.2</v>
      </c>
      <c r="F2377" s="7" t="n">
        <v>75</v>
      </c>
      <c r="G2377" s="6" t="n">
        <v>932.256849918279</v>
      </c>
      <c r="H2377" s="8" t="n">
        <v>1448483.60119215</v>
      </c>
      <c r="I2377" s="9" t="n">
        <v>6.48368894456064</v>
      </c>
      <c r="J2377" s="9" t="n">
        <v>30.6509512360168</v>
      </c>
      <c r="K2377" s="3" t="s">
        <v>825</v>
      </c>
      <c r="L2377" s="3" t="s">
        <v>826</v>
      </c>
      <c r="M2377" s="7" t="n">
        <v>2024</v>
      </c>
    </row>
    <row r="2378" customFormat="false" ht="15" hidden="false" customHeight="false" outlineLevel="0" collapsed="false">
      <c r="A2378" s="3" t="n">
        <v>3358</v>
      </c>
      <c r="B2378" s="3" t="s">
        <v>827</v>
      </c>
      <c r="C2378" s="4" t="s">
        <v>14</v>
      </c>
      <c r="D2378" s="5" t="n">
        <v>9266</v>
      </c>
      <c r="E2378" s="6" t="n">
        <v>271.8</v>
      </c>
      <c r="F2378" s="7" t="n">
        <v>68</v>
      </c>
      <c r="G2378" s="6" t="n">
        <v>612.313654040406</v>
      </c>
      <c r="H2378" s="8" t="n">
        <v>649052.473282831</v>
      </c>
      <c r="I2378" s="9" t="n">
        <v>7.87147057638863</v>
      </c>
      <c r="J2378" s="9" t="n">
        <v>58.9939997110427</v>
      </c>
      <c r="K2378" s="3" t="s">
        <v>828</v>
      </c>
      <c r="L2378" s="3" t="s">
        <v>829</v>
      </c>
      <c r="M2378" s="7" t="n">
        <v>2016</v>
      </c>
    </row>
    <row r="2379" customFormat="false" ht="15" hidden="false" customHeight="false" outlineLevel="0" collapsed="false">
      <c r="A2379" s="3" t="n">
        <v>3359</v>
      </c>
      <c r="B2379" s="3" t="s">
        <v>827</v>
      </c>
      <c r="C2379" s="4" t="s">
        <v>41</v>
      </c>
      <c r="D2379" s="5" t="n">
        <v>9266</v>
      </c>
      <c r="E2379" s="6" t="n">
        <v>271.8</v>
      </c>
      <c r="F2379" s="7" t="n">
        <v>68</v>
      </c>
      <c r="G2379" s="6" t="n">
        <v>354.468696969696</v>
      </c>
      <c r="H2379" s="8" t="n">
        <v>390801.738409089</v>
      </c>
      <c r="I2379" s="9" t="n">
        <v>5.6345763084189</v>
      </c>
      <c r="J2379" s="9" t="n">
        <v>34.2454807533012</v>
      </c>
      <c r="K2379" s="3" t="s">
        <v>828</v>
      </c>
      <c r="L2379" s="3" t="s">
        <v>829</v>
      </c>
      <c r="M2379" s="7" t="n">
        <v>2016</v>
      </c>
    </row>
    <row r="2380" customFormat="false" ht="15" hidden="false" customHeight="false" outlineLevel="0" collapsed="false">
      <c r="A2380" s="3" t="n">
        <v>3360</v>
      </c>
      <c r="B2380" s="3" t="s">
        <v>827</v>
      </c>
      <c r="C2380" s="4" t="s">
        <v>42</v>
      </c>
      <c r="D2380" s="5" t="n">
        <v>9233</v>
      </c>
      <c r="E2380" s="6" t="n">
        <v>271.8</v>
      </c>
      <c r="F2380" s="7" t="n">
        <v>68</v>
      </c>
      <c r="G2380" s="6" t="n">
        <v>557.520030303029</v>
      </c>
      <c r="H2380" s="8" t="n">
        <v>652019.675439393</v>
      </c>
      <c r="I2380" s="9" t="n">
        <v>7.27970881164753</v>
      </c>
      <c r="J2380" s="9" t="n">
        <v>54.0549305924498</v>
      </c>
      <c r="K2380" s="3" t="s">
        <v>828</v>
      </c>
      <c r="L2380" s="3" t="s">
        <v>829</v>
      </c>
      <c r="M2380" s="7" t="n">
        <v>2017</v>
      </c>
    </row>
    <row r="2381" customFormat="false" ht="15" hidden="false" customHeight="false" outlineLevel="0" collapsed="false">
      <c r="A2381" s="3" t="n">
        <v>3361</v>
      </c>
      <c r="B2381" s="3" t="s">
        <v>827</v>
      </c>
      <c r="C2381" s="4" t="s">
        <v>43</v>
      </c>
      <c r="D2381" s="5" t="n">
        <v>9255</v>
      </c>
      <c r="E2381" s="6" t="n">
        <v>271.9</v>
      </c>
      <c r="F2381" s="7" t="n">
        <v>70</v>
      </c>
      <c r="G2381" s="6" t="n">
        <v>402.06386111111</v>
      </c>
      <c r="H2381" s="8" t="n">
        <v>478254.962791666</v>
      </c>
      <c r="I2381" s="9" t="n">
        <v>6.77069591546995</v>
      </c>
      <c r="J2381" s="9" t="n">
        <v>38.8898519977073</v>
      </c>
      <c r="K2381" s="3" t="s">
        <v>828</v>
      </c>
      <c r="L2381" s="3" t="s">
        <v>829</v>
      </c>
      <c r="M2381" s="7" t="n">
        <v>2018</v>
      </c>
    </row>
    <row r="2382" customFormat="false" ht="15" hidden="false" customHeight="false" outlineLevel="0" collapsed="false">
      <c r="A2382" s="3" t="n">
        <v>3362</v>
      </c>
      <c r="B2382" s="3" t="s">
        <v>827</v>
      </c>
      <c r="C2382" s="4" t="s">
        <v>44</v>
      </c>
      <c r="D2382" s="5" t="n">
        <v>9262</v>
      </c>
      <c r="E2382" s="6" t="n">
        <v>271.9</v>
      </c>
      <c r="F2382" s="7" t="n">
        <v>70</v>
      </c>
      <c r="G2382" s="6" t="n">
        <v>431.088484848485</v>
      </c>
      <c r="H2382" s="8" t="n">
        <v>515150.73939394</v>
      </c>
      <c r="I2382" s="9" t="n">
        <v>7.18867423236042</v>
      </c>
      <c r="J2382" s="9" t="n">
        <v>41.5516083914429</v>
      </c>
      <c r="K2382" s="3" t="s">
        <v>828</v>
      </c>
      <c r="L2382" s="3" t="s">
        <v>829</v>
      </c>
      <c r="M2382" s="7" t="n">
        <v>2019</v>
      </c>
    </row>
    <row r="2383" customFormat="false" ht="15" hidden="false" customHeight="false" outlineLevel="0" collapsed="false">
      <c r="A2383" s="3" t="n">
        <v>3363</v>
      </c>
      <c r="B2383" s="3" t="s">
        <v>827</v>
      </c>
      <c r="C2383" s="4" t="s">
        <v>45</v>
      </c>
      <c r="D2383" s="5" t="n">
        <v>9275</v>
      </c>
      <c r="E2383" s="6" t="n">
        <v>271.9</v>
      </c>
      <c r="F2383" s="7" t="n">
        <v>70</v>
      </c>
      <c r="G2383" s="6" t="n">
        <v>438.802032828281</v>
      </c>
      <c r="H2383" s="8" t="n">
        <v>535338.480050503</v>
      </c>
      <c r="I2383" s="9" t="n">
        <v>6.69509546647361</v>
      </c>
      <c r="J2383" s="9" t="n">
        <v>42.3518501226647</v>
      </c>
      <c r="K2383" s="3" t="s">
        <v>828</v>
      </c>
      <c r="L2383" s="3" t="s">
        <v>829</v>
      </c>
      <c r="M2383" s="7" t="n">
        <v>2020</v>
      </c>
    </row>
    <row r="2384" customFormat="false" ht="15" hidden="false" customHeight="false" outlineLevel="0" collapsed="false">
      <c r="A2384" s="3" t="n">
        <v>3364</v>
      </c>
      <c r="B2384" s="3" t="s">
        <v>827</v>
      </c>
      <c r="C2384" s="4" t="s">
        <v>46</v>
      </c>
      <c r="D2384" s="5" t="n">
        <v>9296</v>
      </c>
      <c r="E2384" s="6" t="n">
        <v>272</v>
      </c>
      <c r="F2384" s="7" t="n">
        <v>70</v>
      </c>
      <c r="G2384" s="6" t="n">
        <v>414.351308080807</v>
      </c>
      <c r="H2384" s="8" t="n">
        <v>529126.620419191</v>
      </c>
      <c r="I2384" s="9" t="n">
        <v>6.82899249007484</v>
      </c>
      <c r="J2384" s="9" t="n">
        <v>39.9015966011138</v>
      </c>
      <c r="K2384" s="3" t="s">
        <v>828</v>
      </c>
      <c r="L2384" s="3" t="s">
        <v>829</v>
      </c>
      <c r="M2384" s="7" t="n">
        <v>2021</v>
      </c>
    </row>
    <row r="2385" customFormat="false" ht="15" hidden="false" customHeight="false" outlineLevel="0" collapsed="false">
      <c r="A2385" s="3" t="n">
        <v>3365</v>
      </c>
      <c r="B2385" s="3" t="s">
        <v>827</v>
      </c>
      <c r="C2385" s="4" t="s">
        <v>47</v>
      </c>
      <c r="D2385" s="5" t="n">
        <v>9286</v>
      </c>
      <c r="E2385" s="6" t="n">
        <v>272.1</v>
      </c>
      <c r="F2385" s="7" t="n">
        <v>78</v>
      </c>
      <c r="G2385" s="6" t="n">
        <v>363.533243718592</v>
      </c>
      <c r="H2385" s="8" t="n">
        <v>507441.513577034</v>
      </c>
      <c r="I2385" s="9" t="n">
        <v>6.71742118699112</v>
      </c>
      <c r="J2385" s="9" t="n">
        <v>35.0455698993129</v>
      </c>
      <c r="K2385" s="3" t="s">
        <v>828</v>
      </c>
      <c r="L2385" s="3" t="s">
        <v>829</v>
      </c>
      <c r="M2385" s="7" t="n">
        <v>2022</v>
      </c>
    </row>
    <row r="2386" customFormat="false" ht="15" hidden="false" customHeight="false" outlineLevel="0" collapsed="false">
      <c r="A2386" s="3" t="n">
        <v>3366</v>
      </c>
      <c r="B2386" s="3" t="s">
        <v>827</v>
      </c>
      <c r="C2386" s="4" t="s">
        <v>48</v>
      </c>
      <c r="D2386" s="5" t="n">
        <v>9308</v>
      </c>
      <c r="E2386" s="6" t="n">
        <v>272.1</v>
      </c>
      <c r="F2386" s="7" t="n">
        <v>78</v>
      </c>
      <c r="G2386" s="6" t="n">
        <v>459.895200507615</v>
      </c>
      <c r="H2386" s="8" t="n">
        <v>588100.185553122</v>
      </c>
      <c r="I2386" s="9" t="n">
        <v>10.0438105891126</v>
      </c>
      <c r="J2386" s="9" t="n">
        <v>44.1091507616388</v>
      </c>
      <c r="K2386" s="3" t="s">
        <v>828</v>
      </c>
      <c r="L2386" s="3" t="s">
        <v>829</v>
      </c>
      <c r="M2386" s="7" t="n">
        <v>2023</v>
      </c>
    </row>
    <row r="2387" customFormat="false" ht="15" hidden="false" customHeight="false" outlineLevel="0" collapsed="false">
      <c r="A2387" s="3" t="n">
        <v>3367</v>
      </c>
      <c r="B2387" s="3" t="s">
        <v>827</v>
      </c>
      <c r="C2387" s="4" t="s">
        <v>49</v>
      </c>
      <c r="D2387" s="5" t="n">
        <v>9326</v>
      </c>
      <c r="E2387" s="6" t="n">
        <v>272.2</v>
      </c>
      <c r="F2387" s="7" t="n">
        <v>78</v>
      </c>
      <c r="G2387" s="6" t="n">
        <v>322.858025252525</v>
      </c>
      <c r="H2387" s="8" t="n">
        <v>327323.151741768</v>
      </c>
      <c r="I2387" s="9" t="n">
        <v>6.68163265306122</v>
      </c>
      <c r="J2387" s="9" t="n">
        <v>30.9908757940581</v>
      </c>
      <c r="K2387" s="3" t="s">
        <v>828</v>
      </c>
      <c r="L2387" s="3" t="s">
        <v>829</v>
      </c>
      <c r="M2387" s="7" t="n">
        <v>2024</v>
      </c>
    </row>
    <row r="2388" customFormat="false" ht="15" hidden="false" customHeight="false" outlineLevel="0" collapsed="false">
      <c r="A2388" s="3" t="n">
        <v>3368</v>
      </c>
      <c r="B2388" s="3" t="s">
        <v>830</v>
      </c>
      <c r="C2388" s="4" t="s">
        <v>41</v>
      </c>
      <c r="D2388" s="5" t="n">
        <v>57455</v>
      </c>
      <c r="E2388" s="6" t="n">
        <v>743.79</v>
      </c>
      <c r="F2388" s="7" t="n">
        <v>79</v>
      </c>
      <c r="G2388" s="6" t="n">
        <v>1501.961</v>
      </c>
      <c r="H2388" s="8" t="n">
        <v>1490696.2925</v>
      </c>
      <c r="I2388" s="9" t="n">
        <v>5.95200184672464</v>
      </c>
      <c r="J2388" s="9" t="n">
        <v>23.4017589403939</v>
      </c>
      <c r="K2388" s="3" t="s">
        <v>831</v>
      </c>
      <c r="L2388" s="3" t="s">
        <v>832</v>
      </c>
      <c r="M2388" s="7" t="n">
        <v>2016</v>
      </c>
    </row>
    <row r="2389" customFormat="false" ht="15" hidden="false" customHeight="false" outlineLevel="0" collapsed="false">
      <c r="A2389" s="3" t="n">
        <v>3369</v>
      </c>
      <c r="B2389" s="3" t="s">
        <v>830</v>
      </c>
      <c r="C2389" s="4" t="s">
        <v>42</v>
      </c>
      <c r="D2389" s="5" t="n">
        <v>59153</v>
      </c>
      <c r="E2389" s="6" t="n">
        <v>744.5</v>
      </c>
      <c r="F2389" s="7" t="n">
        <v>76</v>
      </c>
      <c r="G2389" s="6" t="n">
        <v>1179.15358</v>
      </c>
      <c r="H2389" s="8" t="n">
        <v>1247544.48764</v>
      </c>
      <c r="I2389" s="9" t="n">
        <v>4.81081851160395</v>
      </c>
      <c r="J2389" s="9" t="n">
        <v>17.8447830851649</v>
      </c>
      <c r="K2389" s="3" t="s">
        <v>831</v>
      </c>
      <c r="L2389" s="3" t="s">
        <v>832</v>
      </c>
      <c r="M2389" s="7" t="n">
        <v>2017</v>
      </c>
    </row>
    <row r="2390" customFormat="false" ht="15" hidden="false" customHeight="false" outlineLevel="0" collapsed="false">
      <c r="A2390" s="3" t="n">
        <v>3370</v>
      </c>
      <c r="B2390" s="3" t="s">
        <v>830</v>
      </c>
      <c r="C2390" s="4" t="s">
        <v>43</v>
      </c>
      <c r="D2390" s="5" t="n">
        <v>59376</v>
      </c>
      <c r="E2390" s="6" t="n">
        <v>745.3</v>
      </c>
      <c r="F2390" s="7" t="n">
        <v>76</v>
      </c>
      <c r="G2390" s="6" t="n">
        <v>945.579432499999</v>
      </c>
      <c r="H2390" s="8" t="n">
        <v>1029792.73675845</v>
      </c>
      <c r="I2390" s="9" t="n">
        <v>4.45486134509808</v>
      </c>
      <c r="J2390" s="9" t="n">
        <v>14.2562320134693</v>
      </c>
      <c r="K2390" s="3" t="s">
        <v>831</v>
      </c>
      <c r="L2390" s="3" t="s">
        <v>832</v>
      </c>
      <c r="M2390" s="7" t="n">
        <v>2018</v>
      </c>
    </row>
    <row r="2391" customFormat="false" ht="15" hidden="false" customHeight="false" outlineLevel="0" collapsed="false">
      <c r="A2391" s="3" t="n">
        <v>3371</v>
      </c>
      <c r="B2391" s="3" t="s">
        <v>830</v>
      </c>
      <c r="C2391" s="4" t="s">
        <v>44</v>
      </c>
      <c r="D2391" s="5" t="n">
        <v>59330</v>
      </c>
      <c r="E2391" s="6" t="n">
        <v>747.9</v>
      </c>
      <c r="F2391" s="7" t="n">
        <v>76</v>
      </c>
      <c r="G2391" s="6" t="n">
        <v>1458.7862</v>
      </c>
      <c r="H2391" s="8" t="n">
        <v>1624066.67646</v>
      </c>
      <c r="I2391" s="9" t="n">
        <v>6.0588775272375</v>
      </c>
      <c r="J2391" s="9" t="n">
        <v>21.9504532141424</v>
      </c>
      <c r="K2391" s="3" t="s">
        <v>831</v>
      </c>
      <c r="L2391" s="3" t="s">
        <v>832</v>
      </c>
      <c r="M2391" s="7" t="n">
        <v>2019</v>
      </c>
    </row>
    <row r="2392" customFormat="false" ht="15" hidden="false" customHeight="false" outlineLevel="0" collapsed="false">
      <c r="A2392" s="3" t="n">
        <v>3372</v>
      </c>
      <c r="B2392" s="3" t="s">
        <v>830</v>
      </c>
      <c r="C2392" s="4" t="s">
        <v>45</v>
      </c>
      <c r="D2392" s="5" t="n">
        <v>59362</v>
      </c>
      <c r="E2392" s="6" t="n">
        <v>749.3</v>
      </c>
      <c r="F2392" s="7" t="n">
        <v>74</v>
      </c>
      <c r="G2392" s="6" t="n">
        <v>1447.2446925</v>
      </c>
      <c r="H2392" s="8" t="n">
        <v>1651060.16254478</v>
      </c>
      <c r="I2392" s="9" t="n">
        <v>5.67020772454676</v>
      </c>
      <c r="J2392" s="9" t="n">
        <v>21.8248423574252</v>
      </c>
      <c r="K2392" s="3" t="s">
        <v>831</v>
      </c>
      <c r="L2392" s="3" t="s">
        <v>832</v>
      </c>
      <c r="M2392" s="7" t="n">
        <v>2020</v>
      </c>
    </row>
    <row r="2393" customFormat="false" ht="15" hidden="false" customHeight="false" outlineLevel="0" collapsed="false">
      <c r="A2393" s="3" t="n">
        <v>3373</v>
      </c>
      <c r="B2393" s="3" t="s">
        <v>830</v>
      </c>
      <c r="C2393" s="4" t="s">
        <v>46</v>
      </c>
      <c r="D2393" s="5" t="n">
        <v>59435</v>
      </c>
      <c r="E2393" s="6" t="n">
        <v>750</v>
      </c>
      <c r="F2393" s="7" t="n">
        <v>74</v>
      </c>
      <c r="G2393" s="6" t="n">
        <v>957.5234975</v>
      </c>
      <c r="H2393" s="8" t="n">
        <v>1157147.9962588</v>
      </c>
      <c r="I2393" s="9" t="n">
        <v>4.09466277172161</v>
      </c>
      <c r="J2393" s="9" t="n">
        <v>14.4219786313737</v>
      </c>
      <c r="K2393" s="3" t="s">
        <v>831</v>
      </c>
      <c r="L2393" s="3" t="s">
        <v>832</v>
      </c>
      <c r="M2393" s="7" t="n">
        <v>2021</v>
      </c>
    </row>
    <row r="2394" customFormat="false" ht="15" hidden="false" customHeight="false" outlineLevel="0" collapsed="false">
      <c r="A2394" s="3" t="n">
        <v>3374</v>
      </c>
      <c r="B2394" s="3" t="s">
        <v>830</v>
      </c>
      <c r="C2394" s="4" t="s">
        <v>47</v>
      </c>
      <c r="D2394" s="5" t="n">
        <v>59504</v>
      </c>
      <c r="E2394" s="6" t="n">
        <v>752</v>
      </c>
      <c r="F2394" s="7" t="n">
        <v>73</v>
      </c>
      <c r="G2394" s="6" t="n">
        <v>698.266984999997</v>
      </c>
      <c r="H2394" s="8" t="n">
        <v>920527.925876526</v>
      </c>
      <c r="I2394" s="9" t="n">
        <v>3.8357610909978</v>
      </c>
      <c r="J2394" s="9" t="n">
        <v>10.5049265932272</v>
      </c>
      <c r="K2394" s="3" t="s">
        <v>831</v>
      </c>
      <c r="L2394" s="3" t="s">
        <v>832</v>
      </c>
      <c r="M2394" s="7" t="n">
        <v>2022</v>
      </c>
    </row>
    <row r="2395" customFormat="false" ht="15" hidden="false" customHeight="false" outlineLevel="0" collapsed="false">
      <c r="A2395" s="3" t="n">
        <v>3375</v>
      </c>
      <c r="B2395" s="3" t="s">
        <v>830</v>
      </c>
      <c r="C2395" s="4" t="s">
        <v>48</v>
      </c>
      <c r="D2395" s="5" t="n">
        <v>59779</v>
      </c>
      <c r="E2395" s="6" t="n">
        <v>753.5</v>
      </c>
      <c r="F2395" s="7" t="n">
        <v>73</v>
      </c>
      <c r="G2395" s="6" t="n">
        <v>548.941497500002</v>
      </c>
      <c r="H2395" s="8" t="n">
        <v>788290.969239953</v>
      </c>
      <c r="I2395" s="9" t="n">
        <v>3.534207966223</v>
      </c>
      <c r="J2395" s="9" t="n">
        <v>8.1979187680043</v>
      </c>
      <c r="K2395" s="3" t="s">
        <v>831</v>
      </c>
      <c r="L2395" s="3" t="s">
        <v>832</v>
      </c>
      <c r="M2395" s="7" t="n">
        <v>2023</v>
      </c>
    </row>
    <row r="2396" customFormat="false" ht="15" hidden="false" customHeight="false" outlineLevel="0" collapsed="false">
      <c r="A2396" s="3" t="n">
        <v>3376</v>
      </c>
      <c r="B2396" s="3" t="s">
        <v>830</v>
      </c>
      <c r="C2396" s="4" t="s">
        <v>49</v>
      </c>
      <c r="D2396" s="5" t="n">
        <v>59861</v>
      </c>
      <c r="E2396" s="6" t="n">
        <v>750.4</v>
      </c>
      <c r="F2396" s="7" t="n">
        <v>73</v>
      </c>
      <c r="G2396" s="6" t="n">
        <v>997.643359999994</v>
      </c>
      <c r="H2396" s="8" t="n">
        <v>1553939.27396959</v>
      </c>
      <c r="I2396" s="9" t="n">
        <v>4.77975673564797</v>
      </c>
      <c r="J2396" s="9" t="n">
        <v>14.9193197987131</v>
      </c>
      <c r="K2396" s="3" t="s">
        <v>831</v>
      </c>
      <c r="L2396" s="3" t="s">
        <v>832</v>
      </c>
      <c r="M2396" s="7" t="n">
        <v>2024</v>
      </c>
    </row>
    <row r="2397" customFormat="false" ht="15" hidden="false" customHeight="false" outlineLevel="0" collapsed="false">
      <c r="A2397" s="3" t="n">
        <v>3377</v>
      </c>
      <c r="B2397" s="3" t="s">
        <v>833</v>
      </c>
      <c r="C2397" s="4" t="s">
        <v>80</v>
      </c>
      <c r="D2397" s="5" t="n">
        <v>7096</v>
      </c>
      <c r="E2397" s="6" t="n">
        <v>128</v>
      </c>
      <c r="F2397" s="7" t="n">
        <v>70</v>
      </c>
      <c r="G2397" s="6" t="n">
        <v>134.863005050505</v>
      </c>
      <c r="H2397" s="8" t="n">
        <v>215511.082070707</v>
      </c>
      <c r="I2397" s="9" t="n">
        <v>6.90737833594976</v>
      </c>
      <c r="J2397" s="9" t="n">
        <v>16.9670140456179</v>
      </c>
      <c r="K2397" s="3" t="s">
        <v>834</v>
      </c>
      <c r="L2397" s="3" t="s">
        <v>835</v>
      </c>
      <c r="M2397" s="7" t="n">
        <v>2015</v>
      </c>
    </row>
    <row r="2398" customFormat="false" ht="15" hidden="false" customHeight="false" outlineLevel="0" collapsed="false">
      <c r="A2398" s="3" t="n">
        <v>3378</v>
      </c>
      <c r="B2398" s="3" t="s">
        <v>833</v>
      </c>
      <c r="C2398" s="4" t="s">
        <v>41</v>
      </c>
      <c r="D2398" s="5" t="n">
        <v>7102</v>
      </c>
      <c r="E2398" s="6" t="n">
        <v>128</v>
      </c>
      <c r="F2398" s="7" t="n">
        <v>70</v>
      </c>
      <c r="G2398" s="6" t="n">
        <v>128.339816919192</v>
      </c>
      <c r="H2398" s="8" t="n">
        <v>207268.804324495</v>
      </c>
      <c r="I2398" s="9" t="n">
        <v>6.08133890619315</v>
      </c>
      <c r="J2398" s="9" t="n">
        <v>16.1770162571972</v>
      </c>
      <c r="K2398" s="3" t="s">
        <v>834</v>
      </c>
      <c r="L2398" s="3" t="s">
        <v>835</v>
      </c>
      <c r="M2398" s="7" t="n">
        <v>2016</v>
      </c>
    </row>
    <row r="2399" customFormat="false" ht="15" hidden="false" customHeight="false" outlineLevel="0" collapsed="false">
      <c r="A2399" s="3" t="n">
        <v>3379</v>
      </c>
      <c r="B2399" s="3" t="s">
        <v>833</v>
      </c>
      <c r="C2399" s="4" t="s">
        <v>42</v>
      </c>
      <c r="D2399" s="5" t="n">
        <v>7066</v>
      </c>
      <c r="E2399" s="6" t="n">
        <v>128</v>
      </c>
      <c r="F2399" s="7" t="n">
        <v>70</v>
      </c>
      <c r="G2399" s="6" t="n">
        <v>169.501566414141</v>
      </c>
      <c r="H2399" s="8" t="n">
        <v>231137.421009316</v>
      </c>
      <c r="I2399" s="9" t="n">
        <v>6.14895875912509</v>
      </c>
      <c r="J2399" s="9" t="n">
        <v>21.4742377666827</v>
      </c>
      <c r="K2399" s="3" t="s">
        <v>834</v>
      </c>
      <c r="L2399" s="3" t="s">
        <v>835</v>
      </c>
      <c r="M2399" s="7" t="n">
        <v>2017</v>
      </c>
    </row>
    <row r="2400" customFormat="false" ht="15" hidden="false" customHeight="false" outlineLevel="0" collapsed="false">
      <c r="A2400" s="3" t="n">
        <v>3380</v>
      </c>
      <c r="B2400" s="3" t="s">
        <v>833</v>
      </c>
      <c r="C2400" s="4" t="s">
        <v>43</v>
      </c>
      <c r="D2400" s="5" t="n">
        <v>7074</v>
      </c>
      <c r="E2400" s="6" t="n">
        <v>125</v>
      </c>
      <c r="F2400" s="7" t="n">
        <v>71</v>
      </c>
      <c r="G2400" s="6" t="n">
        <v>173.18732070707</v>
      </c>
      <c r="H2400" s="8" t="n">
        <v>243203.490722525</v>
      </c>
      <c r="I2400" s="9" t="n">
        <v>6.47644382387636</v>
      </c>
      <c r="J2400" s="9" t="n">
        <v>21.9163744806549</v>
      </c>
      <c r="K2400" s="3" t="s">
        <v>834</v>
      </c>
      <c r="L2400" s="3" t="s">
        <v>835</v>
      </c>
      <c r="M2400" s="7" t="n">
        <v>2018</v>
      </c>
    </row>
    <row r="2401" customFormat="false" ht="15" hidden="false" customHeight="false" outlineLevel="0" collapsed="false">
      <c r="A2401" s="3" t="n">
        <v>3381</v>
      </c>
      <c r="B2401" s="3" t="s">
        <v>833</v>
      </c>
      <c r="C2401" s="4" t="s">
        <v>44</v>
      </c>
      <c r="D2401" s="5" t="n">
        <v>7088</v>
      </c>
      <c r="E2401" s="6" t="n">
        <v>125</v>
      </c>
      <c r="F2401" s="7" t="n">
        <v>71</v>
      </c>
      <c r="G2401" s="6" t="n">
        <v>201.743868181818</v>
      </c>
      <c r="H2401" s="8" t="n">
        <v>289280.532585909</v>
      </c>
      <c r="I2401" s="9" t="n">
        <v>7.03325727997514</v>
      </c>
      <c r="J2401" s="9" t="n">
        <v>25.4098925410934</v>
      </c>
      <c r="K2401" s="3" t="s">
        <v>834</v>
      </c>
      <c r="L2401" s="3" t="s">
        <v>835</v>
      </c>
      <c r="M2401" s="7" t="n">
        <v>2019</v>
      </c>
    </row>
    <row r="2402" customFormat="false" ht="15" hidden="false" customHeight="false" outlineLevel="0" collapsed="false">
      <c r="A2402" s="3" t="n">
        <v>3382</v>
      </c>
      <c r="B2402" s="3" t="s">
        <v>833</v>
      </c>
      <c r="C2402" s="4" t="s">
        <v>45</v>
      </c>
      <c r="D2402" s="5" t="n">
        <v>7116</v>
      </c>
      <c r="E2402" s="6" t="n">
        <v>125</v>
      </c>
      <c r="F2402" s="7" t="n">
        <v>77</v>
      </c>
      <c r="G2402" s="6" t="n">
        <v>66.0461112244895</v>
      </c>
      <c r="H2402" s="8" t="n">
        <v>101985.763108408</v>
      </c>
      <c r="I2402" s="9" t="n">
        <v>4.2137588073789</v>
      </c>
      <c r="J2402" s="9" t="n">
        <v>8.30862172098287</v>
      </c>
      <c r="K2402" s="3" t="s">
        <v>834</v>
      </c>
      <c r="L2402" s="3" t="s">
        <v>835</v>
      </c>
      <c r="M2402" s="7" t="n">
        <v>2020</v>
      </c>
    </row>
    <row r="2403" customFormat="false" ht="15" hidden="false" customHeight="false" outlineLevel="0" collapsed="false">
      <c r="A2403" s="3" t="n">
        <v>3383</v>
      </c>
      <c r="B2403" s="3" t="s">
        <v>833</v>
      </c>
      <c r="C2403" s="4" t="s">
        <v>46</v>
      </c>
      <c r="D2403" s="5" t="n">
        <v>7142</v>
      </c>
      <c r="E2403" s="6" t="n">
        <v>125</v>
      </c>
      <c r="F2403" s="7" t="n">
        <v>77</v>
      </c>
      <c r="G2403" s="6" t="n">
        <v>38.3284806122454</v>
      </c>
      <c r="H2403" s="8" t="n">
        <v>63988.2485277253</v>
      </c>
      <c r="I2403" s="9" t="n">
        <v>4.0021744728334</v>
      </c>
      <c r="J2403" s="9" t="n">
        <v>4.80418178488372</v>
      </c>
      <c r="K2403" s="3" t="s">
        <v>834</v>
      </c>
      <c r="L2403" s="3" t="s">
        <v>835</v>
      </c>
      <c r="M2403" s="7" t="n">
        <v>2021</v>
      </c>
    </row>
    <row r="2404" customFormat="false" ht="15" hidden="false" customHeight="false" outlineLevel="0" collapsed="false">
      <c r="A2404" s="3" t="n">
        <v>3384</v>
      </c>
      <c r="B2404" s="3" t="s">
        <v>833</v>
      </c>
      <c r="C2404" s="4" t="s">
        <v>47</v>
      </c>
      <c r="D2404" s="5" t="n">
        <v>7156</v>
      </c>
      <c r="E2404" s="6" t="n">
        <v>125</v>
      </c>
      <c r="F2404" s="7" t="n">
        <v>75</v>
      </c>
      <c r="G2404" s="6" t="n">
        <v>44.4699249999998</v>
      </c>
      <c r="H2404" s="8" t="n">
        <v>80975.2864324997</v>
      </c>
      <c r="I2404" s="9" t="n">
        <v>4.17172117406809</v>
      </c>
      <c r="J2404" s="9" t="n">
        <v>5.56305994323327</v>
      </c>
      <c r="K2404" s="3" t="s">
        <v>834</v>
      </c>
      <c r="L2404" s="3" t="s">
        <v>835</v>
      </c>
      <c r="M2404" s="7" t="n">
        <v>2022</v>
      </c>
    </row>
    <row r="2405" customFormat="false" ht="15" hidden="false" customHeight="false" outlineLevel="0" collapsed="false">
      <c r="A2405" s="3" t="n">
        <v>3385</v>
      </c>
      <c r="B2405" s="3" t="s">
        <v>833</v>
      </c>
      <c r="C2405" s="4" t="s">
        <v>48</v>
      </c>
      <c r="D2405" s="5" t="n">
        <v>7062</v>
      </c>
      <c r="E2405" s="6" t="n">
        <v>125</v>
      </c>
      <c r="F2405" s="7" t="n">
        <v>75</v>
      </c>
      <c r="G2405" s="6" t="n">
        <v>92.036636758252</v>
      </c>
      <c r="H2405" s="8" t="n">
        <v>190306.780500946</v>
      </c>
      <c r="I2405" s="9" t="n">
        <v>6.01867215034108</v>
      </c>
      <c r="J2405" s="9" t="n">
        <v>11.634807991959</v>
      </c>
      <c r="K2405" s="3" t="s">
        <v>834</v>
      </c>
      <c r="L2405" s="3" t="s">
        <v>835</v>
      </c>
      <c r="M2405" s="7" t="n">
        <v>2023</v>
      </c>
    </row>
    <row r="2406" customFormat="false" ht="15" hidden="false" customHeight="false" outlineLevel="0" collapsed="false">
      <c r="A2406" s="3" t="n">
        <v>3386</v>
      </c>
      <c r="B2406" s="3" t="s">
        <v>833</v>
      </c>
      <c r="C2406" s="4" t="s">
        <v>49</v>
      </c>
      <c r="D2406" s="5" t="n">
        <v>7062</v>
      </c>
      <c r="E2406" s="6" t="n">
        <v>125</v>
      </c>
      <c r="F2406" s="7" t="n">
        <v>71</v>
      </c>
      <c r="G2406" s="6" t="n">
        <v>7.61948153312225</v>
      </c>
      <c r="H2406" s="8" t="n">
        <v>18285.741857755</v>
      </c>
      <c r="I2406" s="9" t="n">
        <v>3.54676516430969</v>
      </c>
      <c r="J2406" s="9" t="n">
        <v>0.96586267200456</v>
      </c>
      <c r="K2406" s="3" t="s">
        <v>834</v>
      </c>
      <c r="L2406" s="3" t="s">
        <v>835</v>
      </c>
      <c r="M2406" s="7" t="n">
        <v>2024</v>
      </c>
    </row>
    <row r="2407" customFormat="false" ht="15" hidden="false" customHeight="false" outlineLevel="0" collapsed="false">
      <c r="A2407" s="3" t="n">
        <v>3387</v>
      </c>
      <c r="B2407" s="3" t="s">
        <v>836</v>
      </c>
      <c r="C2407" s="4" t="s">
        <v>14</v>
      </c>
      <c r="D2407" s="5" t="n">
        <v>44227</v>
      </c>
      <c r="E2407" s="6" t="n">
        <v>591</v>
      </c>
      <c r="F2407" s="7" t="n">
        <v>57</v>
      </c>
      <c r="G2407" s="6" t="n">
        <v>478.849963917523</v>
      </c>
      <c r="H2407" s="8" t="n">
        <v>735034.694613398</v>
      </c>
      <c r="I2407" s="9" t="n">
        <v>5.6884369127688</v>
      </c>
      <c r="J2407" s="9" t="n">
        <v>9.66580816048269</v>
      </c>
      <c r="K2407" s="3" t="s">
        <v>837</v>
      </c>
      <c r="L2407" s="3" t="s">
        <v>838</v>
      </c>
      <c r="M2407" s="7" t="n">
        <v>2016</v>
      </c>
    </row>
    <row r="2408" customFormat="false" ht="15" hidden="false" customHeight="false" outlineLevel="0" collapsed="false">
      <c r="A2408" s="3" t="n">
        <v>3388</v>
      </c>
      <c r="B2408" s="3" t="s">
        <v>836</v>
      </c>
      <c r="C2408" s="4" t="s">
        <v>41</v>
      </c>
      <c r="D2408" s="5" t="n">
        <v>44339</v>
      </c>
      <c r="E2408" s="6" t="n">
        <v>591</v>
      </c>
      <c r="F2408" s="7" t="n">
        <v>65</v>
      </c>
      <c r="G2408" s="6" t="n">
        <v>1855.34383505155</v>
      </c>
      <c r="H2408" s="8" t="n">
        <v>2869530.43560577</v>
      </c>
      <c r="I2408" s="9" t="n">
        <v>10.9625355579317</v>
      </c>
      <c r="J2408" s="9" t="n">
        <v>37.4590005719782</v>
      </c>
      <c r="K2408" s="3" t="s">
        <v>837</v>
      </c>
      <c r="L2408" s="3" t="s">
        <v>838</v>
      </c>
      <c r="M2408" s="7" t="n">
        <v>2016</v>
      </c>
    </row>
    <row r="2409" customFormat="false" ht="15" hidden="false" customHeight="false" outlineLevel="0" collapsed="false">
      <c r="A2409" s="3" t="n">
        <v>3389</v>
      </c>
      <c r="B2409" s="3" t="s">
        <v>836</v>
      </c>
      <c r="C2409" s="4" t="s">
        <v>42</v>
      </c>
      <c r="D2409" s="5" t="n">
        <v>44450</v>
      </c>
      <c r="E2409" s="6" t="n">
        <v>591</v>
      </c>
      <c r="F2409" s="7" t="n">
        <v>69</v>
      </c>
      <c r="G2409" s="6" t="n">
        <v>744.22426560069</v>
      </c>
      <c r="H2409" s="8" t="n">
        <v>1084334.7549802</v>
      </c>
      <c r="I2409" s="9" t="n">
        <v>5.69370712617744</v>
      </c>
      <c r="J2409" s="9" t="n">
        <v>14.9882088264534</v>
      </c>
      <c r="K2409" s="3" t="s">
        <v>837</v>
      </c>
      <c r="L2409" s="3" t="s">
        <v>838</v>
      </c>
      <c r="M2409" s="7" t="n">
        <v>2017</v>
      </c>
    </row>
    <row r="2410" customFormat="false" ht="15" hidden="false" customHeight="false" outlineLevel="0" collapsed="false">
      <c r="A2410" s="3" t="n">
        <v>3390</v>
      </c>
      <c r="B2410" s="3" t="s">
        <v>836</v>
      </c>
      <c r="C2410" s="4" t="s">
        <v>43</v>
      </c>
      <c r="D2410" s="5" t="n">
        <v>44598</v>
      </c>
      <c r="E2410" s="6" t="n">
        <v>591</v>
      </c>
      <c r="F2410" s="7" t="n">
        <v>69</v>
      </c>
      <c r="G2410" s="6" t="n">
        <v>1139.85051530612</v>
      </c>
      <c r="H2410" s="8" t="n">
        <v>1868214.99458674</v>
      </c>
      <c r="I2410" s="9" t="n">
        <v>7.67840008529088</v>
      </c>
      <c r="J2410" s="9" t="n">
        <v>22.8796929162431</v>
      </c>
      <c r="K2410" s="3" t="s">
        <v>837</v>
      </c>
      <c r="L2410" s="3" t="s">
        <v>838</v>
      </c>
      <c r="M2410" s="7" t="n">
        <v>2018</v>
      </c>
    </row>
    <row r="2411" customFormat="false" ht="15" hidden="false" customHeight="false" outlineLevel="0" collapsed="false">
      <c r="A2411" s="3" t="n">
        <v>3391</v>
      </c>
      <c r="B2411" s="3" t="s">
        <v>836</v>
      </c>
      <c r="C2411" s="4" t="s">
        <v>44</v>
      </c>
      <c r="D2411" s="5" t="n">
        <v>44609</v>
      </c>
      <c r="E2411" s="6" t="n">
        <v>607.12</v>
      </c>
      <c r="F2411" s="7" t="n">
        <v>65</v>
      </c>
      <c r="G2411" s="6" t="n">
        <v>2077.15769897959</v>
      </c>
      <c r="H2411" s="8" t="n">
        <v>2972267.26620087</v>
      </c>
      <c r="I2411" s="9" t="n">
        <v>11.4344267566444</v>
      </c>
      <c r="J2411" s="9" t="n">
        <v>41.5693444360051</v>
      </c>
      <c r="K2411" s="3" t="s">
        <v>837</v>
      </c>
      <c r="L2411" s="3" t="s">
        <v>838</v>
      </c>
      <c r="M2411" s="7" t="n">
        <v>2019</v>
      </c>
    </row>
    <row r="2412" customFormat="false" ht="15" hidden="false" customHeight="false" outlineLevel="0" collapsed="false">
      <c r="A2412" s="3" t="n">
        <v>3392</v>
      </c>
      <c r="B2412" s="3" t="s">
        <v>836</v>
      </c>
      <c r="C2412" s="4" t="s">
        <v>45</v>
      </c>
      <c r="D2412" s="5" t="n">
        <v>44803</v>
      </c>
      <c r="E2412" s="6" t="n">
        <v>615.45</v>
      </c>
      <c r="F2412" s="7" t="n">
        <v>63</v>
      </c>
      <c r="G2412" s="6" t="n">
        <v>1934.43971428572</v>
      </c>
      <c r="H2412" s="8" t="n">
        <v>2330090.66904858</v>
      </c>
      <c r="I2412" s="9" t="n">
        <v>10.1694715180036</v>
      </c>
      <c r="J2412" s="9" t="n">
        <v>38.6514489279267</v>
      </c>
      <c r="K2412" s="3" t="s">
        <v>837</v>
      </c>
      <c r="L2412" s="3" t="s">
        <v>838</v>
      </c>
      <c r="M2412" s="7" t="n">
        <v>2020</v>
      </c>
    </row>
    <row r="2413" customFormat="false" ht="15" hidden="false" customHeight="false" outlineLevel="0" collapsed="false">
      <c r="A2413" s="3" t="n">
        <v>3393</v>
      </c>
      <c r="B2413" s="3" t="s">
        <v>836</v>
      </c>
      <c r="C2413" s="4" t="s">
        <v>46</v>
      </c>
      <c r="D2413" s="5" t="n">
        <v>44837</v>
      </c>
      <c r="E2413" s="6" t="n">
        <v>656.6</v>
      </c>
      <c r="F2413" s="7" t="n">
        <v>64</v>
      </c>
      <c r="G2413" s="6" t="n">
        <v>1844.89143367347</v>
      </c>
      <c r="H2413" s="8" t="n">
        <v>2567350.9191</v>
      </c>
      <c r="I2413" s="9" t="n">
        <v>10.1265043931973</v>
      </c>
      <c r="J2413" s="9" t="n">
        <v>36.834259391462</v>
      </c>
      <c r="K2413" s="3" t="s">
        <v>837</v>
      </c>
      <c r="L2413" s="3" t="s">
        <v>838</v>
      </c>
      <c r="M2413" s="7" t="n">
        <v>2021</v>
      </c>
    </row>
    <row r="2414" customFormat="false" ht="15" hidden="false" customHeight="false" outlineLevel="0" collapsed="false">
      <c r="A2414" s="3" t="n">
        <v>3394</v>
      </c>
      <c r="B2414" s="3" t="s">
        <v>836</v>
      </c>
      <c r="C2414" s="4" t="s">
        <v>47</v>
      </c>
      <c r="D2414" s="5" t="n">
        <v>44488</v>
      </c>
      <c r="E2414" s="6" t="n">
        <v>656.6</v>
      </c>
      <c r="F2414" s="7" t="n">
        <v>64</v>
      </c>
      <c r="G2414" s="6" t="n">
        <v>1194.09550510204</v>
      </c>
      <c r="H2414" s="8" t="n">
        <v>1939748.44326301</v>
      </c>
      <c r="I2414" s="9" t="n">
        <v>7.99260389976194</v>
      </c>
      <c r="J2414" s="9" t="n">
        <v>24.0277915685008</v>
      </c>
      <c r="K2414" s="3" t="s">
        <v>837</v>
      </c>
      <c r="L2414" s="3" t="s">
        <v>838</v>
      </c>
      <c r="M2414" s="7" t="n">
        <v>2022</v>
      </c>
    </row>
    <row r="2415" customFormat="false" ht="15" hidden="false" customHeight="false" outlineLevel="0" collapsed="false">
      <c r="A2415" s="3" t="n">
        <v>3395</v>
      </c>
      <c r="B2415" s="3" t="s">
        <v>836</v>
      </c>
      <c r="C2415" s="4" t="s">
        <v>48</v>
      </c>
      <c r="D2415" s="5" t="n">
        <v>44566</v>
      </c>
      <c r="E2415" s="6" t="n">
        <v>661</v>
      </c>
      <c r="F2415" s="7" t="n">
        <v>64</v>
      </c>
      <c r="G2415" s="6" t="n">
        <v>1135.43071464647</v>
      </c>
      <c r="H2415" s="8" t="n">
        <v>2067687.45721409</v>
      </c>
      <c r="I2415" s="9" t="n">
        <v>6.89256282476621</v>
      </c>
      <c r="J2415" s="9" t="n">
        <v>22.7448551785142</v>
      </c>
      <c r="K2415" s="3" t="s">
        <v>837</v>
      </c>
      <c r="L2415" s="3" t="s">
        <v>838</v>
      </c>
      <c r="M2415" s="7" t="n">
        <v>2023</v>
      </c>
    </row>
    <row r="2416" customFormat="false" ht="15" hidden="false" customHeight="false" outlineLevel="0" collapsed="false">
      <c r="A2416" s="3" t="n">
        <v>3396</v>
      </c>
      <c r="B2416" s="3" t="s">
        <v>836</v>
      </c>
      <c r="C2416" s="4" t="s">
        <v>49</v>
      </c>
      <c r="D2416" s="5" t="n">
        <v>44715</v>
      </c>
      <c r="E2416" s="6" t="n">
        <v>686</v>
      </c>
      <c r="F2416" s="7" t="n">
        <v>68</v>
      </c>
      <c r="G2416" s="6" t="n">
        <v>776.100994949494</v>
      </c>
      <c r="H2416" s="8" t="n">
        <v>1617371.1904449</v>
      </c>
      <c r="I2416" s="9" t="n">
        <v>4.97946174430298</v>
      </c>
      <c r="J2416" s="9" t="n">
        <v>15.5375550221788</v>
      </c>
      <c r="K2416" s="3" t="s">
        <v>837</v>
      </c>
      <c r="L2416" s="3" t="s">
        <v>838</v>
      </c>
      <c r="M2416" s="7" t="n">
        <v>2024</v>
      </c>
    </row>
    <row r="2417" customFormat="false" ht="15" hidden="false" customHeight="false" outlineLevel="0" collapsed="false">
      <c r="A2417" s="3" t="n">
        <v>3397</v>
      </c>
      <c r="B2417" s="3" t="s">
        <v>839</v>
      </c>
      <c r="C2417" s="4" t="s">
        <v>14</v>
      </c>
      <c r="D2417" s="5" t="n">
        <v>13930</v>
      </c>
      <c r="E2417" s="6" t="n">
        <v>313</v>
      </c>
      <c r="F2417" s="7" t="n">
        <v>68</v>
      </c>
      <c r="G2417" s="6" t="n">
        <v>528.486738169692</v>
      </c>
      <c r="H2417" s="8" t="n">
        <v>634218.96592835</v>
      </c>
      <c r="I2417" s="9" t="n">
        <v>14.5186775496966</v>
      </c>
      <c r="J2417" s="9" t="n">
        <v>33.8695300611339</v>
      </c>
      <c r="K2417" s="3" t="s">
        <v>840</v>
      </c>
      <c r="L2417" s="3" t="s">
        <v>841</v>
      </c>
      <c r="M2417" s="7" t="n">
        <v>2016</v>
      </c>
    </row>
    <row r="2418" customFormat="false" ht="15" hidden="false" customHeight="false" outlineLevel="0" collapsed="false">
      <c r="A2418" s="3" t="n">
        <v>3398</v>
      </c>
      <c r="B2418" s="3" t="s">
        <v>839</v>
      </c>
      <c r="C2418" s="4" t="s">
        <v>41</v>
      </c>
      <c r="D2418" s="5" t="n">
        <v>13737</v>
      </c>
      <c r="E2418" s="6" t="n">
        <v>289</v>
      </c>
      <c r="F2418" s="7" t="n">
        <v>69</v>
      </c>
      <c r="G2418" s="6" t="n">
        <v>92.5781999999997</v>
      </c>
      <c r="H2418" s="8" t="n">
        <v>95624.9485619997</v>
      </c>
      <c r="I2418" s="9" t="n">
        <v>4.66727997546765</v>
      </c>
      <c r="J2418" s="9" t="n">
        <v>6.0330164399588</v>
      </c>
      <c r="K2418" s="3" t="s">
        <v>840</v>
      </c>
      <c r="L2418" s="3" t="s">
        <v>841</v>
      </c>
      <c r="M2418" s="7" t="n">
        <v>2016</v>
      </c>
    </row>
    <row r="2419" customFormat="false" ht="15" hidden="false" customHeight="false" outlineLevel="0" collapsed="false">
      <c r="A2419" s="3" t="n">
        <v>3399</v>
      </c>
      <c r="B2419" s="3" t="s">
        <v>839</v>
      </c>
      <c r="C2419" s="4" t="s">
        <v>42</v>
      </c>
      <c r="D2419" s="5" t="n">
        <v>13940</v>
      </c>
      <c r="E2419" s="6" t="n">
        <v>254.74</v>
      </c>
      <c r="F2419" s="7" t="n">
        <v>71</v>
      </c>
      <c r="G2419" s="6" t="n">
        <v>762.446906191709</v>
      </c>
      <c r="H2419" s="8" t="n">
        <v>1118166.51027545</v>
      </c>
      <c r="I2419" s="9" t="n">
        <v>13.292773394365</v>
      </c>
      <c r="J2419" s="9" t="n">
        <v>48.9626040230254</v>
      </c>
      <c r="K2419" s="3" t="s">
        <v>840</v>
      </c>
      <c r="L2419" s="3" t="s">
        <v>841</v>
      </c>
      <c r="M2419" s="7" t="n">
        <v>2017</v>
      </c>
    </row>
    <row r="2420" customFormat="false" ht="15" hidden="false" customHeight="false" outlineLevel="0" collapsed="false">
      <c r="A2420" s="3" t="n">
        <v>3400</v>
      </c>
      <c r="B2420" s="3" t="s">
        <v>839</v>
      </c>
      <c r="C2420" s="4" t="s">
        <v>43</v>
      </c>
      <c r="D2420" s="5" t="n">
        <v>13977</v>
      </c>
      <c r="E2420" s="6" t="n">
        <v>288.848</v>
      </c>
      <c r="F2420" s="7" t="n">
        <v>72</v>
      </c>
      <c r="G2420" s="6" t="n">
        <v>461.494037180234</v>
      </c>
      <c r="H2420" s="8" t="n">
        <v>821200.949519996</v>
      </c>
      <c r="I2420" s="9" t="n">
        <v>10.6177544172791</v>
      </c>
      <c r="J2420" s="9" t="n">
        <v>29.5576432689687</v>
      </c>
      <c r="K2420" s="3" t="s">
        <v>840</v>
      </c>
      <c r="L2420" s="3" t="s">
        <v>841</v>
      </c>
      <c r="M2420" s="7" t="n">
        <v>2018</v>
      </c>
    </row>
    <row r="2421" customFormat="false" ht="15" hidden="false" customHeight="false" outlineLevel="0" collapsed="false">
      <c r="A2421" s="3" t="n">
        <v>3401</v>
      </c>
      <c r="B2421" s="3" t="s">
        <v>839</v>
      </c>
      <c r="C2421" s="4" t="s">
        <v>44</v>
      </c>
      <c r="D2421" s="5" t="n">
        <v>13983</v>
      </c>
      <c r="E2421" s="6" t="n">
        <v>278.562</v>
      </c>
      <c r="F2421" s="7" t="n">
        <v>74</v>
      </c>
      <c r="G2421" s="6" t="n">
        <v>474.342383152028</v>
      </c>
      <c r="H2421" s="8" t="n">
        <v>744238.455741701</v>
      </c>
      <c r="I2421" s="9" t="n">
        <v>11.1009440506736</v>
      </c>
      <c r="J2421" s="9" t="n">
        <v>30.2843158654436</v>
      </c>
      <c r="K2421" s="3" t="s">
        <v>840</v>
      </c>
      <c r="L2421" s="3" t="s">
        <v>841</v>
      </c>
      <c r="M2421" s="7" t="n">
        <v>2019</v>
      </c>
    </row>
    <row r="2422" customFormat="false" ht="15" hidden="false" customHeight="false" outlineLevel="0" collapsed="false">
      <c r="A2422" s="3" t="n">
        <v>3402</v>
      </c>
      <c r="B2422" s="3" t="s">
        <v>839</v>
      </c>
      <c r="C2422" s="4" t="s">
        <v>45</v>
      </c>
      <c r="D2422" s="5" t="n">
        <v>13998</v>
      </c>
      <c r="E2422" s="6" t="n">
        <v>278.6</v>
      </c>
      <c r="F2422" s="7" t="n">
        <v>74</v>
      </c>
      <c r="G2422" s="6" t="n">
        <v>564.209083202364</v>
      </c>
      <c r="H2422" s="8" t="n">
        <v>905284.758179858</v>
      </c>
      <c r="I2422" s="9" t="n">
        <v>10.2513494427614</v>
      </c>
      <c r="J2422" s="9" t="n">
        <v>36.082096102146</v>
      </c>
      <c r="K2422" s="3" t="s">
        <v>840</v>
      </c>
      <c r="L2422" s="3" t="s">
        <v>841</v>
      </c>
      <c r="M2422" s="7" t="n">
        <v>2020</v>
      </c>
    </row>
    <row r="2423" customFormat="false" ht="15" hidden="false" customHeight="false" outlineLevel="0" collapsed="false">
      <c r="A2423" s="3" t="n">
        <v>3403</v>
      </c>
      <c r="B2423" s="3" t="s">
        <v>839</v>
      </c>
      <c r="C2423" s="4" t="s">
        <v>46</v>
      </c>
      <c r="D2423" s="5" t="n">
        <v>14238</v>
      </c>
      <c r="E2423" s="6" t="n">
        <v>317</v>
      </c>
      <c r="F2423" s="7" t="n">
        <v>60</v>
      </c>
      <c r="G2423" s="6" t="n">
        <v>715.223564061707</v>
      </c>
      <c r="H2423" s="8" t="n">
        <v>916008.275200751</v>
      </c>
      <c r="I2423" s="9" t="n">
        <v>10.8657441284</v>
      </c>
      <c r="J2423" s="9" t="n">
        <v>44.9687173569475</v>
      </c>
      <c r="K2423" s="3" t="s">
        <v>840</v>
      </c>
      <c r="L2423" s="3" t="s">
        <v>841</v>
      </c>
      <c r="M2423" s="7" t="n">
        <v>2021</v>
      </c>
    </row>
    <row r="2424" customFormat="false" ht="15" hidden="false" customHeight="false" outlineLevel="0" collapsed="false">
      <c r="A2424" s="3" t="n">
        <v>3404</v>
      </c>
      <c r="B2424" s="3" t="s">
        <v>839</v>
      </c>
      <c r="C2424" s="4" t="s">
        <v>47</v>
      </c>
      <c r="D2424" s="5" t="n">
        <v>14632</v>
      </c>
      <c r="E2424" s="6" t="n">
        <v>319.27328</v>
      </c>
      <c r="F2424" s="7" t="n">
        <v>73</v>
      </c>
      <c r="G2424" s="6" t="n">
        <v>-195.795002889527</v>
      </c>
      <c r="H2424" s="8" t="n">
        <v>-261750.890059846</v>
      </c>
      <c r="I2424" s="9" t="n">
        <v>2.61584882948363</v>
      </c>
      <c r="J2424" s="9" t="n">
        <v>-11.978862655116</v>
      </c>
      <c r="K2424" s="3" t="s">
        <v>840</v>
      </c>
      <c r="L2424" s="3" t="s">
        <v>841</v>
      </c>
      <c r="M2424" s="7" t="n">
        <v>2022</v>
      </c>
    </row>
    <row r="2425" customFormat="false" ht="15" hidden="false" customHeight="false" outlineLevel="0" collapsed="false">
      <c r="A2425" s="3" t="n">
        <v>3405</v>
      </c>
      <c r="B2425" s="3" t="s">
        <v>839</v>
      </c>
      <c r="C2425" s="4" t="s">
        <v>48</v>
      </c>
      <c r="D2425" s="5" t="n">
        <v>14219</v>
      </c>
      <c r="E2425" s="6" t="n">
        <v>319.27328</v>
      </c>
      <c r="F2425" s="7" t="n">
        <v>73</v>
      </c>
      <c r="G2425" s="6" t="n">
        <v>198.91831540673</v>
      </c>
      <c r="H2425" s="8" t="n">
        <v>292157.016084935</v>
      </c>
      <c r="I2425" s="9" t="n">
        <v>7.80666569838726</v>
      </c>
      <c r="J2425" s="9" t="n">
        <v>12.4891221168663</v>
      </c>
      <c r="K2425" s="3" t="s">
        <v>840</v>
      </c>
      <c r="L2425" s="3" t="s">
        <v>841</v>
      </c>
      <c r="M2425" s="7" t="n">
        <v>2023</v>
      </c>
    </row>
    <row r="2426" customFormat="false" ht="15" hidden="false" customHeight="false" outlineLevel="0" collapsed="false">
      <c r="A2426" s="3" t="n">
        <v>3406</v>
      </c>
      <c r="B2426" s="3" t="s">
        <v>839</v>
      </c>
      <c r="C2426" s="4" t="s">
        <v>49</v>
      </c>
      <c r="D2426" s="5" t="n">
        <v>14269</v>
      </c>
      <c r="E2426" s="6" t="n">
        <v>325.36</v>
      </c>
      <c r="F2426" s="7" t="n">
        <v>70</v>
      </c>
      <c r="G2426" s="6" t="n">
        <v>87.1494346212114</v>
      </c>
      <c r="H2426" s="8" t="n">
        <v>137133.992848207</v>
      </c>
      <c r="I2426" s="9" t="n">
        <v>7.00618893983434</v>
      </c>
      <c r="J2426" s="9" t="n">
        <v>5.46749897779563</v>
      </c>
      <c r="K2426" s="3" t="s">
        <v>840</v>
      </c>
      <c r="L2426" s="3" t="s">
        <v>841</v>
      </c>
      <c r="M2426" s="7" t="n">
        <v>2024</v>
      </c>
    </row>
    <row r="2427" customFormat="false" ht="15" hidden="false" customHeight="false" outlineLevel="0" collapsed="false">
      <c r="A2427" s="3" t="n">
        <v>3415</v>
      </c>
      <c r="B2427" s="3" t="s">
        <v>842</v>
      </c>
      <c r="C2427" s="4" t="s">
        <v>14</v>
      </c>
      <c r="D2427" s="5" t="n">
        <v>7163</v>
      </c>
      <c r="E2427" s="6" t="n">
        <v>102</v>
      </c>
      <c r="F2427" s="7" t="n">
        <v>62</v>
      </c>
      <c r="G2427" s="6" t="n">
        <v>108.404537509517</v>
      </c>
      <c r="H2427" s="8" t="n">
        <v>236316.043156129</v>
      </c>
      <c r="I2427" s="9" t="n">
        <v>3.12662616113308</v>
      </c>
      <c r="J2427" s="9" t="n">
        <v>13.5107265273078</v>
      </c>
      <c r="K2427" s="3" t="s">
        <v>843</v>
      </c>
      <c r="L2427" s="3" t="s">
        <v>826</v>
      </c>
      <c r="M2427" s="7" t="n">
        <v>2016</v>
      </c>
    </row>
    <row r="2428" customFormat="false" ht="15" hidden="false" customHeight="false" outlineLevel="0" collapsed="false">
      <c r="A2428" s="3" t="n">
        <v>3416</v>
      </c>
      <c r="B2428" s="3" t="s">
        <v>842</v>
      </c>
      <c r="C2428" s="4" t="s">
        <v>17</v>
      </c>
      <c r="D2428" s="5" t="n">
        <v>7163</v>
      </c>
      <c r="E2428" s="6" t="n">
        <v>119</v>
      </c>
      <c r="F2428" s="7" t="n">
        <v>65</v>
      </c>
      <c r="G2428" s="6" t="n">
        <v>7.48476905980014</v>
      </c>
      <c r="H2428" s="8" t="n">
        <v>14811.5554304685</v>
      </c>
      <c r="I2428" s="9" t="n">
        <v>0.897216943689414</v>
      </c>
      <c r="J2428" s="9" t="n">
        <v>0.935408104109847</v>
      </c>
      <c r="K2428" s="3" t="s">
        <v>843</v>
      </c>
      <c r="L2428" s="3" t="s">
        <v>826</v>
      </c>
      <c r="M2428" s="7" t="n">
        <v>2017</v>
      </c>
    </row>
    <row r="2429" customFormat="false" ht="15" hidden="false" customHeight="false" outlineLevel="0" collapsed="false">
      <c r="A2429" s="3" t="n">
        <v>3417</v>
      </c>
      <c r="B2429" s="3" t="s">
        <v>842</v>
      </c>
      <c r="C2429" s="4" t="s">
        <v>18</v>
      </c>
      <c r="D2429" s="5" t="n">
        <v>7328</v>
      </c>
      <c r="E2429" s="6" t="n">
        <v>119</v>
      </c>
      <c r="F2429" s="7" t="n">
        <v>65</v>
      </c>
      <c r="G2429" s="6" t="n">
        <v>384.289000329847</v>
      </c>
      <c r="H2429" s="8" t="n">
        <v>756912.546050665</v>
      </c>
      <c r="I2429" s="9" t="n">
        <v>9.37987661611529</v>
      </c>
      <c r="J2429" s="9" t="n">
        <v>46.9450890782011</v>
      </c>
      <c r="K2429" s="3" t="s">
        <v>843</v>
      </c>
      <c r="L2429" s="3" t="s">
        <v>826</v>
      </c>
      <c r="M2429" s="7" t="n">
        <v>2018</v>
      </c>
    </row>
    <row r="2430" customFormat="false" ht="15" hidden="false" customHeight="false" outlineLevel="0" collapsed="false">
      <c r="A2430" s="3" t="n">
        <v>3418</v>
      </c>
      <c r="B2430" s="3" t="s">
        <v>842</v>
      </c>
      <c r="C2430" s="4" t="s">
        <v>19</v>
      </c>
      <c r="D2430" s="5" t="n">
        <v>7582</v>
      </c>
      <c r="E2430" s="6" t="n">
        <v>119</v>
      </c>
      <c r="F2430" s="7" t="n">
        <v>63</v>
      </c>
      <c r="G2430" s="6" t="n">
        <v>90.4020131818184</v>
      </c>
      <c r="H2430" s="8" t="n">
        <v>218678.853806291</v>
      </c>
      <c r="I2430" s="9" t="n">
        <v>4.00912062159417</v>
      </c>
      <c r="J2430" s="9" t="n">
        <v>10.6736263726512</v>
      </c>
      <c r="K2430" s="3" t="s">
        <v>843</v>
      </c>
      <c r="L2430" s="3" t="s">
        <v>826</v>
      </c>
      <c r="M2430" s="7" t="n">
        <v>2019</v>
      </c>
    </row>
    <row r="2431" customFormat="false" ht="15" hidden="false" customHeight="false" outlineLevel="0" collapsed="false">
      <c r="A2431" s="3" t="n">
        <v>3419</v>
      </c>
      <c r="B2431" s="3" t="s">
        <v>842</v>
      </c>
      <c r="C2431" s="4" t="s">
        <v>20</v>
      </c>
      <c r="D2431" s="5" t="n">
        <v>7805</v>
      </c>
      <c r="E2431" s="6" t="n">
        <v>119</v>
      </c>
      <c r="F2431" s="7" t="n">
        <v>55</v>
      </c>
      <c r="G2431" s="6" t="n">
        <v>166.602690583422</v>
      </c>
      <c r="H2431" s="8" t="n">
        <v>239581.422795613</v>
      </c>
      <c r="I2431" s="9" t="n">
        <v>5.06978408475474</v>
      </c>
      <c r="J2431" s="9" t="n">
        <v>19.0561558991158</v>
      </c>
      <c r="K2431" s="3" t="s">
        <v>843</v>
      </c>
      <c r="L2431" s="3" t="s">
        <v>826</v>
      </c>
      <c r="M2431" s="7" t="n">
        <v>2020</v>
      </c>
    </row>
    <row r="2432" customFormat="false" ht="15" hidden="false" customHeight="false" outlineLevel="0" collapsed="false">
      <c r="A2432" s="3" t="n">
        <v>3420</v>
      </c>
      <c r="B2432" s="3" t="s">
        <v>842</v>
      </c>
      <c r="C2432" s="4" t="s">
        <v>21</v>
      </c>
      <c r="D2432" s="5" t="n">
        <v>7939</v>
      </c>
      <c r="E2432" s="6" t="n">
        <v>119</v>
      </c>
      <c r="F2432" s="7" t="n">
        <v>55</v>
      </c>
      <c r="G2432" s="6" t="n">
        <v>23.360464195616</v>
      </c>
      <c r="H2432" s="8" t="n">
        <v>37466.2287988813</v>
      </c>
      <c r="I2432" s="9" t="n">
        <v>1.55773717133339</v>
      </c>
      <c r="J2432" s="9" t="n">
        <v>2.6341065662094</v>
      </c>
      <c r="K2432" s="3" t="s">
        <v>843</v>
      </c>
      <c r="L2432" s="3" t="s">
        <v>826</v>
      </c>
      <c r="M2432" s="7" t="n">
        <v>2021</v>
      </c>
    </row>
    <row r="2433" customFormat="false" ht="15" hidden="false" customHeight="false" outlineLevel="0" collapsed="false">
      <c r="A2433" s="3" t="n">
        <v>3421</v>
      </c>
      <c r="B2433" s="3" t="s">
        <v>842</v>
      </c>
      <c r="C2433" s="4" t="s">
        <v>22</v>
      </c>
      <c r="D2433" s="5" t="n">
        <v>7767</v>
      </c>
      <c r="E2433" s="6" t="n">
        <v>129.5</v>
      </c>
      <c r="F2433" s="7" t="n">
        <v>62</v>
      </c>
      <c r="G2433" s="6" t="n">
        <v>152.589679197996</v>
      </c>
      <c r="H2433" s="8" t="n">
        <v>246124.100752783</v>
      </c>
      <c r="I2433" s="9" t="n">
        <v>4.33671053877476</v>
      </c>
      <c r="J2433" s="9" t="n">
        <v>17.5869095215268</v>
      </c>
      <c r="K2433" s="3" t="s">
        <v>843</v>
      </c>
      <c r="L2433" s="3" t="s">
        <v>826</v>
      </c>
      <c r="M2433" s="7" t="n">
        <v>2022</v>
      </c>
    </row>
    <row r="2434" customFormat="false" ht="15" hidden="false" customHeight="false" outlineLevel="0" collapsed="false">
      <c r="A2434" s="3" t="n">
        <v>3422</v>
      </c>
      <c r="B2434" s="3" t="s">
        <v>842</v>
      </c>
      <c r="C2434" s="4" t="s">
        <v>23</v>
      </c>
      <c r="D2434" s="5" t="n">
        <v>7693</v>
      </c>
      <c r="E2434" s="6" t="n">
        <v>129.5</v>
      </c>
      <c r="F2434" s="7" t="n">
        <v>62</v>
      </c>
      <c r="G2434" s="6" t="n">
        <v>85.2566265664162</v>
      </c>
      <c r="H2434" s="8" t="n">
        <v>180460.143754336</v>
      </c>
      <c r="I2434" s="9" t="n">
        <v>3.07274701411509</v>
      </c>
      <c r="J2434" s="9" t="n">
        <v>9.9208774864881</v>
      </c>
      <c r="K2434" s="3" t="s">
        <v>843</v>
      </c>
      <c r="L2434" s="3" t="s">
        <v>826</v>
      </c>
      <c r="M2434" s="7" t="n">
        <v>2023</v>
      </c>
    </row>
    <row r="2435" customFormat="false" ht="15" hidden="false" customHeight="false" outlineLevel="0" collapsed="false">
      <c r="A2435" s="3" t="n">
        <v>3423</v>
      </c>
      <c r="B2435" s="3" t="s">
        <v>842</v>
      </c>
      <c r="C2435" s="4" t="s">
        <v>24</v>
      </c>
      <c r="D2435" s="5" t="n">
        <v>7805</v>
      </c>
      <c r="E2435" s="6" t="n">
        <v>129.6</v>
      </c>
      <c r="F2435" s="7" t="n">
        <v>55</v>
      </c>
      <c r="G2435" s="6" t="n">
        <v>394.712914067655</v>
      </c>
      <c r="H2435" s="8" t="n">
        <v>633209.852733729</v>
      </c>
      <c r="I2435" s="9" t="n">
        <v>10.9736268117669</v>
      </c>
      <c r="J2435" s="9" t="n">
        <v>45.1475951530401</v>
      </c>
      <c r="K2435" s="3" t="s">
        <v>843</v>
      </c>
      <c r="L2435" s="3" t="s">
        <v>826</v>
      </c>
      <c r="M2435" s="7" t="n">
        <v>2024</v>
      </c>
    </row>
    <row r="2436" customFormat="false" ht="15" hidden="false" customHeight="false" outlineLevel="0" collapsed="false">
      <c r="A2436" s="3" t="n">
        <v>3424</v>
      </c>
      <c r="B2436" s="3" t="s">
        <v>844</v>
      </c>
      <c r="C2436" s="4" t="s">
        <v>14</v>
      </c>
      <c r="D2436" s="5" t="n">
        <v>9467</v>
      </c>
      <c r="E2436" s="6" t="n">
        <v>278.787878787879</v>
      </c>
      <c r="F2436" s="7" t="n">
        <v>68</v>
      </c>
      <c r="G2436" s="6" t="n">
        <v>235.977742964824</v>
      </c>
      <c r="H2436" s="8" t="n">
        <v>266654.849550252</v>
      </c>
      <c r="I2436" s="9" t="n">
        <v>11.4581378243336</v>
      </c>
      <c r="J2436" s="9" t="n">
        <v>22.252809983875</v>
      </c>
      <c r="K2436" s="3" t="s">
        <v>845</v>
      </c>
      <c r="L2436" s="3" t="s">
        <v>846</v>
      </c>
      <c r="M2436" s="7" t="n">
        <v>2016</v>
      </c>
    </row>
    <row r="2437" customFormat="false" ht="15" hidden="false" customHeight="false" outlineLevel="0" collapsed="false">
      <c r="A2437" s="3" t="n">
        <v>3425</v>
      </c>
      <c r="B2437" s="3" t="s">
        <v>844</v>
      </c>
      <c r="C2437" s="4" t="s">
        <v>18</v>
      </c>
      <c r="D2437" s="5" t="n">
        <v>9685</v>
      </c>
      <c r="E2437" s="6" t="n">
        <v>200</v>
      </c>
      <c r="F2437" s="7" t="n">
        <v>69</v>
      </c>
      <c r="G2437" s="6" t="n">
        <v>117.7957785533</v>
      </c>
      <c r="H2437" s="8" t="n">
        <v>211879.252557007</v>
      </c>
      <c r="I2437" s="9" t="n">
        <v>6.02782258848225</v>
      </c>
      <c r="J2437" s="9" t="n">
        <v>10.8879915802083</v>
      </c>
      <c r="K2437" s="3" t="s">
        <v>845</v>
      </c>
      <c r="L2437" s="3" t="s">
        <v>846</v>
      </c>
      <c r="M2437" s="7" t="n">
        <v>2018</v>
      </c>
    </row>
    <row r="2438" customFormat="false" ht="15" hidden="false" customHeight="false" outlineLevel="0" collapsed="false">
      <c r="A2438" s="3" t="n">
        <v>3426</v>
      </c>
      <c r="B2438" s="3" t="s">
        <v>844</v>
      </c>
      <c r="C2438" s="4" t="s">
        <v>21</v>
      </c>
      <c r="D2438" s="5" t="n">
        <v>9865</v>
      </c>
      <c r="E2438" s="6" t="n">
        <v>225</v>
      </c>
      <c r="F2438" s="7" t="n">
        <v>84</v>
      </c>
      <c r="G2438" s="6" t="n">
        <v>47.8809431537222</v>
      </c>
      <c r="H2438" s="8" t="n">
        <v>20440.8534417555</v>
      </c>
      <c r="I2438" s="9" t="n">
        <v>3.02049222371594</v>
      </c>
      <c r="J2438" s="9" t="n">
        <v>4.34493497590648</v>
      </c>
      <c r="K2438" s="3" t="s">
        <v>845</v>
      </c>
      <c r="L2438" s="3" t="s">
        <v>846</v>
      </c>
      <c r="M2438" s="7" t="n">
        <v>2021</v>
      </c>
    </row>
    <row r="2439" customFormat="false" ht="15" hidden="false" customHeight="false" outlineLevel="0" collapsed="false">
      <c r="A2439" s="3" t="n">
        <v>3427</v>
      </c>
      <c r="B2439" s="3" t="s">
        <v>844</v>
      </c>
      <c r="C2439" s="4" t="s">
        <v>22</v>
      </c>
      <c r="D2439" s="5" t="n">
        <v>9512</v>
      </c>
      <c r="E2439" s="6" t="n">
        <v>239</v>
      </c>
      <c r="F2439" s="7" t="n">
        <v>83</v>
      </c>
      <c r="G2439" s="6" t="n">
        <v>24.4976532198078</v>
      </c>
      <c r="H2439" s="8" t="n">
        <v>70002.9259911167</v>
      </c>
      <c r="I2439" s="9" t="n">
        <v>3.88794210014705</v>
      </c>
      <c r="J2439" s="9" t="n">
        <v>2.3055275462711</v>
      </c>
      <c r="K2439" s="3" t="s">
        <v>845</v>
      </c>
      <c r="L2439" s="3" t="s">
        <v>846</v>
      </c>
      <c r="M2439" s="7" t="n">
        <v>2022</v>
      </c>
    </row>
    <row r="2440" customFormat="false" ht="15" hidden="false" customHeight="false" outlineLevel="0" collapsed="false">
      <c r="A2440" s="3" t="n">
        <v>3428</v>
      </c>
      <c r="B2440" s="3" t="s">
        <v>844</v>
      </c>
      <c r="C2440" s="4" t="s">
        <v>48</v>
      </c>
      <c r="D2440" s="5" t="n">
        <v>9664</v>
      </c>
      <c r="E2440" s="6" t="n">
        <v>225</v>
      </c>
      <c r="F2440" s="7" t="n">
        <v>68</v>
      </c>
      <c r="G2440" s="6" t="n">
        <v>91.7310602446633</v>
      </c>
      <c r="H2440" s="8" t="n">
        <v>43382.3703215086</v>
      </c>
      <c r="I2440" s="9" t="n">
        <v>4.3389937636946</v>
      </c>
      <c r="J2440" s="9" t="n">
        <v>8.47394587220578</v>
      </c>
      <c r="K2440" s="3" t="s">
        <v>845</v>
      </c>
      <c r="L2440" s="3" t="s">
        <v>846</v>
      </c>
      <c r="M2440" s="7" t="n">
        <v>2023</v>
      </c>
    </row>
    <row r="2441" customFormat="false" ht="15" hidden="false" customHeight="false" outlineLevel="0" collapsed="false">
      <c r="A2441" s="3" t="n">
        <v>3429</v>
      </c>
      <c r="B2441" s="3" t="s">
        <v>844</v>
      </c>
      <c r="C2441" s="4" t="s">
        <v>49</v>
      </c>
      <c r="D2441" s="5" t="n">
        <v>9684</v>
      </c>
      <c r="E2441" s="6" t="n">
        <v>225</v>
      </c>
      <c r="F2441" s="7" t="n">
        <v>70</v>
      </c>
      <c r="G2441" s="6" t="n">
        <v>169.148889790382</v>
      </c>
      <c r="H2441" s="8" t="n">
        <v>206451.294455855</v>
      </c>
      <c r="I2441" s="9" t="n">
        <v>5.64850866931381</v>
      </c>
      <c r="J2441" s="9" t="n">
        <v>15.6362298316601</v>
      </c>
      <c r="K2441" s="3" t="s">
        <v>845</v>
      </c>
      <c r="L2441" s="3" t="s">
        <v>846</v>
      </c>
      <c r="M2441" s="7" t="n">
        <v>2024</v>
      </c>
    </row>
    <row r="2442" customFormat="false" ht="15" hidden="false" customHeight="false" outlineLevel="0" collapsed="false">
      <c r="A2442" s="3" t="n">
        <v>3430</v>
      </c>
      <c r="B2442" s="3" t="s">
        <v>847</v>
      </c>
      <c r="C2442" s="4" t="s">
        <v>41</v>
      </c>
      <c r="D2442" s="5" t="n">
        <v>284637</v>
      </c>
      <c r="E2442" s="6" t="n">
        <v>3305</v>
      </c>
      <c r="F2442" s="7" t="n">
        <v>59</v>
      </c>
      <c r="G2442" s="6" t="n">
        <v>10643.7285971067</v>
      </c>
      <c r="H2442" s="8" t="n">
        <v>13357879.3893689</v>
      </c>
      <c r="I2442" s="9" t="n">
        <v>9.31714689146631</v>
      </c>
      <c r="J2442" s="9" t="n">
        <v>33.4749635722242</v>
      </c>
      <c r="K2442" s="3" t="s">
        <v>848</v>
      </c>
      <c r="L2442" s="3" t="s">
        <v>849</v>
      </c>
      <c r="M2442" s="7" t="n">
        <v>2016</v>
      </c>
    </row>
    <row r="2443" customFormat="false" ht="15" hidden="false" customHeight="false" outlineLevel="0" collapsed="false">
      <c r="A2443" s="3" t="n">
        <v>3431</v>
      </c>
      <c r="B2443" s="3" t="s">
        <v>847</v>
      </c>
      <c r="C2443" s="4" t="s">
        <v>42</v>
      </c>
      <c r="D2443" s="5" t="n">
        <v>284161</v>
      </c>
      <c r="E2443" s="6" t="n">
        <v>3390.7</v>
      </c>
      <c r="F2443" s="7" t="n">
        <v>62</v>
      </c>
      <c r="G2443" s="6" t="n">
        <v>9699.00113655033</v>
      </c>
      <c r="H2443" s="8" t="n">
        <v>12695992.4877444</v>
      </c>
      <c r="I2443" s="9" t="n">
        <v>8.55227948690922</v>
      </c>
      <c r="J2443" s="9" t="n">
        <v>30.5548539572507</v>
      </c>
      <c r="K2443" s="3" t="s">
        <v>848</v>
      </c>
      <c r="L2443" s="3" t="s">
        <v>849</v>
      </c>
      <c r="M2443" s="7" t="n">
        <v>2017</v>
      </c>
    </row>
    <row r="2444" customFormat="false" ht="15" hidden="false" customHeight="false" outlineLevel="0" collapsed="false">
      <c r="A2444" s="3" t="n">
        <v>3432</v>
      </c>
      <c r="B2444" s="3" t="s">
        <v>847</v>
      </c>
      <c r="C2444" s="4" t="s">
        <v>43</v>
      </c>
      <c r="D2444" s="5" t="n">
        <v>319503</v>
      </c>
      <c r="E2444" s="6" t="n">
        <v>3414.9</v>
      </c>
      <c r="F2444" s="7" t="n">
        <v>63</v>
      </c>
      <c r="G2444" s="6" t="n">
        <v>11185.1525184292</v>
      </c>
      <c r="H2444" s="8" t="n">
        <v>14596624.0365501</v>
      </c>
      <c r="I2444" s="9" t="n">
        <v>9.83712555397437</v>
      </c>
      <c r="J2444" s="9" t="n">
        <v>31.3389646523008</v>
      </c>
      <c r="K2444" s="3" t="s">
        <v>848</v>
      </c>
      <c r="L2444" s="3" t="s">
        <v>849</v>
      </c>
      <c r="M2444" s="7" t="n">
        <v>2018</v>
      </c>
    </row>
    <row r="2445" customFormat="false" ht="15" hidden="false" customHeight="false" outlineLevel="0" collapsed="false">
      <c r="A2445" s="3" t="n">
        <v>3433</v>
      </c>
      <c r="B2445" s="3" t="s">
        <v>847</v>
      </c>
      <c r="C2445" s="4" t="s">
        <v>45</v>
      </c>
      <c r="D2445" s="5" t="n">
        <v>323236</v>
      </c>
      <c r="E2445" s="6" t="n">
        <v>3667.149</v>
      </c>
      <c r="F2445" s="7" t="n">
        <v>65</v>
      </c>
      <c r="G2445" s="6" t="n">
        <v>9780.71667179668</v>
      </c>
      <c r="H2445" s="8" t="n">
        <v>13546292.5904384</v>
      </c>
      <c r="I2445" s="9" t="n">
        <v>9.21447782989198</v>
      </c>
      <c r="J2445" s="9" t="n">
        <v>27.0874815874811</v>
      </c>
      <c r="K2445" s="3" t="s">
        <v>848</v>
      </c>
      <c r="L2445" s="3" t="s">
        <v>849</v>
      </c>
      <c r="M2445" s="7" t="n">
        <v>2020</v>
      </c>
    </row>
    <row r="2446" customFormat="false" ht="15" hidden="false" customHeight="false" outlineLevel="0" collapsed="false">
      <c r="A2446" s="3" t="n">
        <v>3434</v>
      </c>
      <c r="B2446" s="3" t="s">
        <v>847</v>
      </c>
      <c r="C2446" s="4" t="s">
        <v>46</v>
      </c>
      <c r="D2446" s="5" t="n">
        <v>354532</v>
      </c>
      <c r="E2446" s="6" t="n">
        <v>3677.7</v>
      </c>
      <c r="F2446" s="7" t="n">
        <v>65</v>
      </c>
      <c r="G2446" s="6" t="n">
        <v>12871.3057120637</v>
      </c>
      <c r="H2446" s="8" t="n">
        <v>19203988.122399</v>
      </c>
      <c r="I2446" s="9" t="n">
        <v>10.9311343973641</v>
      </c>
      <c r="J2446" s="9" t="n">
        <v>32.5001106363473</v>
      </c>
      <c r="K2446" s="3" t="s">
        <v>848</v>
      </c>
      <c r="L2446" s="3" t="s">
        <v>849</v>
      </c>
      <c r="M2446" s="7" t="n">
        <v>2021</v>
      </c>
    </row>
    <row r="2447" customFormat="false" ht="15" hidden="false" customHeight="false" outlineLevel="0" collapsed="false">
      <c r="A2447" s="3" t="n">
        <v>3435</v>
      </c>
      <c r="B2447" s="3" t="s">
        <v>847</v>
      </c>
      <c r="C2447" s="4" t="s">
        <v>47</v>
      </c>
      <c r="D2447" s="5" t="n">
        <v>366323</v>
      </c>
      <c r="E2447" s="6" t="n">
        <v>3715.18</v>
      </c>
      <c r="F2447" s="7" t="n">
        <v>62</v>
      </c>
      <c r="G2447" s="6" t="n">
        <v>31029.2012357803</v>
      </c>
      <c r="H2447" s="8" t="n">
        <v>48095261.9154595</v>
      </c>
      <c r="I2447" s="9" t="n">
        <v>20.8916572227914</v>
      </c>
      <c r="J2447" s="9" t="n">
        <v>75.8270365365143</v>
      </c>
      <c r="K2447" s="3" t="s">
        <v>848</v>
      </c>
      <c r="L2447" s="3" t="s">
        <v>849</v>
      </c>
      <c r="M2447" s="7" t="n">
        <v>2022</v>
      </c>
    </row>
    <row r="2448" customFormat="false" ht="15" hidden="false" customHeight="false" outlineLevel="0" collapsed="false">
      <c r="A2448" s="3" t="n">
        <v>3436</v>
      </c>
      <c r="B2448" s="3" t="s">
        <v>847</v>
      </c>
      <c r="C2448" s="4" t="s">
        <v>48</v>
      </c>
      <c r="D2448" s="5" t="n">
        <v>372378</v>
      </c>
      <c r="E2448" s="6" t="n">
        <v>3719.03</v>
      </c>
      <c r="F2448" s="7" t="n">
        <v>62</v>
      </c>
      <c r="G2448" s="6" t="n">
        <v>22151.7638909964</v>
      </c>
      <c r="H2448" s="8" t="n">
        <v>37624770.9688574</v>
      </c>
      <c r="I2448" s="9" t="n">
        <v>16.7720135883444</v>
      </c>
      <c r="J2448" s="9" t="n">
        <v>53.1068438974263</v>
      </c>
      <c r="K2448" s="3" t="s">
        <v>848</v>
      </c>
      <c r="L2448" s="3" t="s">
        <v>849</v>
      </c>
      <c r="M2448" s="7" t="n">
        <v>2023</v>
      </c>
    </row>
    <row r="2449" customFormat="false" ht="15" hidden="false" customHeight="false" outlineLevel="0" collapsed="false">
      <c r="A2449" s="3" t="n">
        <v>3437</v>
      </c>
      <c r="B2449" s="3" t="s">
        <v>847</v>
      </c>
      <c r="C2449" s="4" t="s">
        <v>49</v>
      </c>
      <c r="D2449" s="5" t="n">
        <v>375620</v>
      </c>
      <c r="E2449" s="6" t="n">
        <v>3471.41813384</v>
      </c>
      <c r="F2449" s="7" t="n">
        <v>57</v>
      </c>
      <c r="G2449" s="6" t="n">
        <v>6879.41028822611</v>
      </c>
      <c r="H2449" s="8" t="n">
        <v>13019283.9704679</v>
      </c>
      <c r="I2449" s="9" t="n">
        <v>7.55308284520525</v>
      </c>
      <c r="J2449" s="9" t="n">
        <v>16.3953305760027</v>
      </c>
      <c r="K2449" s="3" t="s">
        <v>848</v>
      </c>
      <c r="L2449" s="3" t="s">
        <v>849</v>
      </c>
      <c r="M2449" s="7" t="n">
        <v>2024</v>
      </c>
    </row>
    <row r="2450" customFormat="false" ht="15" hidden="false" customHeight="false" outlineLevel="0" collapsed="false">
      <c r="A2450" s="3" t="n">
        <v>3438</v>
      </c>
      <c r="B2450" s="3" t="s">
        <v>850</v>
      </c>
      <c r="C2450" s="4" t="s">
        <v>41</v>
      </c>
      <c r="D2450" s="5" t="n">
        <v>11880</v>
      </c>
      <c r="E2450" s="6" t="n">
        <v>184.409090909091</v>
      </c>
      <c r="F2450" s="7" t="n">
        <v>73</v>
      </c>
      <c r="G2450" s="6" t="n">
        <v>272.880466310179</v>
      </c>
      <c r="H2450" s="8" t="n">
        <v>281345.218375121</v>
      </c>
      <c r="I2450" s="9" t="n">
        <v>5.8728437724213</v>
      </c>
      <c r="J2450" s="9" t="n">
        <v>20.5623942787856</v>
      </c>
      <c r="K2450" s="3" t="s">
        <v>851</v>
      </c>
      <c r="L2450" s="3" t="s">
        <v>852</v>
      </c>
      <c r="M2450" s="7" t="n">
        <v>2016</v>
      </c>
    </row>
    <row r="2451" customFormat="false" ht="15" hidden="false" customHeight="false" outlineLevel="0" collapsed="false">
      <c r="A2451" s="3" t="n">
        <v>3439</v>
      </c>
      <c r="B2451" s="3" t="s">
        <v>850</v>
      </c>
      <c r="C2451" s="4" t="s">
        <v>42</v>
      </c>
      <c r="D2451" s="5" t="n">
        <v>11970</v>
      </c>
      <c r="E2451" s="6" t="n">
        <v>171.4</v>
      </c>
      <c r="F2451" s="7" t="n">
        <v>77</v>
      </c>
      <c r="G2451" s="6" t="n">
        <v>314.379077008324</v>
      </c>
      <c r="H2451" s="8" t="n">
        <v>389226.447662466</v>
      </c>
      <c r="I2451" s="9" t="n">
        <v>7.26710107033592</v>
      </c>
      <c r="J2451" s="9" t="n">
        <v>23.5113279127855</v>
      </c>
      <c r="K2451" s="3" t="s">
        <v>851</v>
      </c>
      <c r="L2451" s="3" t="s">
        <v>852</v>
      </c>
      <c r="M2451" s="7" t="n">
        <v>2017</v>
      </c>
    </row>
    <row r="2452" customFormat="false" ht="15" hidden="false" customHeight="false" outlineLevel="0" collapsed="false">
      <c r="A2452" s="3" t="n">
        <v>3440</v>
      </c>
      <c r="B2452" s="3" t="s">
        <v>850</v>
      </c>
      <c r="C2452" s="4" t="s">
        <v>43</v>
      </c>
      <c r="D2452" s="5" t="n">
        <v>13766</v>
      </c>
      <c r="E2452" s="6" t="n">
        <v>173.5</v>
      </c>
      <c r="F2452" s="7" t="n">
        <v>77</v>
      </c>
      <c r="G2452" s="6" t="n">
        <v>13.5049231231235</v>
      </c>
      <c r="H2452" s="8" t="n">
        <v>18769.4122549795</v>
      </c>
      <c r="I2452" s="9" t="n">
        <v>0.925427268231029</v>
      </c>
      <c r="J2452" s="9" t="n">
        <v>0.878217375943142</v>
      </c>
      <c r="K2452" s="3" t="s">
        <v>851</v>
      </c>
      <c r="L2452" s="3" t="s">
        <v>852</v>
      </c>
      <c r="M2452" s="7" t="n">
        <v>2018</v>
      </c>
    </row>
    <row r="2453" customFormat="false" ht="15" hidden="false" customHeight="false" outlineLevel="0" collapsed="false">
      <c r="A2453" s="3" t="n">
        <v>3441</v>
      </c>
      <c r="B2453" s="3" t="s">
        <v>850</v>
      </c>
      <c r="C2453" s="4" t="s">
        <v>44</v>
      </c>
      <c r="D2453" s="5" t="n">
        <v>12086</v>
      </c>
      <c r="E2453" s="6" t="n">
        <v>173.92</v>
      </c>
      <c r="F2453" s="7" t="n">
        <v>77</v>
      </c>
      <c r="G2453" s="6" t="n">
        <v>90.2220823320837</v>
      </c>
      <c r="H2453" s="8" t="n">
        <v>122978.11154357</v>
      </c>
      <c r="I2453" s="9" t="n">
        <v>4.74374943586966</v>
      </c>
      <c r="J2453" s="9" t="n">
        <v>6.66432932703565</v>
      </c>
      <c r="K2453" s="3" t="s">
        <v>851</v>
      </c>
      <c r="L2453" s="3" t="s">
        <v>852</v>
      </c>
      <c r="M2453" s="7" t="n">
        <v>2019</v>
      </c>
    </row>
    <row r="2454" customFormat="false" ht="15" hidden="false" customHeight="false" outlineLevel="0" collapsed="false">
      <c r="A2454" s="3" t="n">
        <v>3442</v>
      </c>
      <c r="B2454" s="3" t="s">
        <v>850</v>
      </c>
      <c r="C2454" s="4" t="s">
        <v>45</v>
      </c>
      <c r="D2454" s="5" t="n">
        <v>12127</v>
      </c>
      <c r="E2454" s="6" t="n">
        <v>174</v>
      </c>
      <c r="F2454" s="7" t="n">
        <v>66</v>
      </c>
      <c r="G2454" s="6" t="n">
        <v>89.6959909628723</v>
      </c>
      <c r="H2454" s="8" t="n">
        <v>123321.224055034</v>
      </c>
      <c r="I2454" s="9" t="n">
        <v>4.23779258749607</v>
      </c>
      <c r="J2454" s="9" t="n">
        <v>6.62120949603032</v>
      </c>
      <c r="K2454" s="3" t="s">
        <v>851</v>
      </c>
      <c r="L2454" s="3" t="s">
        <v>852</v>
      </c>
      <c r="M2454" s="7" t="n">
        <v>2020</v>
      </c>
    </row>
    <row r="2455" customFormat="false" ht="15" hidden="false" customHeight="false" outlineLevel="0" collapsed="false">
      <c r="A2455" s="3" t="n">
        <v>3443</v>
      </c>
      <c r="B2455" s="3" t="s">
        <v>850</v>
      </c>
      <c r="C2455" s="4" t="s">
        <v>46</v>
      </c>
      <c r="D2455" s="5" t="n">
        <v>12165</v>
      </c>
      <c r="E2455" s="6" t="n">
        <v>174</v>
      </c>
      <c r="F2455" s="7" t="n">
        <v>67</v>
      </c>
      <c r="G2455" s="6" t="n">
        <v>50.0098983241789</v>
      </c>
      <c r="H2455" s="8" t="n">
        <v>75810.504968606</v>
      </c>
      <c r="I2455" s="9" t="n">
        <v>3.47158244726909</v>
      </c>
      <c r="J2455" s="9" t="n">
        <v>3.68011620864036</v>
      </c>
      <c r="K2455" s="3" t="s">
        <v>851</v>
      </c>
      <c r="L2455" s="3" t="s">
        <v>852</v>
      </c>
      <c r="M2455" s="7" t="n">
        <v>2021</v>
      </c>
    </row>
    <row r="2456" customFormat="false" ht="15" hidden="false" customHeight="false" outlineLevel="0" collapsed="false">
      <c r="A2456" s="3" t="n">
        <v>3444</v>
      </c>
      <c r="B2456" s="3" t="s">
        <v>850</v>
      </c>
      <c r="C2456" s="4" t="s">
        <v>47</v>
      </c>
      <c r="D2456" s="5" t="n">
        <v>12305</v>
      </c>
      <c r="E2456" s="6" t="n">
        <v>174</v>
      </c>
      <c r="F2456" s="7" t="n">
        <v>66</v>
      </c>
      <c r="G2456" s="6" t="n">
        <v>78.475700140279</v>
      </c>
      <c r="H2456" s="8" t="n">
        <v>143212.659456999</v>
      </c>
      <c r="I2456" s="9" t="n">
        <v>5.11735431849006</v>
      </c>
      <c r="J2456" s="9" t="n">
        <v>5.70914739528068</v>
      </c>
      <c r="K2456" s="3" t="s">
        <v>851</v>
      </c>
      <c r="L2456" s="3" t="s">
        <v>852</v>
      </c>
      <c r="M2456" s="7" t="n">
        <v>2022</v>
      </c>
    </row>
    <row r="2457" customFormat="false" ht="15" hidden="false" customHeight="false" outlineLevel="0" collapsed="false">
      <c r="A2457" s="3" t="n">
        <v>3445</v>
      </c>
      <c r="B2457" s="3" t="s">
        <v>850</v>
      </c>
      <c r="C2457" s="4" t="s">
        <v>48</v>
      </c>
      <c r="D2457" s="5" t="n">
        <v>14218</v>
      </c>
      <c r="E2457" s="6" t="n">
        <v>174</v>
      </c>
      <c r="F2457" s="7" t="n">
        <v>71</v>
      </c>
      <c r="G2457" s="6" t="n">
        <v>9.07759589320176</v>
      </c>
      <c r="H2457" s="8" t="n">
        <v>17589.2944584213</v>
      </c>
      <c r="I2457" s="9" t="n">
        <v>5.75033801657751</v>
      </c>
      <c r="J2457" s="9" t="n">
        <v>0.569978572289359</v>
      </c>
      <c r="K2457" s="3" t="s">
        <v>851</v>
      </c>
      <c r="L2457" s="3" t="s">
        <v>852</v>
      </c>
      <c r="M2457" s="7" t="n">
        <v>2023</v>
      </c>
    </row>
    <row r="2458" customFormat="false" ht="15" hidden="false" customHeight="false" outlineLevel="0" collapsed="false">
      <c r="A2458" s="3" t="n">
        <v>3446</v>
      </c>
      <c r="B2458" s="3" t="s">
        <v>850</v>
      </c>
      <c r="C2458" s="4" t="s">
        <v>49</v>
      </c>
      <c r="D2458" s="5" t="n">
        <v>14382</v>
      </c>
      <c r="E2458" s="6" t="n">
        <v>174</v>
      </c>
      <c r="F2458" s="7" t="n">
        <v>73</v>
      </c>
      <c r="G2458" s="6" t="n">
        <v>78.7752884024576</v>
      </c>
      <c r="H2458" s="8" t="n">
        <v>124630.383781528</v>
      </c>
      <c r="I2458" s="9" t="n">
        <v>6.32905762422388</v>
      </c>
      <c r="J2458" s="9" t="n">
        <v>4.90329916769229</v>
      </c>
      <c r="K2458" s="3" t="s">
        <v>851</v>
      </c>
      <c r="L2458" s="3" t="s">
        <v>852</v>
      </c>
      <c r="M2458" s="7" t="n">
        <v>2024</v>
      </c>
    </row>
    <row r="2459" customFormat="false" ht="15" hidden="false" customHeight="false" outlineLevel="0" collapsed="false">
      <c r="A2459" s="3" t="n">
        <v>3447</v>
      </c>
      <c r="B2459" s="3" t="s">
        <v>853</v>
      </c>
      <c r="C2459" s="4" t="s">
        <v>41</v>
      </c>
      <c r="D2459" s="5" t="n">
        <v>7514</v>
      </c>
      <c r="E2459" s="6" t="n">
        <v>160</v>
      </c>
      <c r="F2459" s="7" t="n">
        <v>69</v>
      </c>
      <c r="G2459" s="6" t="n">
        <v>749.48972424623</v>
      </c>
      <c r="H2459" s="8" t="n">
        <v>917330.453093931</v>
      </c>
      <c r="I2459" s="9" t="n">
        <v>9.17179054164193</v>
      </c>
      <c r="J2459" s="9" t="n">
        <v>82.2842006770007</v>
      </c>
      <c r="K2459" s="3" t="s">
        <v>854</v>
      </c>
      <c r="L2459" s="3" t="s">
        <v>855</v>
      </c>
      <c r="M2459" s="7" t="n">
        <v>2016</v>
      </c>
    </row>
    <row r="2460" customFormat="false" ht="15" hidden="false" customHeight="false" outlineLevel="0" collapsed="false">
      <c r="A2460" s="3" t="n">
        <v>3448</v>
      </c>
      <c r="B2460" s="3" t="s">
        <v>853</v>
      </c>
      <c r="C2460" s="4" t="s">
        <v>42</v>
      </c>
      <c r="D2460" s="5" t="n">
        <v>7485</v>
      </c>
      <c r="E2460" s="6" t="n">
        <v>160</v>
      </c>
      <c r="F2460" s="7" t="n">
        <v>66</v>
      </c>
      <c r="G2460" s="6" t="n">
        <v>339.975739847715</v>
      </c>
      <c r="H2460" s="8"/>
      <c r="I2460" s="9" t="n">
        <v>6.5033626233371</v>
      </c>
      <c r="J2460" s="9" t="n">
        <v>40.660601351097</v>
      </c>
      <c r="K2460" s="3" t="s">
        <v>854</v>
      </c>
      <c r="L2460" s="3" t="s">
        <v>855</v>
      </c>
      <c r="M2460" s="7" t="n">
        <v>2017</v>
      </c>
    </row>
    <row r="2461" customFormat="false" ht="15" hidden="false" customHeight="false" outlineLevel="0" collapsed="false">
      <c r="A2461" s="3" t="n">
        <v>3449</v>
      </c>
      <c r="B2461" s="3" t="s">
        <v>853</v>
      </c>
      <c r="C2461" s="4" t="s">
        <v>43</v>
      </c>
      <c r="D2461" s="5" t="n">
        <v>7528</v>
      </c>
      <c r="E2461" s="6" t="n">
        <v>160</v>
      </c>
      <c r="F2461" s="7" t="n">
        <v>66</v>
      </c>
      <c r="G2461" s="6" t="n">
        <v>253.147229449687</v>
      </c>
      <c r="H2461" s="8"/>
      <c r="I2461" s="9" t="n">
        <v>4.93446782424097</v>
      </c>
      <c r="J2461" s="9" t="n">
        <v>30.1031014846441</v>
      </c>
      <c r="K2461" s="3" t="s">
        <v>854</v>
      </c>
      <c r="L2461" s="3" t="s">
        <v>855</v>
      </c>
      <c r="M2461" s="7" t="n">
        <v>2018</v>
      </c>
    </row>
    <row r="2462" customFormat="false" ht="15" hidden="false" customHeight="false" outlineLevel="0" collapsed="false">
      <c r="A2462" s="3" t="n">
        <v>3450</v>
      </c>
      <c r="B2462" s="3" t="s">
        <v>853</v>
      </c>
      <c r="C2462" s="4" t="s">
        <v>44</v>
      </c>
      <c r="D2462" s="5" t="n">
        <v>7565</v>
      </c>
      <c r="E2462" s="6" t="n">
        <v>160</v>
      </c>
      <c r="F2462" s="7" t="n">
        <v>69</v>
      </c>
      <c r="G2462" s="6" t="n">
        <v>234.727724183138</v>
      </c>
      <c r="H2462" s="8"/>
      <c r="I2462" s="9" t="n">
        <v>5.20458487037967</v>
      </c>
      <c r="J2462" s="9" t="n">
        <v>27.7001199296688</v>
      </c>
      <c r="K2462" s="3" t="s">
        <v>854</v>
      </c>
      <c r="L2462" s="3" t="s">
        <v>855</v>
      </c>
      <c r="M2462" s="7" t="n">
        <v>2019</v>
      </c>
    </row>
    <row r="2463" customFormat="false" ht="15" hidden="false" customHeight="false" outlineLevel="0" collapsed="false">
      <c r="A2463" s="3" t="n">
        <v>3451</v>
      </c>
      <c r="B2463" s="3" t="s">
        <v>853</v>
      </c>
      <c r="C2463" s="4" t="s">
        <v>45</v>
      </c>
      <c r="D2463" s="5" t="n">
        <v>7601</v>
      </c>
      <c r="E2463" s="6" t="n">
        <v>160</v>
      </c>
      <c r="F2463" s="7" t="n">
        <v>75</v>
      </c>
      <c r="G2463" s="6" t="n">
        <v>236.042762562814</v>
      </c>
      <c r="H2463" s="8"/>
      <c r="I2463" s="9" t="n">
        <v>4.59481284200284</v>
      </c>
      <c r="J2463" s="9" t="n">
        <v>27.7995413500593</v>
      </c>
      <c r="K2463" s="3" t="s">
        <v>854</v>
      </c>
      <c r="L2463" s="3" t="s">
        <v>855</v>
      </c>
      <c r="M2463" s="7" t="n">
        <v>2020</v>
      </c>
    </row>
    <row r="2464" customFormat="false" ht="15" hidden="false" customHeight="false" outlineLevel="0" collapsed="false">
      <c r="A2464" s="3" t="n">
        <v>3452</v>
      </c>
      <c r="B2464" s="3" t="s">
        <v>853</v>
      </c>
      <c r="C2464" s="4" t="s">
        <v>46</v>
      </c>
      <c r="D2464" s="5" t="n">
        <v>7601</v>
      </c>
      <c r="E2464" s="6" t="n">
        <v>156</v>
      </c>
      <c r="F2464" s="7" t="n">
        <v>75</v>
      </c>
      <c r="G2464" s="6" t="n">
        <v>185.054260901045</v>
      </c>
      <c r="H2464" s="8"/>
      <c r="I2464" s="9" t="n">
        <v>4.17321805069345</v>
      </c>
      <c r="J2464" s="9" t="n">
        <v>21.7944558946359</v>
      </c>
      <c r="K2464" s="3" t="s">
        <v>854</v>
      </c>
      <c r="L2464" s="3" t="s">
        <v>855</v>
      </c>
      <c r="M2464" s="7" t="n">
        <v>2021</v>
      </c>
    </row>
    <row r="2465" customFormat="false" ht="15" hidden="false" customHeight="false" outlineLevel="0" collapsed="false">
      <c r="A2465" s="3" t="n">
        <v>3453</v>
      </c>
      <c r="B2465" s="3" t="s">
        <v>853</v>
      </c>
      <c r="C2465" s="4" t="s">
        <v>47</v>
      </c>
      <c r="D2465" s="5" t="n">
        <v>7642</v>
      </c>
      <c r="E2465" s="6" t="n">
        <v>156</v>
      </c>
      <c r="F2465" s="7" t="n">
        <v>64</v>
      </c>
      <c r="G2465" s="6" t="n">
        <v>53.3983228936812</v>
      </c>
      <c r="H2465" s="8" t="n">
        <v>16692.8497197937</v>
      </c>
      <c r="I2465" s="9" t="n">
        <v>1.69495055424332</v>
      </c>
      <c r="J2465" s="9" t="n">
        <v>6.25515762847196</v>
      </c>
      <c r="K2465" s="3" t="s">
        <v>854</v>
      </c>
      <c r="L2465" s="3" t="s">
        <v>855</v>
      </c>
      <c r="M2465" s="7" t="n">
        <v>2022</v>
      </c>
    </row>
    <row r="2466" customFormat="false" ht="15" hidden="false" customHeight="false" outlineLevel="0" collapsed="false">
      <c r="A2466" s="3" t="n">
        <v>3454</v>
      </c>
      <c r="B2466" s="3" t="s">
        <v>853</v>
      </c>
      <c r="C2466" s="4" t="s">
        <v>48</v>
      </c>
      <c r="D2466" s="5" t="n">
        <v>7664</v>
      </c>
      <c r="E2466" s="6" t="n">
        <v>156</v>
      </c>
      <c r="F2466" s="7" t="n">
        <v>63</v>
      </c>
      <c r="G2466" s="6" t="n">
        <v>171.077238390171</v>
      </c>
      <c r="H2466" s="8" t="n">
        <v>324191.366749375</v>
      </c>
      <c r="I2466" s="9" t="n">
        <v>3.18362959850745</v>
      </c>
      <c r="J2466" s="9" t="n">
        <v>19.9279639398131</v>
      </c>
      <c r="K2466" s="3" t="s">
        <v>854</v>
      </c>
      <c r="L2466" s="3" t="s">
        <v>855</v>
      </c>
      <c r="M2466" s="7" t="n">
        <v>2023</v>
      </c>
    </row>
    <row r="2467" customFormat="false" ht="15" hidden="false" customHeight="false" outlineLevel="0" collapsed="false">
      <c r="A2467" s="3" t="n">
        <v>3455</v>
      </c>
      <c r="B2467" s="3" t="s">
        <v>853</v>
      </c>
      <c r="C2467" s="4" t="s">
        <v>49</v>
      </c>
      <c r="D2467" s="5" t="n">
        <v>7930</v>
      </c>
      <c r="E2467" s="6" t="n">
        <v>161.2</v>
      </c>
      <c r="F2467" s="7" t="n">
        <v>70</v>
      </c>
      <c r="G2467" s="6" t="n">
        <v>78.5920667000996</v>
      </c>
      <c r="H2467" s="8" t="n">
        <v>139107.958059176</v>
      </c>
      <c r="I2467" s="9" t="n">
        <v>1.86332037226018</v>
      </c>
      <c r="J2467" s="9" t="n">
        <v>8.87203398081224</v>
      </c>
      <c r="K2467" s="3" t="s">
        <v>854</v>
      </c>
      <c r="L2467" s="3" t="s">
        <v>855</v>
      </c>
      <c r="M2467" s="7" t="n">
        <v>2024</v>
      </c>
    </row>
    <row r="2468" customFormat="false" ht="15" hidden="false" customHeight="false" outlineLevel="0" collapsed="false">
      <c r="A2468" s="3" t="n">
        <v>3456</v>
      </c>
      <c r="B2468" s="3" t="s">
        <v>856</v>
      </c>
      <c r="C2468" s="4" t="s">
        <v>41</v>
      </c>
      <c r="D2468" s="5" t="n">
        <v>34599</v>
      </c>
      <c r="E2468" s="6" t="n">
        <v>407.75</v>
      </c>
      <c r="F2468" s="7" t="n">
        <v>69</v>
      </c>
      <c r="G2468" s="6" t="n">
        <v>879.349406788943</v>
      </c>
      <c r="H2468" s="8" t="n">
        <v>1468777.31415957</v>
      </c>
      <c r="I2468" s="9" t="n">
        <v>6.70296262490153</v>
      </c>
      <c r="J2468" s="9" t="n">
        <v>22.7517916854918</v>
      </c>
      <c r="K2468" s="3" t="s">
        <v>857</v>
      </c>
      <c r="L2468" s="3" t="s">
        <v>858</v>
      </c>
      <c r="M2468" s="7" t="n">
        <v>2016</v>
      </c>
    </row>
    <row r="2469" customFormat="false" ht="15" hidden="false" customHeight="false" outlineLevel="0" collapsed="false">
      <c r="A2469" s="3" t="n">
        <v>3457</v>
      </c>
      <c r="B2469" s="3" t="s">
        <v>856</v>
      </c>
      <c r="C2469" s="4" t="s">
        <v>42</v>
      </c>
      <c r="D2469" s="5" t="n">
        <v>33895</v>
      </c>
      <c r="E2469" s="6" t="n">
        <v>408.0875</v>
      </c>
      <c r="F2469" s="7" t="n">
        <v>68</v>
      </c>
      <c r="G2469" s="6" t="n">
        <v>305.309448682878</v>
      </c>
      <c r="H2469" s="8" t="n">
        <v>413291.294493038</v>
      </c>
      <c r="I2469" s="9" t="n">
        <v>3.57732756738638</v>
      </c>
      <c r="J2469" s="9" t="n">
        <v>8.06347569520323</v>
      </c>
      <c r="K2469" s="3" t="s">
        <v>857</v>
      </c>
      <c r="L2469" s="3" t="s">
        <v>858</v>
      </c>
      <c r="M2469" s="7" t="n">
        <v>2017</v>
      </c>
    </row>
    <row r="2470" customFormat="false" ht="15" hidden="false" customHeight="false" outlineLevel="0" collapsed="false">
      <c r="A2470" s="3" t="n">
        <v>3458</v>
      </c>
      <c r="B2470" s="3" t="s">
        <v>856</v>
      </c>
      <c r="C2470" s="4" t="s">
        <v>43</v>
      </c>
      <c r="D2470" s="5" t="n">
        <v>34595</v>
      </c>
      <c r="E2470" s="6" t="n">
        <v>408.0284</v>
      </c>
      <c r="F2470" s="7" t="n">
        <v>75</v>
      </c>
      <c r="G2470" s="6" t="n">
        <v>506.582867451876</v>
      </c>
      <c r="H2470" s="8" t="n">
        <v>831185.971429015</v>
      </c>
      <c r="I2470" s="9" t="n">
        <v>4.90217792125181</v>
      </c>
      <c r="J2470" s="9" t="n">
        <v>13.1085555098368</v>
      </c>
      <c r="K2470" s="3" t="s">
        <v>857</v>
      </c>
      <c r="L2470" s="3" t="s">
        <v>858</v>
      </c>
      <c r="M2470" s="7" t="n">
        <v>2018</v>
      </c>
    </row>
    <row r="2471" customFormat="false" ht="15" hidden="false" customHeight="false" outlineLevel="0" collapsed="false">
      <c r="A2471" s="3" t="n">
        <v>3459</v>
      </c>
      <c r="B2471" s="3" t="s">
        <v>856</v>
      </c>
      <c r="C2471" s="4" t="s">
        <v>44</v>
      </c>
      <c r="D2471" s="5" t="n">
        <v>34762</v>
      </c>
      <c r="E2471" s="6" t="n">
        <v>408.5141</v>
      </c>
      <c r="F2471" s="7" t="n">
        <v>76</v>
      </c>
      <c r="G2471" s="6" t="n">
        <v>266.449370567379</v>
      </c>
      <c r="H2471" s="8" t="n">
        <v>383122.220951423</v>
      </c>
      <c r="I2471" s="9" t="n">
        <v>3.46520375068428</v>
      </c>
      <c r="J2471" s="9" t="n">
        <v>6.84283608764657</v>
      </c>
      <c r="K2471" s="3" t="s">
        <v>857</v>
      </c>
      <c r="L2471" s="3" t="s">
        <v>858</v>
      </c>
      <c r="M2471" s="7" t="n">
        <v>2019</v>
      </c>
    </row>
    <row r="2472" customFormat="false" ht="15" hidden="false" customHeight="false" outlineLevel="0" collapsed="false">
      <c r="A2472" s="3" t="n">
        <v>3460</v>
      </c>
      <c r="B2472" s="3" t="s">
        <v>856</v>
      </c>
      <c r="C2472" s="4" t="s">
        <v>45</v>
      </c>
      <c r="D2472" s="5" t="n">
        <v>34836</v>
      </c>
      <c r="E2472" s="6" t="n">
        <v>409.93</v>
      </c>
      <c r="F2472" s="7" t="n">
        <v>75</v>
      </c>
      <c r="G2472" s="6" t="n">
        <v>34.0601641414115</v>
      </c>
      <c r="H2472" s="8" t="n">
        <v>17730.6996470946</v>
      </c>
      <c r="I2472" s="9" t="n">
        <v>1.80373337534035</v>
      </c>
      <c r="J2472" s="9" t="n">
        <v>0.875258081008395</v>
      </c>
      <c r="K2472" s="3" t="s">
        <v>857</v>
      </c>
      <c r="L2472" s="3" t="s">
        <v>858</v>
      </c>
      <c r="M2472" s="7" t="n">
        <v>2020</v>
      </c>
    </row>
    <row r="2473" customFormat="false" ht="15" hidden="false" customHeight="false" outlineLevel="0" collapsed="false">
      <c r="A2473" s="3" t="n">
        <v>3461</v>
      </c>
      <c r="B2473" s="3" t="s">
        <v>856</v>
      </c>
      <c r="C2473" s="4" t="s">
        <v>46</v>
      </c>
      <c r="D2473" s="5" t="n">
        <v>34873</v>
      </c>
      <c r="E2473" s="6" t="n">
        <v>409.906</v>
      </c>
      <c r="F2473" s="7" t="n">
        <v>75</v>
      </c>
      <c r="G2473" s="6" t="n">
        <v>225.063229797983</v>
      </c>
      <c r="H2473" s="8"/>
      <c r="I2473" s="9" t="n">
        <v>2.8862757531323</v>
      </c>
      <c r="J2473" s="9" t="n">
        <v>5.77740631334032</v>
      </c>
      <c r="K2473" s="3" t="s">
        <v>857</v>
      </c>
      <c r="L2473" s="3" t="s">
        <v>858</v>
      </c>
      <c r="M2473" s="7" t="n">
        <v>2021</v>
      </c>
    </row>
    <row r="2474" customFormat="false" ht="15" hidden="false" customHeight="false" outlineLevel="0" collapsed="false">
      <c r="A2474" s="3" t="n">
        <v>3462</v>
      </c>
      <c r="B2474" s="3" t="s">
        <v>856</v>
      </c>
      <c r="C2474" s="4" t="s">
        <v>47</v>
      </c>
      <c r="D2474" s="5" t="n">
        <v>34058</v>
      </c>
      <c r="E2474" s="6" t="n">
        <v>394.4</v>
      </c>
      <c r="F2474" s="7" t="n">
        <v>77</v>
      </c>
      <c r="G2474" s="6" t="n">
        <v>63.5864313069874</v>
      </c>
      <c r="H2474" s="8" t="n">
        <v>49585.3349975018</v>
      </c>
      <c r="I2474" s="9" t="n">
        <v>2.25420310892668</v>
      </c>
      <c r="J2474" s="9" t="n">
        <v>1.67133298689349</v>
      </c>
      <c r="K2474" s="3" t="s">
        <v>857</v>
      </c>
      <c r="L2474" s="3" t="s">
        <v>858</v>
      </c>
      <c r="M2474" s="7" t="n">
        <v>2022</v>
      </c>
    </row>
    <row r="2475" customFormat="false" ht="15" hidden="false" customHeight="false" outlineLevel="0" collapsed="false">
      <c r="A2475" s="3" t="n">
        <v>3463</v>
      </c>
      <c r="B2475" s="3" t="s">
        <v>856</v>
      </c>
      <c r="C2475" s="4" t="s">
        <v>48</v>
      </c>
      <c r="D2475" s="5" t="n">
        <v>34966</v>
      </c>
      <c r="E2475" s="6" t="n">
        <v>409.96</v>
      </c>
      <c r="F2475" s="7" t="n">
        <v>77</v>
      </c>
      <c r="G2475" s="6" t="n">
        <v>203.211821935158</v>
      </c>
      <c r="H2475" s="8" t="n">
        <v>100439.475109671</v>
      </c>
      <c r="I2475" s="9" t="n">
        <v>2.99383175517305</v>
      </c>
      <c r="J2475" s="9" t="n">
        <v>5.18834933891892</v>
      </c>
      <c r="K2475" s="3" t="s">
        <v>857</v>
      </c>
      <c r="L2475" s="3" t="s">
        <v>858</v>
      </c>
      <c r="M2475" s="7" t="n">
        <v>2023</v>
      </c>
    </row>
    <row r="2476" customFormat="false" ht="15" hidden="false" customHeight="false" outlineLevel="0" collapsed="false">
      <c r="A2476" s="3" t="n">
        <v>3464</v>
      </c>
      <c r="B2476" s="3" t="s">
        <v>856</v>
      </c>
      <c r="C2476" s="4" t="s">
        <v>49</v>
      </c>
      <c r="D2476" s="5" t="n">
        <v>34966</v>
      </c>
      <c r="E2476" s="6" t="n">
        <v>409.96</v>
      </c>
      <c r="F2476" s="7" t="n">
        <v>77</v>
      </c>
      <c r="G2476" s="6" t="n">
        <v>127.363078983044</v>
      </c>
      <c r="H2476" s="8" t="n">
        <v>66893.6363434743</v>
      </c>
      <c r="I2476" s="9" t="n">
        <v>2.53871791002774</v>
      </c>
      <c r="J2476" s="9" t="n">
        <v>3.26073324052501</v>
      </c>
      <c r="K2476" s="3" t="s">
        <v>857</v>
      </c>
      <c r="L2476" s="3" t="s">
        <v>858</v>
      </c>
      <c r="M2476" s="7" t="n">
        <v>2024</v>
      </c>
    </row>
    <row r="2477" customFormat="false" ht="15" hidden="false" customHeight="false" outlineLevel="0" collapsed="false">
      <c r="A2477" s="3" t="n">
        <v>3465</v>
      </c>
      <c r="B2477" s="3" t="s">
        <v>859</v>
      </c>
      <c r="C2477" s="4" t="s">
        <v>14</v>
      </c>
      <c r="D2477" s="5" t="n">
        <v>10836</v>
      </c>
      <c r="E2477" s="6" t="n">
        <v>345</v>
      </c>
      <c r="F2477" s="7" t="n">
        <v>73</v>
      </c>
      <c r="G2477" s="6" t="n">
        <v>382.730745360823</v>
      </c>
      <c r="H2477" s="8" t="n">
        <v>527212.31208362</v>
      </c>
      <c r="I2477" s="9" t="n">
        <v>5.42300123234904</v>
      </c>
      <c r="J2477" s="9" t="n">
        <v>31.5319296173004</v>
      </c>
      <c r="K2477" s="3" t="s">
        <v>860</v>
      </c>
      <c r="L2477" s="3" t="s">
        <v>861</v>
      </c>
      <c r="M2477" s="7" t="n">
        <v>2016</v>
      </c>
    </row>
    <row r="2478" customFormat="false" ht="15" hidden="false" customHeight="false" outlineLevel="0" collapsed="false">
      <c r="A2478" s="3" t="n">
        <v>3474</v>
      </c>
      <c r="B2478" s="3" t="s">
        <v>859</v>
      </c>
      <c r="C2478" s="4" t="s">
        <v>49</v>
      </c>
      <c r="D2478" s="5" t="n">
        <v>10597</v>
      </c>
      <c r="E2478" s="6" t="n">
        <v>353</v>
      </c>
      <c r="F2478" s="7" t="n">
        <v>78</v>
      </c>
      <c r="G2478" s="6" t="n">
        <v>355.027991972881</v>
      </c>
      <c r="H2478" s="8" t="n">
        <v>781113.394164795</v>
      </c>
      <c r="I2478" s="9" t="n">
        <v>5.83715279571617</v>
      </c>
      <c r="J2478" s="9" t="n">
        <v>29.9914412363118</v>
      </c>
      <c r="K2478" s="3" t="s">
        <v>860</v>
      </c>
      <c r="L2478" s="3" t="s">
        <v>861</v>
      </c>
      <c r="M2478" s="7" t="n">
        <v>2024</v>
      </c>
    </row>
    <row r="2479" customFormat="false" ht="15" hidden="false" customHeight="false" outlineLevel="0" collapsed="false">
      <c r="A2479" s="3" t="n">
        <v>3475</v>
      </c>
      <c r="B2479" s="3" t="s">
        <v>862</v>
      </c>
      <c r="C2479" s="4" t="s">
        <v>41</v>
      </c>
      <c r="D2479" s="5" t="n">
        <v>29087</v>
      </c>
      <c r="E2479" s="6" t="n">
        <v>497.6</v>
      </c>
      <c r="F2479" s="7" t="n">
        <v>65</v>
      </c>
      <c r="G2479" s="6" t="n">
        <v>1219.81731849726</v>
      </c>
      <c r="H2479" s="8" t="n">
        <v>1243371.99091744</v>
      </c>
      <c r="I2479" s="9" t="n">
        <v>10.870661220985</v>
      </c>
      <c r="J2479" s="9" t="n">
        <v>37.5416657426027</v>
      </c>
      <c r="K2479" s="3" t="s">
        <v>863</v>
      </c>
      <c r="L2479" s="3" t="s">
        <v>864</v>
      </c>
      <c r="M2479" s="7" t="n">
        <v>2016</v>
      </c>
    </row>
    <row r="2480" customFormat="false" ht="15" hidden="false" customHeight="false" outlineLevel="0" collapsed="false">
      <c r="A2480" s="3" t="n">
        <v>3476</v>
      </c>
      <c r="B2480" s="3" t="s">
        <v>862</v>
      </c>
      <c r="C2480" s="4" t="s">
        <v>42</v>
      </c>
      <c r="D2480" s="5" t="n">
        <v>27929</v>
      </c>
      <c r="E2480" s="6" t="n">
        <v>452.4</v>
      </c>
      <c r="F2480" s="7" t="n">
        <v>65</v>
      </c>
      <c r="G2480" s="6" t="n">
        <v>591.29504030612</v>
      </c>
      <c r="H2480" s="8" t="n">
        <v>565402.230491115</v>
      </c>
      <c r="I2480" s="9" t="n">
        <v>6.18619235251679</v>
      </c>
      <c r="J2480" s="9" t="n">
        <v>18.9525008448414</v>
      </c>
      <c r="K2480" s="3" t="s">
        <v>863</v>
      </c>
      <c r="L2480" s="3" t="s">
        <v>864</v>
      </c>
      <c r="M2480" s="7" t="n">
        <v>2017</v>
      </c>
    </row>
    <row r="2481" customFormat="false" ht="15" hidden="false" customHeight="false" outlineLevel="0" collapsed="false">
      <c r="A2481" s="3" t="n">
        <v>3477</v>
      </c>
      <c r="B2481" s="3" t="s">
        <v>862</v>
      </c>
      <c r="C2481" s="4" t="s">
        <v>43</v>
      </c>
      <c r="D2481" s="5" t="n">
        <v>29104</v>
      </c>
      <c r="E2481" s="6" t="n">
        <v>452.2</v>
      </c>
      <c r="F2481" s="7" t="n">
        <v>74</v>
      </c>
      <c r="G2481" s="6" t="n">
        <v>485.228242929297</v>
      </c>
      <c r="H2481" s="8" t="n">
        <v>488590.874652797</v>
      </c>
      <c r="I2481" s="9" t="n">
        <v>4.73950998841022</v>
      </c>
      <c r="J2481" s="9" t="n">
        <v>14.9248874240649</v>
      </c>
      <c r="K2481" s="3" t="s">
        <v>863</v>
      </c>
      <c r="L2481" s="3" t="s">
        <v>864</v>
      </c>
      <c r="M2481" s="7" t="n">
        <v>2018</v>
      </c>
    </row>
    <row r="2482" customFormat="false" ht="15" hidden="false" customHeight="false" outlineLevel="0" collapsed="false">
      <c r="A2482" s="3" t="n">
        <v>3478</v>
      </c>
      <c r="B2482" s="3" t="s">
        <v>862</v>
      </c>
      <c r="C2482" s="4" t="s">
        <v>44</v>
      </c>
      <c r="D2482" s="5" t="n">
        <v>28128</v>
      </c>
      <c r="E2482" s="6" t="n">
        <v>452</v>
      </c>
      <c r="F2482" s="7" t="n">
        <v>74</v>
      </c>
      <c r="G2482" s="6" t="n">
        <v>888.578139135855</v>
      </c>
      <c r="H2482" s="8" t="n">
        <v>845662.467915841</v>
      </c>
      <c r="I2482" s="9" t="n">
        <v>7.10155186568583</v>
      </c>
      <c r="J2482" s="9" t="n">
        <v>28.2021984836011</v>
      </c>
      <c r="K2482" s="3" t="s">
        <v>863</v>
      </c>
      <c r="L2482" s="3" t="s">
        <v>864</v>
      </c>
      <c r="M2482" s="7" t="n">
        <v>2019</v>
      </c>
    </row>
    <row r="2483" customFormat="false" ht="15" hidden="false" customHeight="false" outlineLevel="0" collapsed="false">
      <c r="A2483" s="3" t="n">
        <v>3479</v>
      </c>
      <c r="B2483" s="3" t="s">
        <v>862</v>
      </c>
      <c r="C2483" s="4" t="s">
        <v>45</v>
      </c>
      <c r="D2483" s="5" t="n">
        <v>28704</v>
      </c>
      <c r="E2483" s="6" t="n">
        <v>453</v>
      </c>
      <c r="F2483" s="7" t="n">
        <v>75</v>
      </c>
      <c r="G2483" s="6" t="n">
        <v>354.353881565655</v>
      </c>
      <c r="H2483" s="8" t="n">
        <v>418389.171503384</v>
      </c>
      <c r="I2483" s="9" t="n">
        <v>3.69896513010903</v>
      </c>
      <c r="J2483" s="9" t="n">
        <v>11.0512765634811</v>
      </c>
      <c r="K2483" s="3" t="s">
        <v>863</v>
      </c>
      <c r="L2483" s="3" t="s">
        <v>864</v>
      </c>
      <c r="M2483" s="7" t="n">
        <v>2020</v>
      </c>
    </row>
    <row r="2484" customFormat="false" ht="15" hidden="false" customHeight="false" outlineLevel="0" collapsed="false">
      <c r="A2484" s="3" t="n">
        <v>3480</v>
      </c>
      <c r="B2484" s="3" t="s">
        <v>862</v>
      </c>
      <c r="C2484" s="4" t="s">
        <v>46</v>
      </c>
      <c r="D2484" s="5" t="n">
        <v>28731</v>
      </c>
      <c r="E2484" s="6" t="n">
        <v>453</v>
      </c>
      <c r="F2484" s="7" t="n">
        <v>66</v>
      </c>
      <c r="G2484" s="6" t="n">
        <v>614.450064992937</v>
      </c>
      <c r="H2484" s="8" t="n">
        <v>770274.601475145</v>
      </c>
      <c r="I2484" s="9" t="n">
        <v>5.22761712155524</v>
      </c>
      <c r="J2484" s="9" t="n">
        <v>19.144918718191</v>
      </c>
      <c r="K2484" s="3" t="s">
        <v>863</v>
      </c>
      <c r="L2484" s="3" t="s">
        <v>864</v>
      </c>
      <c r="M2484" s="7" t="n">
        <v>2021</v>
      </c>
    </row>
    <row r="2485" customFormat="false" ht="15" hidden="false" customHeight="false" outlineLevel="0" collapsed="false">
      <c r="A2485" s="3" t="n">
        <v>3481</v>
      </c>
      <c r="B2485" s="3" t="s">
        <v>862</v>
      </c>
      <c r="C2485" s="4" t="s">
        <v>47</v>
      </c>
      <c r="D2485" s="5" t="n">
        <v>28745</v>
      </c>
      <c r="E2485" s="6" t="n">
        <v>453</v>
      </c>
      <c r="F2485" s="7" t="n">
        <v>67</v>
      </c>
      <c r="G2485" s="6" t="n">
        <v>888.938957587777</v>
      </c>
      <c r="H2485" s="8" t="n">
        <v>1126916.8059236</v>
      </c>
      <c r="I2485" s="9" t="n">
        <v>7.37034017663464</v>
      </c>
      <c r="J2485" s="9" t="n">
        <v>27.683901860518</v>
      </c>
      <c r="K2485" s="3" t="s">
        <v>863</v>
      </c>
      <c r="L2485" s="3" t="s">
        <v>864</v>
      </c>
      <c r="M2485" s="7" t="n">
        <v>2022</v>
      </c>
    </row>
    <row r="2486" customFormat="false" ht="15" hidden="false" customHeight="false" outlineLevel="0" collapsed="false">
      <c r="A2486" s="3" t="n">
        <v>3482</v>
      </c>
      <c r="B2486" s="3" t="s">
        <v>862</v>
      </c>
      <c r="C2486" s="4" t="s">
        <v>48</v>
      </c>
      <c r="D2486" s="5" t="n">
        <v>28766</v>
      </c>
      <c r="E2486" s="6" t="n">
        <v>453</v>
      </c>
      <c r="F2486" s="7" t="n">
        <v>60</v>
      </c>
      <c r="G2486" s="6" t="n">
        <v>976.676363041501</v>
      </c>
      <c r="H2486" s="8" t="n">
        <v>1228014.2583066</v>
      </c>
      <c r="I2486" s="9" t="n">
        <v>8.01940971926631</v>
      </c>
      <c r="J2486" s="9" t="n">
        <v>30.3107997144113</v>
      </c>
      <c r="K2486" s="3" t="s">
        <v>863</v>
      </c>
      <c r="L2486" s="3" t="s">
        <v>864</v>
      </c>
      <c r="M2486" s="7" t="n">
        <v>2023</v>
      </c>
    </row>
    <row r="2487" customFormat="false" ht="15" hidden="false" customHeight="false" outlineLevel="0" collapsed="false">
      <c r="A2487" s="3" t="n">
        <v>3483</v>
      </c>
      <c r="B2487" s="3" t="s">
        <v>862</v>
      </c>
      <c r="C2487" s="4" t="s">
        <v>49</v>
      </c>
      <c r="D2487" s="5" t="n">
        <v>28811</v>
      </c>
      <c r="E2487" s="6" t="n">
        <v>453</v>
      </c>
      <c r="F2487" s="7" t="n">
        <v>62</v>
      </c>
      <c r="G2487" s="6" t="n">
        <v>377.582165341158</v>
      </c>
      <c r="H2487" s="8" t="n">
        <v>484992.963915757</v>
      </c>
      <c r="I2487" s="9" t="n">
        <v>3.91234712563816</v>
      </c>
      <c r="J2487" s="9" t="n">
        <v>11.7319665144858</v>
      </c>
      <c r="K2487" s="3" t="s">
        <v>863</v>
      </c>
      <c r="L2487" s="3" t="s">
        <v>864</v>
      </c>
      <c r="M2487" s="7" t="n">
        <v>2024</v>
      </c>
    </row>
    <row r="2488" customFormat="false" ht="15" hidden="false" customHeight="false" outlineLevel="0" collapsed="false">
      <c r="A2488" s="3" t="n">
        <v>3484</v>
      </c>
      <c r="B2488" s="3" t="s">
        <v>865</v>
      </c>
      <c r="C2488" s="4" t="s">
        <v>14</v>
      </c>
      <c r="D2488" s="5" t="n">
        <v>22364</v>
      </c>
      <c r="E2488" s="6" t="n">
        <v>466.19</v>
      </c>
      <c r="F2488" s="7" t="n">
        <v>72</v>
      </c>
      <c r="G2488" s="6" t="n">
        <v>756.221182769236</v>
      </c>
      <c r="H2488" s="8" t="n">
        <v>819297.655936348</v>
      </c>
      <c r="I2488" s="9" t="n">
        <v>6.42065653549596</v>
      </c>
      <c r="J2488" s="9" t="n">
        <v>30.1873888106054</v>
      </c>
      <c r="K2488" s="3" t="s">
        <v>866</v>
      </c>
      <c r="L2488" s="3" t="s">
        <v>852</v>
      </c>
      <c r="M2488" s="7" t="n">
        <v>2016</v>
      </c>
    </row>
    <row r="2489" customFormat="false" ht="15" hidden="false" customHeight="false" outlineLevel="0" collapsed="false">
      <c r="A2489" s="3" t="n">
        <v>3485</v>
      </c>
      <c r="B2489" s="3" t="s">
        <v>865</v>
      </c>
      <c r="C2489" s="4" t="s">
        <v>17</v>
      </c>
      <c r="D2489" s="5" t="n">
        <v>22756</v>
      </c>
      <c r="E2489" s="6" t="n">
        <v>466.2</v>
      </c>
      <c r="F2489" s="7" t="n">
        <v>78</v>
      </c>
      <c r="G2489" s="6" t="n">
        <v>1095.03125285871</v>
      </c>
      <c r="H2489" s="8" t="n">
        <v>1227727.14008013</v>
      </c>
      <c r="I2489" s="9" t="n">
        <v>7.47853137786459</v>
      </c>
      <c r="J2489" s="9" t="n">
        <v>43.0772790723064</v>
      </c>
      <c r="K2489" s="3" t="s">
        <v>866</v>
      </c>
      <c r="L2489" s="3" t="s">
        <v>852</v>
      </c>
      <c r="M2489" s="7" t="n">
        <v>2017</v>
      </c>
    </row>
    <row r="2490" customFormat="false" ht="15" hidden="false" customHeight="false" outlineLevel="0" collapsed="false">
      <c r="A2490" s="3" t="n">
        <v>3486</v>
      </c>
      <c r="B2490" s="3" t="s">
        <v>865</v>
      </c>
      <c r="C2490" s="4" t="s">
        <v>18</v>
      </c>
      <c r="D2490" s="5" t="n">
        <v>22732</v>
      </c>
      <c r="E2490" s="6" t="n">
        <v>466.2</v>
      </c>
      <c r="F2490" s="7" t="n">
        <v>80</v>
      </c>
      <c r="G2490" s="6" t="n">
        <v>897.99139522564</v>
      </c>
      <c r="H2490" s="8" t="n">
        <v>1060267.42025687</v>
      </c>
      <c r="I2490" s="9" t="n">
        <v>7.28852150145551</v>
      </c>
      <c r="J2490" s="9" t="n">
        <v>35.3632525245998</v>
      </c>
      <c r="K2490" s="3" t="s">
        <v>866</v>
      </c>
      <c r="L2490" s="3" t="s">
        <v>852</v>
      </c>
      <c r="M2490" s="7" t="n">
        <v>2018</v>
      </c>
    </row>
    <row r="2491" customFormat="false" ht="15" hidden="false" customHeight="false" outlineLevel="0" collapsed="false">
      <c r="A2491" s="3" t="n">
        <v>3487</v>
      </c>
      <c r="B2491" s="3" t="s">
        <v>865</v>
      </c>
      <c r="C2491" s="4" t="s">
        <v>19</v>
      </c>
      <c r="D2491" s="5" t="n">
        <v>22890</v>
      </c>
      <c r="E2491" s="6" t="n">
        <v>466.2</v>
      </c>
      <c r="F2491" s="7" t="n">
        <v>80</v>
      </c>
      <c r="G2491" s="6" t="n">
        <v>778.98143146994</v>
      </c>
      <c r="H2491" s="8" t="n">
        <v>950248.288992921</v>
      </c>
      <c r="I2491" s="9" t="n">
        <v>8.10984520152334</v>
      </c>
      <c r="J2491" s="9" t="n">
        <v>30.4648460177331</v>
      </c>
      <c r="K2491" s="3" t="s">
        <v>866</v>
      </c>
      <c r="L2491" s="3" t="s">
        <v>852</v>
      </c>
      <c r="M2491" s="7" t="n">
        <v>2019</v>
      </c>
    </row>
    <row r="2492" customFormat="false" ht="15" hidden="false" customHeight="false" outlineLevel="0" collapsed="false">
      <c r="A2492" s="3" t="n">
        <v>3488</v>
      </c>
      <c r="B2492" s="3" t="s">
        <v>865</v>
      </c>
      <c r="C2492" s="4" t="s">
        <v>20</v>
      </c>
      <c r="D2492" s="5" t="n">
        <v>23385</v>
      </c>
      <c r="E2492" s="6" t="n">
        <v>465</v>
      </c>
      <c r="F2492" s="7" t="n">
        <v>84</v>
      </c>
      <c r="G2492" s="6" t="n">
        <v>778.517166174115</v>
      </c>
      <c r="H2492" s="8" t="n">
        <v>959382.274219686</v>
      </c>
      <c r="I2492" s="9" t="n">
        <v>7.41901225639898</v>
      </c>
      <c r="J2492" s="9" t="n">
        <v>29.7205616660957</v>
      </c>
      <c r="K2492" s="3" t="s">
        <v>866</v>
      </c>
      <c r="L2492" s="3" t="s">
        <v>852</v>
      </c>
      <c r="M2492" s="7" t="n">
        <v>2020</v>
      </c>
    </row>
    <row r="2493" customFormat="false" ht="15" hidden="false" customHeight="false" outlineLevel="0" collapsed="false">
      <c r="A2493" s="3" t="n">
        <v>3489</v>
      </c>
      <c r="B2493" s="3" t="s">
        <v>865</v>
      </c>
      <c r="C2493" s="4" t="s">
        <v>21</v>
      </c>
      <c r="D2493" s="5" t="n">
        <v>23442</v>
      </c>
      <c r="E2493" s="6" t="n">
        <v>466</v>
      </c>
      <c r="F2493" s="7" t="n">
        <v>84</v>
      </c>
      <c r="G2493" s="6" t="n">
        <v>810.168069350946</v>
      </c>
      <c r="H2493" s="8" t="n">
        <v>1018470.38166177</v>
      </c>
      <c r="I2493" s="9" t="n">
        <v>7.64085715577148</v>
      </c>
      <c r="J2493" s="9" t="n">
        <v>30.9384203292104</v>
      </c>
      <c r="K2493" s="3" t="s">
        <v>866</v>
      </c>
      <c r="L2493" s="3" t="s">
        <v>852</v>
      </c>
      <c r="M2493" s="7" t="n">
        <v>2021</v>
      </c>
    </row>
    <row r="2494" customFormat="false" ht="15" hidden="false" customHeight="false" outlineLevel="0" collapsed="false">
      <c r="A2494" s="3" t="n">
        <v>3490</v>
      </c>
      <c r="B2494" s="3" t="s">
        <v>865</v>
      </c>
      <c r="C2494" s="4" t="s">
        <v>22</v>
      </c>
      <c r="D2494" s="5" t="n">
        <v>23715</v>
      </c>
      <c r="E2494" s="6" t="n">
        <v>466.5</v>
      </c>
      <c r="F2494" s="7" t="n">
        <v>73</v>
      </c>
      <c r="G2494" s="6" t="n">
        <v>850.704228592582</v>
      </c>
      <c r="H2494" s="8" t="n">
        <v>1152517.07481266</v>
      </c>
      <c r="I2494" s="9" t="n">
        <v>7.43919860713491</v>
      </c>
      <c r="J2494" s="9" t="n">
        <v>32.1124275208487</v>
      </c>
      <c r="K2494" s="3" t="s">
        <v>866</v>
      </c>
      <c r="L2494" s="3" t="s">
        <v>852</v>
      </c>
      <c r="M2494" s="7" t="n">
        <v>2022</v>
      </c>
    </row>
    <row r="2495" customFormat="false" ht="15" hidden="false" customHeight="false" outlineLevel="0" collapsed="false">
      <c r="A2495" s="3" t="n">
        <v>3491</v>
      </c>
      <c r="B2495" s="3" t="s">
        <v>865</v>
      </c>
      <c r="C2495" s="4" t="s">
        <v>23</v>
      </c>
      <c r="D2495" s="5" t="n">
        <v>23728</v>
      </c>
      <c r="E2495" s="6" t="n">
        <v>466.6</v>
      </c>
      <c r="F2495" s="7" t="n">
        <v>73</v>
      </c>
      <c r="G2495" s="6" t="n">
        <v>825.011653006751</v>
      </c>
      <c r="H2495" s="8" t="n">
        <v>1193824.86236689</v>
      </c>
      <c r="I2495" s="9" t="n">
        <v>8.10534617677296</v>
      </c>
      <c r="J2495" s="9" t="n">
        <v>31.1255205682607</v>
      </c>
      <c r="K2495" s="3" t="s">
        <v>866</v>
      </c>
      <c r="L2495" s="3" t="s">
        <v>852</v>
      </c>
      <c r="M2495" s="7" t="n">
        <v>2023</v>
      </c>
    </row>
    <row r="2496" customFormat="false" ht="15" hidden="false" customHeight="false" outlineLevel="0" collapsed="false">
      <c r="A2496" s="3" t="n">
        <v>3492</v>
      </c>
      <c r="B2496" s="3" t="s">
        <v>865</v>
      </c>
      <c r="C2496" s="4" t="s">
        <v>24</v>
      </c>
      <c r="D2496" s="5" t="n">
        <v>23751</v>
      </c>
      <c r="E2496" s="6" t="n">
        <v>466.6</v>
      </c>
      <c r="F2496" s="7" t="n">
        <v>76</v>
      </c>
      <c r="G2496" s="6" t="n">
        <v>817.618457914943</v>
      </c>
      <c r="H2496" s="8" t="n">
        <v>1287765.42358519</v>
      </c>
      <c r="I2496" s="9" t="n">
        <v>6.98156158205135</v>
      </c>
      <c r="J2496" s="9" t="n">
        <v>30.7322941419098</v>
      </c>
      <c r="K2496" s="3" t="s">
        <v>866</v>
      </c>
      <c r="L2496" s="3" t="s">
        <v>852</v>
      </c>
      <c r="M2496" s="7" t="n">
        <v>2024</v>
      </c>
    </row>
    <row r="2497" customFormat="false" ht="15" hidden="false" customHeight="false" outlineLevel="0" collapsed="false">
      <c r="A2497" s="3" t="n">
        <v>3493</v>
      </c>
      <c r="B2497" s="3" t="s">
        <v>867</v>
      </c>
      <c r="C2497" s="4" t="s">
        <v>41</v>
      </c>
      <c r="D2497" s="5" t="n">
        <v>49308</v>
      </c>
      <c r="E2497" s="6" t="n">
        <v>727</v>
      </c>
      <c r="F2497" s="7" t="n">
        <v>75</v>
      </c>
      <c r="G2497" s="6" t="n">
        <v>873.472194221104</v>
      </c>
      <c r="H2497" s="8" t="n">
        <v>1544455.1528673</v>
      </c>
      <c r="I2497" s="9" t="n">
        <v>4.61682609871084</v>
      </c>
      <c r="J2497" s="9" t="n">
        <v>15.8580349821274</v>
      </c>
      <c r="K2497" s="3" t="s">
        <v>868</v>
      </c>
      <c r="L2497" s="3" t="s">
        <v>869</v>
      </c>
      <c r="M2497" s="7" t="n">
        <v>2016</v>
      </c>
    </row>
    <row r="2498" customFormat="false" ht="15" hidden="false" customHeight="false" outlineLevel="0" collapsed="false">
      <c r="A2498" s="3" t="n">
        <v>3494</v>
      </c>
      <c r="B2498" s="3" t="s">
        <v>867</v>
      </c>
      <c r="C2498" s="4" t="s">
        <v>42</v>
      </c>
      <c r="D2498" s="5" t="n">
        <v>49596</v>
      </c>
      <c r="E2498" s="6" t="n">
        <v>727</v>
      </c>
      <c r="F2498" s="7" t="n">
        <v>76</v>
      </c>
      <c r="G2498" s="6" t="n">
        <v>884.021094773297</v>
      </c>
      <c r="H2498" s="8" t="n">
        <v>1525328.45819544</v>
      </c>
      <c r="I2498" s="9" t="n">
        <v>5.18968851060955</v>
      </c>
      <c r="J2498" s="9" t="n">
        <v>15.9563535871475</v>
      </c>
      <c r="K2498" s="3" t="s">
        <v>868</v>
      </c>
      <c r="L2498" s="3" t="s">
        <v>869</v>
      </c>
      <c r="M2498" s="7" t="n">
        <v>2017</v>
      </c>
    </row>
    <row r="2499" customFormat="false" ht="15" hidden="false" customHeight="false" outlineLevel="0" collapsed="false">
      <c r="A2499" s="3" t="n">
        <v>3495</v>
      </c>
      <c r="B2499" s="3" t="s">
        <v>867</v>
      </c>
      <c r="C2499" s="4" t="s">
        <v>43</v>
      </c>
      <c r="D2499" s="5" t="n">
        <v>51959</v>
      </c>
      <c r="E2499" s="6" t="n">
        <v>745</v>
      </c>
      <c r="F2499" s="7" t="n">
        <v>76</v>
      </c>
      <c r="G2499" s="6" t="n">
        <v>922.962840491181</v>
      </c>
      <c r="H2499" s="8" t="n">
        <v>1637808.9021592</v>
      </c>
      <c r="I2499" s="9" t="n">
        <v>5.27067420432143</v>
      </c>
      <c r="J2499" s="9" t="n">
        <v>15.9016103217103</v>
      </c>
      <c r="K2499" s="3" t="s">
        <v>868</v>
      </c>
      <c r="L2499" s="3" t="s">
        <v>869</v>
      </c>
      <c r="M2499" s="7" t="n">
        <v>2018</v>
      </c>
    </row>
    <row r="2500" customFormat="false" ht="15" hidden="false" customHeight="false" outlineLevel="0" collapsed="false">
      <c r="A2500" s="3" t="n">
        <v>3496</v>
      </c>
      <c r="B2500" s="3" t="s">
        <v>867</v>
      </c>
      <c r="C2500" s="4" t="s">
        <v>44</v>
      </c>
      <c r="D2500" s="5" t="n">
        <v>52680</v>
      </c>
      <c r="E2500" s="6" t="n">
        <v>757.64</v>
      </c>
      <c r="F2500" s="7" t="n">
        <v>76</v>
      </c>
      <c r="G2500" s="6" t="n">
        <v>779.407886775822</v>
      </c>
      <c r="H2500" s="8" t="n">
        <v>1405265.72354489</v>
      </c>
      <c r="I2500" s="9" t="n">
        <v>4.64355430680772</v>
      </c>
      <c r="J2500" s="9" t="n">
        <v>13.2082482662854</v>
      </c>
      <c r="K2500" s="3" t="s">
        <v>868</v>
      </c>
      <c r="L2500" s="3" t="s">
        <v>869</v>
      </c>
      <c r="M2500" s="7" t="n">
        <v>2019</v>
      </c>
    </row>
    <row r="2501" customFormat="false" ht="15" hidden="false" customHeight="false" outlineLevel="0" collapsed="false">
      <c r="A2501" s="3" t="n">
        <v>3497</v>
      </c>
      <c r="B2501" s="3" t="s">
        <v>867</v>
      </c>
      <c r="C2501" s="4" t="s">
        <v>45</v>
      </c>
      <c r="D2501" s="5" t="n">
        <v>52749</v>
      </c>
      <c r="E2501" s="6" t="n">
        <v>773.33</v>
      </c>
      <c r="F2501" s="7" t="n">
        <v>76</v>
      </c>
      <c r="G2501" s="6" t="n">
        <v>619.750197607055</v>
      </c>
      <c r="H2501" s="8" t="n">
        <v>1128171.63763252</v>
      </c>
      <c r="I2501" s="9" t="n">
        <v>3.82576668850908</v>
      </c>
      <c r="J2501" s="9" t="n">
        <v>10.5176839788253</v>
      </c>
      <c r="K2501" s="3" t="s">
        <v>868</v>
      </c>
      <c r="L2501" s="3" t="s">
        <v>869</v>
      </c>
      <c r="M2501" s="7" t="n">
        <v>2020</v>
      </c>
    </row>
    <row r="2502" customFormat="false" ht="15" hidden="false" customHeight="false" outlineLevel="0" collapsed="false">
      <c r="A2502" s="3" t="n">
        <v>3498</v>
      </c>
      <c r="B2502" s="3" t="s">
        <v>867</v>
      </c>
      <c r="C2502" s="4" t="s">
        <v>46</v>
      </c>
      <c r="D2502" s="5" t="n">
        <v>53251</v>
      </c>
      <c r="E2502" s="6" t="n">
        <v>778.0845561</v>
      </c>
      <c r="F2502" s="7" t="n">
        <v>76</v>
      </c>
      <c r="G2502" s="6" t="n">
        <v>947.446688098241</v>
      </c>
      <c r="H2502" s="8" t="n">
        <v>1835211.38295314</v>
      </c>
      <c r="I2502" s="9" t="n">
        <v>4.62672749491055</v>
      </c>
      <c r="J2502" s="9" t="n">
        <v>15.9273927251998</v>
      </c>
      <c r="K2502" s="3" t="s">
        <v>868</v>
      </c>
      <c r="L2502" s="3" t="s">
        <v>869</v>
      </c>
      <c r="M2502" s="7" t="n">
        <v>2021</v>
      </c>
    </row>
    <row r="2503" customFormat="false" ht="15" hidden="false" customHeight="false" outlineLevel="0" collapsed="false">
      <c r="A2503" s="3" t="n">
        <v>3499</v>
      </c>
      <c r="B2503" s="3" t="s">
        <v>867</v>
      </c>
      <c r="C2503" s="4" t="s">
        <v>47</v>
      </c>
      <c r="D2503" s="5" t="n">
        <v>53404</v>
      </c>
      <c r="E2503" s="6" t="n">
        <v>783.06</v>
      </c>
      <c r="F2503" s="7" t="n">
        <v>81</v>
      </c>
      <c r="G2503" s="6" t="n">
        <v>829.818043702777</v>
      </c>
      <c r="H2503" s="8" t="n">
        <v>1764325.9317991</v>
      </c>
      <c r="I2503" s="9" t="n">
        <v>4.49775826642744</v>
      </c>
      <c r="J2503" s="9" t="n">
        <v>13.9099881886545</v>
      </c>
      <c r="K2503" s="3" t="s">
        <v>868</v>
      </c>
      <c r="L2503" s="3" t="s">
        <v>869</v>
      </c>
      <c r="M2503" s="7" t="n">
        <v>2022</v>
      </c>
    </row>
    <row r="2504" customFormat="false" ht="15" hidden="false" customHeight="false" outlineLevel="0" collapsed="false">
      <c r="A2504" s="3" t="n">
        <v>3500</v>
      </c>
      <c r="B2504" s="3" t="s">
        <v>867</v>
      </c>
      <c r="C2504" s="4" t="s">
        <v>48</v>
      </c>
      <c r="D2504" s="5" t="n">
        <v>53408</v>
      </c>
      <c r="E2504" s="6" t="n">
        <v>783.19</v>
      </c>
      <c r="F2504" s="7" t="n">
        <v>79</v>
      </c>
      <c r="G2504" s="6" t="n">
        <v>1136.36535327456</v>
      </c>
      <c r="H2504" s="8" t="n">
        <v>2606856.21137244</v>
      </c>
      <c r="I2504" s="9" t="n">
        <v>5.47913665494659</v>
      </c>
      <c r="J2504" s="9" t="n">
        <v>18.9949372281136</v>
      </c>
      <c r="K2504" s="3" t="s">
        <v>868</v>
      </c>
      <c r="L2504" s="3" t="s">
        <v>869</v>
      </c>
      <c r="M2504" s="7" t="n">
        <v>2023</v>
      </c>
    </row>
    <row r="2505" customFormat="false" ht="15" hidden="false" customHeight="false" outlineLevel="0" collapsed="false">
      <c r="A2505" s="3" t="n">
        <v>3501</v>
      </c>
      <c r="B2505" s="3" t="s">
        <v>867</v>
      </c>
      <c r="C2505" s="4" t="s">
        <v>49</v>
      </c>
      <c r="D2505" s="5" t="n">
        <v>53476</v>
      </c>
      <c r="E2505" s="6" t="n">
        <v>785.09</v>
      </c>
      <c r="F2505" s="7" t="n">
        <v>79</v>
      </c>
      <c r="G2505" s="6" t="n">
        <v>1170.62868816121</v>
      </c>
      <c r="H2505" s="8" t="n">
        <v>2981766.86304981</v>
      </c>
      <c r="I2505" s="9" t="n">
        <v>5.29259544053835</v>
      </c>
      <c r="J2505" s="9" t="n">
        <v>19.5964734239422</v>
      </c>
      <c r="K2505" s="3" t="s">
        <v>868</v>
      </c>
      <c r="L2505" s="3" t="s">
        <v>869</v>
      </c>
      <c r="M2505" s="7" t="n">
        <v>2024</v>
      </c>
    </row>
    <row r="2506" customFormat="false" ht="15" hidden="false" customHeight="false" outlineLevel="0" collapsed="false">
      <c r="A2506" s="3" t="n">
        <v>3502</v>
      </c>
      <c r="B2506" s="3" t="s">
        <v>870</v>
      </c>
      <c r="C2506" s="4" t="s">
        <v>41</v>
      </c>
      <c r="D2506" s="5" t="n">
        <v>25203</v>
      </c>
      <c r="E2506" s="6" t="n">
        <v>410</v>
      </c>
      <c r="F2506" s="7" t="n">
        <v>77</v>
      </c>
      <c r="G2506" s="6" t="n">
        <v>92.4474781021912</v>
      </c>
      <c r="H2506" s="8" t="n">
        <v>161228.401810221</v>
      </c>
      <c r="I2506" s="9" t="n">
        <v>4.5480307550822</v>
      </c>
      <c r="J2506" s="9" t="n">
        <v>3.28367754788013</v>
      </c>
      <c r="K2506" s="3" t="s">
        <v>871</v>
      </c>
      <c r="L2506" s="3" t="s">
        <v>872</v>
      </c>
      <c r="M2506" s="7" t="n">
        <v>2016</v>
      </c>
    </row>
    <row r="2507" customFormat="false" ht="15" hidden="false" customHeight="false" outlineLevel="0" collapsed="false">
      <c r="A2507" s="3" t="n">
        <v>3503</v>
      </c>
      <c r="B2507" s="3" t="s">
        <v>870</v>
      </c>
      <c r="C2507" s="4" t="s">
        <v>42</v>
      </c>
      <c r="D2507" s="5" t="n">
        <v>23166</v>
      </c>
      <c r="E2507" s="6" t="n">
        <v>410</v>
      </c>
      <c r="F2507" s="7" t="n">
        <v>73</v>
      </c>
      <c r="G2507" s="6" t="n">
        <v>261.847669862237</v>
      </c>
      <c r="H2507" s="8" t="n">
        <v>401459.610479385</v>
      </c>
      <c r="I2507" s="9" t="n">
        <v>5.9094954341433</v>
      </c>
      <c r="J2507" s="9" t="n">
        <v>10.1184813610274</v>
      </c>
      <c r="K2507" s="3" t="s">
        <v>871</v>
      </c>
      <c r="L2507" s="3" t="s">
        <v>872</v>
      </c>
      <c r="M2507" s="7" t="n">
        <v>2017</v>
      </c>
    </row>
    <row r="2508" customFormat="false" ht="15" hidden="false" customHeight="false" outlineLevel="0" collapsed="false">
      <c r="A2508" s="3" t="n">
        <v>3504</v>
      </c>
      <c r="B2508" s="3" t="s">
        <v>870</v>
      </c>
      <c r="C2508" s="4" t="s">
        <v>43</v>
      </c>
      <c r="D2508" s="5" t="n">
        <v>23849</v>
      </c>
      <c r="E2508" s="6" t="n">
        <v>410</v>
      </c>
      <c r="F2508" s="7" t="n">
        <v>73</v>
      </c>
      <c r="G2508" s="6" t="n">
        <v>-125.252959160069</v>
      </c>
      <c r="H2508" s="8" t="n">
        <v>-292712.407968307</v>
      </c>
      <c r="I2508" s="9" t="n">
        <v>2.14379450551816</v>
      </c>
      <c r="J2508" s="9" t="n">
        <v>-4.70148977555993</v>
      </c>
      <c r="K2508" s="3" t="s">
        <v>871</v>
      </c>
      <c r="L2508" s="3" t="s">
        <v>872</v>
      </c>
      <c r="M2508" s="7" t="n">
        <v>2018</v>
      </c>
    </row>
    <row r="2509" customFormat="false" ht="15" hidden="false" customHeight="false" outlineLevel="0" collapsed="false">
      <c r="A2509" s="3" t="n">
        <v>3505</v>
      </c>
      <c r="B2509" s="3" t="s">
        <v>870</v>
      </c>
      <c r="C2509" s="4" t="s">
        <v>44</v>
      </c>
      <c r="D2509" s="5" t="n">
        <v>24034</v>
      </c>
      <c r="E2509" s="6" t="n">
        <v>409.8</v>
      </c>
      <c r="F2509" s="7" t="n">
        <v>74</v>
      </c>
      <c r="G2509" s="6" t="n">
        <v>263.410513959392</v>
      </c>
      <c r="H2509" s="8" t="n">
        <v>503206.275342324</v>
      </c>
      <c r="I2509" s="9" t="n">
        <v>4.99681897351927</v>
      </c>
      <c r="J2509" s="9" t="n">
        <v>9.78437845292022</v>
      </c>
      <c r="K2509" s="3" t="s">
        <v>871</v>
      </c>
      <c r="L2509" s="3" t="s">
        <v>872</v>
      </c>
      <c r="M2509" s="7" t="n">
        <v>2019</v>
      </c>
    </row>
    <row r="2510" customFormat="false" ht="15" hidden="false" customHeight="false" outlineLevel="0" collapsed="false">
      <c r="A2510" s="3" t="n">
        <v>3506</v>
      </c>
      <c r="B2510" s="3" t="s">
        <v>870</v>
      </c>
      <c r="C2510" s="4" t="s">
        <v>45</v>
      </c>
      <c r="D2510" s="5" t="n">
        <v>24117</v>
      </c>
      <c r="E2510" s="6" t="n">
        <v>410.2</v>
      </c>
      <c r="F2510" s="7" t="n">
        <v>74</v>
      </c>
      <c r="G2510" s="6" t="n">
        <v>149.399565476345</v>
      </c>
      <c r="H2510" s="8" t="n">
        <v>275547.946317031</v>
      </c>
      <c r="I2510" s="9" t="n">
        <v>3.66189481918991</v>
      </c>
      <c r="J2510" s="9" t="n">
        <v>5.54553850915802</v>
      </c>
      <c r="K2510" s="3" t="s">
        <v>871</v>
      </c>
      <c r="L2510" s="3" t="s">
        <v>872</v>
      </c>
      <c r="M2510" s="7" t="n">
        <v>2020</v>
      </c>
    </row>
    <row r="2511" customFormat="false" ht="15" hidden="false" customHeight="false" outlineLevel="0" collapsed="false">
      <c r="A2511" s="3" t="n">
        <v>3507</v>
      </c>
      <c r="B2511" s="3" t="s">
        <v>870</v>
      </c>
      <c r="C2511" s="4" t="s">
        <v>46</v>
      </c>
      <c r="D2511" s="5" t="n">
        <v>24122</v>
      </c>
      <c r="E2511" s="6" t="n">
        <v>410.2</v>
      </c>
      <c r="F2511" s="7" t="n">
        <v>76</v>
      </c>
      <c r="G2511" s="6" t="n">
        <v>170.299422814395</v>
      </c>
      <c r="H2511" s="8" t="n">
        <v>336010.868206115</v>
      </c>
      <c r="I2511" s="9" t="n">
        <v>4.77288728852769</v>
      </c>
      <c r="J2511" s="9" t="n">
        <v>6.32000668118081</v>
      </c>
      <c r="K2511" s="3" t="s">
        <v>871</v>
      </c>
      <c r="L2511" s="3" t="s">
        <v>872</v>
      </c>
      <c r="M2511" s="7" t="n">
        <v>2021</v>
      </c>
    </row>
    <row r="2512" customFormat="false" ht="15" hidden="false" customHeight="false" outlineLevel="0" collapsed="false">
      <c r="A2512" s="3" t="n">
        <v>3508</v>
      </c>
      <c r="B2512" s="3" t="s">
        <v>870</v>
      </c>
      <c r="C2512" s="4" t="s">
        <v>47</v>
      </c>
      <c r="D2512" s="5" t="n">
        <v>24175</v>
      </c>
      <c r="E2512" s="6" t="n">
        <v>410.2</v>
      </c>
      <c r="F2512" s="7" t="n">
        <v>71</v>
      </c>
      <c r="G2512" s="6" t="n">
        <v>106.452551020406</v>
      </c>
      <c r="H2512" s="8" t="n">
        <v>244506.60633673</v>
      </c>
      <c r="I2512" s="9" t="n">
        <v>4.13733563554255</v>
      </c>
      <c r="J2512" s="9" t="n">
        <v>3.94191508830418</v>
      </c>
      <c r="K2512" s="3" t="s">
        <v>871</v>
      </c>
      <c r="L2512" s="3" t="s">
        <v>872</v>
      </c>
      <c r="M2512" s="7" t="n">
        <v>2022</v>
      </c>
    </row>
    <row r="2513" customFormat="false" ht="15" hidden="false" customHeight="false" outlineLevel="0" collapsed="false">
      <c r="A2513" s="3" t="n">
        <v>3509</v>
      </c>
      <c r="B2513" s="3" t="s">
        <v>870</v>
      </c>
      <c r="C2513" s="4" t="s">
        <v>48</v>
      </c>
      <c r="D2513" s="5" t="n">
        <v>24175</v>
      </c>
      <c r="E2513" s="6" t="n">
        <v>410.2</v>
      </c>
      <c r="F2513" s="7" t="n">
        <v>74</v>
      </c>
      <c r="G2513" s="6" t="n">
        <v>143.98224489796</v>
      </c>
      <c r="H2513" s="8" t="n">
        <v>334053.206387758</v>
      </c>
      <c r="I2513" s="9" t="n">
        <v>5.45813239807103</v>
      </c>
      <c r="J2513" s="9" t="n">
        <v>5.31702437786632</v>
      </c>
      <c r="K2513" s="3" t="s">
        <v>871</v>
      </c>
      <c r="L2513" s="3" t="s">
        <v>872</v>
      </c>
      <c r="M2513" s="7" t="n">
        <v>2023</v>
      </c>
    </row>
    <row r="2514" customFormat="false" ht="15" hidden="false" customHeight="false" outlineLevel="0" collapsed="false">
      <c r="A2514" s="3" t="n">
        <v>3510</v>
      </c>
      <c r="B2514" s="3" t="s">
        <v>870</v>
      </c>
      <c r="C2514" s="4" t="s">
        <v>49</v>
      </c>
      <c r="D2514" s="5" t="n">
        <v>24291</v>
      </c>
      <c r="E2514" s="6" t="n">
        <v>410.2</v>
      </c>
      <c r="F2514" s="7" t="n">
        <v>70</v>
      </c>
      <c r="G2514" s="6" t="n">
        <v>18.1037939698494</v>
      </c>
      <c r="H2514" s="8" t="n">
        <v>48913.0115856789</v>
      </c>
      <c r="I2514" s="9" t="n">
        <v>2.04368566407231</v>
      </c>
      <c r="J2514" s="9" t="n">
        <v>0.667178248633374</v>
      </c>
      <c r="K2514" s="3" t="s">
        <v>871</v>
      </c>
      <c r="L2514" s="3" t="s">
        <v>872</v>
      </c>
      <c r="M2514" s="7" t="n">
        <v>2024</v>
      </c>
    </row>
    <row r="2515" customFormat="false" ht="15" hidden="false" customHeight="false" outlineLevel="0" collapsed="false">
      <c r="A2515" s="3" t="n">
        <v>3524</v>
      </c>
      <c r="B2515" s="3" t="s">
        <v>873</v>
      </c>
      <c r="C2515" s="4" t="s">
        <v>14</v>
      </c>
      <c r="D2515" s="5" t="n">
        <v>21901</v>
      </c>
      <c r="E2515" s="6" t="n">
        <v>191.73</v>
      </c>
      <c r="F2515" s="7" t="n">
        <v>76</v>
      </c>
      <c r="G2515" s="6" t="n">
        <v>377.146599160563</v>
      </c>
      <c r="H2515" s="8" t="n">
        <v>644730.417843749</v>
      </c>
      <c r="I2515" s="9" t="n">
        <v>5.33658036084034</v>
      </c>
      <c r="J2515" s="9" t="n">
        <v>15.3734891048409</v>
      </c>
      <c r="K2515" s="3" t="s">
        <v>816</v>
      </c>
      <c r="L2515" s="3" t="s">
        <v>874</v>
      </c>
      <c r="M2515" s="7" t="n">
        <v>2016</v>
      </c>
    </row>
    <row r="2516" customFormat="false" ht="15" hidden="false" customHeight="false" outlineLevel="0" collapsed="false">
      <c r="A2516" s="3" t="n">
        <v>3525</v>
      </c>
      <c r="B2516" s="3" t="s">
        <v>873</v>
      </c>
      <c r="C2516" s="4" t="s">
        <v>17</v>
      </c>
      <c r="D2516" s="5" t="n">
        <v>21934</v>
      </c>
      <c r="E2516" s="6" t="n">
        <v>176.69</v>
      </c>
      <c r="F2516" s="7" t="n">
        <v>73</v>
      </c>
      <c r="G2516" s="6" t="n">
        <v>728.823423943231</v>
      </c>
      <c r="H2516" s="8" t="n">
        <v>1331287.735338</v>
      </c>
      <c r="I2516" s="9" t="n">
        <v>8.527161814622</v>
      </c>
      <c r="J2516" s="9" t="n">
        <v>29.7455605471917</v>
      </c>
      <c r="K2516" s="3" t="s">
        <v>816</v>
      </c>
      <c r="L2516" s="3" t="s">
        <v>874</v>
      </c>
      <c r="M2516" s="7" t="n">
        <v>2017</v>
      </c>
    </row>
    <row r="2517" customFormat="false" ht="15" hidden="false" customHeight="false" outlineLevel="0" collapsed="false">
      <c r="A2517" s="3" t="n">
        <v>3526</v>
      </c>
      <c r="B2517" s="3" t="s">
        <v>873</v>
      </c>
      <c r="C2517" s="4" t="s">
        <v>18</v>
      </c>
      <c r="D2517" s="5" t="n">
        <v>21984</v>
      </c>
      <c r="E2517" s="6" t="n">
        <v>174.1</v>
      </c>
      <c r="F2517" s="7" t="n">
        <v>73</v>
      </c>
      <c r="G2517" s="6" t="n">
        <v>780.901299924786</v>
      </c>
      <c r="H2517" s="8" t="n">
        <v>1479529.97479125</v>
      </c>
      <c r="I2517" s="9" t="n">
        <v>9.16301525478741</v>
      </c>
      <c r="J2517" s="9" t="n">
        <v>31.7985344838443</v>
      </c>
      <c r="K2517" s="3" t="s">
        <v>816</v>
      </c>
      <c r="L2517" s="3" t="s">
        <v>874</v>
      </c>
      <c r="M2517" s="7" t="n">
        <v>2018</v>
      </c>
    </row>
    <row r="2518" customFormat="false" ht="15" hidden="false" customHeight="false" outlineLevel="0" collapsed="false">
      <c r="A2518" s="3" t="n">
        <v>3527</v>
      </c>
      <c r="B2518" s="3" t="s">
        <v>873</v>
      </c>
      <c r="C2518" s="4" t="s">
        <v>19</v>
      </c>
      <c r="D2518" s="5" t="n">
        <v>21905</v>
      </c>
      <c r="E2518" s="6" t="n">
        <v>174.7</v>
      </c>
      <c r="F2518" s="7" t="n">
        <v>73</v>
      </c>
      <c r="G2518" s="6" t="n">
        <v>611.85544881735</v>
      </c>
      <c r="H2518" s="8" t="n">
        <v>1185667.270278</v>
      </c>
      <c r="I2518" s="9" t="n">
        <v>8.7896244348541</v>
      </c>
      <c r="J2518" s="9" t="n">
        <v>25.0047921535028</v>
      </c>
      <c r="K2518" s="3" t="s">
        <v>816</v>
      </c>
      <c r="L2518" s="3" t="s">
        <v>874</v>
      </c>
      <c r="M2518" s="7" t="n">
        <v>2019</v>
      </c>
    </row>
    <row r="2519" customFormat="false" ht="15" hidden="false" customHeight="false" outlineLevel="0" collapsed="false">
      <c r="A2519" s="3" t="n">
        <v>3528</v>
      </c>
      <c r="B2519" s="3" t="s">
        <v>875</v>
      </c>
      <c r="C2519" s="4" t="s">
        <v>41</v>
      </c>
      <c r="D2519" s="5" t="n">
        <v>177720</v>
      </c>
      <c r="E2519" s="6" t="n">
        <v>1242.4</v>
      </c>
      <c r="F2519" s="7" t="n">
        <v>89</v>
      </c>
      <c r="G2519" s="6" t="n">
        <v>4127.44880377298</v>
      </c>
      <c r="H2519" s="8" t="n">
        <v>380962.617856343</v>
      </c>
      <c r="I2519" s="9" t="n">
        <v>9.54147775996296</v>
      </c>
      <c r="J2519" s="9" t="n">
        <v>20.790410525976</v>
      </c>
      <c r="K2519" s="3" t="s">
        <v>876</v>
      </c>
      <c r="L2519" s="3" t="s">
        <v>877</v>
      </c>
      <c r="M2519" s="7" t="n">
        <v>2016</v>
      </c>
    </row>
    <row r="2520" customFormat="false" ht="15" hidden="false" customHeight="false" outlineLevel="0" collapsed="false">
      <c r="A2520" s="3" t="n">
        <v>3529</v>
      </c>
      <c r="B2520" s="3" t="s">
        <v>875</v>
      </c>
      <c r="C2520" s="4" t="s">
        <v>42</v>
      </c>
      <c r="D2520" s="5" t="n">
        <v>178149</v>
      </c>
      <c r="E2520" s="6" t="n">
        <v>1253.68294982384</v>
      </c>
      <c r="F2520" s="7" t="n">
        <v>89</v>
      </c>
      <c r="G2520" s="6" t="n">
        <v>5313.18645016306</v>
      </c>
      <c r="H2520" s="8" t="n">
        <v>449697.222852138</v>
      </c>
      <c r="I2520" s="9" t="n">
        <v>10.8698351422417</v>
      </c>
      <c r="J2520" s="9" t="n">
        <v>26.6986524548947</v>
      </c>
      <c r="K2520" s="3" t="s">
        <v>876</v>
      </c>
      <c r="L2520" s="3" t="s">
        <v>877</v>
      </c>
      <c r="M2520" s="7" t="n">
        <v>2017</v>
      </c>
    </row>
    <row r="2521" customFormat="false" ht="15" hidden="false" customHeight="false" outlineLevel="0" collapsed="false">
      <c r="A2521" s="3" t="n">
        <v>3530</v>
      </c>
      <c r="B2521" s="3" t="s">
        <v>875</v>
      </c>
      <c r="C2521" s="4" t="s">
        <v>43</v>
      </c>
      <c r="D2521" s="5" t="n">
        <v>178629</v>
      </c>
      <c r="E2521" s="6" t="n">
        <v>1276.74363525983</v>
      </c>
      <c r="F2521" s="7" t="n">
        <v>89</v>
      </c>
      <c r="G2521" s="6" t="n">
        <v>5470.294501007</v>
      </c>
      <c r="H2521" s="8" t="n">
        <v>47019859.1835567</v>
      </c>
      <c r="I2521" s="9" t="n">
        <v>11.9400115190994</v>
      </c>
      <c r="J2521" s="9" t="n">
        <v>27.4142529286655</v>
      </c>
      <c r="K2521" s="3" t="s">
        <v>876</v>
      </c>
      <c r="L2521" s="3" t="s">
        <v>877</v>
      </c>
      <c r="M2521" s="7" t="n">
        <v>2018</v>
      </c>
    </row>
    <row r="2522" customFormat="false" ht="15" hidden="false" customHeight="false" outlineLevel="0" collapsed="false">
      <c r="A2522" s="3" t="n">
        <v>3531</v>
      </c>
      <c r="B2522" s="3" t="s">
        <v>875</v>
      </c>
      <c r="C2522" s="4" t="s">
        <v>44</v>
      </c>
      <c r="D2522" s="5" t="n">
        <v>179156</v>
      </c>
      <c r="E2522" s="6" t="n">
        <v>1275.2</v>
      </c>
      <c r="F2522" s="7" t="n">
        <v>89</v>
      </c>
      <c r="G2522" s="6" t="n">
        <v>6734.51324106237</v>
      </c>
      <c r="H2522" s="8" t="n">
        <v>645387.006956426</v>
      </c>
      <c r="I2522" s="9" t="n">
        <v>12.7614176444569</v>
      </c>
      <c r="J2522" s="9" t="n">
        <v>33.5583846283413</v>
      </c>
      <c r="K2522" s="3" t="s">
        <v>876</v>
      </c>
      <c r="L2522" s="3" t="s">
        <v>877</v>
      </c>
      <c r="M2522" s="7" t="n">
        <v>2019</v>
      </c>
    </row>
    <row r="2523" customFormat="false" ht="15" hidden="false" customHeight="false" outlineLevel="0" collapsed="false">
      <c r="A2523" s="3" t="n">
        <v>3532</v>
      </c>
      <c r="B2523" s="3" t="s">
        <v>875</v>
      </c>
      <c r="C2523" s="4" t="s">
        <v>45</v>
      </c>
      <c r="D2523" s="5" t="n">
        <v>179605</v>
      </c>
      <c r="E2523" s="6" t="n">
        <v>1287.29</v>
      </c>
      <c r="F2523" s="7" t="n">
        <v>89</v>
      </c>
      <c r="G2523" s="6" t="n">
        <v>4781.84102372814</v>
      </c>
      <c r="H2523" s="8" t="n">
        <v>495457.713326252</v>
      </c>
      <c r="I2523" s="9" t="n">
        <v>11.5808434918695</v>
      </c>
      <c r="J2523" s="9" t="n">
        <v>23.8338600705706</v>
      </c>
      <c r="K2523" s="3" t="s">
        <v>876</v>
      </c>
      <c r="L2523" s="3" t="s">
        <v>877</v>
      </c>
      <c r="M2523" s="7" t="n">
        <v>2020</v>
      </c>
    </row>
    <row r="2524" customFormat="false" ht="15" hidden="false" customHeight="false" outlineLevel="0" collapsed="false">
      <c r="A2524" s="3" t="n">
        <v>3533</v>
      </c>
      <c r="B2524" s="3" t="s">
        <v>875</v>
      </c>
      <c r="C2524" s="4" t="s">
        <v>46</v>
      </c>
      <c r="D2524" s="5" t="n">
        <v>179959</v>
      </c>
      <c r="E2524" s="6" t="n">
        <v>1292.16679532198</v>
      </c>
      <c r="F2524" s="7" t="n">
        <v>89</v>
      </c>
      <c r="G2524" s="6" t="n">
        <v>4400.49187933889</v>
      </c>
      <c r="H2524" s="8" t="n">
        <v>522808.196729639</v>
      </c>
      <c r="I2524" s="9" t="n">
        <v>10.7955470252296</v>
      </c>
      <c r="J2524" s="9" t="n">
        <v>21.889978104513</v>
      </c>
      <c r="K2524" s="3" t="s">
        <v>876</v>
      </c>
      <c r="L2524" s="3" t="s">
        <v>877</v>
      </c>
      <c r="M2524" s="7" t="n">
        <v>2021</v>
      </c>
    </row>
    <row r="2525" customFormat="false" ht="15" hidden="false" customHeight="false" outlineLevel="0" collapsed="false">
      <c r="A2525" s="3" t="n">
        <v>3534</v>
      </c>
      <c r="B2525" s="3" t="s">
        <v>875</v>
      </c>
      <c r="C2525" s="4" t="s">
        <v>47</v>
      </c>
      <c r="D2525" s="5" t="n">
        <v>180400</v>
      </c>
      <c r="E2525" s="6" t="n">
        <v>1298.27696334402</v>
      </c>
      <c r="F2525" s="7" t="n">
        <v>79</v>
      </c>
      <c r="G2525" s="6" t="n">
        <v>5979.83454676709</v>
      </c>
      <c r="H2525" s="8" t="n">
        <v>845586.12981411</v>
      </c>
      <c r="I2525" s="9" t="n">
        <v>13.0766976322384</v>
      </c>
      <c r="J2525" s="9" t="n">
        <v>29.6736048539662</v>
      </c>
      <c r="K2525" s="3" t="s">
        <v>876</v>
      </c>
      <c r="L2525" s="3" t="s">
        <v>877</v>
      </c>
      <c r="M2525" s="7" t="n">
        <v>2022</v>
      </c>
    </row>
    <row r="2526" customFormat="false" ht="15" hidden="false" customHeight="false" outlineLevel="0" collapsed="false">
      <c r="A2526" s="3" t="n">
        <v>3535</v>
      </c>
      <c r="B2526" s="3" t="s">
        <v>875</v>
      </c>
      <c r="C2526" s="4" t="s">
        <v>48</v>
      </c>
      <c r="D2526" s="5" t="n">
        <v>180637</v>
      </c>
      <c r="E2526" s="6" t="n">
        <v>1281.65233271642</v>
      </c>
      <c r="F2526" s="7" t="n">
        <v>79</v>
      </c>
      <c r="G2526" s="6" t="n">
        <v>7184.36255879458</v>
      </c>
      <c r="H2526" s="8" t="n">
        <v>1056557.53048869</v>
      </c>
      <c r="I2526" s="9" t="n">
        <v>14.7399934553118</v>
      </c>
      <c r="J2526" s="9" t="n">
        <v>35.5064884027351</v>
      </c>
      <c r="K2526" s="3" t="s">
        <v>876</v>
      </c>
      <c r="L2526" s="3" t="s">
        <v>877</v>
      </c>
      <c r="M2526" s="7" t="n">
        <v>2023</v>
      </c>
    </row>
    <row r="2527" customFormat="false" ht="15" hidden="false" customHeight="false" outlineLevel="0" collapsed="false">
      <c r="A2527" s="3" t="n">
        <v>3536</v>
      </c>
      <c r="B2527" s="3" t="s">
        <v>875</v>
      </c>
      <c r="C2527" s="4" t="s">
        <v>49</v>
      </c>
      <c r="D2527" s="5" t="n">
        <v>180895</v>
      </c>
      <c r="E2527" s="6" t="n">
        <v>1282.26619947345</v>
      </c>
      <c r="F2527" s="7" t="n">
        <v>84</v>
      </c>
      <c r="G2527" s="6" t="n">
        <v>6686.82133120875</v>
      </c>
      <c r="H2527" s="8" t="n">
        <v>1094146.80590065</v>
      </c>
      <c r="I2527" s="9" t="n">
        <v>13.1318548081995</v>
      </c>
      <c r="J2527" s="9" t="n">
        <v>33.0910715553176</v>
      </c>
      <c r="K2527" s="3" t="s">
        <v>876</v>
      </c>
      <c r="L2527" s="3" t="s">
        <v>877</v>
      </c>
      <c r="M2527" s="7" t="n">
        <v>2024</v>
      </c>
    </row>
    <row r="2528" customFormat="false" ht="15" hidden="false" customHeight="false" outlineLevel="0" collapsed="false">
      <c r="A2528" s="3" t="n">
        <v>3537</v>
      </c>
      <c r="B2528" s="3" t="s">
        <v>878</v>
      </c>
      <c r="C2528" s="4" t="s">
        <v>18</v>
      </c>
      <c r="D2528" s="5" t="n">
        <v>5410</v>
      </c>
      <c r="E2528" s="6" t="n">
        <v>59.1</v>
      </c>
      <c r="F2528" s="7" t="n">
        <v>53</v>
      </c>
      <c r="G2528" s="6" t="n">
        <v>57.8139995271417</v>
      </c>
      <c r="H2528" s="8" t="n">
        <v>59296.3504750177</v>
      </c>
      <c r="I2528" s="9" t="n">
        <v>4.3784704141858</v>
      </c>
      <c r="J2528" s="9" t="n">
        <v>9.5665076678915</v>
      </c>
      <c r="K2528" s="3" t="s">
        <v>416</v>
      </c>
      <c r="L2528" s="3" t="s">
        <v>417</v>
      </c>
      <c r="M2528" s="7" t="n">
        <v>2018</v>
      </c>
    </row>
    <row r="2529" customFormat="false" ht="15" hidden="false" customHeight="false" outlineLevel="0" collapsed="false">
      <c r="A2529" s="3" t="n">
        <v>3538</v>
      </c>
      <c r="B2529" s="3" t="s">
        <v>878</v>
      </c>
      <c r="C2529" s="4" t="s">
        <v>19</v>
      </c>
      <c r="D2529" s="5" t="n">
        <v>5410</v>
      </c>
      <c r="E2529" s="6" t="n">
        <v>59.1</v>
      </c>
      <c r="F2529" s="7" t="n">
        <v>53</v>
      </c>
      <c r="G2529" s="6" t="n">
        <v>9.2947311714318</v>
      </c>
      <c r="H2529" s="8" t="n">
        <v>11545.0785353471</v>
      </c>
      <c r="I2529" s="9" t="n">
        <v>1.70337449280606</v>
      </c>
      <c r="J2529" s="9" t="n">
        <v>1.53800321288529</v>
      </c>
      <c r="K2529" s="3" t="s">
        <v>416</v>
      </c>
      <c r="L2529" s="3" t="s">
        <v>417</v>
      </c>
      <c r="M2529" s="7" t="n">
        <v>2019</v>
      </c>
    </row>
    <row r="2530" customFormat="false" ht="15" hidden="false" customHeight="false" outlineLevel="0" collapsed="false">
      <c r="A2530" s="3" t="n">
        <v>3539</v>
      </c>
      <c r="B2530" s="3" t="s">
        <v>878</v>
      </c>
      <c r="C2530" s="4" t="s">
        <v>20</v>
      </c>
      <c r="D2530" s="5" t="n">
        <v>5412</v>
      </c>
      <c r="E2530" s="6" t="n">
        <v>59.1</v>
      </c>
      <c r="F2530" s="7" t="n">
        <v>56</v>
      </c>
      <c r="G2530" s="6" t="n">
        <v>28.1083347614056</v>
      </c>
      <c r="H2530" s="8" t="n">
        <v>31770.8507808168</v>
      </c>
      <c r="I2530" s="9" t="n">
        <v>2.65442084099908</v>
      </c>
      <c r="J2530" s="9" t="n">
        <v>4.63664155268292</v>
      </c>
      <c r="K2530" s="3" t="s">
        <v>416</v>
      </c>
      <c r="L2530" s="3" t="s">
        <v>417</v>
      </c>
      <c r="M2530" s="7" t="n">
        <v>2020</v>
      </c>
    </row>
    <row r="2531" customFormat="false" ht="15" hidden="false" customHeight="false" outlineLevel="0" collapsed="false">
      <c r="A2531" s="3" t="n">
        <v>3540</v>
      </c>
      <c r="B2531" s="3" t="s">
        <v>878</v>
      </c>
      <c r="C2531" s="4" t="s">
        <v>21</v>
      </c>
      <c r="D2531" s="5" t="n">
        <v>5424</v>
      </c>
      <c r="E2531" s="6" t="n">
        <v>59.49</v>
      </c>
      <c r="F2531" s="7" t="n">
        <v>56</v>
      </c>
      <c r="G2531" s="6" t="n">
        <v>4.73112846455253</v>
      </c>
      <c r="H2531" s="8" t="n">
        <v>4063.187747927</v>
      </c>
      <c r="I2531" s="9" t="n">
        <v>1.49433414554456</v>
      </c>
      <c r="J2531" s="9" t="n">
        <v>0.780841225253911</v>
      </c>
      <c r="K2531" s="3" t="s">
        <v>416</v>
      </c>
      <c r="L2531" s="3" t="s">
        <v>417</v>
      </c>
      <c r="M2531" s="7" t="n">
        <v>2021</v>
      </c>
    </row>
    <row r="2532" customFormat="false" ht="15" hidden="false" customHeight="false" outlineLevel="0" collapsed="false">
      <c r="A2532" s="3" t="n">
        <v>3541</v>
      </c>
      <c r="B2532" s="3" t="s">
        <v>879</v>
      </c>
      <c r="C2532" s="4" t="s">
        <v>14</v>
      </c>
      <c r="D2532" s="5" t="n">
        <v>45377</v>
      </c>
      <c r="E2532" s="6" t="n">
        <v>545.79</v>
      </c>
      <c r="F2532" s="7" t="n">
        <v>60</v>
      </c>
      <c r="G2532" s="6" t="n">
        <v>1061.94252244898</v>
      </c>
      <c r="H2532" s="8" t="n">
        <v>732697.8627889</v>
      </c>
      <c r="I2532" s="9" t="n">
        <v>7.41342460214309</v>
      </c>
      <c r="J2532" s="9" t="n">
        <v>20.8925487797676</v>
      </c>
      <c r="K2532" s="3" t="s">
        <v>880</v>
      </c>
      <c r="L2532" s="3" t="s">
        <v>881</v>
      </c>
      <c r="M2532" s="7" t="n">
        <v>2016</v>
      </c>
    </row>
    <row r="2533" customFormat="false" ht="15" hidden="false" customHeight="false" outlineLevel="0" collapsed="false">
      <c r="A2533" s="3" t="n">
        <v>3542</v>
      </c>
      <c r="B2533" s="3" t="s">
        <v>879</v>
      </c>
      <c r="C2533" s="4" t="s">
        <v>17</v>
      </c>
      <c r="D2533" s="5" t="n">
        <v>44915</v>
      </c>
      <c r="E2533" s="6" t="n">
        <v>595.4</v>
      </c>
      <c r="F2533" s="7" t="n">
        <v>62</v>
      </c>
      <c r="G2533" s="6" t="n">
        <v>1061.65873571429</v>
      </c>
      <c r="H2533" s="8" t="n">
        <v>783875.727514644</v>
      </c>
      <c r="I2533" s="9" t="n">
        <v>7.19307445417749</v>
      </c>
      <c r="J2533" s="9" t="n">
        <v>21.1597829288801</v>
      </c>
      <c r="K2533" s="3" t="s">
        <v>880</v>
      </c>
      <c r="L2533" s="3" t="s">
        <v>881</v>
      </c>
      <c r="M2533" s="7" t="n">
        <v>2017</v>
      </c>
    </row>
    <row r="2534" customFormat="false" ht="15" hidden="false" customHeight="false" outlineLevel="0" collapsed="false">
      <c r="A2534" s="3" t="n">
        <v>3543</v>
      </c>
      <c r="B2534" s="3" t="s">
        <v>879</v>
      </c>
      <c r="C2534" s="4" t="s">
        <v>18</v>
      </c>
      <c r="D2534" s="5" t="n">
        <v>45291</v>
      </c>
      <c r="E2534" s="6" t="n">
        <v>544.97</v>
      </c>
      <c r="F2534" s="7" t="n">
        <v>69</v>
      </c>
      <c r="G2534" s="6" t="n">
        <v>1007.53749311383</v>
      </c>
      <c r="H2534" s="8" t="n">
        <v>628287.371726978</v>
      </c>
      <c r="I2534" s="9" t="n">
        <v>6.93912141376761</v>
      </c>
      <c r="J2534" s="9" t="n">
        <v>19.9143887639319</v>
      </c>
      <c r="K2534" s="3" t="s">
        <v>880</v>
      </c>
      <c r="L2534" s="3" t="s">
        <v>881</v>
      </c>
      <c r="M2534" s="7" t="n">
        <v>2018</v>
      </c>
    </row>
    <row r="2535" customFormat="false" ht="15" hidden="false" customHeight="false" outlineLevel="0" collapsed="false">
      <c r="A2535" s="3" t="n">
        <v>3544</v>
      </c>
      <c r="B2535" s="3" t="s">
        <v>879</v>
      </c>
      <c r="C2535" s="4" t="s">
        <v>19</v>
      </c>
      <c r="D2535" s="5" t="n">
        <v>44511.3333333333</v>
      </c>
      <c r="E2535" s="6" t="n">
        <v>526.9</v>
      </c>
      <c r="F2535" s="7" t="n">
        <v>70</v>
      </c>
      <c r="G2535" s="6" t="n">
        <v>1652.46558441176</v>
      </c>
      <c r="H2535" s="8" t="n">
        <v>1111977.47717233</v>
      </c>
      <c r="I2535" s="9" t="n">
        <v>9.6347967690105</v>
      </c>
      <c r="J2535" s="9" t="n">
        <v>33.2337611312242</v>
      </c>
      <c r="K2535" s="3" t="s">
        <v>880</v>
      </c>
      <c r="L2535" s="3" t="s">
        <v>881</v>
      </c>
      <c r="M2535" s="7" t="n">
        <v>2019</v>
      </c>
    </row>
    <row r="2536" customFormat="false" ht="15" hidden="false" customHeight="false" outlineLevel="0" collapsed="false">
      <c r="A2536" s="3" t="n">
        <v>3545</v>
      </c>
      <c r="B2536" s="3" t="s">
        <v>879</v>
      </c>
      <c r="C2536" s="4" t="s">
        <v>20</v>
      </c>
      <c r="D2536" s="5" t="n">
        <v>45543</v>
      </c>
      <c r="E2536" s="6" t="n">
        <v>544.70632057</v>
      </c>
      <c r="F2536" s="7" t="n">
        <v>71</v>
      </c>
      <c r="G2536" s="6" t="n">
        <v>1082.83707327493</v>
      </c>
      <c r="H2536" s="8" t="n">
        <v>817282.109424986</v>
      </c>
      <c r="I2536" s="9" t="n">
        <v>7.26947070442738</v>
      </c>
      <c r="J2536" s="9" t="n">
        <v>21.2259763038158</v>
      </c>
      <c r="K2536" s="3" t="s">
        <v>880</v>
      </c>
      <c r="L2536" s="3" t="s">
        <v>881</v>
      </c>
      <c r="M2536" s="7" t="n">
        <v>2020</v>
      </c>
    </row>
    <row r="2537" customFormat="false" ht="15" hidden="false" customHeight="false" outlineLevel="0" collapsed="false">
      <c r="A2537" s="3" t="n">
        <v>3546</v>
      </c>
      <c r="B2537" s="3" t="s">
        <v>879</v>
      </c>
      <c r="C2537" s="4" t="s">
        <v>21</v>
      </c>
      <c r="D2537" s="5" t="n">
        <v>45750.25</v>
      </c>
      <c r="E2537" s="6" t="n">
        <v>544.706320569999</v>
      </c>
      <c r="F2537" s="7" t="n">
        <v>71</v>
      </c>
      <c r="G2537" s="6" t="n">
        <v>1539.63426788052</v>
      </c>
      <c r="H2537" s="8" t="n">
        <v>1153929.03710296</v>
      </c>
      <c r="I2537" s="9" t="n">
        <v>9.26137657631232</v>
      </c>
      <c r="J2537" s="9" t="n">
        <v>30.1260207983692</v>
      </c>
      <c r="K2537" s="3" t="s">
        <v>880</v>
      </c>
      <c r="L2537" s="3" t="s">
        <v>881</v>
      </c>
      <c r="M2537" s="7" t="n">
        <v>2021</v>
      </c>
    </row>
    <row r="2538" customFormat="false" ht="15" hidden="false" customHeight="false" outlineLevel="0" collapsed="false">
      <c r="A2538" s="3" t="n">
        <v>3547</v>
      </c>
      <c r="B2538" s="3" t="s">
        <v>879</v>
      </c>
      <c r="C2538" s="4" t="s">
        <v>22</v>
      </c>
      <c r="D2538" s="5" t="n">
        <v>46003</v>
      </c>
      <c r="E2538" s="6" t="n">
        <v>544.5687279</v>
      </c>
      <c r="F2538" s="7" t="n">
        <v>71</v>
      </c>
      <c r="G2538" s="6" t="n">
        <v>1943.52278019091</v>
      </c>
      <c r="H2538" s="8" t="n">
        <v>1077955.47480509</v>
      </c>
      <c r="I2538" s="9" t="n">
        <v>10.9327377187349</v>
      </c>
      <c r="J2538" s="9" t="n">
        <v>37.8199678716598</v>
      </c>
      <c r="K2538" s="3" t="s">
        <v>880</v>
      </c>
      <c r="L2538" s="3" t="s">
        <v>881</v>
      </c>
      <c r="M2538" s="7" t="n">
        <v>2022</v>
      </c>
    </row>
    <row r="2539" customFormat="false" ht="15" hidden="false" customHeight="false" outlineLevel="0" collapsed="false">
      <c r="A2539" s="3" t="n">
        <v>3548</v>
      </c>
      <c r="B2539" s="3" t="s">
        <v>879</v>
      </c>
      <c r="C2539" s="4" t="s">
        <v>23</v>
      </c>
      <c r="D2539" s="5" t="n">
        <v>45985.6666666667</v>
      </c>
      <c r="E2539" s="6" t="n">
        <v>544.52060483</v>
      </c>
      <c r="F2539" s="7" t="n">
        <v>72</v>
      </c>
      <c r="G2539" s="6" t="n">
        <v>1570.18403411038</v>
      </c>
      <c r="H2539" s="8" t="n">
        <v>1066987.15669903</v>
      </c>
      <c r="I2539" s="9" t="n">
        <v>10.1551911771538</v>
      </c>
      <c r="J2539" s="9" t="n">
        <v>30.5665022294473</v>
      </c>
      <c r="K2539" s="3" t="s">
        <v>880</v>
      </c>
      <c r="L2539" s="3" t="s">
        <v>881</v>
      </c>
      <c r="M2539" s="7" t="n">
        <v>2023</v>
      </c>
    </row>
    <row r="2540" customFormat="false" ht="15" hidden="false" customHeight="false" outlineLevel="0" collapsed="false">
      <c r="A2540" s="3" t="n">
        <v>3549</v>
      </c>
      <c r="B2540" s="3" t="s">
        <v>879</v>
      </c>
      <c r="C2540" s="4" t="s">
        <v>24</v>
      </c>
      <c r="D2540" s="5" t="n">
        <v>46396.9166666667</v>
      </c>
      <c r="E2540" s="6" t="n">
        <v>543.975817633527</v>
      </c>
      <c r="F2540" s="7" t="n">
        <v>72</v>
      </c>
      <c r="G2540" s="6" t="n">
        <v>1946.72875782356</v>
      </c>
      <c r="H2540" s="8" t="n">
        <v>2247474.71650095</v>
      </c>
      <c r="I2540" s="9" t="n">
        <v>11.473753190434</v>
      </c>
      <c r="J2540" s="9" t="n">
        <v>37.4578216888516</v>
      </c>
      <c r="K2540" s="3" t="s">
        <v>880</v>
      </c>
      <c r="L2540" s="3" t="s">
        <v>881</v>
      </c>
      <c r="M2540" s="7" t="n">
        <v>2024</v>
      </c>
    </row>
    <row r="2541" customFormat="false" ht="15" hidden="false" customHeight="false" outlineLevel="0" collapsed="false">
      <c r="A2541" s="3" t="n">
        <v>3550</v>
      </c>
      <c r="B2541" s="3" t="s">
        <v>882</v>
      </c>
      <c r="C2541" s="4" t="s">
        <v>41</v>
      </c>
      <c r="D2541" s="5" t="n">
        <v>16450</v>
      </c>
      <c r="E2541" s="6" t="n">
        <v>242.85</v>
      </c>
      <c r="F2541" s="7" t="n">
        <v>62</v>
      </c>
      <c r="G2541" s="6" t="n">
        <v>396.672581943604</v>
      </c>
      <c r="H2541" s="8" t="n">
        <v>57434.2231396144</v>
      </c>
      <c r="I2541" s="9" t="n">
        <v>5.73156068372887</v>
      </c>
      <c r="J2541" s="9" t="n">
        <v>21.5865856406202</v>
      </c>
      <c r="K2541" s="3" t="s">
        <v>883</v>
      </c>
      <c r="L2541" s="3" t="s">
        <v>884</v>
      </c>
      <c r="M2541" s="7" t="n">
        <v>2016</v>
      </c>
    </row>
    <row r="2542" customFormat="false" ht="15" hidden="false" customHeight="false" outlineLevel="0" collapsed="false">
      <c r="A2542" s="3" t="n">
        <v>3551</v>
      </c>
      <c r="B2542" s="3" t="s">
        <v>882</v>
      </c>
      <c r="C2542" s="4" t="s">
        <v>42</v>
      </c>
      <c r="D2542" s="5" t="n">
        <v>26539</v>
      </c>
      <c r="E2542" s="6" t="n">
        <v>240.4</v>
      </c>
      <c r="F2542" s="7" t="n">
        <v>49</v>
      </c>
      <c r="G2542" s="6" t="n">
        <v>213.031078030303</v>
      </c>
      <c r="H2542" s="8" t="n">
        <v>49936.6150010833</v>
      </c>
      <c r="I2542" s="9" t="n">
        <v>3.13161699654861</v>
      </c>
      <c r="J2542" s="9" t="n">
        <v>7.18581587860663</v>
      </c>
      <c r="K2542" s="3" t="s">
        <v>883</v>
      </c>
      <c r="L2542" s="3" t="s">
        <v>884</v>
      </c>
      <c r="M2542" s="7" t="n">
        <v>2017</v>
      </c>
    </row>
    <row r="2543" customFormat="false" ht="15" hidden="false" customHeight="false" outlineLevel="0" collapsed="false">
      <c r="A2543" s="3" t="n">
        <v>3552</v>
      </c>
      <c r="B2543" s="3" t="s">
        <v>882</v>
      </c>
      <c r="C2543" s="4" t="s">
        <v>43</v>
      </c>
      <c r="D2543" s="5" t="n">
        <v>26799</v>
      </c>
      <c r="E2543" s="6" t="n">
        <v>245.64</v>
      </c>
      <c r="F2543" s="7" t="n">
        <v>49</v>
      </c>
      <c r="G2543" s="6" t="n">
        <v>222.660512828284</v>
      </c>
      <c r="H2543" s="8" t="n">
        <v>35679.127417728</v>
      </c>
      <c r="I2543" s="9" t="n">
        <v>4.25437012874315</v>
      </c>
      <c r="J2543" s="9" t="n">
        <v>7.43776223050897</v>
      </c>
      <c r="K2543" s="3" t="s">
        <v>883</v>
      </c>
      <c r="L2543" s="3" t="s">
        <v>884</v>
      </c>
      <c r="M2543" s="7" t="n">
        <v>2018</v>
      </c>
    </row>
    <row r="2544" customFormat="false" ht="15" hidden="false" customHeight="false" outlineLevel="0" collapsed="false">
      <c r="A2544" s="3" t="n">
        <v>3553</v>
      </c>
      <c r="B2544" s="3" t="s">
        <v>882</v>
      </c>
      <c r="C2544" s="4" t="s">
        <v>44</v>
      </c>
      <c r="D2544" s="5" t="n">
        <v>26230</v>
      </c>
      <c r="E2544" s="6" t="n">
        <v>244.6</v>
      </c>
      <c r="F2544" s="7" t="n">
        <v>49</v>
      </c>
      <c r="G2544" s="6" t="n">
        <v>371.008162020202</v>
      </c>
      <c r="H2544" s="8" t="n">
        <v>69875.1113859647</v>
      </c>
      <c r="I2544" s="9" t="n">
        <v>4.18138528634059</v>
      </c>
      <c r="J2544" s="9" t="n">
        <v>12.6273252526329</v>
      </c>
      <c r="K2544" s="3" t="s">
        <v>883</v>
      </c>
      <c r="L2544" s="3" t="s">
        <v>884</v>
      </c>
      <c r="M2544" s="7" t="n">
        <v>2019</v>
      </c>
    </row>
    <row r="2545" customFormat="false" ht="15" hidden="false" customHeight="false" outlineLevel="0" collapsed="false">
      <c r="A2545" s="3" t="n">
        <v>3554</v>
      </c>
      <c r="B2545" s="3" t="s">
        <v>882</v>
      </c>
      <c r="C2545" s="4" t="s">
        <v>45</v>
      </c>
      <c r="D2545" s="5" t="n">
        <v>28295</v>
      </c>
      <c r="E2545" s="6" t="n">
        <v>244.6</v>
      </c>
      <c r="F2545" s="7" t="n">
        <v>49</v>
      </c>
      <c r="G2545" s="6" t="n">
        <v>2836.53366813131</v>
      </c>
      <c r="H2545" s="8" t="n">
        <v>413933.747029925</v>
      </c>
      <c r="I2545" s="9" t="n">
        <v>21.3261177823832</v>
      </c>
      <c r="J2545" s="9" t="n">
        <v>89.7420361511329</v>
      </c>
      <c r="K2545" s="3" t="s">
        <v>883</v>
      </c>
      <c r="L2545" s="3" t="s">
        <v>884</v>
      </c>
      <c r="M2545" s="7" t="n">
        <v>2020</v>
      </c>
    </row>
    <row r="2546" customFormat="false" ht="15" hidden="false" customHeight="false" outlineLevel="0" collapsed="false">
      <c r="A2546" s="3" t="n">
        <v>3555</v>
      </c>
      <c r="B2546" s="3" t="s">
        <v>882</v>
      </c>
      <c r="C2546" s="4" t="s">
        <v>46</v>
      </c>
      <c r="D2546" s="5" t="n">
        <v>28496</v>
      </c>
      <c r="E2546" s="6" t="n">
        <v>251.17</v>
      </c>
      <c r="F2546" s="7" t="n">
        <v>49</v>
      </c>
      <c r="G2546" s="6" t="n">
        <v>2623.9081479798</v>
      </c>
      <c r="H2546" s="8" t="n">
        <v>208259.589705156</v>
      </c>
      <c r="I2546" s="9" t="n">
        <v>20.8434746862958</v>
      </c>
      <c r="J2546" s="9" t="n">
        <v>82.4294497017671</v>
      </c>
      <c r="K2546" s="3" t="s">
        <v>883</v>
      </c>
      <c r="L2546" s="3" t="s">
        <v>884</v>
      </c>
      <c r="M2546" s="7" t="n">
        <v>2021</v>
      </c>
    </row>
    <row r="2547" customFormat="false" ht="15" hidden="false" customHeight="false" outlineLevel="0" collapsed="false">
      <c r="A2547" s="3" t="n">
        <v>3556</v>
      </c>
      <c r="B2547" s="3" t="s">
        <v>882</v>
      </c>
      <c r="C2547" s="4" t="s">
        <v>47</v>
      </c>
      <c r="D2547" s="5" t="n">
        <v>28778</v>
      </c>
      <c r="E2547" s="6" t="n">
        <v>256.84</v>
      </c>
      <c r="F2547" s="7" t="n">
        <v>51</v>
      </c>
      <c r="G2547" s="6" t="n">
        <v>1757.3565780303</v>
      </c>
      <c r="H2547" s="8" t="n">
        <v>254799.130248614</v>
      </c>
      <c r="I2547" s="9" t="n">
        <v>14.929639890896</v>
      </c>
      <c r="J2547" s="9" t="n">
        <v>54.6659572738859</v>
      </c>
      <c r="K2547" s="3" t="s">
        <v>883</v>
      </c>
      <c r="L2547" s="3" t="s">
        <v>884</v>
      </c>
      <c r="M2547" s="7" t="n">
        <v>2022</v>
      </c>
    </row>
    <row r="2548" customFormat="false" ht="15" hidden="false" customHeight="false" outlineLevel="0" collapsed="false">
      <c r="A2548" s="3" t="n">
        <v>3557</v>
      </c>
      <c r="B2548" s="3" t="s">
        <v>882</v>
      </c>
      <c r="C2548" s="4" t="s">
        <v>48</v>
      </c>
      <c r="D2548" s="5" t="n">
        <v>29220</v>
      </c>
      <c r="E2548" s="6" t="n">
        <v>256.5</v>
      </c>
      <c r="F2548" s="7" t="n">
        <v>51</v>
      </c>
      <c r="G2548" s="6" t="n">
        <v>632.489592424243</v>
      </c>
      <c r="H2548" s="8" t="n">
        <v>75879.7764031364</v>
      </c>
      <c r="I2548" s="9" t="n">
        <v>6.44691690999496</v>
      </c>
      <c r="J2548" s="9" t="n">
        <v>19.3241039802942</v>
      </c>
      <c r="K2548" s="3" t="s">
        <v>883</v>
      </c>
      <c r="L2548" s="3" t="s">
        <v>884</v>
      </c>
      <c r="M2548" s="7" t="n">
        <v>2023</v>
      </c>
    </row>
    <row r="2549" customFormat="false" ht="15" hidden="false" customHeight="false" outlineLevel="0" collapsed="false">
      <c r="A2549" s="3" t="n">
        <v>3558</v>
      </c>
      <c r="B2549" s="3" t="s">
        <v>882</v>
      </c>
      <c r="C2549" s="4" t="s">
        <v>49</v>
      </c>
      <c r="D2549" s="5" t="n">
        <v>29030</v>
      </c>
      <c r="E2549" s="6" t="n">
        <v>271.3</v>
      </c>
      <c r="F2549" s="7" t="n">
        <v>42</v>
      </c>
      <c r="G2549" s="6" t="n">
        <v>1107.54246111111</v>
      </c>
      <c r="H2549" s="8" t="n">
        <v>124709.281121111</v>
      </c>
      <c r="I2549" s="9" t="n">
        <v>9.63215830990944</v>
      </c>
      <c r="J2549" s="9" t="n">
        <v>34.1531703178898</v>
      </c>
      <c r="K2549" s="3" t="s">
        <v>883</v>
      </c>
      <c r="L2549" s="3" t="s">
        <v>884</v>
      </c>
      <c r="M2549" s="7" t="n">
        <v>2024</v>
      </c>
    </row>
    <row r="2550" customFormat="false" ht="15" hidden="false" customHeight="false" outlineLevel="0" collapsed="false">
      <c r="A2550" s="3" t="n">
        <v>3559</v>
      </c>
      <c r="B2550" s="3" t="s">
        <v>885</v>
      </c>
      <c r="C2550" s="4" t="s">
        <v>14</v>
      </c>
      <c r="D2550" s="5" t="n">
        <v>22000</v>
      </c>
      <c r="E2550" s="6" t="n">
        <v>276</v>
      </c>
      <c r="F2550" s="7" t="n">
        <v>61</v>
      </c>
      <c r="G2550" s="6" t="n">
        <v>959.15696267218</v>
      </c>
      <c r="H2550" s="8" t="n">
        <v>301600.451632759</v>
      </c>
      <c r="I2550" s="9" t="n">
        <v>11.170254086594</v>
      </c>
      <c r="J2550" s="9" t="n">
        <v>38.9218250863876</v>
      </c>
      <c r="K2550" s="3" t="s">
        <v>886</v>
      </c>
      <c r="L2550" s="3" t="s">
        <v>887</v>
      </c>
      <c r="M2550" s="7" t="n">
        <v>2016</v>
      </c>
    </row>
    <row r="2551" customFormat="false" ht="15" hidden="false" customHeight="false" outlineLevel="0" collapsed="false">
      <c r="A2551" s="3" t="n">
        <v>3560</v>
      </c>
      <c r="B2551" s="3" t="s">
        <v>885</v>
      </c>
      <c r="C2551" s="4" t="s">
        <v>17</v>
      </c>
      <c r="D2551" s="5" t="n">
        <v>21873</v>
      </c>
      <c r="E2551" s="6" t="n">
        <v>289.5</v>
      </c>
      <c r="F2551" s="7" t="n">
        <v>61</v>
      </c>
      <c r="G2551" s="6" t="n">
        <v>396.710412484331</v>
      </c>
      <c r="H2551" s="8" t="n">
        <v>30304.4055515752</v>
      </c>
      <c r="I2551" s="9" t="n">
        <v>6.27201627718273</v>
      </c>
      <c r="J2551" s="9" t="n">
        <v>16.2361449961682</v>
      </c>
      <c r="K2551" s="3" t="s">
        <v>886</v>
      </c>
      <c r="L2551" s="3" t="s">
        <v>887</v>
      </c>
      <c r="M2551" s="7" t="n">
        <v>2017</v>
      </c>
    </row>
    <row r="2552" customFormat="false" ht="15" hidden="false" customHeight="false" outlineLevel="0" collapsed="false">
      <c r="A2552" s="3" t="n">
        <v>3561</v>
      </c>
      <c r="B2552" s="3" t="s">
        <v>885</v>
      </c>
      <c r="C2552" s="4" t="s">
        <v>18</v>
      </c>
      <c r="D2552" s="5" t="n">
        <v>22596</v>
      </c>
      <c r="E2552" s="6" t="n">
        <v>291</v>
      </c>
      <c r="F2552" s="7" t="n">
        <v>63</v>
      </c>
      <c r="G2552" s="6" t="n">
        <v>278.88129175613</v>
      </c>
      <c r="H2552" s="8" t="n">
        <v>21701.5559184678</v>
      </c>
      <c r="I2552" s="9" t="n">
        <v>11.3742568454746</v>
      </c>
      <c r="J2552" s="9" t="n">
        <v>11.0485551998928</v>
      </c>
      <c r="K2552" s="3" t="s">
        <v>886</v>
      </c>
      <c r="L2552" s="3" t="s">
        <v>887</v>
      </c>
      <c r="M2552" s="7" t="n">
        <v>2018</v>
      </c>
    </row>
    <row r="2553" customFormat="false" ht="15" hidden="false" customHeight="false" outlineLevel="0" collapsed="false">
      <c r="A2553" s="3" t="n">
        <v>3562</v>
      </c>
      <c r="B2553" s="3" t="s">
        <v>885</v>
      </c>
      <c r="C2553" s="4" t="s">
        <v>19</v>
      </c>
      <c r="D2553" s="5" t="n">
        <v>23500</v>
      </c>
      <c r="E2553" s="6" t="n">
        <v>307</v>
      </c>
      <c r="F2553" s="7" t="n">
        <v>62</v>
      </c>
      <c r="G2553" s="6" t="n">
        <v>295.823090204811</v>
      </c>
      <c r="H2553" s="8" t="n">
        <v>22597.7000224084</v>
      </c>
      <c r="I2553" s="9" t="n">
        <v>8.97324927727276</v>
      </c>
      <c r="J2553" s="9" t="n">
        <v>11.2689092548899</v>
      </c>
      <c r="K2553" s="3" t="s">
        <v>886</v>
      </c>
      <c r="L2553" s="3" t="s">
        <v>887</v>
      </c>
      <c r="M2553" s="7" t="n">
        <v>2019</v>
      </c>
    </row>
    <row r="2554" customFormat="false" ht="15" hidden="false" customHeight="false" outlineLevel="0" collapsed="false">
      <c r="A2554" s="3" t="n">
        <v>3563</v>
      </c>
      <c r="B2554" s="3" t="s">
        <v>885</v>
      </c>
      <c r="C2554" s="4" t="s">
        <v>20</v>
      </c>
      <c r="D2554" s="5" t="n">
        <v>23436</v>
      </c>
      <c r="E2554" s="6" t="n">
        <v>322</v>
      </c>
      <c r="F2554" s="7" t="n">
        <v>55</v>
      </c>
      <c r="G2554" s="6" t="n">
        <v>492.256052782097</v>
      </c>
      <c r="H2554" s="8" t="n">
        <v>207399.914026592</v>
      </c>
      <c r="I2554" s="9" t="n">
        <v>7.25080539849426</v>
      </c>
      <c r="J2554" s="9" t="n">
        <v>18.7514030697533</v>
      </c>
      <c r="K2554" s="3" t="s">
        <v>886</v>
      </c>
      <c r="L2554" s="3" t="s">
        <v>887</v>
      </c>
      <c r="M2554" s="7" t="n">
        <v>2020</v>
      </c>
    </row>
    <row r="2555" customFormat="false" ht="15" hidden="false" customHeight="false" outlineLevel="0" collapsed="false">
      <c r="A2555" s="3" t="n">
        <v>3564</v>
      </c>
      <c r="B2555" s="3" t="s">
        <v>885</v>
      </c>
      <c r="C2555" s="4" t="s">
        <v>21</v>
      </c>
      <c r="D2555" s="5" t="n">
        <v>26428</v>
      </c>
      <c r="E2555" s="6" t="n">
        <v>338</v>
      </c>
      <c r="F2555" s="7" t="n">
        <v>69</v>
      </c>
      <c r="G2555" s="6" t="n">
        <v>1010.13752385921</v>
      </c>
      <c r="H2555" s="8" t="n">
        <v>531985.705770164</v>
      </c>
      <c r="I2555" s="9" t="n">
        <v>9.47322008094635</v>
      </c>
      <c r="J2555" s="9" t="n">
        <v>34.2163658306799</v>
      </c>
      <c r="K2555" s="3" t="s">
        <v>886</v>
      </c>
      <c r="L2555" s="3" t="s">
        <v>887</v>
      </c>
      <c r="M2555" s="7" t="n">
        <v>2021</v>
      </c>
    </row>
    <row r="2556" customFormat="false" ht="15" hidden="false" customHeight="false" outlineLevel="0" collapsed="false">
      <c r="A2556" s="3" t="n">
        <v>3565</v>
      </c>
      <c r="B2556" s="3" t="s">
        <v>885</v>
      </c>
      <c r="C2556" s="4" t="s">
        <v>22</v>
      </c>
      <c r="D2556" s="5" t="n">
        <v>24800</v>
      </c>
      <c r="E2556" s="6" t="n">
        <v>346</v>
      </c>
      <c r="F2556" s="7" t="n">
        <v>46</v>
      </c>
      <c r="G2556" s="6" t="n">
        <v>376.248413649017</v>
      </c>
      <c r="H2556" s="8" t="n">
        <v>28741.329081719</v>
      </c>
      <c r="I2556" s="9" t="n">
        <v>4.22840408741441</v>
      </c>
      <c r="J2556" s="9" t="n">
        <v>13.5812790052226</v>
      </c>
      <c r="K2556" s="3" t="s">
        <v>886</v>
      </c>
      <c r="L2556" s="3" t="s">
        <v>887</v>
      </c>
      <c r="M2556" s="7" t="n">
        <v>2022</v>
      </c>
    </row>
    <row r="2557" customFormat="false" ht="15" hidden="false" customHeight="false" outlineLevel="0" collapsed="false">
      <c r="A2557" s="3" t="n">
        <v>3566</v>
      </c>
      <c r="B2557" s="3" t="s">
        <v>885</v>
      </c>
      <c r="C2557" s="4" t="s">
        <v>23</v>
      </c>
      <c r="D2557" s="5" t="n">
        <v>26684</v>
      </c>
      <c r="E2557" s="6" t="n">
        <v>354</v>
      </c>
      <c r="F2557" s="7" t="n">
        <v>62</v>
      </c>
      <c r="G2557" s="6" t="n">
        <v>540.137830579134</v>
      </c>
      <c r="H2557" s="8" t="n">
        <v>316204.263470741</v>
      </c>
      <c r="I2557" s="9" t="n">
        <v>5.64240313933566</v>
      </c>
      <c r="J2557" s="9" t="n">
        <v>18.1205484531251</v>
      </c>
      <c r="K2557" s="3" t="s">
        <v>886</v>
      </c>
      <c r="L2557" s="3" t="s">
        <v>887</v>
      </c>
      <c r="M2557" s="7" t="n">
        <v>2023</v>
      </c>
    </row>
    <row r="2558" customFormat="false" ht="15" hidden="false" customHeight="false" outlineLevel="0" collapsed="false">
      <c r="A2558" s="3" t="n">
        <v>3567</v>
      </c>
      <c r="B2558" s="3" t="s">
        <v>885</v>
      </c>
      <c r="C2558" s="4" t="s">
        <v>24</v>
      </c>
      <c r="D2558" s="5" t="n">
        <v>27667</v>
      </c>
      <c r="E2558" s="6" t="n">
        <v>359</v>
      </c>
      <c r="F2558" s="7" t="n">
        <v>62</v>
      </c>
      <c r="G2558" s="6" t="n">
        <v>1084.69744411532</v>
      </c>
      <c r="H2558" s="8" t="n">
        <v>553226.516074276</v>
      </c>
      <c r="I2558" s="9" t="n">
        <v>8.91373384689992</v>
      </c>
      <c r="J2558" s="9" t="n">
        <v>35.0003784601131</v>
      </c>
      <c r="K2558" s="3" t="s">
        <v>886</v>
      </c>
      <c r="L2558" s="3" t="s">
        <v>887</v>
      </c>
      <c r="M2558" s="7" t="n">
        <v>2024</v>
      </c>
    </row>
    <row r="2559" customFormat="false" ht="15" hidden="false" customHeight="false" outlineLevel="0" collapsed="false">
      <c r="A2559" s="3" t="n">
        <v>3568</v>
      </c>
      <c r="B2559" s="3" t="s">
        <v>888</v>
      </c>
      <c r="C2559" s="4" t="s">
        <v>14</v>
      </c>
      <c r="D2559" s="5" t="n">
        <v>48919</v>
      </c>
      <c r="E2559" s="6" t="n">
        <v>590</v>
      </c>
      <c r="F2559" s="7" t="n">
        <v>40</v>
      </c>
      <c r="G2559" s="6" t="n">
        <v>1753.22291578423</v>
      </c>
      <c r="H2559" s="8" t="n">
        <v>1650860.52003199</v>
      </c>
      <c r="I2559" s="9" t="n">
        <v>10.1614081870745</v>
      </c>
      <c r="J2559" s="9" t="n">
        <v>31.9952686860447</v>
      </c>
      <c r="K2559" s="3" t="s">
        <v>889</v>
      </c>
      <c r="L2559" s="3" t="s">
        <v>890</v>
      </c>
      <c r="M2559" s="7" t="n">
        <v>2016</v>
      </c>
    </row>
    <row r="2560" customFormat="false" ht="15" hidden="false" customHeight="false" outlineLevel="0" collapsed="false">
      <c r="A2560" s="3" t="n">
        <v>3569</v>
      </c>
      <c r="B2560" s="3" t="s">
        <v>888</v>
      </c>
      <c r="C2560" s="4" t="s">
        <v>17</v>
      </c>
      <c r="D2560" s="5" t="n">
        <v>48568</v>
      </c>
      <c r="E2560" s="6" t="n">
        <v>607.22</v>
      </c>
      <c r="F2560" s="7" t="n">
        <v>54</v>
      </c>
      <c r="G2560" s="6" t="n">
        <v>1770.64356988337</v>
      </c>
      <c r="H2560" s="8" t="n">
        <v>665547.448130945</v>
      </c>
      <c r="I2560" s="9" t="n">
        <v>8.17652590428326</v>
      </c>
      <c r="J2560" s="9" t="n">
        <v>32.6361260053915</v>
      </c>
      <c r="K2560" s="3" t="s">
        <v>889</v>
      </c>
      <c r="L2560" s="3" t="s">
        <v>890</v>
      </c>
      <c r="M2560" s="7" t="n">
        <v>2017</v>
      </c>
    </row>
    <row r="2561" customFormat="false" ht="15" hidden="false" customHeight="false" outlineLevel="0" collapsed="false">
      <c r="A2561" s="3" t="n">
        <v>3570</v>
      </c>
      <c r="B2561" s="3" t="s">
        <v>888</v>
      </c>
      <c r="C2561" s="4" t="s">
        <v>18</v>
      </c>
      <c r="D2561" s="5" t="n">
        <v>48887</v>
      </c>
      <c r="E2561" s="6" t="n">
        <v>607.22</v>
      </c>
      <c r="F2561" s="7" t="n">
        <v>58</v>
      </c>
      <c r="G2561" s="6" t="n">
        <v>2292.47747604365</v>
      </c>
      <c r="H2561" s="8" t="n">
        <v>861693.770575757</v>
      </c>
      <c r="I2561" s="9" t="n">
        <v>9.74122816887578</v>
      </c>
      <c r="J2561" s="9" t="n">
        <v>41.9787366810644</v>
      </c>
      <c r="K2561" s="3" t="s">
        <v>889</v>
      </c>
      <c r="L2561" s="3" t="s">
        <v>890</v>
      </c>
      <c r="M2561" s="7" t="n">
        <v>2018</v>
      </c>
    </row>
    <row r="2562" customFormat="false" ht="15" hidden="false" customHeight="false" outlineLevel="0" collapsed="false">
      <c r="A2562" s="3" t="n">
        <v>3571</v>
      </c>
      <c r="B2562" s="3" t="s">
        <v>888</v>
      </c>
      <c r="C2562" s="4" t="s">
        <v>19</v>
      </c>
      <c r="D2562" s="5" t="n">
        <v>49247</v>
      </c>
      <c r="E2562" s="6" t="n">
        <v>672</v>
      </c>
      <c r="F2562" s="7" t="n">
        <v>59</v>
      </c>
      <c r="G2562" s="6" t="n">
        <v>2463.86814012184</v>
      </c>
      <c r="H2562" s="8" t="n">
        <v>1134208.24162924</v>
      </c>
      <c r="I2562" s="9" t="n">
        <v>10.5997181016298</v>
      </c>
      <c r="J2562" s="9" t="n">
        <v>44.7873489770695</v>
      </c>
      <c r="K2562" s="3" t="s">
        <v>889</v>
      </c>
      <c r="L2562" s="3" t="s">
        <v>890</v>
      </c>
      <c r="M2562" s="7" t="n">
        <v>2019</v>
      </c>
    </row>
    <row r="2563" customFormat="false" ht="15" hidden="false" customHeight="false" outlineLevel="0" collapsed="false">
      <c r="A2563" s="3" t="n">
        <v>3572</v>
      </c>
      <c r="B2563" s="3" t="s">
        <v>888</v>
      </c>
      <c r="C2563" s="4" t="s">
        <v>20</v>
      </c>
      <c r="D2563" s="5" t="n">
        <v>50309</v>
      </c>
      <c r="E2563" s="6" t="n">
        <v>672</v>
      </c>
      <c r="F2563" s="7" t="n">
        <v>60</v>
      </c>
      <c r="G2563" s="6" t="n">
        <v>2306.90588225828</v>
      </c>
      <c r="H2563" s="8" t="n">
        <v>663353.677732291</v>
      </c>
      <c r="I2563" s="9" t="n">
        <v>9.99792961266257</v>
      </c>
      <c r="J2563" s="9" t="n">
        <v>40.9364695300709</v>
      </c>
      <c r="K2563" s="3" t="s">
        <v>889</v>
      </c>
      <c r="L2563" s="3" t="s">
        <v>890</v>
      </c>
      <c r="M2563" s="7" t="n">
        <v>2020</v>
      </c>
    </row>
    <row r="2564" customFormat="false" ht="15" hidden="false" customHeight="false" outlineLevel="0" collapsed="false">
      <c r="A2564" s="3" t="n">
        <v>3573</v>
      </c>
      <c r="B2564" s="3" t="s">
        <v>891</v>
      </c>
      <c r="C2564" s="4" t="s">
        <v>80</v>
      </c>
      <c r="D2564" s="5" t="n">
        <v>4849</v>
      </c>
      <c r="E2564" s="6" t="n">
        <v>63.9</v>
      </c>
      <c r="F2564" s="7" t="n">
        <v>64</v>
      </c>
      <c r="G2564" s="6" t="n">
        <v>1058.73520298401</v>
      </c>
      <c r="H2564" s="8" t="n">
        <v>299620.247263054</v>
      </c>
      <c r="I2564" s="9" t="n">
        <v>35.0035095451213</v>
      </c>
      <c r="J2564" s="9" t="n">
        <v>194.922226374902</v>
      </c>
      <c r="K2564" s="3" t="s">
        <v>892</v>
      </c>
      <c r="L2564" s="3" t="s">
        <v>893</v>
      </c>
      <c r="M2564" s="7" t="n">
        <v>2015</v>
      </c>
    </row>
    <row r="2565" customFormat="false" ht="15" hidden="false" customHeight="false" outlineLevel="0" collapsed="false">
      <c r="A2565" s="3" t="n">
        <v>3574</v>
      </c>
      <c r="B2565" s="3" t="s">
        <v>891</v>
      </c>
      <c r="C2565" s="4" t="s">
        <v>41</v>
      </c>
      <c r="D2565" s="5" t="n">
        <v>4779</v>
      </c>
      <c r="E2565" s="6" t="n">
        <v>64.66</v>
      </c>
      <c r="F2565" s="7" t="n">
        <v>68</v>
      </c>
      <c r="G2565" s="6" t="n">
        <v>335.688348075343</v>
      </c>
      <c r="H2565" s="8" t="n">
        <v>107679.062540147</v>
      </c>
      <c r="I2565" s="9" t="n">
        <v>14.5355737929199</v>
      </c>
      <c r="J2565" s="9" t="n">
        <v>62.880633856397</v>
      </c>
      <c r="K2565" s="3" t="s">
        <v>892</v>
      </c>
      <c r="L2565" s="3" t="s">
        <v>893</v>
      </c>
      <c r="M2565" s="7" t="n">
        <v>2016</v>
      </c>
    </row>
    <row r="2566" customFormat="false" ht="15" hidden="false" customHeight="false" outlineLevel="0" collapsed="false">
      <c r="A2566" s="3" t="n">
        <v>3575</v>
      </c>
      <c r="B2566" s="3" t="s">
        <v>891</v>
      </c>
      <c r="C2566" s="4" t="s">
        <v>42</v>
      </c>
      <c r="D2566" s="5" t="n">
        <v>4848</v>
      </c>
      <c r="E2566" s="6" t="n">
        <v>66.95</v>
      </c>
      <c r="F2566" s="7" t="n">
        <v>68</v>
      </c>
      <c r="G2566" s="6" t="n">
        <v>404.962037833424</v>
      </c>
      <c r="H2566" s="8" t="n">
        <v>133825.776751387</v>
      </c>
      <c r="I2566" s="9" t="n">
        <v>15.176029231377</v>
      </c>
      <c r="J2566" s="9" t="n">
        <v>74.7772305505267</v>
      </c>
      <c r="K2566" s="3" t="s">
        <v>892</v>
      </c>
      <c r="L2566" s="3" t="s">
        <v>893</v>
      </c>
      <c r="M2566" s="7" t="n">
        <v>2017</v>
      </c>
    </row>
    <row r="2567" customFormat="false" ht="15" hidden="false" customHeight="false" outlineLevel="0" collapsed="false">
      <c r="A2567" s="3" t="n">
        <v>3576</v>
      </c>
      <c r="B2567" s="3" t="s">
        <v>891</v>
      </c>
      <c r="C2567" s="4" t="s">
        <v>43</v>
      </c>
      <c r="D2567" s="5" t="n">
        <v>4848</v>
      </c>
      <c r="E2567" s="6" t="n">
        <v>66.95</v>
      </c>
      <c r="F2567" s="7" t="n">
        <v>68</v>
      </c>
      <c r="G2567" s="6" t="n">
        <v>375.827099750278</v>
      </c>
      <c r="H2567" s="8" t="n">
        <v>135464.352227719</v>
      </c>
      <c r="I2567" s="9" t="n">
        <v>14.7462751767487</v>
      </c>
      <c r="J2567" s="9" t="n">
        <v>69.3973929890245</v>
      </c>
      <c r="K2567" s="3" t="s">
        <v>892</v>
      </c>
      <c r="L2567" s="3" t="s">
        <v>893</v>
      </c>
      <c r="M2567" s="7" t="n">
        <v>2018</v>
      </c>
    </row>
    <row r="2568" customFormat="false" ht="15" hidden="false" customHeight="false" outlineLevel="0" collapsed="false">
      <c r="A2568" s="3" t="n">
        <v>3577</v>
      </c>
      <c r="B2568" s="3" t="s">
        <v>891</v>
      </c>
      <c r="C2568" s="4" t="s">
        <v>44</v>
      </c>
      <c r="D2568" s="5" t="n">
        <v>4941</v>
      </c>
      <c r="E2568" s="6" t="n">
        <v>69.72</v>
      </c>
      <c r="F2568" s="7" t="n">
        <v>68</v>
      </c>
      <c r="G2568" s="6" t="n">
        <v>297.998644722763</v>
      </c>
      <c r="H2568" s="8" t="n">
        <v>106204.616663534</v>
      </c>
      <c r="I2568" s="9" t="n">
        <v>12.0094989205772</v>
      </c>
      <c r="J2568" s="9" t="n">
        <v>53.842551078927</v>
      </c>
      <c r="K2568" s="3" t="s">
        <v>892</v>
      </c>
      <c r="L2568" s="3" t="s">
        <v>893</v>
      </c>
      <c r="M2568" s="7" t="n">
        <v>2019</v>
      </c>
    </row>
    <row r="2569" customFormat="false" ht="15" hidden="false" customHeight="false" outlineLevel="0" collapsed="false">
      <c r="A2569" s="3" t="n">
        <v>3578</v>
      </c>
      <c r="B2569" s="3" t="s">
        <v>891</v>
      </c>
      <c r="C2569" s="4" t="s">
        <v>45</v>
      </c>
      <c r="D2569" s="5" t="n">
        <v>5126</v>
      </c>
      <c r="E2569" s="6" t="n">
        <v>71.9</v>
      </c>
      <c r="F2569" s="7" t="n">
        <v>71</v>
      </c>
      <c r="G2569" s="6" t="n">
        <v>300.204219879831</v>
      </c>
      <c r="H2569" s="8" t="n">
        <v>103240.179213123</v>
      </c>
      <c r="I2569" s="9" t="n">
        <v>11.9884552032714</v>
      </c>
      <c r="J2569" s="9" t="n">
        <v>52.427103611015</v>
      </c>
      <c r="K2569" s="3" t="s">
        <v>892</v>
      </c>
      <c r="L2569" s="3" t="s">
        <v>893</v>
      </c>
      <c r="M2569" s="7" t="n">
        <v>2020</v>
      </c>
    </row>
    <row r="2570" customFormat="false" ht="15" hidden="false" customHeight="false" outlineLevel="0" collapsed="false">
      <c r="A2570" s="3" t="n">
        <v>3579</v>
      </c>
      <c r="B2570" s="3" t="s">
        <v>891</v>
      </c>
      <c r="C2570" s="4" t="s">
        <v>46</v>
      </c>
      <c r="D2570" s="5" t="n">
        <v>5134</v>
      </c>
      <c r="E2570" s="6" t="n">
        <v>71.9</v>
      </c>
      <c r="F2570" s="7" t="n">
        <v>68</v>
      </c>
      <c r="G2570" s="6" t="n">
        <v>198.953104921466</v>
      </c>
      <c r="H2570" s="8" t="n">
        <v>69144.0788835077</v>
      </c>
      <c r="I2570" s="9" t="n">
        <v>9.7395259861465</v>
      </c>
      <c r="J2570" s="9" t="n">
        <v>34.6906575168798</v>
      </c>
      <c r="K2570" s="3" t="s">
        <v>892</v>
      </c>
      <c r="L2570" s="3" t="s">
        <v>893</v>
      </c>
      <c r="M2570" s="7" t="n">
        <v>2021</v>
      </c>
    </row>
    <row r="2571" customFormat="false" ht="15" hidden="false" customHeight="false" outlineLevel="0" collapsed="false">
      <c r="A2571" s="3" t="n">
        <v>3580</v>
      </c>
      <c r="B2571" s="3" t="s">
        <v>891</v>
      </c>
      <c r="C2571" s="4" t="s">
        <v>47</v>
      </c>
      <c r="D2571" s="5" t="n">
        <v>5144</v>
      </c>
      <c r="E2571" s="6" t="n">
        <v>71.9</v>
      </c>
      <c r="F2571" s="7" t="n">
        <v>59</v>
      </c>
      <c r="G2571" s="6" t="n">
        <v>165.019663037346</v>
      </c>
      <c r="H2571" s="8" t="n">
        <v>76195.4059082669</v>
      </c>
      <c r="I2571" s="9" t="n">
        <v>9.5303107220719</v>
      </c>
      <c r="J2571" s="9" t="n">
        <v>28.7178822550022</v>
      </c>
      <c r="K2571" s="3" t="s">
        <v>892</v>
      </c>
      <c r="L2571" s="3" t="s">
        <v>893</v>
      </c>
      <c r="M2571" s="7" t="n">
        <v>2022</v>
      </c>
    </row>
    <row r="2572" customFormat="false" ht="15" hidden="false" customHeight="false" outlineLevel="0" collapsed="false">
      <c r="A2572" s="3" t="n">
        <v>3581</v>
      </c>
      <c r="B2572" s="3" t="s">
        <v>891</v>
      </c>
      <c r="C2572" s="4" t="s">
        <v>48</v>
      </c>
      <c r="D2572" s="5" t="n">
        <v>5150</v>
      </c>
      <c r="E2572" s="6" t="n">
        <v>71.9</v>
      </c>
      <c r="F2572" s="7" t="n">
        <v>59</v>
      </c>
      <c r="G2572" s="6" t="n">
        <v>260.945415172542</v>
      </c>
      <c r="H2572" s="8" t="n">
        <v>121624.389718633</v>
      </c>
      <c r="I2572" s="9" t="n">
        <v>12.3077217799709</v>
      </c>
      <c r="J2572" s="9" t="n">
        <v>45.2343792947935</v>
      </c>
      <c r="K2572" s="3" t="s">
        <v>892</v>
      </c>
      <c r="L2572" s="3" t="s">
        <v>893</v>
      </c>
      <c r="M2572" s="7" t="n">
        <v>2023</v>
      </c>
    </row>
    <row r="2573" customFormat="false" ht="15" hidden="false" customHeight="false" outlineLevel="0" collapsed="false">
      <c r="A2573" s="3" t="n">
        <v>3582</v>
      </c>
      <c r="B2573" s="3" t="s">
        <v>891</v>
      </c>
      <c r="C2573" s="4" t="s">
        <v>49</v>
      </c>
      <c r="D2573" s="5" t="n">
        <v>5136</v>
      </c>
      <c r="E2573" s="6" t="n">
        <v>71.9</v>
      </c>
      <c r="F2573" s="7" t="n">
        <v>59</v>
      </c>
      <c r="G2573" s="6" t="n">
        <v>300.750840117721</v>
      </c>
      <c r="H2573" s="8" t="n">
        <v>141487.420985903</v>
      </c>
      <c r="I2573" s="9" t="n">
        <v>12.6026454684408</v>
      </c>
      <c r="J2573" s="9" t="n">
        <v>52.4203007873744</v>
      </c>
      <c r="K2573" s="3" t="s">
        <v>892</v>
      </c>
      <c r="L2573" s="3" t="s">
        <v>893</v>
      </c>
      <c r="M2573" s="7" t="n">
        <v>2024</v>
      </c>
    </row>
    <row r="2574" customFormat="false" ht="15" hidden="false" customHeight="false" outlineLevel="0" collapsed="false">
      <c r="A2574" s="3" t="n">
        <v>3583</v>
      </c>
      <c r="B2574" s="3" t="s">
        <v>894</v>
      </c>
      <c r="C2574" s="4" t="s">
        <v>14</v>
      </c>
      <c r="D2574" s="5" t="n">
        <v>24002</v>
      </c>
      <c r="E2574" s="6" t="n">
        <v>450</v>
      </c>
      <c r="F2574" s="7" t="n">
        <v>62</v>
      </c>
      <c r="G2574" s="6" t="n">
        <v>1065.83236624682</v>
      </c>
      <c r="H2574" s="8" t="n">
        <v>512665.36816472</v>
      </c>
      <c r="I2574" s="9" t="n">
        <v>16.6147556192119</v>
      </c>
      <c r="J2574" s="9" t="n">
        <v>39.6431053546785</v>
      </c>
      <c r="K2574" s="3" t="s">
        <v>895</v>
      </c>
      <c r="L2574" s="3" t="s">
        <v>896</v>
      </c>
      <c r="M2574" s="7" t="n">
        <v>2016</v>
      </c>
    </row>
    <row r="2575" customFormat="false" ht="15" hidden="false" customHeight="false" outlineLevel="0" collapsed="false">
      <c r="A2575" s="3" t="n">
        <v>3584</v>
      </c>
      <c r="B2575" s="3" t="s">
        <v>894</v>
      </c>
      <c r="C2575" s="4" t="s">
        <v>17</v>
      </c>
      <c r="D2575" s="5" t="n">
        <v>24310</v>
      </c>
      <c r="E2575" s="6" t="n">
        <v>450</v>
      </c>
      <c r="F2575" s="7" t="n">
        <v>61</v>
      </c>
      <c r="G2575" s="6" t="n">
        <v>1234.5613996376</v>
      </c>
      <c r="H2575" s="8" t="n">
        <v>593824.033225686</v>
      </c>
      <c r="I2575" s="9" t="n">
        <v>23.4469193740378</v>
      </c>
      <c r="J2575" s="9" t="n">
        <v>45.4616725619755</v>
      </c>
      <c r="K2575" s="3" t="s">
        <v>895</v>
      </c>
      <c r="L2575" s="3" t="s">
        <v>896</v>
      </c>
      <c r="M2575" s="7" t="n">
        <v>2017</v>
      </c>
    </row>
    <row r="2576" customFormat="false" ht="15" hidden="false" customHeight="false" outlineLevel="0" collapsed="false">
      <c r="A2576" s="3" t="n">
        <v>3585</v>
      </c>
      <c r="B2576" s="3" t="s">
        <v>894</v>
      </c>
      <c r="C2576" s="4" t="s">
        <v>18</v>
      </c>
      <c r="D2576" s="5" t="n">
        <v>23757</v>
      </c>
      <c r="E2576" s="6" t="n">
        <v>450</v>
      </c>
      <c r="F2576" s="7" t="n">
        <v>61</v>
      </c>
      <c r="G2576" s="6" t="n">
        <v>813.950748867686</v>
      </c>
      <c r="H2576" s="8" t="n">
        <v>401277.719191769</v>
      </c>
      <c r="I2576" s="9" t="n">
        <v>7.88426481167791</v>
      </c>
      <c r="J2576" s="9" t="n">
        <v>30.6707364294809</v>
      </c>
      <c r="K2576" s="3" t="s">
        <v>895</v>
      </c>
      <c r="L2576" s="3" t="s">
        <v>896</v>
      </c>
      <c r="M2576" s="7" t="n">
        <v>2018</v>
      </c>
    </row>
    <row r="2577" customFormat="false" ht="15" hidden="false" customHeight="false" outlineLevel="0" collapsed="false">
      <c r="A2577" s="3" t="n">
        <v>3586</v>
      </c>
      <c r="B2577" s="3" t="s">
        <v>894</v>
      </c>
      <c r="C2577" s="4" t="s">
        <v>19</v>
      </c>
      <c r="D2577" s="5" t="n">
        <v>24905</v>
      </c>
      <c r="E2577" s="6" t="n">
        <v>475</v>
      </c>
      <c r="F2577" s="7" t="n">
        <v>67</v>
      </c>
      <c r="G2577" s="6" t="n">
        <v>687.473530849999</v>
      </c>
      <c r="H2577" s="8" t="n">
        <v>222920.167113421</v>
      </c>
      <c r="I2577" s="9" t="n">
        <v>6.29066709679018</v>
      </c>
      <c r="J2577" s="9" t="n">
        <v>24.7108173146973</v>
      </c>
      <c r="K2577" s="3" t="s">
        <v>895</v>
      </c>
      <c r="L2577" s="3" t="s">
        <v>896</v>
      </c>
      <c r="M2577" s="7" t="n">
        <v>2019</v>
      </c>
    </row>
    <row r="2578" customFormat="false" ht="15" hidden="false" customHeight="false" outlineLevel="0" collapsed="false">
      <c r="A2578" s="3" t="n">
        <v>3587</v>
      </c>
      <c r="B2578" s="3" t="s">
        <v>894</v>
      </c>
      <c r="C2578" s="4" t="s">
        <v>20</v>
      </c>
      <c r="D2578" s="5" t="n">
        <v>24692</v>
      </c>
      <c r="E2578" s="6" t="n">
        <v>490</v>
      </c>
      <c r="F2578" s="7" t="n">
        <v>65</v>
      </c>
      <c r="G2578" s="6" t="n">
        <v>3117.36180885584</v>
      </c>
      <c r="H2578" s="8" t="n">
        <v>896833.818789736</v>
      </c>
      <c r="I2578" s="9" t="n">
        <v>19.332451296213</v>
      </c>
      <c r="J2578" s="9" t="n">
        <v>112.708620925138</v>
      </c>
      <c r="K2578" s="3" t="s">
        <v>895</v>
      </c>
      <c r="L2578" s="3" t="s">
        <v>896</v>
      </c>
      <c r="M2578" s="7" t="n">
        <v>2020</v>
      </c>
    </row>
    <row r="2579" customFormat="false" ht="15" hidden="false" customHeight="false" outlineLevel="0" collapsed="false">
      <c r="A2579" s="3" t="n">
        <v>3588</v>
      </c>
      <c r="B2579" s="3" t="s">
        <v>894</v>
      </c>
      <c r="C2579" s="4" t="s">
        <v>21</v>
      </c>
      <c r="D2579" s="5" t="n">
        <v>26303</v>
      </c>
      <c r="E2579" s="6" t="n">
        <v>495</v>
      </c>
      <c r="F2579" s="7" t="n">
        <v>72</v>
      </c>
      <c r="G2579" s="6" t="n">
        <v>2380.96847487193</v>
      </c>
      <c r="H2579" s="8" t="n">
        <v>854267.679099301</v>
      </c>
      <c r="I2579" s="9" t="n">
        <v>15.1666919157683</v>
      </c>
      <c r="J2579" s="9" t="n">
        <v>81.0337681893861</v>
      </c>
      <c r="K2579" s="3" t="s">
        <v>895</v>
      </c>
      <c r="L2579" s="3" t="s">
        <v>896</v>
      </c>
      <c r="M2579" s="7" t="n">
        <v>2021</v>
      </c>
    </row>
    <row r="2580" customFormat="false" ht="15" hidden="false" customHeight="false" outlineLevel="0" collapsed="false">
      <c r="A2580" s="3" t="n">
        <v>3589</v>
      </c>
      <c r="B2580" s="3" t="s">
        <v>894</v>
      </c>
      <c r="C2580" s="4" t="s">
        <v>22</v>
      </c>
      <c r="D2580" s="5" t="n">
        <v>27025</v>
      </c>
      <c r="E2580" s="6" t="n">
        <v>505</v>
      </c>
      <c r="F2580" s="7" t="n">
        <v>75</v>
      </c>
      <c r="G2580" s="6" t="n">
        <v>1974.26264974421</v>
      </c>
      <c r="H2580" s="8" t="n">
        <v>881034.450074849</v>
      </c>
      <c r="I2580" s="9" t="n">
        <v>13.5461035153277</v>
      </c>
      <c r="J2580" s="9" t="n">
        <v>65.396860729463</v>
      </c>
      <c r="K2580" s="3" t="s">
        <v>895</v>
      </c>
      <c r="L2580" s="3" t="s">
        <v>896</v>
      </c>
      <c r="M2580" s="7" t="n">
        <v>2022</v>
      </c>
    </row>
    <row r="2581" customFormat="false" ht="15" hidden="false" customHeight="false" outlineLevel="0" collapsed="false">
      <c r="A2581" s="3" t="n">
        <v>3590</v>
      </c>
      <c r="B2581" s="3" t="s">
        <v>894</v>
      </c>
      <c r="C2581" s="4" t="s">
        <v>23</v>
      </c>
      <c r="D2581" s="5" t="n">
        <v>27140</v>
      </c>
      <c r="E2581" s="6" t="n">
        <v>505</v>
      </c>
      <c r="F2581" s="7" t="n">
        <v>69</v>
      </c>
      <c r="G2581" s="6" t="n">
        <v>2377.68198608026</v>
      </c>
      <c r="H2581" s="8" t="n">
        <v>1685728.97449118</v>
      </c>
      <c r="I2581" s="9" t="n">
        <v>18.105706967597</v>
      </c>
      <c r="J2581" s="9" t="n">
        <v>78.4262769407143</v>
      </c>
      <c r="K2581" s="3" t="s">
        <v>895</v>
      </c>
      <c r="L2581" s="3" t="s">
        <v>896</v>
      </c>
      <c r="M2581" s="7" t="n">
        <v>2023</v>
      </c>
    </row>
    <row r="2582" customFormat="false" ht="15" hidden="false" customHeight="false" outlineLevel="0" collapsed="false">
      <c r="A2582" s="3" t="n">
        <v>3591</v>
      </c>
      <c r="B2582" s="3" t="s">
        <v>894</v>
      </c>
      <c r="C2582" s="4" t="s">
        <v>24</v>
      </c>
      <c r="D2582" s="5" t="n">
        <v>27599</v>
      </c>
      <c r="E2582" s="6" t="n">
        <v>565</v>
      </c>
      <c r="F2582" s="7" t="n">
        <v>61</v>
      </c>
      <c r="G2582" s="6" t="n">
        <v>1498.49068105263</v>
      </c>
      <c r="H2582" s="8" t="n">
        <v>750240.211370759</v>
      </c>
      <c r="I2582" s="9" t="n">
        <v>14.5262165793357</v>
      </c>
      <c r="J2582" s="9" t="n">
        <v>48.4715484441992</v>
      </c>
      <c r="K2582" s="3" t="s">
        <v>895</v>
      </c>
      <c r="L2582" s="3" t="s">
        <v>896</v>
      </c>
      <c r="M2582" s="7" t="n">
        <v>2024</v>
      </c>
    </row>
    <row r="2583" customFormat="false" ht="15" hidden="false" customHeight="false" outlineLevel="0" collapsed="false">
      <c r="A2583" s="3" t="n">
        <v>3592</v>
      </c>
      <c r="B2583" s="3" t="s">
        <v>894</v>
      </c>
      <c r="C2583" s="4" t="s">
        <v>37</v>
      </c>
      <c r="D2583" s="5" t="n">
        <v>28950</v>
      </c>
      <c r="E2583" s="6" t="n">
        <v>575</v>
      </c>
      <c r="F2583" s="7" t="n">
        <v>65</v>
      </c>
      <c r="G2583" s="6" t="n">
        <v>1749.90944028158</v>
      </c>
      <c r="H2583" s="8" t="n">
        <v>853115.850326076</v>
      </c>
      <c r="I2583" s="9" t="n">
        <v>14.4470460655897</v>
      </c>
      <c r="J2583" s="9" t="n">
        <v>54.1108904159495</v>
      </c>
      <c r="K2583" s="3" t="s">
        <v>895</v>
      </c>
      <c r="L2583" s="3" t="s">
        <v>896</v>
      </c>
      <c r="M2583" s="7" t="n">
        <v>2025</v>
      </c>
    </row>
    <row r="2584" customFormat="false" ht="15" hidden="false" customHeight="false" outlineLevel="0" collapsed="false">
      <c r="A2584" s="3" t="n">
        <v>3593</v>
      </c>
      <c r="B2584" s="3" t="s">
        <v>897</v>
      </c>
      <c r="C2584" s="4" t="s">
        <v>17</v>
      </c>
      <c r="D2584" s="5" t="n">
        <v>48568</v>
      </c>
      <c r="E2584" s="6" t="n">
        <v>590</v>
      </c>
      <c r="F2584" s="7" t="n">
        <v>40</v>
      </c>
      <c r="G2584" s="6" t="n">
        <v>-230.005854166952</v>
      </c>
      <c r="H2584" s="8" t="n">
        <v>-216576.899949206</v>
      </c>
      <c r="I2584" s="9" t="n">
        <v>2.91461330247469</v>
      </c>
      <c r="J2584" s="9" t="n">
        <v>-4.23941902608032</v>
      </c>
      <c r="K2584" s="3" t="s">
        <v>889</v>
      </c>
      <c r="L2584" s="3" t="s">
        <v>898</v>
      </c>
      <c r="M2584" s="7" t="n">
        <v>2017</v>
      </c>
    </row>
    <row r="2585" customFormat="false" ht="15" hidden="false" customHeight="false" outlineLevel="0" collapsed="false">
      <c r="A2585" s="3" t="n">
        <v>3594</v>
      </c>
      <c r="B2585" s="3" t="s">
        <v>897</v>
      </c>
      <c r="C2585" s="4" t="s">
        <v>18</v>
      </c>
      <c r="D2585" s="5" t="n">
        <v>48887</v>
      </c>
      <c r="E2585" s="6" t="n">
        <v>668</v>
      </c>
      <c r="F2585" s="7" t="n">
        <v>54</v>
      </c>
      <c r="G2585" s="6" t="n">
        <v>3739.78086915609</v>
      </c>
      <c r="H2585" s="8" t="n">
        <v>1405704.48867906</v>
      </c>
      <c r="I2585" s="9" t="n">
        <v>14.4812186354998</v>
      </c>
      <c r="J2585" s="9" t="n">
        <v>68.4810550994467</v>
      </c>
      <c r="K2585" s="3" t="s">
        <v>889</v>
      </c>
      <c r="L2585" s="3" t="s">
        <v>898</v>
      </c>
      <c r="M2585" s="7" t="n">
        <v>2018</v>
      </c>
    </row>
    <row r="2586" customFormat="false" ht="15" hidden="false" customHeight="false" outlineLevel="0" collapsed="false">
      <c r="A2586" s="3" t="n">
        <v>3595</v>
      </c>
      <c r="B2586" s="3" t="s">
        <v>897</v>
      </c>
      <c r="C2586" s="4" t="s">
        <v>19</v>
      </c>
      <c r="D2586" s="5" t="n">
        <v>49247</v>
      </c>
      <c r="E2586" s="6" t="n">
        <v>672</v>
      </c>
      <c r="F2586" s="7" t="n">
        <v>56</v>
      </c>
      <c r="G2586" s="6" t="n">
        <v>2463.86814012184</v>
      </c>
      <c r="H2586" s="8" t="n">
        <v>1134208.24162924</v>
      </c>
      <c r="I2586" s="9" t="n">
        <v>10.5997181016298</v>
      </c>
      <c r="J2586" s="9" t="n">
        <v>44.7873489770695</v>
      </c>
      <c r="K2586" s="3" t="s">
        <v>889</v>
      </c>
      <c r="L2586" s="3" t="s">
        <v>898</v>
      </c>
      <c r="M2586" s="7" t="n">
        <v>2019</v>
      </c>
    </row>
    <row r="2587" customFormat="false" ht="15" hidden="false" customHeight="false" outlineLevel="0" collapsed="false">
      <c r="A2587" s="3" t="n">
        <v>3596</v>
      </c>
      <c r="B2587" s="3" t="s">
        <v>897</v>
      </c>
      <c r="C2587" s="4" t="s">
        <v>20</v>
      </c>
      <c r="D2587" s="5" t="n">
        <v>49247</v>
      </c>
      <c r="E2587" s="6" t="n">
        <v>672</v>
      </c>
      <c r="F2587" s="7" t="n">
        <v>56</v>
      </c>
      <c r="G2587" s="6" t="n">
        <v>2463.86814012184</v>
      </c>
      <c r="H2587" s="8" t="n">
        <v>1134208.24162924</v>
      </c>
      <c r="I2587" s="9" t="n">
        <v>10.5997181016298</v>
      </c>
      <c r="J2587" s="9" t="n">
        <v>44.6646439113789</v>
      </c>
      <c r="K2587" s="3" t="s">
        <v>889</v>
      </c>
      <c r="L2587" s="3" t="s">
        <v>898</v>
      </c>
      <c r="M2587" s="7" t="n">
        <v>2020</v>
      </c>
    </row>
    <row r="2588" customFormat="false" ht="15" hidden="false" customHeight="false" outlineLevel="0" collapsed="false">
      <c r="A2588" s="3" t="n">
        <v>3597</v>
      </c>
      <c r="B2588" s="3" t="s">
        <v>897</v>
      </c>
      <c r="C2588" s="4" t="s">
        <v>46</v>
      </c>
      <c r="D2588" s="5" t="n">
        <v>50723</v>
      </c>
      <c r="E2588" s="6" t="n">
        <v>611.6</v>
      </c>
      <c r="F2588" s="7" t="n">
        <v>52</v>
      </c>
      <c r="G2588" s="6" t="n">
        <v>1673.30955447444</v>
      </c>
      <c r="H2588" s="8" t="n">
        <v>1040297.87151343</v>
      </c>
      <c r="I2588" s="9" t="n">
        <v>7.52277980762061</v>
      </c>
      <c r="J2588" s="9" t="n">
        <v>29.5317398134541</v>
      </c>
      <c r="K2588" s="3" t="s">
        <v>889</v>
      </c>
      <c r="L2588" s="3" t="s">
        <v>898</v>
      </c>
      <c r="M2588" s="7" t="n">
        <v>2021</v>
      </c>
    </row>
    <row r="2589" customFormat="false" ht="15" hidden="false" customHeight="false" outlineLevel="0" collapsed="false">
      <c r="A2589" s="3" t="n">
        <v>3598</v>
      </c>
      <c r="B2589" s="3" t="s">
        <v>897</v>
      </c>
      <c r="C2589" s="4" t="s">
        <v>47</v>
      </c>
      <c r="D2589" s="5" t="n">
        <v>50723</v>
      </c>
      <c r="E2589" s="6" t="n">
        <v>611.6</v>
      </c>
      <c r="F2589" s="7" t="n">
        <v>66</v>
      </c>
      <c r="G2589" s="6" t="n">
        <v>1031.51144437375</v>
      </c>
      <c r="H2589" s="8" t="n">
        <v>742708.658504708</v>
      </c>
      <c r="I2589" s="9" t="n">
        <v>5.91533659054032</v>
      </c>
      <c r="J2589" s="9" t="n">
        <v>18.2048369402956</v>
      </c>
      <c r="K2589" s="3" t="s">
        <v>889</v>
      </c>
      <c r="L2589" s="3" t="s">
        <v>898</v>
      </c>
      <c r="M2589" s="7" t="n">
        <v>2022</v>
      </c>
    </row>
    <row r="2590" customFormat="false" ht="15" hidden="false" customHeight="false" outlineLevel="0" collapsed="false">
      <c r="A2590" s="3" t="n">
        <v>3599</v>
      </c>
      <c r="B2590" s="3" t="s">
        <v>897</v>
      </c>
      <c r="C2590" s="4" t="s">
        <v>48</v>
      </c>
      <c r="D2590" s="5" t="n">
        <v>51202</v>
      </c>
      <c r="E2590" s="6" t="n">
        <v>611.6</v>
      </c>
      <c r="F2590" s="7" t="n">
        <v>60</v>
      </c>
      <c r="G2590" s="6" t="n">
        <v>18544.0428686118</v>
      </c>
      <c r="H2590" s="8" t="n">
        <v>21925370.5303933</v>
      </c>
      <c r="I2590" s="9" t="n">
        <v>63.2867002771938</v>
      </c>
      <c r="J2590" s="9" t="n">
        <v>323.328279277405</v>
      </c>
      <c r="K2590" s="3" t="s">
        <v>889</v>
      </c>
      <c r="L2590" s="3" t="s">
        <v>898</v>
      </c>
      <c r="M2590" s="7" t="n">
        <v>2023</v>
      </c>
    </row>
    <row r="2591" customFormat="false" ht="15" hidden="false" customHeight="false" outlineLevel="0" collapsed="false">
      <c r="A2591" s="3" t="n">
        <v>3600</v>
      </c>
      <c r="B2591" s="3" t="s">
        <v>897</v>
      </c>
      <c r="C2591" s="4" t="s">
        <v>49</v>
      </c>
      <c r="D2591" s="5" t="n">
        <v>51730</v>
      </c>
      <c r="E2591" s="6" t="n">
        <v>611.6</v>
      </c>
      <c r="F2591" s="7" t="n">
        <v>54</v>
      </c>
      <c r="G2591" s="6" t="n">
        <v>1007.79707228824</v>
      </c>
      <c r="H2591" s="8" t="n">
        <v>1517927.89860621</v>
      </c>
      <c r="I2591" s="9" t="n">
        <v>5.37980378255008</v>
      </c>
      <c r="J2591" s="9" t="n">
        <v>17.4400725981159</v>
      </c>
      <c r="K2591" s="3" t="s">
        <v>889</v>
      </c>
      <c r="L2591" s="3" t="s">
        <v>898</v>
      </c>
      <c r="M2591" s="7" t="n">
        <v>2024</v>
      </c>
    </row>
    <row r="2592" customFormat="false" ht="15" hidden="false" customHeight="false" outlineLevel="0" collapsed="false">
      <c r="A2592" s="3" t="n">
        <v>3601</v>
      </c>
      <c r="B2592" s="3" t="s">
        <v>899</v>
      </c>
      <c r="C2592" s="4" t="s">
        <v>41</v>
      </c>
      <c r="D2592" s="5" t="n">
        <v>6162</v>
      </c>
      <c r="E2592" s="6" t="n">
        <v>101.9</v>
      </c>
      <c r="F2592" s="7" t="n">
        <v>55</v>
      </c>
      <c r="G2592" s="6" t="n">
        <v>116.092428267666</v>
      </c>
      <c r="H2592" s="8" t="n">
        <v>13406.5363705164</v>
      </c>
      <c r="I2592" s="9" t="n">
        <v>4.09706257982123</v>
      </c>
      <c r="J2592" s="9" t="n">
        <v>16.8655254303437</v>
      </c>
      <c r="K2592" s="3" t="s">
        <v>900</v>
      </c>
      <c r="L2592" s="3" t="s">
        <v>901</v>
      </c>
      <c r="M2592" s="7" t="n">
        <v>2016</v>
      </c>
    </row>
    <row r="2593" customFormat="false" ht="15" hidden="false" customHeight="false" outlineLevel="0" collapsed="false">
      <c r="A2593" s="3" t="n">
        <v>3602</v>
      </c>
      <c r="B2593" s="3" t="s">
        <v>899</v>
      </c>
      <c r="C2593" s="4" t="s">
        <v>42</v>
      </c>
      <c r="D2593" s="5" t="n">
        <v>6558</v>
      </c>
      <c r="E2593" s="6" t="n">
        <v>118</v>
      </c>
      <c r="F2593" s="7" t="n">
        <v>65</v>
      </c>
      <c r="G2593" s="6" t="n">
        <v>97.1887144829758</v>
      </c>
      <c r="H2593" s="8" t="n">
        <v>11223.5057441954</v>
      </c>
      <c r="I2593" s="9" t="n">
        <v>3.14768007987691</v>
      </c>
      <c r="J2593" s="9" t="n">
        <v>13.2666752975948</v>
      </c>
      <c r="K2593" s="3" t="s">
        <v>900</v>
      </c>
      <c r="L2593" s="3" t="s">
        <v>901</v>
      </c>
      <c r="M2593" s="7" t="n">
        <v>2017</v>
      </c>
    </row>
    <row r="2594" customFormat="false" ht="15" hidden="false" customHeight="false" outlineLevel="0" collapsed="false">
      <c r="A2594" s="3" t="n">
        <v>3603</v>
      </c>
      <c r="B2594" s="3" t="s">
        <v>899</v>
      </c>
      <c r="C2594" s="4" t="s">
        <v>43</v>
      </c>
      <c r="D2594" s="5" t="n">
        <v>6852</v>
      </c>
      <c r="E2594" s="6" t="n">
        <v>118</v>
      </c>
      <c r="F2594" s="7" t="n">
        <v>68</v>
      </c>
      <c r="G2594" s="6" t="n">
        <v>195.034709828716</v>
      </c>
      <c r="H2594" s="8" t="n">
        <v>10545.2238672974</v>
      </c>
      <c r="I2594" s="9" t="n">
        <v>5.96242432286539</v>
      </c>
      <c r="J2594" s="9" t="n">
        <v>25.4807512815689</v>
      </c>
      <c r="K2594" s="3" t="s">
        <v>900</v>
      </c>
      <c r="L2594" s="3" t="s">
        <v>901</v>
      </c>
      <c r="M2594" s="7" t="n">
        <v>2018</v>
      </c>
    </row>
    <row r="2595" customFormat="false" ht="15" hidden="false" customHeight="false" outlineLevel="0" collapsed="false">
      <c r="A2595" s="3" t="n">
        <v>3604</v>
      </c>
      <c r="B2595" s="3" t="s">
        <v>899</v>
      </c>
      <c r="C2595" s="4" t="s">
        <v>44</v>
      </c>
      <c r="D2595" s="5" t="n">
        <v>7318</v>
      </c>
      <c r="E2595" s="6" t="n">
        <v>149</v>
      </c>
      <c r="F2595" s="7" t="n">
        <v>68</v>
      </c>
      <c r="G2595" s="6" t="n">
        <v>4.10319417988305</v>
      </c>
      <c r="H2595" s="8" t="n">
        <v>2035.78815112893</v>
      </c>
      <c r="I2595" s="9" t="n">
        <v>4.09689751387787</v>
      </c>
      <c r="J2595" s="9" t="n">
        <v>0.500559673355274</v>
      </c>
      <c r="K2595" s="3" t="s">
        <v>900</v>
      </c>
      <c r="L2595" s="3" t="s">
        <v>901</v>
      </c>
      <c r="M2595" s="7" t="n">
        <v>2019</v>
      </c>
    </row>
    <row r="2596" customFormat="false" ht="15" hidden="false" customHeight="false" outlineLevel="0" collapsed="false">
      <c r="A2596" s="3" t="n">
        <v>3605</v>
      </c>
      <c r="B2596" s="3" t="s">
        <v>899</v>
      </c>
      <c r="C2596" s="4" t="s">
        <v>45</v>
      </c>
      <c r="D2596" s="5" t="n">
        <v>7963</v>
      </c>
      <c r="E2596" s="6" t="n">
        <v>160.88</v>
      </c>
      <c r="F2596" s="7" t="n">
        <v>70</v>
      </c>
      <c r="G2596" s="6" t="n">
        <v>93.4215708680023</v>
      </c>
      <c r="H2596" s="8" t="n">
        <v>41874.7281542421</v>
      </c>
      <c r="I2596" s="9" t="n">
        <v>3.68815319977877</v>
      </c>
      <c r="J2596" s="9" t="n">
        <v>10.5023895851105</v>
      </c>
      <c r="K2596" s="3" t="s">
        <v>900</v>
      </c>
      <c r="L2596" s="3" t="s">
        <v>901</v>
      </c>
      <c r="M2596" s="7" t="n">
        <v>2020</v>
      </c>
    </row>
    <row r="2597" customFormat="false" ht="15" hidden="false" customHeight="false" outlineLevel="0" collapsed="false">
      <c r="A2597" s="3" t="n">
        <v>3606</v>
      </c>
      <c r="B2597" s="3" t="s">
        <v>899</v>
      </c>
      <c r="C2597" s="4" t="s">
        <v>46</v>
      </c>
      <c r="D2597" s="5" t="n">
        <v>8793</v>
      </c>
      <c r="E2597" s="6" t="n">
        <v>161.45</v>
      </c>
      <c r="F2597" s="7" t="n">
        <v>69</v>
      </c>
      <c r="G2597" s="6" t="n">
        <v>32.2473537397274</v>
      </c>
      <c r="H2597" s="8" t="n">
        <v>18799.9800872149</v>
      </c>
      <c r="I2597" s="9" t="n">
        <v>1.59149893599924</v>
      </c>
      <c r="J2597" s="9" t="n">
        <v>3.28302872772295</v>
      </c>
      <c r="K2597" s="3" t="s">
        <v>900</v>
      </c>
      <c r="L2597" s="3" t="s">
        <v>901</v>
      </c>
      <c r="M2597" s="7" t="n">
        <v>2021</v>
      </c>
    </row>
    <row r="2598" customFormat="false" ht="15" hidden="false" customHeight="false" outlineLevel="0" collapsed="false">
      <c r="A2598" s="3" t="n">
        <v>3607</v>
      </c>
      <c r="B2598" s="3" t="s">
        <v>899</v>
      </c>
      <c r="C2598" s="4" t="s">
        <v>47</v>
      </c>
      <c r="D2598" s="5" t="n">
        <v>10177</v>
      </c>
      <c r="E2598" s="6" t="n">
        <v>180</v>
      </c>
      <c r="F2598" s="7" t="n">
        <v>35</v>
      </c>
      <c r="G2598" s="6" t="n">
        <v>79.6521632192501</v>
      </c>
      <c r="H2598" s="8" t="n">
        <v>10926.9423825</v>
      </c>
      <c r="I2598" s="9" t="n">
        <v>2.2485811710302</v>
      </c>
      <c r="J2598" s="9" t="n">
        <v>7.00640882672193</v>
      </c>
      <c r="K2598" s="3" t="s">
        <v>900</v>
      </c>
      <c r="L2598" s="3" t="s">
        <v>901</v>
      </c>
      <c r="M2598" s="7" t="n">
        <v>2022</v>
      </c>
    </row>
    <row r="2599" customFormat="false" ht="15" hidden="false" customHeight="false" outlineLevel="0" collapsed="false">
      <c r="A2599" s="3" t="n">
        <v>3608</v>
      </c>
      <c r="B2599" s="3" t="s">
        <v>899</v>
      </c>
      <c r="C2599" s="4" t="s">
        <v>48</v>
      </c>
      <c r="D2599" s="5" t="n">
        <v>10445</v>
      </c>
      <c r="E2599" s="6" t="n">
        <v>182</v>
      </c>
      <c r="F2599" s="7" t="n">
        <v>57</v>
      </c>
      <c r="G2599" s="6" t="n">
        <v>232.119529238885</v>
      </c>
      <c r="H2599" s="8" t="n">
        <v>45636.715058475</v>
      </c>
      <c r="I2599" s="9" t="n">
        <v>4.75181090761569</v>
      </c>
      <c r="J2599" s="9" t="n">
        <v>19.8394409652701</v>
      </c>
      <c r="K2599" s="3" t="s">
        <v>900</v>
      </c>
      <c r="L2599" s="3" t="s">
        <v>901</v>
      </c>
      <c r="M2599" s="7" t="n">
        <v>2023</v>
      </c>
    </row>
    <row r="2600" customFormat="false" ht="15" hidden="false" customHeight="false" outlineLevel="0" collapsed="false">
      <c r="A2600" s="3" t="n">
        <v>3609</v>
      </c>
      <c r="B2600" s="3" t="s">
        <v>899</v>
      </c>
      <c r="C2600" s="4" t="s">
        <v>49</v>
      </c>
      <c r="D2600" s="5" t="n">
        <v>11668</v>
      </c>
      <c r="E2600" s="6" t="n">
        <v>183.75</v>
      </c>
      <c r="F2600" s="7" t="n">
        <v>67</v>
      </c>
      <c r="G2600" s="6" t="n">
        <v>199.00938261965</v>
      </c>
      <c r="H2600" s="8" t="n">
        <v>42524.9762191499</v>
      </c>
      <c r="I2600" s="9" t="n">
        <v>4.99892447279787</v>
      </c>
      <c r="J2600" s="9" t="n">
        <v>15.2684449099056</v>
      </c>
      <c r="K2600" s="3" t="s">
        <v>900</v>
      </c>
      <c r="L2600" s="3" t="s">
        <v>901</v>
      </c>
      <c r="M2600" s="7" t="n">
        <v>2024</v>
      </c>
    </row>
    <row r="2601" customFormat="false" ht="15" hidden="false" customHeight="false" outlineLevel="0" collapsed="false">
      <c r="A2601" s="3" t="n">
        <v>3610</v>
      </c>
      <c r="B2601" s="3" t="s">
        <v>902</v>
      </c>
      <c r="C2601" s="4" t="s">
        <v>14</v>
      </c>
      <c r="D2601" s="5" t="n">
        <v>4722</v>
      </c>
      <c r="E2601" s="6" t="n">
        <v>49</v>
      </c>
      <c r="F2601" s="7" t="n">
        <v>63</v>
      </c>
      <c r="G2601" s="6" t="n">
        <v>216.789378064239</v>
      </c>
      <c r="H2601" s="8" t="n">
        <v>26770.1221832606</v>
      </c>
      <c r="I2601" s="9" t="n">
        <v>9.76917347503802</v>
      </c>
      <c r="J2601" s="9" t="n">
        <v>40.9862524189369</v>
      </c>
      <c r="K2601" s="3" t="s">
        <v>903</v>
      </c>
      <c r="L2601" s="3" t="s">
        <v>124</v>
      </c>
      <c r="M2601" s="7" t="n">
        <v>2016</v>
      </c>
    </row>
    <row r="2602" customFormat="false" ht="15" hidden="false" customHeight="false" outlineLevel="0" collapsed="false">
      <c r="A2602" s="3" t="n">
        <v>3611</v>
      </c>
      <c r="B2602" s="3" t="s">
        <v>902</v>
      </c>
      <c r="C2602" s="4" t="s">
        <v>41</v>
      </c>
      <c r="D2602" s="5" t="n">
        <v>4412</v>
      </c>
      <c r="E2602" s="6" t="n">
        <v>62</v>
      </c>
      <c r="F2602" s="7" t="n">
        <v>67</v>
      </c>
      <c r="G2602" s="6" t="n">
        <v>115.427533680362</v>
      </c>
      <c r="H2602" s="8" t="n">
        <v>32785.0247143519</v>
      </c>
      <c r="I2602" s="9" t="n">
        <v>5.69193576036935</v>
      </c>
      <c r="J2602" s="9" t="n">
        <v>23.4202532536636</v>
      </c>
      <c r="K2602" s="3" t="s">
        <v>903</v>
      </c>
      <c r="L2602" s="3" t="s">
        <v>124</v>
      </c>
      <c r="M2602" s="7" t="n">
        <v>2016</v>
      </c>
    </row>
    <row r="2603" customFormat="false" ht="15" hidden="false" customHeight="false" outlineLevel="0" collapsed="false">
      <c r="A2603" s="3" t="n">
        <v>3612</v>
      </c>
      <c r="B2603" s="3" t="s">
        <v>902</v>
      </c>
      <c r="C2603" s="4" t="s">
        <v>42</v>
      </c>
      <c r="D2603" s="5" t="n">
        <v>5095</v>
      </c>
      <c r="E2603" s="6" t="n">
        <v>60.46</v>
      </c>
      <c r="F2603" s="7" t="n">
        <v>58</v>
      </c>
      <c r="G2603" s="6" t="n">
        <v>340.827852099512</v>
      </c>
      <c r="H2603" s="8" t="n">
        <v>94988.8696541581</v>
      </c>
      <c r="I2603" s="9" t="n">
        <v>20.1989711321798</v>
      </c>
      <c r="J2603" s="9" t="n">
        <v>59.8836914204176</v>
      </c>
      <c r="K2603" s="3" t="s">
        <v>903</v>
      </c>
      <c r="L2603" s="3" t="s">
        <v>124</v>
      </c>
      <c r="M2603" s="7" t="n">
        <v>2017</v>
      </c>
    </row>
    <row r="2604" customFormat="false" ht="15" hidden="false" customHeight="false" outlineLevel="0" collapsed="false">
      <c r="A2604" s="3" t="n">
        <v>3613</v>
      </c>
      <c r="B2604" s="3" t="s">
        <v>902</v>
      </c>
      <c r="C2604" s="4" t="s">
        <v>43</v>
      </c>
      <c r="D2604" s="5" t="n">
        <v>5465</v>
      </c>
      <c r="E2604" s="6" t="n">
        <v>62</v>
      </c>
      <c r="F2604" s="7" t="n">
        <v>65</v>
      </c>
      <c r="G2604" s="6" t="n">
        <v>211.096269179253</v>
      </c>
      <c r="H2604" s="8" t="n">
        <v>59957.78089701</v>
      </c>
      <c r="I2604" s="9" t="n">
        <v>16.3239890388095</v>
      </c>
      <c r="J2604" s="9" t="n">
        <v>34.578652568457</v>
      </c>
      <c r="K2604" s="3" t="s">
        <v>903</v>
      </c>
      <c r="L2604" s="3" t="s">
        <v>124</v>
      </c>
      <c r="M2604" s="7" t="n">
        <v>2018</v>
      </c>
    </row>
    <row r="2605" customFormat="false" ht="15" hidden="false" customHeight="false" outlineLevel="0" collapsed="false">
      <c r="A2605" s="3" t="n">
        <v>3614</v>
      </c>
      <c r="B2605" s="3" t="s">
        <v>902</v>
      </c>
      <c r="C2605" s="4" t="s">
        <v>44</v>
      </c>
      <c r="D2605" s="5" t="n">
        <v>6188</v>
      </c>
      <c r="E2605" s="6" t="n">
        <v>98</v>
      </c>
      <c r="F2605" s="7" t="n">
        <v>62</v>
      </c>
      <c r="G2605" s="6" t="n">
        <v>28.8117795295495</v>
      </c>
      <c r="H2605" s="8" t="n">
        <v>8756.41599265856</v>
      </c>
      <c r="I2605" s="9" t="n">
        <v>11.5301508018457</v>
      </c>
      <c r="J2605" s="9" t="n">
        <v>4.15667406269458</v>
      </c>
      <c r="K2605" s="3" t="s">
        <v>903</v>
      </c>
      <c r="L2605" s="3" t="s">
        <v>124</v>
      </c>
      <c r="M2605" s="7" t="n">
        <v>2019</v>
      </c>
    </row>
    <row r="2606" customFormat="false" ht="15" hidden="false" customHeight="false" outlineLevel="0" collapsed="false">
      <c r="A2606" s="3" t="n">
        <v>3615</v>
      </c>
      <c r="B2606" s="3" t="s">
        <v>902</v>
      </c>
      <c r="C2606" s="4" t="s">
        <v>45</v>
      </c>
      <c r="D2606" s="5" t="n">
        <v>6704</v>
      </c>
      <c r="E2606" s="6" t="n">
        <v>98.5</v>
      </c>
      <c r="F2606" s="7" t="n">
        <v>72</v>
      </c>
      <c r="G2606" s="6" t="n">
        <v>140.076030673365</v>
      </c>
      <c r="H2606" s="8" t="n">
        <v>38974.419046096</v>
      </c>
      <c r="I2606" s="9" t="n">
        <v>4.49236638656078</v>
      </c>
      <c r="J2606" s="9" t="n">
        <v>18.7045599604905</v>
      </c>
      <c r="K2606" s="3" t="s">
        <v>903</v>
      </c>
      <c r="L2606" s="3" t="s">
        <v>124</v>
      </c>
      <c r="M2606" s="7" t="n">
        <v>2020</v>
      </c>
    </row>
    <row r="2607" customFormat="false" ht="15" hidden="false" customHeight="false" outlineLevel="0" collapsed="false">
      <c r="A2607" s="3" t="n">
        <v>3616</v>
      </c>
      <c r="B2607" s="3" t="s">
        <v>902</v>
      </c>
      <c r="C2607" s="4" t="s">
        <v>46</v>
      </c>
      <c r="D2607" s="5" t="n">
        <v>7272</v>
      </c>
      <c r="E2607" s="6" t="n">
        <v>101.8</v>
      </c>
      <c r="F2607" s="7" t="n">
        <v>66</v>
      </c>
      <c r="G2607" s="6" t="n">
        <v>333.901275195607</v>
      </c>
      <c r="H2607" s="8" t="n">
        <v>100078.297403544</v>
      </c>
      <c r="I2607" s="9" t="n">
        <v>8.6174948801214</v>
      </c>
      <c r="J2607" s="9" t="n">
        <v>41.1037913084372</v>
      </c>
      <c r="K2607" s="3" t="s">
        <v>903</v>
      </c>
      <c r="L2607" s="3" t="s">
        <v>124</v>
      </c>
      <c r="M2607" s="7" t="n">
        <v>2021</v>
      </c>
    </row>
    <row r="2608" customFormat="false" ht="15" hidden="false" customHeight="false" outlineLevel="0" collapsed="false">
      <c r="A2608" s="3" t="n">
        <v>3617</v>
      </c>
      <c r="B2608" s="3" t="s">
        <v>902</v>
      </c>
      <c r="C2608" s="4" t="s">
        <v>47</v>
      </c>
      <c r="D2608" s="5" t="n">
        <v>7398</v>
      </c>
      <c r="E2608" s="6" t="n">
        <v>102.7</v>
      </c>
      <c r="F2608" s="7" t="n">
        <v>61</v>
      </c>
      <c r="G2608" s="6" t="n">
        <v>427.974984917745</v>
      </c>
      <c r="H2608" s="8" t="n">
        <v>97030.1743369765</v>
      </c>
      <c r="I2608" s="9" t="n">
        <v>11.5897276550393</v>
      </c>
      <c r="J2608" s="9" t="n">
        <v>51.7871168070492</v>
      </c>
      <c r="K2608" s="3" t="s">
        <v>903</v>
      </c>
      <c r="L2608" s="3" t="s">
        <v>124</v>
      </c>
      <c r="M2608" s="7" t="n">
        <v>2022</v>
      </c>
    </row>
    <row r="2609" customFormat="false" ht="15" hidden="false" customHeight="false" outlineLevel="0" collapsed="false">
      <c r="A2609" s="3" t="n">
        <v>3618</v>
      </c>
      <c r="B2609" s="3" t="s">
        <v>902</v>
      </c>
      <c r="C2609" s="4" t="s">
        <v>48</v>
      </c>
      <c r="D2609" s="5" t="n">
        <v>7334</v>
      </c>
      <c r="E2609" s="6" t="n">
        <v>102.7</v>
      </c>
      <c r="F2609" s="7" t="n">
        <v>70</v>
      </c>
      <c r="G2609" s="6" t="n">
        <v>756.835922269195</v>
      </c>
      <c r="H2609" s="8" t="n">
        <v>67790.9288436694</v>
      </c>
      <c r="I2609" s="9" t="n">
        <v>17.6454351593838</v>
      </c>
      <c r="J2609" s="9" t="n">
        <v>92.1270203732436</v>
      </c>
      <c r="K2609" s="3" t="s">
        <v>903</v>
      </c>
      <c r="L2609" s="3" t="s">
        <v>124</v>
      </c>
      <c r="M2609" s="7" t="n">
        <v>2023</v>
      </c>
    </row>
    <row r="2610" customFormat="false" ht="15" hidden="false" customHeight="false" outlineLevel="0" collapsed="false">
      <c r="A2610" s="3" t="n">
        <v>3619</v>
      </c>
      <c r="B2610" s="3" t="s">
        <v>904</v>
      </c>
      <c r="C2610" s="4" t="s">
        <v>14</v>
      </c>
      <c r="D2610" s="5" t="n">
        <v>6421</v>
      </c>
      <c r="E2610" s="6" t="n">
        <v>88</v>
      </c>
      <c r="F2610" s="7" t="n">
        <v>50</v>
      </c>
      <c r="G2610" s="6" t="n">
        <v>87.7212531645572</v>
      </c>
      <c r="H2610" s="8" t="n">
        <v>123944.867446329</v>
      </c>
      <c r="I2610" s="9" t="n">
        <v>6.44631492506672</v>
      </c>
      <c r="J2610" s="9" t="n">
        <v>12.1963070937716</v>
      </c>
      <c r="K2610" s="3" t="s">
        <v>905</v>
      </c>
      <c r="L2610" s="3" t="s">
        <v>906</v>
      </c>
      <c r="M2610" s="7" t="n">
        <v>2016</v>
      </c>
    </row>
    <row r="2611" customFormat="false" ht="15" hidden="false" customHeight="false" outlineLevel="0" collapsed="false">
      <c r="A2611" s="3" t="n">
        <v>3620</v>
      </c>
      <c r="B2611" s="3" t="s">
        <v>904</v>
      </c>
      <c r="C2611" s="4" t="s">
        <v>17</v>
      </c>
      <c r="D2611" s="5" t="n">
        <v>6454</v>
      </c>
      <c r="E2611" s="6" t="n">
        <v>89</v>
      </c>
      <c r="F2611" s="7" t="n">
        <v>55</v>
      </c>
      <c r="G2611" s="6" t="n">
        <v>60.2607142405062</v>
      </c>
      <c r="H2611" s="8" t="n">
        <v>92239.2674665156</v>
      </c>
      <c r="I2611" s="9" t="n">
        <v>4.71760040114874</v>
      </c>
      <c r="J2611" s="9" t="n">
        <v>8.35839686946982</v>
      </c>
      <c r="K2611" s="3" t="s">
        <v>905</v>
      </c>
      <c r="L2611" s="3" t="s">
        <v>906</v>
      </c>
      <c r="M2611" s="7" t="n">
        <v>2017</v>
      </c>
    </row>
    <row r="2612" customFormat="false" ht="15" hidden="false" customHeight="false" outlineLevel="0" collapsed="false">
      <c r="A2612" s="3" t="n">
        <v>3621</v>
      </c>
      <c r="B2612" s="3" t="s">
        <v>904</v>
      </c>
      <c r="C2612" s="4" t="s">
        <v>18</v>
      </c>
      <c r="D2612" s="5" t="n">
        <v>6485</v>
      </c>
      <c r="E2612" s="6" t="n">
        <v>89</v>
      </c>
      <c r="F2612" s="7" t="n">
        <v>58</v>
      </c>
      <c r="G2612" s="6" t="n">
        <v>19.3420015306121</v>
      </c>
      <c r="H2612" s="8" t="n">
        <v>30212.2063908161</v>
      </c>
      <c r="I2612" s="9" t="n">
        <v>3.60180790960452</v>
      </c>
      <c r="J2612" s="9" t="n">
        <v>2.66998675758576</v>
      </c>
      <c r="K2612" s="3" t="s">
        <v>905</v>
      </c>
      <c r="L2612" s="3" t="s">
        <v>906</v>
      </c>
      <c r="M2612" s="7" t="n">
        <v>2018</v>
      </c>
    </row>
    <row r="2613" customFormat="false" ht="15" hidden="false" customHeight="false" outlineLevel="0" collapsed="false">
      <c r="A2613" s="3" t="n">
        <v>3622</v>
      </c>
      <c r="B2613" s="3" t="s">
        <v>904</v>
      </c>
      <c r="C2613" s="4" t="s">
        <v>19</v>
      </c>
      <c r="D2613" s="5" t="n">
        <v>6522</v>
      </c>
      <c r="E2613" s="6" t="n">
        <v>90</v>
      </c>
      <c r="F2613" s="7" t="n">
        <v>56</v>
      </c>
      <c r="G2613" s="6" t="n">
        <v>36.2828617346936</v>
      </c>
      <c r="H2613" s="8" t="n">
        <v>59322.4789362241</v>
      </c>
      <c r="I2613" s="9" t="n">
        <v>4.19841225314183</v>
      </c>
      <c r="J2613" s="9" t="n">
        <v>4.98010401780939</v>
      </c>
      <c r="K2613" s="3" t="s">
        <v>905</v>
      </c>
      <c r="L2613" s="3" t="s">
        <v>906</v>
      </c>
      <c r="M2613" s="7" t="n">
        <v>2019</v>
      </c>
    </row>
    <row r="2614" customFormat="false" ht="15" hidden="false" customHeight="false" outlineLevel="0" collapsed="false">
      <c r="A2614" s="3" t="n">
        <v>3623</v>
      </c>
      <c r="B2614" s="3" t="s">
        <v>904</v>
      </c>
      <c r="C2614" s="4" t="s">
        <v>20</v>
      </c>
      <c r="D2614" s="5" t="n">
        <v>6582</v>
      </c>
      <c r="E2614" s="6" t="n">
        <v>89</v>
      </c>
      <c r="F2614" s="7" t="n">
        <v>55</v>
      </c>
      <c r="G2614" s="6" t="n">
        <v>99.4214585611533</v>
      </c>
      <c r="H2614" s="8" t="n">
        <v>157980.697653673</v>
      </c>
      <c r="I2614" s="9" t="n">
        <v>6.57164821703041</v>
      </c>
      <c r="J2614" s="9" t="n">
        <v>13.4849222219213</v>
      </c>
      <c r="K2614" s="3" t="s">
        <v>905</v>
      </c>
      <c r="L2614" s="3" t="s">
        <v>906</v>
      </c>
      <c r="M2614" s="7" t="n">
        <v>2020</v>
      </c>
    </row>
    <row r="2615" customFormat="false" ht="15" hidden="false" customHeight="false" outlineLevel="0" collapsed="false">
      <c r="A2615" s="3" t="n">
        <v>3624</v>
      </c>
      <c r="B2615" s="3" t="s">
        <v>904</v>
      </c>
      <c r="C2615" s="4" t="s">
        <v>21</v>
      </c>
      <c r="D2615" s="5" t="n">
        <v>6583</v>
      </c>
      <c r="E2615" s="6" t="n">
        <v>89</v>
      </c>
      <c r="F2615" s="7" t="n">
        <v>55</v>
      </c>
      <c r="G2615" s="6" t="n">
        <v>10.6690016224489</v>
      </c>
      <c r="H2615" s="8" t="n">
        <v>17838.5707127346</v>
      </c>
      <c r="I2615" s="9" t="n">
        <v>2.99797446440164</v>
      </c>
      <c r="J2615" s="9" t="n">
        <v>1.45083358554109</v>
      </c>
      <c r="K2615" s="3" t="s">
        <v>905</v>
      </c>
      <c r="L2615" s="3" t="s">
        <v>906</v>
      </c>
      <c r="M2615" s="7" t="n">
        <v>2021</v>
      </c>
    </row>
    <row r="2616" customFormat="false" ht="15" hidden="false" customHeight="false" outlineLevel="0" collapsed="false">
      <c r="A2616" s="3" t="n">
        <v>3625</v>
      </c>
      <c r="B2616" s="3" t="s">
        <v>904</v>
      </c>
      <c r="C2616" s="4" t="s">
        <v>22</v>
      </c>
      <c r="D2616" s="5" t="n">
        <v>6593</v>
      </c>
      <c r="E2616" s="6" t="n">
        <v>89</v>
      </c>
      <c r="F2616" s="7" t="n">
        <v>47</v>
      </c>
      <c r="G2616" s="6" t="n">
        <v>6.61050969387756</v>
      </c>
      <c r="H2616" s="8" t="n">
        <v>11052.7722081633</v>
      </c>
      <c r="I2616" s="9" t="n">
        <v>3.05925516409509</v>
      </c>
      <c r="J2616" s="9" t="n">
        <v>0.89757251457994</v>
      </c>
      <c r="K2616" s="3" t="s">
        <v>905</v>
      </c>
      <c r="L2616" s="3" t="s">
        <v>906</v>
      </c>
      <c r="M2616" s="7" t="n">
        <v>2022</v>
      </c>
    </row>
    <row r="2617" customFormat="false" ht="15" hidden="false" customHeight="false" outlineLevel="0" collapsed="false">
      <c r="A2617" s="3" t="n">
        <v>3626</v>
      </c>
      <c r="B2617" s="3" t="s">
        <v>904</v>
      </c>
      <c r="C2617" s="4" t="s">
        <v>23</v>
      </c>
      <c r="D2617" s="5" t="n">
        <v>6605</v>
      </c>
      <c r="E2617" s="6" t="n">
        <v>89</v>
      </c>
      <c r="F2617" s="7" t="n">
        <v>47</v>
      </c>
      <c r="G2617" s="6" t="n">
        <v>102.037519387755</v>
      </c>
      <c r="H2617" s="8" t="n">
        <v>170606.732416326</v>
      </c>
      <c r="I2617" s="9" t="n">
        <v>7.86485509118148</v>
      </c>
      <c r="J2617" s="9" t="n">
        <v>13.8294447804358</v>
      </c>
      <c r="K2617" s="3" t="s">
        <v>905</v>
      </c>
      <c r="L2617" s="3" t="s">
        <v>906</v>
      </c>
      <c r="M2617" s="7" t="n">
        <v>2023</v>
      </c>
    </row>
    <row r="2618" customFormat="false" ht="15" hidden="false" customHeight="false" outlineLevel="0" collapsed="false">
      <c r="A2618" s="3" t="n">
        <v>3627</v>
      </c>
      <c r="B2618" s="3" t="s">
        <v>904</v>
      </c>
      <c r="C2618" s="4" t="s">
        <v>24</v>
      </c>
      <c r="D2618" s="5" t="n">
        <v>6694</v>
      </c>
      <c r="E2618" s="6" t="n">
        <v>89</v>
      </c>
      <c r="F2618" s="7" t="n">
        <v>45</v>
      </c>
      <c r="G2618" s="6" t="n">
        <v>71.3858987737662</v>
      </c>
      <c r="H2618" s="8" t="n">
        <v>113432.193151515</v>
      </c>
      <c r="I2618" s="9" t="n">
        <v>6.42296475510012</v>
      </c>
      <c r="J2618" s="9" t="n">
        <v>9.52035005845778</v>
      </c>
      <c r="K2618" s="3" t="s">
        <v>905</v>
      </c>
      <c r="L2618" s="3" t="s">
        <v>906</v>
      </c>
      <c r="M2618" s="7" t="n">
        <v>2024</v>
      </c>
    </row>
    <row r="2619" customFormat="false" ht="15" hidden="false" customHeight="false" outlineLevel="0" collapsed="false">
      <c r="A2619" s="3" t="n">
        <v>3628</v>
      </c>
      <c r="B2619" s="3" t="s">
        <v>907</v>
      </c>
      <c r="C2619" s="4" t="s">
        <v>14</v>
      </c>
      <c r="D2619" s="5" t="n">
        <v>10626</v>
      </c>
      <c r="E2619" s="6" t="n">
        <v>246</v>
      </c>
      <c r="F2619" s="7" t="n">
        <v>50</v>
      </c>
      <c r="G2619" s="6" t="n">
        <v>300.353230077742</v>
      </c>
      <c r="H2619" s="8" t="n">
        <v>59505.1930253062</v>
      </c>
      <c r="I2619" s="9" t="n">
        <v>9.28214345710279</v>
      </c>
      <c r="J2619" s="9" t="n">
        <v>25.2341505003396</v>
      </c>
      <c r="K2619" s="3" t="s">
        <v>908</v>
      </c>
      <c r="L2619" s="3" t="s">
        <v>909</v>
      </c>
      <c r="M2619" s="7" t="n">
        <v>2016</v>
      </c>
    </row>
    <row r="2620" customFormat="false" ht="15" hidden="false" customHeight="false" outlineLevel="0" collapsed="false">
      <c r="A2620" s="3" t="n">
        <v>3629</v>
      </c>
      <c r="B2620" s="3" t="s">
        <v>907</v>
      </c>
      <c r="C2620" s="4" t="s">
        <v>17</v>
      </c>
      <c r="D2620" s="5" t="n">
        <v>10736</v>
      </c>
      <c r="E2620" s="6" t="n">
        <v>246</v>
      </c>
      <c r="F2620" s="7" t="n">
        <v>67</v>
      </c>
      <c r="G2620" s="6" t="n">
        <v>595.475709976313</v>
      </c>
      <c r="H2620" s="8" t="n">
        <v>98294.9198224368</v>
      </c>
      <c r="I2620" s="9" t="n">
        <v>13.273481126423</v>
      </c>
      <c r="J2620" s="9" t="n">
        <v>49.6522830580003</v>
      </c>
      <c r="K2620" s="3" t="s">
        <v>908</v>
      </c>
      <c r="L2620" s="3" t="s">
        <v>909</v>
      </c>
      <c r="M2620" s="7" t="n">
        <v>2017</v>
      </c>
    </row>
    <row r="2621" customFormat="false" ht="15" hidden="false" customHeight="false" outlineLevel="0" collapsed="false">
      <c r="A2621" s="3" t="n">
        <v>3630</v>
      </c>
      <c r="B2621" s="3" t="s">
        <v>907</v>
      </c>
      <c r="C2621" s="4" t="s">
        <v>18</v>
      </c>
      <c r="D2621" s="5" t="n">
        <v>10738</v>
      </c>
      <c r="E2621" s="6" t="n">
        <v>246</v>
      </c>
      <c r="F2621" s="7" t="n">
        <v>67</v>
      </c>
      <c r="G2621" s="6" t="n">
        <v>396.62885713666</v>
      </c>
      <c r="H2621" s="8" t="n">
        <v>64216.4164602797</v>
      </c>
      <c r="I2621" s="9" t="n">
        <v>8.6034032564596</v>
      </c>
      <c r="J2621" s="9" t="n">
        <v>33.0657656507028</v>
      </c>
      <c r="K2621" s="3" t="s">
        <v>908</v>
      </c>
      <c r="L2621" s="3" t="s">
        <v>909</v>
      </c>
      <c r="M2621" s="7" t="n">
        <v>2018</v>
      </c>
    </row>
    <row r="2622" customFormat="false" ht="15" hidden="false" customHeight="false" outlineLevel="0" collapsed="false">
      <c r="A2622" s="3" t="n">
        <v>3631</v>
      </c>
      <c r="B2622" s="3" t="s">
        <v>907</v>
      </c>
      <c r="C2622" s="4" t="s">
        <v>19</v>
      </c>
      <c r="D2622" s="5" t="n">
        <v>10766</v>
      </c>
      <c r="E2622" s="6" t="n">
        <v>246</v>
      </c>
      <c r="F2622" s="7" t="n">
        <v>67</v>
      </c>
      <c r="G2622" s="6" t="n">
        <v>681.320592362197</v>
      </c>
      <c r="H2622" s="8" t="n">
        <v>124034.184483749</v>
      </c>
      <c r="I2622" s="9" t="n">
        <v>14.792628992629</v>
      </c>
      <c r="J2622" s="9" t="n">
        <v>56.65194362947</v>
      </c>
      <c r="K2622" s="3" t="s">
        <v>908</v>
      </c>
      <c r="L2622" s="3" t="s">
        <v>909</v>
      </c>
      <c r="M2622" s="7" t="n">
        <v>2019</v>
      </c>
    </row>
    <row r="2623" customFormat="false" ht="15" hidden="false" customHeight="false" outlineLevel="0" collapsed="false">
      <c r="A2623" s="3" t="n">
        <v>3632</v>
      </c>
      <c r="B2623" s="3" t="s">
        <v>907</v>
      </c>
      <c r="C2623" s="4" t="s">
        <v>20</v>
      </c>
      <c r="D2623" s="5" t="n">
        <v>10807</v>
      </c>
      <c r="E2623" s="6" t="n">
        <v>246</v>
      </c>
      <c r="F2623" s="7" t="n">
        <v>67</v>
      </c>
      <c r="G2623" s="6" t="n">
        <v>615.470688155106</v>
      </c>
      <c r="H2623" s="8" t="n">
        <v>106994.3341627</v>
      </c>
      <c r="I2623" s="9" t="n">
        <v>12.0423279969694</v>
      </c>
      <c r="J2623" s="9" t="n">
        <v>50.8426778701348</v>
      </c>
      <c r="K2623" s="3" t="s">
        <v>908</v>
      </c>
      <c r="L2623" s="3" t="s">
        <v>909</v>
      </c>
      <c r="M2623" s="7" t="n">
        <v>2020</v>
      </c>
    </row>
    <row r="2624" customFormat="false" ht="15" hidden="false" customHeight="false" outlineLevel="0" collapsed="false">
      <c r="A2624" s="3" t="n">
        <v>3633</v>
      </c>
      <c r="B2624" s="3" t="s">
        <v>907</v>
      </c>
      <c r="C2624" s="4" t="s">
        <v>21</v>
      </c>
      <c r="D2624" s="5" t="n">
        <v>10931</v>
      </c>
      <c r="E2624" s="6" t="n">
        <v>244</v>
      </c>
      <c r="F2624" s="7" t="n">
        <v>66</v>
      </c>
      <c r="G2624" s="6" t="n">
        <v>520.17610832659</v>
      </c>
      <c r="H2624" s="8" t="n">
        <v>100355.791254126</v>
      </c>
      <c r="I2624" s="9" t="n">
        <v>12.7291409320606</v>
      </c>
      <c r="J2624" s="9" t="n">
        <v>42.5998609344549</v>
      </c>
      <c r="K2624" s="3" t="s">
        <v>908</v>
      </c>
      <c r="L2624" s="3" t="s">
        <v>909</v>
      </c>
      <c r="M2624" s="7" t="n">
        <v>2021</v>
      </c>
    </row>
    <row r="2625" customFormat="false" ht="15" hidden="false" customHeight="false" outlineLevel="0" collapsed="false">
      <c r="A2625" s="3" t="n">
        <v>3634</v>
      </c>
      <c r="B2625" s="3" t="s">
        <v>907</v>
      </c>
      <c r="C2625" s="4" t="s">
        <v>22</v>
      </c>
      <c r="D2625" s="5" t="n">
        <v>10998</v>
      </c>
      <c r="E2625" s="6" t="n">
        <v>244</v>
      </c>
      <c r="F2625" s="7" t="n">
        <v>72</v>
      </c>
      <c r="G2625" s="6" t="n">
        <v>403.390434654278</v>
      </c>
      <c r="H2625" s="8" t="n">
        <v>107586.543724685</v>
      </c>
      <c r="I2625" s="9" t="n">
        <v>9.43990846453917</v>
      </c>
      <c r="J2625" s="9" t="n">
        <v>32.8344355623428</v>
      </c>
      <c r="K2625" s="3" t="s">
        <v>908</v>
      </c>
      <c r="L2625" s="3" t="s">
        <v>909</v>
      </c>
      <c r="M2625" s="7" t="n">
        <v>2022</v>
      </c>
    </row>
    <row r="2626" customFormat="false" ht="15" hidden="false" customHeight="false" outlineLevel="0" collapsed="false">
      <c r="A2626" s="3" t="n">
        <v>3635</v>
      </c>
      <c r="B2626" s="3" t="s">
        <v>907</v>
      </c>
      <c r="C2626" s="4" t="s">
        <v>910</v>
      </c>
      <c r="D2626" s="5" t="n">
        <v>10998</v>
      </c>
      <c r="E2626" s="6" t="n">
        <v>244</v>
      </c>
      <c r="F2626" s="7" t="n">
        <v>62</v>
      </c>
      <c r="G2626" s="6" t="n">
        <v>593.517586651025</v>
      </c>
      <c r="H2626" s="8" t="n">
        <v>252404.076068877</v>
      </c>
      <c r="I2626" s="9" t="n">
        <v>13.2308263384227</v>
      </c>
      <c r="J2626" s="9" t="n">
        <v>48.3100571552028</v>
      </c>
      <c r="K2626" s="3" t="s">
        <v>908</v>
      </c>
      <c r="L2626" s="3" t="s">
        <v>909</v>
      </c>
      <c r="M2626" s="7" t="n">
        <v>2022</v>
      </c>
    </row>
    <row r="2627" customFormat="false" ht="15" hidden="false" customHeight="false" outlineLevel="0" collapsed="false">
      <c r="A2627" s="3" t="n">
        <v>3636</v>
      </c>
      <c r="B2627" s="3" t="s">
        <v>907</v>
      </c>
      <c r="C2627" s="4" t="s">
        <v>23</v>
      </c>
      <c r="D2627" s="5" t="n">
        <v>11021</v>
      </c>
      <c r="E2627" s="6" t="n">
        <v>244</v>
      </c>
      <c r="F2627" s="7" t="n">
        <v>72</v>
      </c>
      <c r="G2627" s="6" t="n">
        <v>939.918807869725</v>
      </c>
      <c r="H2627" s="8" t="n">
        <v>258271.195251499</v>
      </c>
      <c r="I2627" s="9" t="n">
        <v>19.0932613599868</v>
      </c>
      <c r="J2627" s="9" t="n">
        <v>76.3461272892504</v>
      </c>
      <c r="K2627" s="3" t="s">
        <v>908</v>
      </c>
      <c r="L2627" s="3" t="s">
        <v>909</v>
      </c>
      <c r="M2627" s="7" t="n">
        <v>2023</v>
      </c>
    </row>
    <row r="2628" customFormat="false" ht="15" hidden="false" customHeight="false" outlineLevel="0" collapsed="false">
      <c r="A2628" s="3" t="n">
        <v>3637</v>
      </c>
      <c r="B2628" s="3" t="s">
        <v>907</v>
      </c>
      <c r="C2628" s="4" t="s">
        <v>911</v>
      </c>
      <c r="D2628" s="5" t="n">
        <v>10998</v>
      </c>
      <c r="E2628" s="6" t="n">
        <v>242.69</v>
      </c>
      <c r="F2628" s="7" t="n">
        <v>72</v>
      </c>
      <c r="G2628" s="6" t="n">
        <v>712.573895646393</v>
      </c>
      <c r="H2628" s="8" t="n">
        <v>205643.682707294</v>
      </c>
      <c r="I2628" s="9" t="n">
        <v>15.7213437900812</v>
      </c>
      <c r="J2628" s="9" t="n">
        <v>57.841878217029</v>
      </c>
      <c r="K2628" s="3" t="s">
        <v>908</v>
      </c>
      <c r="L2628" s="3" t="s">
        <v>909</v>
      </c>
      <c r="M2628" s="7" t="n">
        <v>2023</v>
      </c>
    </row>
    <row r="2629" customFormat="false" ht="15" hidden="false" customHeight="false" outlineLevel="0" collapsed="false">
      <c r="A2629" s="3" t="n">
        <v>3638</v>
      </c>
      <c r="B2629" s="3" t="s">
        <v>907</v>
      </c>
      <c r="C2629" s="4" t="s">
        <v>24</v>
      </c>
      <c r="D2629" s="5" t="n">
        <v>11037</v>
      </c>
      <c r="E2629" s="6" t="n">
        <v>244</v>
      </c>
      <c r="F2629" s="7" t="n">
        <v>67</v>
      </c>
      <c r="G2629" s="6" t="n">
        <v>558.281765385279</v>
      </c>
      <c r="H2629" s="8" t="n">
        <v>168456.627557902</v>
      </c>
      <c r="I2629" s="9" t="n">
        <v>14.3214419398723</v>
      </c>
      <c r="J2629" s="9" t="n">
        <v>45.1573652093167</v>
      </c>
      <c r="K2629" s="3" t="s">
        <v>908</v>
      </c>
      <c r="L2629" s="3" t="s">
        <v>909</v>
      </c>
      <c r="M2629" s="7" t="n">
        <v>2024</v>
      </c>
    </row>
    <row r="2630" customFormat="false" ht="15" hidden="false" customHeight="false" outlineLevel="0" collapsed="false">
      <c r="A2630" s="3" t="n">
        <v>3639</v>
      </c>
      <c r="B2630" s="3" t="s">
        <v>912</v>
      </c>
      <c r="C2630" s="4" t="s">
        <v>80</v>
      </c>
      <c r="D2630" s="5" t="n">
        <v>5191</v>
      </c>
      <c r="E2630" s="6" t="n">
        <v>57</v>
      </c>
      <c r="F2630" s="7" t="n">
        <v>49</v>
      </c>
      <c r="G2630" s="6" t="n">
        <v>127.107310234536</v>
      </c>
      <c r="H2630" s="8" t="n">
        <v>105331.285845155</v>
      </c>
      <c r="I2630" s="9" t="n">
        <v>13.8209864957713</v>
      </c>
      <c r="J2630" s="9" t="n">
        <v>21.8597752945608</v>
      </c>
      <c r="K2630" s="3" t="s">
        <v>913</v>
      </c>
      <c r="L2630" s="3" t="s">
        <v>914</v>
      </c>
      <c r="M2630" s="7" t="n">
        <v>2015</v>
      </c>
    </row>
    <row r="2631" customFormat="false" ht="15" hidden="false" customHeight="false" outlineLevel="0" collapsed="false">
      <c r="A2631" s="3" t="n">
        <v>3640</v>
      </c>
      <c r="B2631" s="3" t="s">
        <v>912</v>
      </c>
      <c r="C2631" s="4" t="s">
        <v>41</v>
      </c>
      <c r="D2631" s="5" t="n">
        <v>5191</v>
      </c>
      <c r="E2631" s="6" t="n">
        <v>57</v>
      </c>
      <c r="F2631" s="7" t="n">
        <v>44</v>
      </c>
      <c r="G2631" s="6" t="n">
        <v>134.724476030928</v>
      </c>
      <c r="H2631" s="8" t="n">
        <v>111177.191996898</v>
      </c>
      <c r="I2631" s="9" t="n">
        <v>14.5224929086409</v>
      </c>
      <c r="J2631" s="9" t="n">
        <v>23.23342028953</v>
      </c>
      <c r="K2631" s="3" t="s">
        <v>913</v>
      </c>
      <c r="L2631" s="3" t="s">
        <v>914</v>
      </c>
      <c r="M2631" s="7" t="n">
        <v>2016</v>
      </c>
    </row>
    <row r="2632" customFormat="false" ht="15" hidden="false" customHeight="false" outlineLevel="0" collapsed="false">
      <c r="A2632" s="3" t="n">
        <v>3641</v>
      </c>
      <c r="B2632" s="3" t="s">
        <v>912</v>
      </c>
      <c r="C2632" s="4" t="s">
        <v>42</v>
      </c>
      <c r="D2632" s="5" t="n">
        <v>5191</v>
      </c>
      <c r="E2632" s="6" t="n">
        <v>57</v>
      </c>
      <c r="F2632" s="7" t="n">
        <v>44</v>
      </c>
      <c r="G2632" s="6" t="n">
        <v>126.261288402062</v>
      </c>
      <c r="H2632" s="8" t="n">
        <v>128355.981847804</v>
      </c>
      <c r="I2632" s="9" t="n">
        <v>13.3181020866871</v>
      </c>
      <c r="J2632" s="9" t="n">
        <v>21.7739319993291</v>
      </c>
      <c r="K2632" s="3" t="s">
        <v>913</v>
      </c>
      <c r="L2632" s="3" t="s">
        <v>914</v>
      </c>
      <c r="M2632" s="7" t="n">
        <v>2017</v>
      </c>
    </row>
    <row r="2633" customFormat="false" ht="15" hidden="false" customHeight="false" outlineLevel="0" collapsed="false">
      <c r="A2633" s="3" t="n">
        <v>3642</v>
      </c>
      <c r="B2633" s="3" t="s">
        <v>912</v>
      </c>
      <c r="C2633" s="4" t="s">
        <v>43</v>
      </c>
      <c r="D2633" s="5" t="n">
        <v>5191</v>
      </c>
      <c r="E2633" s="6" t="n">
        <v>57</v>
      </c>
      <c r="F2633" s="7" t="n">
        <v>44</v>
      </c>
      <c r="G2633" s="6" t="n">
        <v>79.748137371134</v>
      </c>
      <c r="H2633" s="8" t="n">
        <v>90177.5987765309</v>
      </c>
      <c r="I2633" s="9" t="n">
        <v>10.2198489337604</v>
      </c>
      <c r="J2633" s="9" t="n">
        <v>13.7526754412865</v>
      </c>
      <c r="K2633" s="3" t="s">
        <v>913</v>
      </c>
      <c r="L2633" s="3" t="s">
        <v>914</v>
      </c>
      <c r="M2633" s="7" t="n">
        <v>2018</v>
      </c>
    </row>
    <row r="2634" customFormat="false" ht="15" hidden="false" customHeight="false" outlineLevel="0" collapsed="false">
      <c r="A2634" s="3" t="n">
        <v>3643</v>
      </c>
      <c r="B2634" s="3" t="s">
        <v>912</v>
      </c>
      <c r="C2634" s="4" t="s">
        <v>44</v>
      </c>
      <c r="D2634" s="5" t="n">
        <v>5278</v>
      </c>
      <c r="E2634" s="6" t="n">
        <v>57</v>
      </c>
      <c r="F2634" s="7" t="n">
        <v>49</v>
      </c>
      <c r="G2634" s="6" t="n">
        <v>91.8918394329897</v>
      </c>
      <c r="H2634" s="8" t="n">
        <v>97551.4578236675</v>
      </c>
      <c r="I2634" s="9" t="n">
        <v>10.7829511744488</v>
      </c>
      <c r="J2634" s="9" t="n">
        <v>15.5429608408535</v>
      </c>
      <c r="K2634" s="3" t="s">
        <v>913</v>
      </c>
      <c r="L2634" s="3" t="s">
        <v>914</v>
      </c>
      <c r="M2634" s="7" t="n">
        <v>2019</v>
      </c>
    </row>
    <row r="2635" customFormat="false" ht="15" hidden="false" customHeight="false" outlineLevel="0" collapsed="false">
      <c r="A2635" s="3" t="n">
        <v>3644</v>
      </c>
      <c r="B2635" s="3" t="s">
        <v>912</v>
      </c>
      <c r="C2635" s="4" t="s">
        <v>45</v>
      </c>
      <c r="D2635" s="5" t="n">
        <v>5278</v>
      </c>
      <c r="E2635" s="6" t="n">
        <v>57</v>
      </c>
      <c r="F2635" s="7" t="n">
        <v>45</v>
      </c>
      <c r="G2635" s="6" t="n">
        <v>93.68994871134</v>
      </c>
      <c r="H2635" s="8" t="n">
        <v>93600.9432600642</v>
      </c>
      <c r="I2635" s="9" t="n">
        <v>10.5737074252108</v>
      </c>
      <c r="J2635" s="9" t="n">
        <v>15.890636374469</v>
      </c>
      <c r="K2635" s="3" t="s">
        <v>913</v>
      </c>
      <c r="L2635" s="3" t="s">
        <v>914</v>
      </c>
      <c r="M2635" s="7" t="n">
        <v>2020</v>
      </c>
    </row>
    <row r="2636" customFormat="false" ht="15" hidden="false" customHeight="false" outlineLevel="0" collapsed="false">
      <c r="A2636" s="3" t="n">
        <v>3645</v>
      </c>
      <c r="B2636" s="3" t="s">
        <v>912</v>
      </c>
      <c r="C2636" s="4" t="s">
        <v>46</v>
      </c>
      <c r="D2636" s="5" t="n">
        <v>5278</v>
      </c>
      <c r="E2636" s="6" t="n">
        <v>57</v>
      </c>
      <c r="F2636" s="7" t="n">
        <v>50</v>
      </c>
      <c r="G2636" s="6" t="n">
        <v>65.2873734536082</v>
      </c>
      <c r="H2636" s="8" t="n">
        <v>77217.9880785206</v>
      </c>
      <c r="I2636" s="9" t="n">
        <v>8.69535546638188</v>
      </c>
      <c r="J2636" s="9" t="n">
        <v>11.0733106983746</v>
      </c>
      <c r="K2636" s="3" t="s">
        <v>913</v>
      </c>
      <c r="L2636" s="3" t="s">
        <v>914</v>
      </c>
      <c r="M2636" s="7" t="n">
        <v>2021</v>
      </c>
    </row>
    <row r="2637" customFormat="false" ht="15" hidden="false" customHeight="false" outlineLevel="0" collapsed="false">
      <c r="A2637" s="3" t="n">
        <v>3646</v>
      </c>
      <c r="B2637" s="3" t="s">
        <v>912</v>
      </c>
      <c r="C2637" s="4" t="s">
        <v>47</v>
      </c>
      <c r="D2637" s="5" t="n">
        <v>5278</v>
      </c>
      <c r="E2637" s="6" t="n">
        <v>57</v>
      </c>
      <c r="F2637" s="7" t="n">
        <v>47</v>
      </c>
      <c r="G2637" s="6" t="n">
        <v>137.090384020619</v>
      </c>
      <c r="H2637" s="8" t="n">
        <v>164285.003498789</v>
      </c>
      <c r="I2637" s="9" t="n">
        <v>15.2203465583647</v>
      </c>
      <c r="J2637" s="9" t="n">
        <v>23.2517305524397</v>
      </c>
      <c r="K2637" s="3" t="s">
        <v>913</v>
      </c>
      <c r="L2637" s="3" t="s">
        <v>914</v>
      </c>
      <c r="M2637" s="7" t="n">
        <v>2022</v>
      </c>
    </row>
    <row r="2638" customFormat="false" ht="15" hidden="false" customHeight="false" outlineLevel="0" collapsed="false">
      <c r="A2638" s="3" t="n">
        <v>3647</v>
      </c>
      <c r="B2638" s="3" t="s">
        <v>912</v>
      </c>
      <c r="C2638" s="4" t="s">
        <v>48</v>
      </c>
      <c r="D2638" s="5" t="n">
        <v>5278</v>
      </c>
      <c r="E2638" s="6" t="n">
        <v>57</v>
      </c>
      <c r="F2638" s="7" t="n">
        <v>47</v>
      </c>
      <c r="G2638" s="6" t="n">
        <v>99.750137371134</v>
      </c>
      <c r="H2638" s="8" t="n">
        <v>127057.734977856</v>
      </c>
      <c r="I2638" s="9" t="n">
        <v>11.8005556049783</v>
      </c>
      <c r="J2638" s="9" t="n">
        <v>16.8721454331089</v>
      </c>
      <c r="K2638" s="3" t="s">
        <v>913</v>
      </c>
      <c r="L2638" s="3" t="s">
        <v>914</v>
      </c>
      <c r="M2638" s="7" t="n">
        <v>2023</v>
      </c>
    </row>
    <row r="2639" customFormat="false" ht="15" hidden="false" customHeight="false" outlineLevel="0" collapsed="false">
      <c r="A2639" s="3" t="n">
        <v>3648</v>
      </c>
      <c r="B2639" s="3" t="s">
        <v>912</v>
      </c>
      <c r="C2639" s="4" t="s">
        <v>49</v>
      </c>
      <c r="D2639" s="5" t="n">
        <v>5278</v>
      </c>
      <c r="E2639" s="6" t="n">
        <v>57</v>
      </c>
      <c r="F2639" s="7" t="n">
        <v>47</v>
      </c>
      <c r="G2639" s="6" t="n">
        <v>142.698446907217</v>
      </c>
      <c r="H2639" s="8" t="n">
        <v>177307.101235624</v>
      </c>
      <c r="I2639" s="9" t="n">
        <v>14.7501102468176</v>
      </c>
      <c r="J2639" s="9" t="n">
        <v>24.2029071655324</v>
      </c>
      <c r="K2639" s="3" t="s">
        <v>913</v>
      </c>
      <c r="L2639" s="3" t="s">
        <v>914</v>
      </c>
      <c r="M2639" s="7" t="n">
        <v>2024</v>
      </c>
    </row>
    <row r="2640" customFormat="false" ht="15" hidden="false" customHeight="false" outlineLevel="0" collapsed="false">
      <c r="A2640" s="3" t="n">
        <v>3649</v>
      </c>
      <c r="B2640" s="3" t="s">
        <v>915</v>
      </c>
      <c r="C2640" s="4" t="s">
        <v>14</v>
      </c>
      <c r="D2640" s="5" t="n">
        <v>10648</v>
      </c>
      <c r="E2640" s="6" t="n">
        <v>174</v>
      </c>
      <c r="F2640" s="7" t="n">
        <v>65</v>
      </c>
      <c r="G2640" s="6" t="n">
        <v>141.642492320803</v>
      </c>
      <c r="H2640" s="8" t="n">
        <v>66912.2539756817</v>
      </c>
      <c r="I2640" s="9" t="n">
        <v>4.48294862571193</v>
      </c>
      <c r="J2640" s="9" t="n">
        <v>11.8754947267031</v>
      </c>
      <c r="K2640" s="3" t="s">
        <v>916</v>
      </c>
      <c r="L2640" s="3" t="s">
        <v>917</v>
      </c>
      <c r="M2640" s="7" t="n">
        <v>2016</v>
      </c>
    </row>
    <row r="2641" customFormat="false" ht="15" hidden="false" customHeight="false" outlineLevel="0" collapsed="false">
      <c r="A2641" s="3" t="n">
        <v>3650</v>
      </c>
      <c r="B2641" s="3" t="s">
        <v>915</v>
      </c>
      <c r="C2641" s="4" t="s">
        <v>17</v>
      </c>
      <c r="D2641" s="5" t="n">
        <v>11583</v>
      </c>
      <c r="E2641" s="6" t="n">
        <v>327</v>
      </c>
      <c r="F2641" s="7" t="n">
        <v>68</v>
      </c>
      <c r="G2641" s="6" t="n">
        <v>225.846936686998</v>
      </c>
      <c r="H2641" s="8" t="n">
        <v>139542.299989571</v>
      </c>
      <c r="I2641" s="9" t="n">
        <v>6.65567098600343</v>
      </c>
      <c r="J2641" s="9" t="n">
        <v>17.4546370453846</v>
      </c>
      <c r="K2641" s="3" t="s">
        <v>916</v>
      </c>
      <c r="L2641" s="3" t="s">
        <v>917</v>
      </c>
      <c r="M2641" s="7" t="n">
        <v>2017</v>
      </c>
    </row>
    <row r="2642" customFormat="false" ht="15" hidden="false" customHeight="false" outlineLevel="0" collapsed="false">
      <c r="A2642" s="3" t="n">
        <v>3651</v>
      </c>
      <c r="B2642" s="3" t="s">
        <v>915</v>
      </c>
      <c r="C2642" s="4" t="s">
        <v>18</v>
      </c>
      <c r="D2642" s="5" t="n">
        <v>11291</v>
      </c>
      <c r="E2642" s="6" t="n">
        <v>185.3</v>
      </c>
      <c r="F2642" s="7" t="n">
        <v>69</v>
      </c>
      <c r="G2642" s="6" t="n">
        <v>45.8544310699202</v>
      </c>
      <c r="H2642" s="8" t="n">
        <v>28331.7226705529</v>
      </c>
      <c r="I2642" s="9" t="n">
        <v>3.32665978979427</v>
      </c>
      <c r="J2642" s="9" t="n">
        <v>3.63552032070777</v>
      </c>
      <c r="K2642" s="3" t="s">
        <v>916</v>
      </c>
      <c r="L2642" s="3" t="s">
        <v>917</v>
      </c>
      <c r="M2642" s="7" t="n">
        <v>2018</v>
      </c>
    </row>
    <row r="2643" customFormat="false" ht="15" hidden="false" customHeight="false" outlineLevel="0" collapsed="false">
      <c r="A2643" s="3" t="n">
        <v>3652</v>
      </c>
      <c r="B2643" s="3" t="s">
        <v>915</v>
      </c>
      <c r="C2643" s="4" t="s">
        <v>19</v>
      </c>
      <c r="D2643" s="5" t="n">
        <v>11323</v>
      </c>
      <c r="E2643" s="6" t="n">
        <v>185.5</v>
      </c>
      <c r="F2643" s="7" t="n">
        <v>65</v>
      </c>
      <c r="G2643" s="6" t="n">
        <v>122.607278616228</v>
      </c>
      <c r="H2643" s="8" t="n">
        <v>75754.4109499345</v>
      </c>
      <c r="I2643" s="9" t="n">
        <v>4.62134200246856</v>
      </c>
      <c r="J2643" s="9" t="n">
        <v>9.69331709948935</v>
      </c>
      <c r="K2643" s="3" t="s">
        <v>916</v>
      </c>
      <c r="L2643" s="3" t="s">
        <v>917</v>
      </c>
      <c r="M2643" s="7" t="n">
        <v>2019</v>
      </c>
    </row>
    <row r="2644" customFormat="false" ht="15" hidden="false" customHeight="false" outlineLevel="0" collapsed="false">
      <c r="A2644" s="3" t="n">
        <v>3653</v>
      </c>
      <c r="B2644" s="3" t="s">
        <v>915</v>
      </c>
      <c r="C2644" s="4" t="s">
        <v>20</v>
      </c>
      <c r="D2644" s="5" t="n">
        <v>11308</v>
      </c>
      <c r="E2644" s="6" t="n">
        <v>186.5</v>
      </c>
      <c r="F2644" s="7" t="n">
        <v>76</v>
      </c>
      <c r="G2644" s="6" t="n">
        <v>16.4482327637067</v>
      </c>
      <c r="H2644" s="8" t="n">
        <v>10162.7423611789</v>
      </c>
      <c r="I2644" s="9" t="n">
        <v>2.76728276412926</v>
      </c>
      <c r="J2644" s="9" t="n">
        <v>1.29855287183921</v>
      </c>
      <c r="K2644" s="3" t="s">
        <v>916</v>
      </c>
      <c r="L2644" s="3" t="s">
        <v>917</v>
      </c>
      <c r="M2644" s="7" t="n">
        <v>2020</v>
      </c>
    </row>
    <row r="2645" customFormat="false" ht="15" hidden="false" customHeight="false" outlineLevel="0" collapsed="false">
      <c r="A2645" s="3" t="n">
        <v>3654</v>
      </c>
      <c r="B2645" s="3" t="s">
        <v>915</v>
      </c>
      <c r="C2645" s="4" t="s">
        <v>21</v>
      </c>
      <c r="D2645" s="5" t="n">
        <v>11318</v>
      </c>
      <c r="E2645" s="6" t="n">
        <v>186.5</v>
      </c>
      <c r="F2645" s="7" t="n">
        <v>72</v>
      </c>
      <c r="G2645" s="6" t="n">
        <v>94.2584843514103</v>
      </c>
      <c r="H2645" s="8" t="n">
        <v>58238.7606972756</v>
      </c>
      <c r="I2645" s="9" t="n">
        <v>3.86740504267381</v>
      </c>
      <c r="J2645" s="9" t="n">
        <v>7.45535687206206</v>
      </c>
      <c r="K2645" s="3" t="s">
        <v>916</v>
      </c>
      <c r="L2645" s="3" t="s">
        <v>917</v>
      </c>
      <c r="M2645" s="7" t="n">
        <v>2021</v>
      </c>
    </row>
    <row r="2646" customFormat="false" ht="15" hidden="false" customHeight="false" outlineLevel="0" collapsed="false">
      <c r="A2646" s="3" t="n">
        <v>3655</v>
      </c>
      <c r="B2646" s="3" t="s">
        <v>915</v>
      </c>
      <c r="C2646" s="4" t="s">
        <v>22</v>
      </c>
      <c r="D2646" s="5" t="n">
        <v>12117</v>
      </c>
      <c r="E2646" s="6" t="n">
        <v>187.23</v>
      </c>
      <c r="F2646" s="7" t="n">
        <v>59</v>
      </c>
      <c r="G2646" s="6" t="n">
        <v>287.922555615032</v>
      </c>
      <c r="H2646" s="8" t="n">
        <v>140508.339589958</v>
      </c>
      <c r="I2646" s="9" t="n">
        <v>7.19318651832596</v>
      </c>
      <c r="J2646" s="9" t="n">
        <v>21.2715068080977</v>
      </c>
      <c r="K2646" s="3" t="s">
        <v>916</v>
      </c>
      <c r="L2646" s="3" t="s">
        <v>917</v>
      </c>
      <c r="M2646" s="7" t="n">
        <v>2022</v>
      </c>
    </row>
    <row r="2647" customFormat="false" ht="15" hidden="false" customHeight="false" outlineLevel="0" collapsed="false">
      <c r="A2647" s="3" t="n">
        <v>3656</v>
      </c>
      <c r="B2647" s="3" t="s">
        <v>915</v>
      </c>
      <c r="C2647" s="4" t="s">
        <v>23</v>
      </c>
      <c r="D2647" s="5" t="n">
        <v>12096</v>
      </c>
      <c r="E2647" s="6" t="n">
        <v>187.2</v>
      </c>
      <c r="F2647" s="7" t="n">
        <v>59</v>
      </c>
      <c r="G2647" s="6" t="n">
        <v>50.6439957726549</v>
      </c>
      <c r="H2647" s="8" t="n">
        <v>26563.9032704446</v>
      </c>
      <c r="I2647" s="9" t="n">
        <v>3.28094118747736</v>
      </c>
      <c r="J2647" s="9" t="n">
        <v>3.74803691950553</v>
      </c>
      <c r="K2647" s="3" t="s">
        <v>916</v>
      </c>
      <c r="L2647" s="3" t="s">
        <v>917</v>
      </c>
      <c r="M2647" s="7" t="n">
        <v>2023</v>
      </c>
    </row>
    <row r="2648" customFormat="false" ht="15" hidden="false" customHeight="false" outlineLevel="0" collapsed="false">
      <c r="A2648" s="3" t="n">
        <v>3657</v>
      </c>
      <c r="B2648" s="3" t="s">
        <v>915</v>
      </c>
      <c r="C2648" s="4" t="s">
        <v>24</v>
      </c>
      <c r="D2648" s="5" t="n">
        <v>12295</v>
      </c>
      <c r="E2648" s="6" t="n">
        <v>192.4</v>
      </c>
      <c r="F2648" s="7" t="n">
        <v>59</v>
      </c>
      <c r="G2648" s="6" t="n">
        <v>251.712980454078</v>
      </c>
      <c r="H2648" s="8" t="n">
        <v>132504.783426205</v>
      </c>
      <c r="I2648" s="9" t="n">
        <v>7.13780335636009</v>
      </c>
      <c r="J2648" s="9" t="n">
        <v>18.2769310152678</v>
      </c>
      <c r="K2648" s="3" t="s">
        <v>916</v>
      </c>
      <c r="L2648" s="3" t="s">
        <v>917</v>
      </c>
      <c r="M2648" s="7" t="n">
        <v>2024</v>
      </c>
    </row>
    <row r="2649" customFormat="false" ht="15" hidden="false" customHeight="false" outlineLevel="0" collapsed="false">
      <c r="A2649" s="3" t="n">
        <v>3658</v>
      </c>
      <c r="B2649" s="3" t="s">
        <v>918</v>
      </c>
      <c r="C2649" s="4" t="s">
        <v>14</v>
      </c>
      <c r="D2649" s="5" t="n">
        <v>4889</v>
      </c>
      <c r="E2649" s="6" t="n">
        <v>50</v>
      </c>
      <c r="F2649" s="7" t="n">
        <v>49</v>
      </c>
      <c r="G2649" s="6" t="n">
        <v>10.7783487373735</v>
      </c>
      <c r="H2649" s="8" t="n">
        <v>12307.7984569829</v>
      </c>
      <c r="I2649" s="9" t="n">
        <v>2.3847560271884</v>
      </c>
      <c r="J2649" s="9" t="n">
        <v>1.96815087513871</v>
      </c>
      <c r="K2649" s="3" t="s">
        <v>919</v>
      </c>
      <c r="L2649" s="3" t="s">
        <v>920</v>
      </c>
      <c r="M2649" s="7" t="n">
        <v>2016</v>
      </c>
    </row>
    <row r="2650" customFormat="false" ht="15" hidden="false" customHeight="false" outlineLevel="0" collapsed="false">
      <c r="A2650" s="3" t="n">
        <v>3659</v>
      </c>
      <c r="B2650" s="3" t="s">
        <v>918</v>
      </c>
      <c r="C2650" s="4" t="s">
        <v>42</v>
      </c>
      <c r="D2650" s="5" t="n">
        <v>4695</v>
      </c>
      <c r="E2650" s="6" t="n">
        <v>50</v>
      </c>
      <c r="F2650" s="7" t="n">
        <v>49</v>
      </c>
      <c r="G2650" s="6" t="n">
        <v>88.531535858586</v>
      </c>
      <c r="H2650" s="8" t="n">
        <v>153871.7047098</v>
      </c>
      <c r="I2650" s="9" t="n">
        <v>6.64518953382649</v>
      </c>
      <c r="J2650" s="9" t="n">
        <v>16.880296721469</v>
      </c>
      <c r="K2650" s="3" t="s">
        <v>919</v>
      </c>
      <c r="L2650" s="3" t="s">
        <v>920</v>
      </c>
      <c r="M2650" s="7" t="n">
        <v>2017</v>
      </c>
    </row>
    <row r="2651" customFormat="false" ht="15" hidden="false" customHeight="false" outlineLevel="0" collapsed="false">
      <c r="A2651" s="3" t="n">
        <v>3660</v>
      </c>
      <c r="B2651" s="3" t="s">
        <v>918</v>
      </c>
      <c r="C2651" s="4" t="s">
        <v>43</v>
      </c>
      <c r="D2651" s="5" t="n">
        <v>4695</v>
      </c>
      <c r="E2651" s="6" t="n">
        <v>50</v>
      </c>
      <c r="F2651" s="7" t="n">
        <v>53</v>
      </c>
      <c r="G2651" s="6" t="n">
        <v>89.3261633585857</v>
      </c>
      <c r="H2651" s="8" t="n">
        <v>158104.629359796</v>
      </c>
      <c r="I2651" s="9" t="n">
        <v>7.14178080513562</v>
      </c>
      <c r="J2651" s="9" t="n">
        <v>17.0318082461811</v>
      </c>
      <c r="K2651" s="3" t="s">
        <v>919</v>
      </c>
      <c r="L2651" s="3" t="s">
        <v>920</v>
      </c>
      <c r="M2651" s="7" t="n">
        <v>2018</v>
      </c>
    </row>
    <row r="2652" customFormat="false" ht="15" hidden="false" customHeight="false" outlineLevel="0" collapsed="false">
      <c r="A2652" s="3" t="n">
        <v>3661</v>
      </c>
      <c r="B2652" s="3" t="s">
        <v>918</v>
      </c>
      <c r="C2652" s="4" t="s">
        <v>44</v>
      </c>
      <c r="D2652" s="5" t="n">
        <v>4922</v>
      </c>
      <c r="E2652" s="6" t="n">
        <v>50</v>
      </c>
      <c r="F2652" s="7" t="n">
        <v>53</v>
      </c>
      <c r="G2652" s="6" t="n">
        <v>144.397674747475</v>
      </c>
      <c r="H2652" s="8" t="n">
        <v>109443.329621354</v>
      </c>
      <c r="I2652" s="9" t="n">
        <v>9.97050011257296</v>
      </c>
      <c r="J2652" s="9" t="n">
        <v>26.1905599762539</v>
      </c>
      <c r="K2652" s="3" t="s">
        <v>919</v>
      </c>
      <c r="L2652" s="3" t="s">
        <v>920</v>
      </c>
      <c r="M2652" s="7" t="n">
        <v>2019</v>
      </c>
    </row>
    <row r="2653" customFormat="false" ht="15" hidden="false" customHeight="false" outlineLevel="0" collapsed="false">
      <c r="A2653" s="3" t="n">
        <v>3662</v>
      </c>
      <c r="B2653" s="3" t="s">
        <v>918</v>
      </c>
      <c r="C2653" s="4" t="s">
        <v>45</v>
      </c>
      <c r="D2653" s="5" t="n">
        <v>4975</v>
      </c>
      <c r="E2653" s="6" t="n">
        <v>50</v>
      </c>
      <c r="F2653" s="7" t="n">
        <v>50</v>
      </c>
      <c r="G2653" s="6" t="n">
        <v>268.330268181818</v>
      </c>
      <c r="H2653" s="8" t="n">
        <v>193951.8011445</v>
      </c>
      <c r="I2653" s="9" t="n">
        <v>16.1777927930383</v>
      </c>
      <c r="J2653" s="9" t="n">
        <v>48.2830008378782</v>
      </c>
      <c r="K2653" s="3" t="s">
        <v>919</v>
      </c>
      <c r="L2653" s="3" t="s">
        <v>920</v>
      </c>
      <c r="M2653" s="7" t="n">
        <v>2020</v>
      </c>
    </row>
    <row r="2654" customFormat="false" ht="15" hidden="false" customHeight="false" outlineLevel="0" collapsed="false">
      <c r="A2654" s="3" t="n">
        <v>3663</v>
      </c>
      <c r="B2654" s="3" t="s">
        <v>918</v>
      </c>
      <c r="C2654" s="4" t="s">
        <v>46</v>
      </c>
      <c r="D2654" s="5" t="n">
        <v>5011</v>
      </c>
      <c r="E2654" s="6" t="n">
        <v>50</v>
      </c>
      <c r="F2654" s="7" t="n">
        <v>44</v>
      </c>
      <c r="G2654" s="6" t="n">
        <v>76.8591565656566</v>
      </c>
      <c r="H2654" s="8" t="n">
        <v>100222.802978485</v>
      </c>
      <c r="I2654" s="9" t="n">
        <v>7.11768688195437</v>
      </c>
      <c r="J2654" s="9" t="n">
        <v>13.7305801007431</v>
      </c>
      <c r="K2654" s="3" t="s">
        <v>919</v>
      </c>
      <c r="L2654" s="3" t="s">
        <v>920</v>
      </c>
      <c r="M2654" s="7" t="n">
        <v>2021</v>
      </c>
    </row>
    <row r="2655" customFormat="false" ht="15" hidden="false" customHeight="false" outlineLevel="0" collapsed="false">
      <c r="A2655" s="3" t="n">
        <v>3664</v>
      </c>
      <c r="B2655" s="3" t="s">
        <v>918</v>
      </c>
      <c r="C2655" s="4" t="s">
        <v>47</v>
      </c>
      <c r="D2655" s="5" t="n">
        <v>5011</v>
      </c>
      <c r="E2655" s="6" t="n">
        <v>50</v>
      </c>
      <c r="F2655" s="7" t="n">
        <v>44</v>
      </c>
      <c r="G2655" s="6" t="n">
        <v>93.5500897222222</v>
      </c>
      <c r="H2655" s="8" t="n">
        <v>269877.040834256</v>
      </c>
      <c r="I2655" s="9" t="n">
        <v>7.95634033676054</v>
      </c>
      <c r="J2655" s="9" t="n">
        <v>16.7123483753741</v>
      </c>
      <c r="K2655" s="3" t="s">
        <v>919</v>
      </c>
      <c r="L2655" s="3" t="s">
        <v>920</v>
      </c>
      <c r="M2655" s="7" t="n">
        <v>2022</v>
      </c>
    </row>
    <row r="2656" customFormat="false" ht="15" hidden="false" customHeight="false" outlineLevel="0" collapsed="false">
      <c r="A2656" s="3" t="n">
        <v>3665</v>
      </c>
      <c r="B2656" s="3" t="s">
        <v>918</v>
      </c>
      <c r="C2656" s="4" t="s">
        <v>48</v>
      </c>
      <c r="D2656" s="5" t="n">
        <v>4977</v>
      </c>
      <c r="E2656" s="6" t="n">
        <v>50</v>
      </c>
      <c r="F2656" s="7" t="n">
        <v>44</v>
      </c>
      <c r="G2656" s="6" t="n">
        <v>111.428156313131</v>
      </c>
      <c r="H2656" s="8" t="n">
        <v>252834.943800747</v>
      </c>
      <c r="I2656" s="9" t="n">
        <v>8.94563216072984</v>
      </c>
      <c r="J2656" s="9" t="n">
        <v>19.9872708501793</v>
      </c>
      <c r="K2656" s="3" t="s">
        <v>919</v>
      </c>
      <c r="L2656" s="3" t="s">
        <v>920</v>
      </c>
      <c r="M2656" s="7" t="n">
        <v>2023</v>
      </c>
    </row>
    <row r="2657" customFormat="false" ht="15" hidden="false" customHeight="false" outlineLevel="0" collapsed="false">
      <c r="A2657" s="3" t="n">
        <v>3666</v>
      </c>
      <c r="B2657" s="3" t="s">
        <v>918</v>
      </c>
      <c r="C2657" s="4" t="s">
        <v>49</v>
      </c>
      <c r="D2657" s="5" t="n">
        <v>5398</v>
      </c>
      <c r="E2657" s="6" t="n">
        <v>50</v>
      </c>
      <c r="F2657" s="7" t="n">
        <v>51</v>
      </c>
      <c r="G2657" s="6" t="n">
        <v>106.011544923858</v>
      </c>
      <c r="H2657" s="8" t="n">
        <v>279027.686816841</v>
      </c>
      <c r="I2657" s="9" t="n">
        <v>8.87921290587752</v>
      </c>
      <c r="J2657" s="9" t="n">
        <v>17.5807726533759</v>
      </c>
      <c r="K2657" s="3" t="s">
        <v>919</v>
      </c>
      <c r="L2657" s="3" t="s">
        <v>920</v>
      </c>
      <c r="M2657" s="7" t="n">
        <v>2024</v>
      </c>
    </row>
    <row r="2658" customFormat="false" ht="15" hidden="false" customHeight="false" outlineLevel="0" collapsed="false">
      <c r="A2658" s="3" t="n">
        <v>3667</v>
      </c>
      <c r="B2658" s="3" t="s">
        <v>921</v>
      </c>
      <c r="C2658" s="4" t="s">
        <v>14</v>
      </c>
      <c r="D2658" s="5" t="n">
        <v>11000</v>
      </c>
      <c r="E2658" s="6" t="n">
        <v>176.8</v>
      </c>
      <c r="F2658" s="7" t="n">
        <v>43</v>
      </c>
      <c r="G2658" s="6" t="n">
        <v>412.922613583163</v>
      </c>
      <c r="H2658" s="8" t="n">
        <v>109482.30176544</v>
      </c>
      <c r="I2658" s="9" t="n">
        <v>11.71054306101</v>
      </c>
      <c r="J2658" s="9" t="n">
        <v>33.5121411105074</v>
      </c>
      <c r="K2658" s="3" t="s">
        <v>922</v>
      </c>
      <c r="L2658" s="3" t="s">
        <v>923</v>
      </c>
      <c r="M2658" s="7" t="n">
        <v>2016</v>
      </c>
    </row>
    <row r="2659" customFormat="false" ht="15" hidden="false" customHeight="false" outlineLevel="0" collapsed="false">
      <c r="A2659" s="3" t="n">
        <v>3668</v>
      </c>
      <c r="B2659" s="3" t="s">
        <v>921</v>
      </c>
      <c r="C2659" s="4" t="s">
        <v>17</v>
      </c>
      <c r="D2659" s="5" t="n">
        <v>11000</v>
      </c>
      <c r="E2659" s="6" t="n">
        <v>178.03</v>
      </c>
      <c r="F2659" s="7" t="n">
        <v>45</v>
      </c>
      <c r="G2659" s="6" t="n">
        <v>402.348863917525</v>
      </c>
      <c r="H2659" s="8" t="n">
        <v>107571.99225699</v>
      </c>
      <c r="I2659" s="9" t="n">
        <v>11.9288024292097</v>
      </c>
      <c r="J2659" s="9" t="n">
        <v>32.7437012128845</v>
      </c>
      <c r="K2659" s="3" t="s">
        <v>922</v>
      </c>
      <c r="L2659" s="3" t="s">
        <v>923</v>
      </c>
      <c r="M2659" s="7" t="n">
        <v>2017</v>
      </c>
    </row>
    <row r="2660" customFormat="false" ht="15" hidden="false" customHeight="false" outlineLevel="0" collapsed="false">
      <c r="A2660" s="3" t="n">
        <v>3669</v>
      </c>
      <c r="B2660" s="3" t="s">
        <v>921</v>
      </c>
      <c r="C2660" s="4" t="s">
        <v>18</v>
      </c>
      <c r="D2660" s="5" t="n">
        <v>11129</v>
      </c>
      <c r="E2660" s="6" t="n">
        <v>178.03</v>
      </c>
      <c r="F2660" s="7" t="n">
        <v>48</v>
      </c>
      <c r="G2660" s="6" t="n">
        <v>199.42070015306</v>
      </c>
      <c r="H2660" s="8" t="n">
        <v>55572.5665116533</v>
      </c>
      <c r="I2660" s="9" t="n">
        <v>6.79209725176018</v>
      </c>
      <c r="J2660" s="9" t="n">
        <v>16.0410121871417</v>
      </c>
      <c r="K2660" s="3" t="s">
        <v>922</v>
      </c>
      <c r="L2660" s="3" t="s">
        <v>923</v>
      </c>
      <c r="M2660" s="7" t="n">
        <v>2018</v>
      </c>
    </row>
    <row r="2661" customFormat="false" ht="15" hidden="false" customHeight="false" outlineLevel="0" collapsed="false">
      <c r="A2661" s="3" t="n">
        <v>3670</v>
      </c>
      <c r="B2661" s="3" t="s">
        <v>921</v>
      </c>
      <c r="C2661" s="4" t="s">
        <v>19</v>
      </c>
      <c r="D2661" s="5" t="n">
        <v>15291</v>
      </c>
      <c r="E2661" s="6" t="n">
        <v>164.0653</v>
      </c>
      <c r="F2661" s="7" t="n">
        <v>53</v>
      </c>
      <c r="G2661" s="6" t="n">
        <v>231.954358928573</v>
      </c>
      <c r="H2661" s="8" t="n">
        <v>62342.3730492325</v>
      </c>
      <c r="I2661" s="9" t="n">
        <v>7.58241105153334</v>
      </c>
      <c r="J2661" s="9" t="n">
        <v>13.5795170417768</v>
      </c>
      <c r="K2661" s="3" t="s">
        <v>922</v>
      </c>
      <c r="L2661" s="3" t="s">
        <v>923</v>
      </c>
      <c r="M2661" s="7" t="n">
        <v>2019</v>
      </c>
    </row>
    <row r="2662" customFormat="false" ht="15" hidden="false" customHeight="false" outlineLevel="0" collapsed="false">
      <c r="A2662" s="3" t="n">
        <v>3671</v>
      </c>
      <c r="B2662" s="3" t="s">
        <v>921</v>
      </c>
      <c r="C2662" s="4" t="s">
        <v>20</v>
      </c>
      <c r="D2662" s="5" t="n">
        <v>15958</v>
      </c>
      <c r="E2662" s="6" t="n">
        <v>183.2</v>
      </c>
      <c r="F2662" s="7" t="n">
        <v>56</v>
      </c>
      <c r="G2662" s="6" t="n">
        <v>276.560560408164</v>
      </c>
      <c r="H2662" s="8" t="n">
        <v>70874.1748158002</v>
      </c>
      <c r="I2662" s="9" t="n">
        <v>9.74578611155518</v>
      </c>
      <c r="J2662" s="9" t="n">
        <v>15.4716979965493</v>
      </c>
      <c r="K2662" s="3" t="s">
        <v>922</v>
      </c>
      <c r="L2662" s="3" t="s">
        <v>923</v>
      </c>
      <c r="M2662" s="7" t="n">
        <v>2020</v>
      </c>
    </row>
    <row r="2663" customFormat="false" ht="15" hidden="false" customHeight="false" outlineLevel="0" collapsed="false">
      <c r="A2663" s="3" t="n">
        <v>3672</v>
      </c>
      <c r="B2663" s="3" t="s">
        <v>921</v>
      </c>
      <c r="C2663" s="4" t="s">
        <v>21</v>
      </c>
      <c r="D2663" s="5" t="n">
        <v>16318</v>
      </c>
      <c r="E2663" s="6" t="n">
        <v>183.2</v>
      </c>
      <c r="F2663" s="7" t="n">
        <v>81</v>
      </c>
      <c r="G2663" s="6" t="n">
        <v>430.751631122449</v>
      </c>
      <c r="H2663" s="8" t="n">
        <v>119042.520777</v>
      </c>
      <c r="I2663" s="9" t="n">
        <v>11.1053089990094</v>
      </c>
      <c r="J2663" s="9" t="n">
        <v>23.6307592897618</v>
      </c>
      <c r="K2663" s="3" t="s">
        <v>922</v>
      </c>
      <c r="L2663" s="3" t="s">
        <v>923</v>
      </c>
      <c r="M2663" s="7" t="n">
        <v>2021</v>
      </c>
    </row>
    <row r="2664" customFormat="false" ht="15" hidden="false" customHeight="false" outlineLevel="0" collapsed="false">
      <c r="A2664" s="3" t="n">
        <v>3673</v>
      </c>
      <c r="B2664" s="3" t="s">
        <v>921</v>
      </c>
      <c r="C2664" s="4" t="s">
        <v>22</v>
      </c>
      <c r="D2664" s="5" t="n">
        <v>16723</v>
      </c>
      <c r="E2664" s="6" t="n">
        <v>189.41</v>
      </c>
      <c r="F2664" s="7" t="n">
        <v>73</v>
      </c>
      <c r="G2664" s="6" t="n">
        <v>582.715568877551</v>
      </c>
      <c r="H2664" s="8" t="n">
        <v>274814.489438342</v>
      </c>
      <c r="I2664" s="9" t="n">
        <v>14.1392133511054</v>
      </c>
      <c r="J2664" s="9" t="n">
        <v>31.193212683052</v>
      </c>
      <c r="K2664" s="3" t="s">
        <v>922</v>
      </c>
      <c r="L2664" s="3" t="s">
        <v>923</v>
      </c>
      <c r="M2664" s="7" t="n">
        <v>2022</v>
      </c>
    </row>
    <row r="2665" customFormat="false" ht="15" hidden="false" customHeight="false" outlineLevel="0" collapsed="false">
      <c r="A2665" s="3" t="n">
        <v>3674</v>
      </c>
      <c r="B2665" s="3" t="s">
        <v>921</v>
      </c>
      <c r="C2665" s="4" t="s">
        <v>47</v>
      </c>
      <c r="D2665" s="5" t="n">
        <v>16157</v>
      </c>
      <c r="E2665" s="6" t="n">
        <v>189.6</v>
      </c>
      <c r="F2665" s="7" t="n">
        <v>70</v>
      </c>
      <c r="G2665" s="6" t="n">
        <v>707.428673857868</v>
      </c>
      <c r="H2665" s="8" t="n">
        <v>309613.233400635</v>
      </c>
      <c r="I2665" s="9" t="n">
        <v>16.5611681232929</v>
      </c>
      <c r="J2665" s="9" t="n">
        <v>39.1958068059604</v>
      </c>
      <c r="K2665" s="3" t="s">
        <v>922</v>
      </c>
      <c r="L2665" s="3" t="s">
        <v>923</v>
      </c>
      <c r="M2665" s="7" t="n">
        <v>2022</v>
      </c>
    </row>
    <row r="2666" customFormat="false" ht="15" hidden="false" customHeight="false" outlineLevel="0" collapsed="false">
      <c r="A2666" s="3" t="n">
        <v>3675</v>
      </c>
      <c r="B2666" s="3" t="s">
        <v>921</v>
      </c>
      <c r="C2666" s="4" t="s">
        <v>48</v>
      </c>
      <c r="D2666" s="5" t="n">
        <v>16979</v>
      </c>
      <c r="E2666" s="6" t="n">
        <v>189.66</v>
      </c>
      <c r="F2666" s="7" t="n">
        <v>72</v>
      </c>
      <c r="G2666" s="6" t="n">
        <v>368.34099390863</v>
      </c>
      <c r="H2666" s="8" t="n">
        <v>172085.228944173</v>
      </c>
      <c r="I2666" s="9" t="n">
        <v>9.85388053090846</v>
      </c>
      <c r="J2666" s="9" t="n">
        <v>19.3670797538169</v>
      </c>
      <c r="K2666" s="3" t="s">
        <v>922</v>
      </c>
      <c r="L2666" s="3" t="s">
        <v>923</v>
      </c>
      <c r="M2666" s="7" t="n">
        <v>2023</v>
      </c>
    </row>
    <row r="2667" customFormat="false" ht="15" hidden="false" customHeight="false" outlineLevel="0" collapsed="false">
      <c r="A2667" s="3" t="n">
        <v>3676</v>
      </c>
      <c r="B2667" s="3" t="s">
        <v>921</v>
      </c>
      <c r="C2667" s="4" t="s">
        <v>49</v>
      </c>
      <c r="D2667" s="5" t="n">
        <v>17101</v>
      </c>
      <c r="E2667" s="6" t="n">
        <v>189.35</v>
      </c>
      <c r="F2667" s="7" t="n">
        <v>70</v>
      </c>
      <c r="G2667" s="6" t="n">
        <v>561.863495621828</v>
      </c>
      <c r="H2667" s="8" t="n">
        <v>225307.261744353</v>
      </c>
      <c r="I2667" s="9" t="n">
        <v>12.9810986872042</v>
      </c>
      <c r="J2667" s="9" t="n">
        <v>29.4121643666922</v>
      </c>
      <c r="K2667" s="3" t="s">
        <v>922</v>
      </c>
      <c r="L2667" s="3" t="s">
        <v>923</v>
      </c>
      <c r="M2667" s="7" t="n">
        <v>2024</v>
      </c>
    </row>
    <row r="2668" customFormat="false" ht="15" hidden="false" customHeight="false" outlineLevel="0" collapsed="false">
      <c r="A2668" s="3" t="n">
        <v>3677</v>
      </c>
      <c r="B2668" s="3" t="s">
        <v>924</v>
      </c>
      <c r="C2668" s="4" t="s">
        <v>14</v>
      </c>
      <c r="D2668" s="5" t="n">
        <v>5478</v>
      </c>
      <c r="E2668" s="6" t="n">
        <v>72</v>
      </c>
      <c r="F2668" s="7" t="n">
        <v>62</v>
      </c>
      <c r="G2668" s="6" t="n">
        <v>2.0517602272727</v>
      </c>
      <c r="H2668" s="8" t="n">
        <v>5264.65260236358</v>
      </c>
      <c r="I2668" s="9" t="n">
        <v>1.94141942161608</v>
      </c>
      <c r="J2668" s="9" t="n">
        <v>0.33437266966598</v>
      </c>
      <c r="K2668" s="3" t="s">
        <v>925</v>
      </c>
      <c r="L2668" s="3" t="s">
        <v>926</v>
      </c>
      <c r="M2668" s="7" t="n">
        <v>2016</v>
      </c>
    </row>
    <row r="2669" customFormat="false" ht="15" hidden="false" customHeight="false" outlineLevel="0" collapsed="false">
      <c r="A2669" s="3" t="n">
        <v>3678</v>
      </c>
      <c r="B2669" s="3" t="s">
        <v>924</v>
      </c>
      <c r="C2669" s="4" t="s">
        <v>17</v>
      </c>
      <c r="D2669" s="5" t="n">
        <v>5478</v>
      </c>
      <c r="E2669" s="6" t="n">
        <v>72</v>
      </c>
      <c r="F2669" s="7" t="n">
        <v>61</v>
      </c>
      <c r="G2669" s="6" t="n">
        <v>9.70151788888885</v>
      </c>
      <c r="H2669" s="8" t="n">
        <v>28960.0010501221</v>
      </c>
      <c r="I2669" s="9" t="n">
        <v>2.66730942688152</v>
      </c>
      <c r="J2669" s="9" t="n">
        <v>1.58538715582225</v>
      </c>
      <c r="K2669" s="3" t="s">
        <v>925</v>
      </c>
      <c r="L2669" s="3" t="s">
        <v>926</v>
      </c>
      <c r="M2669" s="7" t="n">
        <v>2017</v>
      </c>
    </row>
    <row r="2670" customFormat="false" ht="15" hidden="false" customHeight="false" outlineLevel="0" collapsed="false">
      <c r="A2670" s="3" t="n">
        <v>3679</v>
      </c>
      <c r="B2670" s="3" t="s">
        <v>924</v>
      </c>
      <c r="C2670" s="4" t="s">
        <v>18</v>
      </c>
      <c r="D2670" s="5" t="n">
        <v>5502</v>
      </c>
      <c r="E2670" s="6" t="n">
        <v>77</v>
      </c>
      <c r="F2670" s="7" t="n">
        <v>60</v>
      </c>
      <c r="G2670" s="6" t="n">
        <v>26.3474664116162</v>
      </c>
      <c r="H2670" s="8" t="n">
        <v>57165.8343986196</v>
      </c>
      <c r="I2670" s="9" t="n">
        <v>4.20903769423989</v>
      </c>
      <c r="J2670" s="9" t="n">
        <v>4.2868269069447</v>
      </c>
      <c r="K2670" s="3" t="s">
        <v>925</v>
      </c>
      <c r="L2670" s="3" t="s">
        <v>926</v>
      </c>
      <c r="M2670" s="7" t="n">
        <v>2018</v>
      </c>
    </row>
    <row r="2671" customFormat="false" ht="15" hidden="false" customHeight="false" outlineLevel="0" collapsed="false">
      <c r="A2671" s="3" t="n">
        <v>3680</v>
      </c>
      <c r="B2671" s="3" t="s">
        <v>924</v>
      </c>
      <c r="C2671" s="4" t="s">
        <v>19</v>
      </c>
      <c r="D2671" s="5" t="n">
        <v>5530</v>
      </c>
      <c r="E2671" s="6" t="n">
        <v>77</v>
      </c>
      <c r="F2671" s="7" t="n">
        <v>60</v>
      </c>
      <c r="G2671" s="6" t="n">
        <v>87.9889573178168</v>
      </c>
      <c r="H2671" s="8" t="n">
        <v>234103.419839783</v>
      </c>
      <c r="I2671" s="9" t="n">
        <v>10.8688800523636</v>
      </c>
      <c r="J2671" s="9" t="n">
        <v>14.2436310091648</v>
      </c>
      <c r="K2671" s="3" t="s">
        <v>925</v>
      </c>
      <c r="L2671" s="3" t="s">
        <v>926</v>
      </c>
      <c r="M2671" s="7" t="n">
        <v>2019</v>
      </c>
    </row>
    <row r="2672" customFormat="false" ht="15" hidden="false" customHeight="false" outlineLevel="0" collapsed="false">
      <c r="A2672" s="3" t="n">
        <v>3681</v>
      </c>
      <c r="B2672" s="3" t="s">
        <v>924</v>
      </c>
      <c r="C2672" s="4" t="s">
        <v>20</v>
      </c>
      <c r="D2672" s="5" t="n">
        <v>5491</v>
      </c>
      <c r="E2672" s="6" t="n">
        <v>77</v>
      </c>
      <c r="F2672" s="7" t="n">
        <v>61</v>
      </c>
      <c r="G2672" s="6" t="n">
        <v>80.1067394772729</v>
      </c>
      <c r="H2672" s="8" t="n">
        <v>177100.78070375</v>
      </c>
      <c r="I2672" s="9" t="n">
        <v>9.98304976993757</v>
      </c>
      <c r="J2672" s="9" t="n">
        <v>13.0239825395024</v>
      </c>
      <c r="K2672" s="3" t="s">
        <v>925</v>
      </c>
      <c r="L2672" s="3" t="s">
        <v>926</v>
      </c>
      <c r="M2672" s="7" t="n">
        <v>2020</v>
      </c>
    </row>
    <row r="2673" customFormat="false" ht="15" hidden="false" customHeight="false" outlineLevel="0" collapsed="false">
      <c r="A2673" s="3" t="n">
        <v>3682</v>
      </c>
      <c r="B2673" s="3" t="s">
        <v>924</v>
      </c>
      <c r="C2673" s="4" t="s">
        <v>21</v>
      </c>
      <c r="D2673" s="5" t="n">
        <v>5577</v>
      </c>
      <c r="E2673" s="6" t="n">
        <v>77</v>
      </c>
      <c r="F2673" s="7" t="n">
        <v>62</v>
      </c>
      <c r="G2673" s="6" t="n">
        <v>46.5456358226906</v>
      </c>
      <c r="H2673" s="8" t="n">
        <v>75049.7177441482</v>
      </c>
      <c r="I2673" s="9" t="n">
        <v>6.83372545740427</v>
      </c>
      <c r="J2673" s="9" t="n">
        <v>7.4712969370174</v>
      </c>
      <c r="K2673" s="3" t="s">
        <v>925</v>
      </c>
      <c r="L2673" s="3" t="s">
        <v>926</v>
      </c>
      <c r="M2673" s="7" t="n">
        <v>2021</v>
      </c>
    </row>
    <row r="2674" customFormat="false" ht="15" hidden="false" customHeight="false" outlineLevel="0" collapsed="false">
      <c r="A2674" s="3" t="n">
        <v>3683</v>
      </c>
      <c r="B2674" s="3" t="s">
        <v>927</v>
      </c>
      <c r="C2674" s="4" t="s">
        <v>14</v>
      </c>
      <c r="D2674" s="5" t="n">
        <v>4031</v>
      </c>
      <c r="E2674" s="6" t="n">
        <v>66.7</v>
      </c>
      <c r="F2674" s="7" t="n">
        <v>56</v>
      </c>
      <c r="G2674" s="6" t="n">
        <v>63.6237697950001</v>
      </c>
      <c r="H2674" s="8" t="n">
        <v>34143.0598227888</v>
      </c>
      <c r="I2674" s="9" t="n">
        <v>18.4873067191454</v>
      </c>
      <c r="J2674" s="9" t="n">
        <v>14.0907073002522</v>
      </c>
      <c r="K2674" s="3" t="s">
        <v>928</v>
      </c>
      <c r="L2674" s="3" t="s">
        <v>929</v>
      </c>
      <c r="M2674" s="7" t="n">
        <v>2016</v>
      </c>
    </row>
    <row r="2675" customFormat="false" ht="15" hidden="false" customHeight="false" outlineLevel="0" collapsed="false">
      <c r="A2675" s="3" t="n">
        <v>3684</v>
      </c>
      <c r="B2675" s="3" t="s">
        <v>927</v>
      </c>
      <c r="C2675" s="4" t="s">
        <v>17</v>
      </c>
      <c r="D2675" s="5" t="n">
        <v>4032</v>
      </c>
      <c r="E2675" s="6" t="n">
        <v>66.7</v>
      </c>
      <c r="F2675" s="7" t="n">
        <v>57</v>
      </c>
      <c r="G2675" s="6" t="n">
        <v>107.039128286445</v>
      </c>
      <c r="H2675" s="8" t="n">
        <v>44293.8616762138</v>
      </c>
      <c r="I2675" s="9" t="n">
        <v>23.4029871555796</v>
      </c>
      <c r="J2675" s="9" t="n">
        <v>23.7651037518985</v>
      </c>
      <c r="K2675" s="3" t="s">
        <v>928</v>
      </c>
      <c r="L2675" s="3" t="s">
        <v>929</v>
      </c>
      <c r="M2675" s="7" t="n">
        <v>2017</v>
      </c>
    </row>
    <row r="2676" customFormat="false" ht="15" hidden="false" customHeight="false" outlineLevel="0" collapsed="false">
      <c r="A2676" s="3" t="n">
        <v>3685</v>
      </c>
      <c r="B2676" s="3" t="s">
        <v>927</v>
      </c>
      <c r="C2676" s="4" t="s">
        <v>18</v>
      </c>
      <c r="D2676" s="5" t="n">
        <v>4033</v>
      </c>
      <c r="E2676" s="6" t="n">
        <v>66.7</v>
      </c>
      <c r="F2676" s="7" t="n">
        <v>60</v>
      </c>
      <c r="G2676" s="6" t="n">
        <v>39.4982735727828</v>
      </c>
      <c r="H2676" s="8" t="n">
        <v>31638.117131799</v>
      </c>
      <c r="I2676" s="9" t="n">
        <v>11.9012406616862</v>
      </c>
      <c r="J2676" s="9" t="n">
        <v>8.7673342874342</v>
      </c>
      <c r="K2676" s="3" t="s">
        <v>928</v>
      </c>
      <c r="L2676" s="3" t="s">
        <v>929</v>
      </c>
      <c r="M2676" s="7" t="n">
        <v>2018</v>
      </c>
    </row>
    <row r="2677" customFormat="false" ht="15" hidden="false" customHeight="false" outlineLevel="0" collapsed="false">
      <c r="A2677" s="3" t="n">
        <v>3686</v>
      </c>
      <c r="B2677" s="3" t="s">
        <v>927</v>
      </c>
      <c r="C2677" s="4" t="s">
        <v>19</v>
      </c>
      <c r="D2677" s="5" t="n">
        <v>4034</v>
      </c>
      <c r="E2677" s="6" t="n">
        <v>66.7</v>
      </c>
      <c r="F2677" s="7" t="n">
        <v>62</v>
      </c>
      <c r="G2677" s="6" t="n">
        <v>38.8169480387079</v>
      </c>
      <c r="H2677" s="8" t="n">
        <v>10223.2196049545</v>
      </c>
      <c r="I2677" s="9" t="n">
        <v>10.8110358098515</v>
      </c>
      <c r="J2677" s="9" t="n">
        <v>8.61396626978445</v>
      </c>
      <c r="K2677" s="3" t="s">
        <v>928</v>
      </c>
      <c r="L2677" s="3" t="s">
        <v>929</v>
      </c>
      <c r="M2677" s="7" t="n">
        <v>2019</v>
      </c>
    </row>
    <row r="2678" customFormat="false" ht="15" hidden="false" customHeight="false" outlineLevel="0" collapsed="false">
      <c r="A2678" s="3" t="n">
        <v>3687</v>
      </c>
      <c r="B2678" s="3" t="s">
        <v>927</v>
      </c>
      <c r="C2678" s="4" t="s">
        <v>20</v>
      </c>
      <c r="D2678" s="5" t="n">
        <v>4034</v>
      </c>
      <c r="E2678" s="6" t="n">
        <v>66.7</v>
      </c>
      <c r="F2678" s="7" t="n">
        <v>75</v>
      </c>
      <c r="G2678" s="6" t="n">
        <v>46.4672567774936</v>
      </c>
      <c r="H2678" s="8" t="n">
        <v>12041.0602487519</v>
      </c>
      <c r="I2678" s="9" t="n">
        <v>12.6494837703335</v>
      </c>
      <c r="J2678" s="9" t="n">
        <v>10.2834143263107</v>
      </c>
      <c r="K2678" s="3" t="s">
        <v>928</v>
      </c>
      <c r="L2678" s="3" t="s">
        <v>929</v>
      </c>
      <c r="M2678" s="7" t="n">
        <v>2020</v>
      </c>
    </row>
    <row r="2679" customFormat="false" ht="15" hidden="false" customHeight="false" outlineLevel="0" collapsed="false">
      <c r="A2679" s="3" t="n">
        <v>3688</v>
      </c>
      <c r="B2679" s="3" t="s">
        <v>927</v>
      </c>
      <c r="C2679" s="4" t="s">
        <v>21</v>
      </c>
      <c r="D2679" s="5" t="n">
        <v>4034</v>
      </c>
      <c r="E2679" s="6" t="n">
        <v>66.4</v>
      </c>
      <c r="F2679" s="7" t="n">
        <v>62</v>
      </c>
      <c r="G2679" s="6" t="n">
        <v>37.6996121508138</v>
      </c>
      <c r="H2679" s="8" t="n">
        <v>11024.874577384</v>
      </c>
      <c r="I2679" s="9" t="n">
        <v>12.1016585952801</v>
      </c>
      <c r="J2679" s="9" t="n">
        <v>8.36601546126798</v>
      </c>
      <c r="K2679" s="3" t="s">
        <v>928</v>
      </c>
      <c r="L2679" s="3" t="s">
        <v>929</v>
      </c>
      <c r="M2679" s="7" t="n">
        <v>2021</v>
      </c>
    </row>
    <row r="2680" customFormat="false" ht="15" hidden="false" customHeight="false" outlineLevel="0" collapsed="false">
      <c r="A2680" s="3" t="n">
        <v>3689</v>
      </c>
      <c r="B2680" s="3" t="s">
        <v>927</v>
      </c>
      <c r="C2680" s="4" t="s">
        <v>22</v>
      </c>
      <c r="D2680" s="5" t="n">
        <v>4034</v>
      </c>
      <c r="E2680" s="6" t="n">
        <v>66.4</v>
      </c>
      <c r="F2680" s="7" t="n">
        <v>66</v>
      </c>
      <c r="G2680" s="6" t="n">
        <v>51.4042122586763</v>
      </c>
      <c r="H2680" s="8" t="n">
        <v>18958.9481835343</v>
      </c>
      <c r="I2680" s="9" t="n">
        <v>14.3617248469982</v>
      </c>
      <c r="J2680" s="9" t="n">
        <v>11.4072376344356</v>
      </c>
      <c r="K2680" s="3" t="s">
        <v>928</v>
      </c>
      <c r="L2680" s="3" t="s">
        <v>929</v>
      </c>
      <c r="M2680" s="7" t="n">
        <v>2022</v>
      </c>
    </row>
    <row r="2681" customFormat="false" ht="15" hidden="false" customHeight="false" outlineLevel="0" collapsed="false">
      <c r="A2681" s="3" t="n">
        <v>3690</v>
      </c>
      <c r="B2681" s="3" t="s">
        <v>927</v>
      </c>
      <c r="C2681" s="4" t="s">
        <v>23</v>
      </c>
      <c r="D2681" s="5" t="n">
        <v>4034</v>
      </c>
      <c r="E2681" s="6" t="n">
        <v>66.4</v>
      </c>
      <c r="F2681" s="7" t="n">
        <v>63</v>
      </c>
      <c r="G2681" s="6" t="n">
        <v>59.3035430329949</v>
      </c>
      <c r="H2681" s="8" t="n">
        <v>23093.9857279089</v>
      </c>
      <c r="I2681" s="9" t="n">
        <v>14.5185963104603</v>
      </c>
      <c r="J2681" s="9" t="n">
        <v>13.1601979335296</v>
      </c>
      <c r="K2681" s="3" t="s">
        <v>928</v>
      </c>
      <c r="L2681" s="3" t="s">
        <v>929</v>
      </c>
      <c r="M2681" s="7" t="n">
        <v>2023</v>
      </c>
    </row>
    <row r="2682" customFormat="false" ht="15" hidden="false" customHeight="false" outlineLevel="0" collapsed="false">
      <c r="A2682" s="3" t="n">
        <v>3691</v>
      </c>
      <c r="B2682" s="3" t="s">
        <v>927</v>
      </c>
      <c r="C2682" s="4" t="s">
        <v>24</v>
      </c>
      <c r="D2682" s="5" t="n">
        <v>4034</v>
      </c>
      <c r="E2682" s="6" t="n">
        <v>66.4</v>
      </c>
      <c r="F2682" s="7" t="n">
        <v>68</v>
      </c>
      <c r="G2682" s="6" t="n">
        <v>102.671702982233</v>
      </c>
      <c r="H2682" s="8" t="n">
        <v>40943.4217152551</v>
      </c>
      <c r="I2682" s="9" t="n">
        <v>22.5140191553769</v>
      </c>
      <c r="J2682" s="9" t="n">
        <v>22.7217127623852</v>
      </c>
      <c r="K2682" s="3" t="s">
        <v>928</v>
      </c>
      <c r="L2682" s="3" t="s">
        <v>929</v>
      </c>
      <c r="M2682" s="7" t="n">
        <v>2024</v>
      </c>
    </row>
    <row r="2683" customFormat="false" ht="15" hidden="false" customHeight="false" outlineLevel="0" collapsed="false">
      <c r="A2683" s="3" t="n">
        <v>3724</v>
      </c>
      <c r="B2683" s="3" t="s">
        <v>930</v>
      </c>
      <c r="C2683" s="4" t="s">
        <v>22</v>
      </c>
      <c r="D2683" s="5" t="n">
        <v>4506</v>
      </c>
      <c r="E2683" s="6" t="n">
        <v>99.8</v>
      </c>
      <c r="F2683" s="7" t="n">
        <v>74</v>
      </c>
      <c r="G2683" s="6" t="n">
        <v>76.0223645183765</v>
      </c>
      <c r="H2683" s="8" t="n">
        <v>15523.0066110073</v>
      </c>
      <c r="I2683" s="9" t="n">
        <v>11.7744082033381</v>
      </c>
      <c r="J2683" s="9" t="n">
        <v>15.103161292073</v>
      </c>
      <c r="K2683" s="3" t="s">
        <v>931</v>
      </c>
      <c r="L2683" s="3" t="s">
        <v>932</v>
      </c>
      <c r="M2683" s="7" t="n">
        <v>2022</v>
      </c>
    </row>
    <row r="2684" customFormat="false" ht="15" hidden="false" customHeight="false" outlineLevel="0" collapsed="false">
      <c r="A2684" s="3" t="n">
        <v>3725</v>
      </c>
      <c r="B2684" s="3" t="s">
        <v>930</v>
      </c>
      <c r="C2684" s="4" t="s">
        <v>23</v>
      </c>
      <c r="D2684" s="5" t="n">
        <v>4513</v>
      </c>
      <c r="E2684" s="6" t="n">
        <v>99.8</v>
      </c>
      <c r="F2684" s="7" t="n">
        <v>74</v>
      </c>
      <c r="G2684" s="6" t="n">
        <v>64.9469243691118</v>
      </c>
      <c r="H2684" s="8" t="n">
        <v>17408.3736078967</v>
      </c>
      <c r="I2684" s="9" t="n">
        <v>9.93575534241774</v>
      </c>
      <c r="J2684" s="9" t="n">
        <v>12.8828197494171</v>
      </c>
      <c r="K2684" s="3" t="s">
        <v>931</v>
      </c>
      <c r="L2684" s="3" t="s">
        <v>932</v>
      </c>
      <c r="M2684" s="7" t="n">
        <v>2023</v>
      </c>
    </row>
    <row r="2685" customFormat="false" ht="15" hidden="false" customHeight="false" outlineLevel="0" collapsed="false">
      <c r="A2685" s="3" t="n">
        <v>3726</v>
      </c>
      <c r="B2685" s="3" t="s">
        <v>930</v>
      </c>
      <c r="C2685" s="4" t="s">
        <v>24</v>
      </c>
      <c r="D2685" s="5" t="n">
        <v>4528</v>
      </c>
      <c r="E2685" s="6" t="n">
        <v>99.8</v>
      </c>
      <c r="F2685" s="7" t="n">
        <v>73</v>
      </c>
      <c r="G2685" s="6" t="n">
        <v>96.4891770292604</v>
      </c>
      <c r="H2685" s="8" t="n">
        <v>147746.157650744</v>
      </c>
      <c r="I2685" s="9" t="n">
        <v>14.1016883620917</v>
      </c>
      <c r="J2685" s="9" t="n">
        <v>19.0238484583968</v>
      </c>
      <c r="K2685" s="3" t="s">
        <v>931</v>
      </c>
      <c r="L2685" s="3" t="s">
        <v>932</v>
      </c>
      <c r="M2685" s="7" t="n">
        <v>2024</v>
      </c>
    </row>
    <row r="2686" customFormat="false" ht="15" hidden="false" customHeight="false" outlineLevel="0" collapsed="false">
      <c r="A2686" s="3" t="n">
        <v>3736</v>
      </c>
      <c r="B2686" s="3" t="s">
        <v>933</v>
      </c>
      <c r="C2686" s="4" t="s">
        <v>22</v>
      </c>
      <c r="D2686" s="5" t="n">
        <v>8420</v>
      </c>
      <c r="E2686" s="6" t="n">
        <v>95.57</v>
      </c>
      <c r="F2686" s="7" t="n">
        <v>66</v>
      </c>
      <c r="G2686" s="6" t="n">
        <v>77.2700231887808</v>
      </c>
      <c r="H2686" s="8" t="n">
        <v>157796.239548607</v>
      </c>
      <c r="I2686" s="9" t="n">
        <v>4.18722315721785</v>
      </c>
      <c r="J2686" s="9" t="n">
        <v>8.21517133658982</v>
      </c>
      <c r="K2686" s="3" t="s">
        <v>934</v>
      </c>
      <c r="L2686" s="3" t="s">
        <v>935</v>
      </c>
      <c r="M2686" s="7" t="n">
        <v>2022</v>
      </c>
    </row>
    <row r="2687" customFormat="false" ht="15" hidden="false" customHeight="false" outlineLevel="0" collapsed="false">
      <c r="A2687" s="3" t="n">
        <v>3737</v>
      </c>
      <c r="B2687" s="3" t="s">
        <v>936</v>
      </c>
      <c r="C2687" s="4" t="s">
        <v>14</v>
      </c>
      <c r="D2687" s="5" t="n">
        <v>7991</v>
      </c>
      <c r="E2687" s="6" t="n">
        <v>105</v>
      </c>
      <c r="F2687" s="7" t="n">
        <v>63</v>
      </c>
      <c r="G2687" s="6" t="n">
        <v>117.736485982821</v>
      </c>
      <c r="H2687" s="8" t="n">
        <v>117664.443122016</v>
      </c>
      <c r="I2687" s="9" t="n">
        <v>5.59890023755833</v>
      </c>
      <c r="J2687" s="9" t="n">
        <v>13.1533426111184</v>
      </c>
      <c r="K2687" s="3" t="s">
        <v>934</v>
      </c>
      <c r="L2687" s="3" t="s">
        <v>935</v>
      </c>
      <c r="M2687" s="7" t="n">
        <v>2016</v>
      </c>
    </row>
    <row r="2688" customFormat="false" ht="15" hidden="false" customHeight="false" outlineLevel="0" collapsed="false">
      <c r="A2688" s="3" t="n">
        <v>3738</v>
      </c>
      <c r="B2688" s="3" t="s">
        <v>936</v>
      </c>
      <c r="C2688" s="4" t="s">
        <v>17</v>
      </c>
      <c r="D2688" s="5" t="n">
        <v>7987</v>
      </c>
      <c r="E2688" s="6" t="n">
        <v>96.96</v>
      </c>
      <c r="F2688" s="7" t="n">
        <v>65</v>
      </c>
      <c r="G2688" s="6" t="n">
        <v>140.580688551262</v>
      </c>
      <c r="H2688" s="8" t="n">
        <v>251088.392344562</v>
      </c>
      <c r="I2688" s="9" t="n">
        <v>6.06127763310987</v>
      </c>
      <c r="J2688" s="9" t="n">
        <v>15.7564964582272</v>
      </c>
      <c r="K2688" s="3" t="s">
        <v>934</v>
      </c>
      <c r="L2688" s="3" t="s">
        <v>935</v>
      </c>
      <c r="M2688" s="7" t="n">
        <v>2017</v>
      </c>
    </row>
    <row r="2689" customFormat="false" ht="15" hidden="false" customHeight="false" outlineLevel="0" collapsed="false">
      <c r="A2689" s="3" t="n">
        <v>3739</v>
      </c>
      <c r="B2689" s="3" t="s">
        <v>936</v>
      </c>
      <c r="C2689" s="4" t="s">
        <v>18</v>
      </c>
      <c r="D2689" s="5" t="n">
        <v>7987</v>
      </c>
      <c r="E2689" s="6" t="n">
        <v>105</v>
      </c>
      <c r="F2689" s="7" t="n">
        <v>64</v>
      </c>
      <c r="G2689" s="6" t="n">
        <v>139.62636230359</v>
      </c>
      <c r="H2689" s="8" t="n">
        <v>274351.942275241</v>
      </c>
      <c r="I2689" s="9" t="n">
        <v>5.94082066372405</v>
      </c>
      <c r="J2689" s="9" t="n">
        <v>15.6495341272243</v>
      </c>
      <c r="K2689" s="3" t="s">
        <v>934</v>
      </c>
      <c r="L2689" s="3" t="s">
        <v>935</v>
      </c>
      <c r="M2689" s="7" t="n">
        <v>2018</v>
      </c>
    </row>
    <row r="2690" customFormat="false" ht="15" hidden="false" customHeight="false" outlineLevel="0" collapsed="false">
      <c r="A2690" s="3" t="n">
        <v>3740</v>
      </c>
      <c r="B2690" s="3" t="s">
        <v>936</v>
      </c>
      <c r="C2690" s="4" t="s">
        <v>19</v>
      </c>
      <c r="D2690" s="5" t="n">
        <v>8119</v>
      </c>
      <c r="E2690" s="6" t="n">
        <v>105</v>
      </c>
      <c r="F2690" s="7" t="n">
        <v>64</v>
      </c>
      <c r="G2690" s="6" t="n">
        <v>100.246075371006</v>
      </c>
      <c r="H2690" s="8" t="n">
        <v>196973.587435489</v>
      </c>
      <c r="I2690" s="9" t="n">
        <v>4.50388414279874</v>
      </c>
      <c r="J2690" s="9" t="n">
        <v>11.0530596070666</v>
      </c>
      <c r="K2690" s="3" t="s">
        <v>934</v>
      </c>
      <c r="L2690" s="3" t="s">
        <v>935</v>
      </c>
      <c r="M2690" s="7" t="n">
        <v>2019</v>
      </c>
    </row>
    <row r="2691" customFormat="false" ht="15" hidden="false" customHeight="false" outlineLevel="0" collapsed="false">
      <c r="A2691" s="3" t="n">
        <v>3741</v>
      </c>
      <c r="B2691" s="3" t="s">
        <v>936</v>
      </c>
      <c r="C2691" s="4" t="s">
        <v>20</v>
      </c>
      <c r="D2691" s="5" t="n">
        <v>8116</v>
      </c>
      <c r="E2691" s="6" t="n">
        <v>94</v>
      </c>
      <c r="F2691" s="7" t="n">
        <v>64</v>
      </c>
      <c r="G2691" s="6" t="n">
        <v>68.4525270381949</v>
      </c>
      <c r="H2691" s="8"/>
      <c r="I2691" s="9" t="n">
        <v>3.42399801207252</v>
      </c>
      <c r="J2691" s="9" t="n">
        <v>7.52963008564947</v>
      </c>
      <c r="K2691" s="3" t="s">
        <v>934</v>
      </c>
      <c r="L2691" s="3" t="s">
        <v>935</v>
      </c>
      <c r="M2691" s="7" t="n">
        <v>2020</v>
      </c>
    </row>
    <row r="2692" customFormat="false" ht="15" hidden="false" customHeight="false" outlineLevel="0" collapsed="false">
      <c r="A2692" s="3" t="n">
        <v>3742</v>
      </c>
      <c r="B2692" s="3" t="s">
        <v>936</v>
      </c>
      <c r="C2692" s="4" t="s">
        <v>21</v>
      </c>
      <c r="D2692" s="5" t="n">
        <v>8106</v>
      </c>
      <c r="E2692" s="6" t="n">
        <v>105</v>
      </c>
      <c r="F2692" s="7" t="n">
        <v>59</v>
      </c>
      <c r="G2692" s="6" t="n">
        <v>42.5570967617848</v>
      </c>
      <c r="H2692" s="8" t="n">
        <v>76005.1540032059</v>
      </c>
      <c r="I2692" s="9" t="n">
        <v>2.54769959026917</v>
      </c>
      <c r="J2692" s="9" t="n">
        <v>4.69983994250777</v>
      </c>
      <c r="K2692" s="3" t="s">
        <v>934</v>
      </c>
      <c r="L2692" s="3" t="s">
        <v>935</v>
      </c>
      <c r="M2692" s="7" t="n">
        <v>2021</v>
      </c>
    </row>
    <row r="2693" customFormat="false" ht="15" hidden="false" customHeight="false" outlineLevel="0" collapsed="false">
      <c r="A2693" s="3" t="n">
        <v>3743</v>
      </c>
      <c r="B2693" s="3" t="s">
        <v>936</v>
      </c>
      <c r="C2693" s="4" t="s">
        <v>23</v>
      </c>
      <c r="D2693" s="5" t="n">
        <v>8163</v>
      </c>
      <c r="E2693" s="6" t="n">
        <v>96.6659</v>
      </c>
      <c r="F2693" s="7" t="n">
        <v>67</v>
      </c>
      <c r="G2693" s="6" t="n">
        <v>23.0615530861845</v>
      </c>
      <c r="H2693" s="8" t="n">
        <v>53413.0047582867</v>
      </c>
      <c r="I2693" s="9" t="n">
        <v>2.67482122136669</v>
      </c>
      <c r="J2693" s="9" t="n">
        <v>2.52904425849629</v>
      </c>
      <c r="K2693" s="3" t="s">
        <v>934</v>
      </c>
      <c r="L2693" s="3" t="s">
        <v>935</v>
      </c>
      <c r="M2693" s="7" t="n">
        <v>2023</v>
      </c>
    </row>
    <row r="2694" customFormat="false" ht="15" hidden="false" customHeight="false" outlineLevel="0" collapsed="false">
      <c r="A2694" s="3" t="n">
        <v>3744</v>
      </c>
      <c r="B2694" s="3" t="s">
        <v>936</v>
      </c>
      <c r="C2694" s="4" t="s">
        <v>24</v>
      </c>
      <c r="D2694" s="5" t="n">
        <v>8164</v>
      </c>
      <c r="E2694" s="6" t="n">
        <v>96.7</v>
      </c>
      <c r="F2694" s="7" t="n">
        <v>67</v>
      </c>
      <c r="G2694" s="6" t="n">
        <v>28.4080457208403</v>
      </c>
      <c r="H2694" s="8" t="n">
        <v>72373.9230897664</v>
      </c>
      <c r="I2694" s="9" t="n">
        <v>2.01364899640848</v>
      </c>
      <c r="J2694" s="9" t="n">
        <v>3.10645134542614</v>
      </c>
      <c r="K2694" s="3" t="s">
        <v>934</v>
      </c>
      <c r="L2694" s="3" t="s">
        <v>935</v>
      </c>
      <c r="M2694" s="7" t="n">
        <v>2024</v>
      </c>
    </row>
    <row r="2695" customFormat="false" ht="15" hidden="false" customHeight="false" outlineLevel="0" collapsed="false">
      <c r="A2695" s="3" t="n">
        <v>3745</v>
      </c>
      <c r="B2695" s="3" t="s">
        <v>937</v>
      </c>
      <c r="C2695" s="4" t="s">
        <v>41</v>
      </c>
      <c r="D2695" s="5" t="n">
        <v>9194</v>
      </c>
      <c r="E2695" s="6" t="n">
        <v>118.73</v>
      </c>
      <c r="F2695" s="7" t="n">
        <v>55</v>
      </c>
      <c r="G2695" s="6" t="n">
        <v>274.67283180382</v>
      </c>
      <c r="H2695" s="8" t="n">
        <v>448708.653455784</v>
      </c>
      <c r="I2695" s="9" t="n">
        <v>8.39448630044724</v>
      </c>
      <c r="J2695" s="9" t="n">
        <v>26.744154966123</v>
      </c>
      <c r="K2695" s="3" t="s">
        <v>938</v>
      </c>
      <c r="L2695" s="3" t="s">
        <v>939</v>
      </c>
      <c r="M2695" s="7" t="n">
        <v>2016</v>
      </c>
    </row>
    <row r="2696" customFormat="false" ht="15" hidden="false" customHeight="false" outlineLevel="0" collapsed="false">
      <c r="A2696" s="3" t="n">
        <v>3746</v>
      </c>
      <c r="B2696" s="3" t="s">
        <v>937</v>
      </c>
      <c r="C2696" s="4" t="s">
        <v>42</v>
      </c>
      <c r="D2696" s="5" t="n">
        <v>9198</v>
      </c>
      <c r="E2696" s="6" t="n">
        <v>114.15</v>
      </c>
      <c r="F2696" s="7" t="n">
        <v>59</v>
      </c>
      <c r="G2696" s="6" t="n">
        <v>190.051634321739</v>
      </c>
      <c r="H2696" s="8" t="n">
        <v>339423.939051411</v>
      </c>
      <c r="I2696" s="9" t="n">
        <v>5.74678118354269</v>
      </c>
      <c r="J2696" s="9" t="n">
        <v>18.4967692138559</v>
      </c>
      <c r="K2696" s="3" t="s">
        <v>938</v>
      </c>
      <c r="L2696" s="3" t="s">
        <v>939</v>
      </c>
      <c r="M2696" s="7" t="n">
        <v>2017</v>
      </c>
    </row>
    <row r="2697" customFormat="false" ht="15" hidden="false" customHeight="false" outlineLevel="0" collapsed="false">
      <c r="A2697" s="3" t="n">
        <v>3747</v>
      </c>
      <c r="B2697" s="3" t="s">
        <v>937</v>
      </c>
      <c r="C2697" s="4" t="s">
        <v>43</v>
      </c>
      <c r="D2697" s="5" t="n">
        <v>9210</v>
      </c>
      <c r="E2697" s="6" t="n">
        <v>114.56</v>
      </c>
      <c r="F2697" s="7" t="n">
        <v>75</v>
      </c>
      <c r="G2697" s="6" t="n">
        <v>138.343615646388</v>
      </c>
      <c r="H2697" s="8" t="n">
        <v>251504.821899646</v>
      </c>
      <c r="I2697" s="9" t="n">
        <v>4.73964103769519</v>
      </c>
      <c r="J2697" s="9" t="n">
        <v>13.4467449087802</v>
      </c>
      <c r="K2697" s="3" t="s">
        <v>938</v>
      </c>
      <c r="L2697" s="3" t="s">
        <v>939</v>
      </c>
      <c r="M2697" s="7" t="n">
        <v>2018</v>
      </c>
    </row>
    <row r="2698" customFormat="false" ht="15" hidden="false" customHeight="false" outlineLevel="0" collapsed="false">
      <c r="A2698" s="3" t="n">
        <v>3748</v>
      </c>
      <c r="B2698" s="3" t="s">
        <v>937</v>
      </c>
      <c r="C2698" s="4" t="s">
        <v>44</v>
      </c>
      <c r="D2698" s="5" t="n">
        <v>9182</v>
      </c>
      <c r="E2698" s="6" t="n">
        <v>103.7</v>
      </c>
      <c r="F2698" s="7" t="n">
        <v>75</v>
      </c>
      <c r="G2698" s="6" t="n">
        <v>171.537756207809</v>
      </c>
      <c r="H2698" s="8" t="n">
        <v>312309.060804455</v>
      </c>
      <c r="I2698" s="9" t="n">
        <v>5.46390615381518</v>
      </c>
      <c r="J2698" s="9" t="n">
        <v>16.6781789857078</v>
      </c>
      <c r="K2698" s="3" t="s">
        <v>938</v>
      </c>
      <c r="L2698" s="3" t="s">
        <v>939</v>
      </c>
      <c r="M2698" s="7" t="n">
        <v>2019</v>
      </c>
    </row>
    <row r="2699" customFormat="false" ht="15" hidden="false" customHeight="false" outlineLevel="0" collapsed="false">
      <c r="A2699" s="3" t="n">
        <v>3749</v>
      </c>
      <c r="B2699" s="3" t="s">
        <v>937</v>
      </c>
      <c r="C2699" s="4" t="s">
        <v>45</v>
      </c>
      <c r="D2699" s="5" t="n">
        <v>9351</v>
      </c>
      <c r="E2699" s="6" t="n">
        <v>104.1</v>
      </c>
      <c r="F2699" s="7" t="n">
        <v>61</v>
      </c>
      <c r="G2699" s="6" t="n">
        <v>131.020083174332</v>
      </c>
      <c r="H2699" s="8" t="n">
        <v>239107.368562794</v>
      </c>
      <c r="I2699" s="9" t="n">
        <v>4.65291967686265</v>
      </c>
      <c r="J2699" s="9" t="n">
        <v>12.5428863817936</v>
      </c>
      <c r="K2699" s="3" t="s">
        <v>938</v>
      </c>
      <c r="L2699" s="3" t="s">
        <v>939</v>
      </c>
      <c r="M2699" s="7" t="n">
        <v>2020</v>
      </c>
    </row>
    <row r="2700" customFormat="false" ht="15" hidden="false" customHeight="false" outlineLevel="0" collapsed="false">
      <c r="A2700" s="3" t="n">
        <v>3750</v>
      </c>
      <c r="B2700" s="3" t="s">
        <v>937</v>
      </c>
      <c r="C2700" s="4" t="s">
        <v>46</v>
      </c>
      <c r="D2700" s="5" t="n">
        <v>9216</v>
      </c>
      <c r="E2700" s="6" t="n">
        <v>105.6</v>
      </c>
      <c r="F2700" s="7" t="n">
        <v>61</v>
      </c>
      <c r="G2700" s="6" t="n">
        <v>182.466917395928</v>
      </c>
      <c r="H2700" s="8" t="n">
        <v>334317.294068116</v>
      </c>
      <c r="I2700" s="9" t="n">
        <v>6.04689341468114</v>
      </c>
      <c r="J2700" s="9" t="n">
        <v>17.7239021423505</v>
      </c>
      <c r="K2700" s="3" t="s">
        <v>938</v>
      </c>
      <c r="L2700" s="3" t="s">
        <v>939</v>
      </c>
      <c r="M2700" s="7" t="n">
        <v>2021</v>
      </c>
    </row>
    <row r="2701" customFormat="false" ht="15" hidden="false" customHeight="false" outlineLevel="0" collapsed="false">
      <c r="A2701" s="3" t="n">
        <v>3751</v>
      </c>
      <c r="B2701" s="3" t="s">
        <v>937</v>
      </c>
      <c r="C2701" s="4" t="s">
        <v>47</v>
      </c>
      <c r="D2701" s="5" t="n">
        <v>9255</v>
      </c>
      <c r="E2701" s="6" t="n">
        <v>105.8</v>
      </c>
      <c r="F2701" s="7" t="n">
        <v>61</v>
      </c>
      <c r="G2701" s="6" t="n">
        <v>154.321549304205</v>
      </c>
      <c r="H2701" s="8" t="n">
        <v>324944.972733951</v>
      </c>
      <c r="I2701" s="9" t="n">
        <v>6.22889493397667</v>
      </c>
      <c r="J2701" s="9" t="n">
        <v>14.9268382289124</v>
      </c>
      <c r="K2701" s="3" t="s">
        <v>938</v>
      </c>
      <c r="L2701" s="3" t="s">
        <v>939</v>
      </c>
      <c r="M2701" s="7" t="n">
        <v>2022</v>
      </c>
    </row>
    <row r="2702" customFormat="false" ht="15" hidden="false" customHeight="false" outlineLevel="0" collapsed="false">
      <c r="A2702" s="3" t="n">
        <v>3752</v>
      </c>
      <c r="B2702" s="3" t="s">
        <v>937</v>
      </c>
      <c r="C2702" s="4" t="s">
        <v>48</v>
      </c>
      <c r="D2702" s="5" t="n">
        <v>9193</v>
      </c>
      <c r="E2702" s="6" t="n">
        <v>105.9</v>
      </c>
      <c r="F2702" s="7" t="n">
        <v>70</v>
      </c>
      <c r="G2702" s="6" t="n">
        <v>200.031905362392</v>
      </c>
      <c r="H2702" s="8" t="n">
        <v>465301.383110249</v>
      </c>
      <c r="I2702" s="9" t="n">
        <v>7.32407250870399</v>
      </c>
      <c r="J2702" s="9" t="n">
        <v>19.4253210510799</v>
      </c>
      <c r="K2702" s="3" t="s">
        <v>938</v>
      </c>
      <c r="L2702" s="3" t="s">
        <v>939</v>
      </c>
      <c r="M2702" s="7" t="n">
        <v>2023</v>
      </c>
    </row>
    <row r="2703" customFormat="false" ht="15" hidden="false" customHeight="false" outlineLevel="0" collapsed="false">
      <c r="A2703" s="3" t="n">
        <v>3753</v>
      </c>
      <c r="B2703" s="3" t="s">
        <v>937</v>
      </c>
      <c r="C2703" s="4" t="s">
        <v>49</v>
      </c>
      <c r="D2703" s="5" t="n">
        <v>9225</v>
      </c>
      <c r="E2703" s="6" t="n">
        <v>108.9</v>
      </c>
      <c r="F2703" s="7" t="n">
        <v>71</v>
      </c>
      <c r="G2703" s="6" t="n">
        <v>175.396955053021</v>
      </c>
      <c r="H2703" s="8" t="n">
        <v>443336.719654706</v>
      </c>
      <c r="I2703" s="9" t="n">
        <v>7.11796537339388</v>
      </c>
      <c r="J2703" s="9" t="n">
        <v>17.0205405762476</v>
      </c>
      <c r="K2703" s="3" t="s">
        <v>938</v>
      </c>
      <c r="L2703" s="3" t="s">
        <v>939</v>
      </c>
      <c r="M2703" s="7" t="n">
        <v>2024</v>
      </c>
    </row>
    <row r="2704" customFormat="false" ht="15" hidden="false" customHeight="false" outlineLevel="0" collapsed="false">
      <c r="A2704" s="3" t="n">
        <v>3754</v>
      </c>
      <c r="B2704" s="3" t="s">
        <v>940</v>
      </c>
      <c r="C2704" s="4" t="s">
        <v>14</v>
      </c>
      <c r="D2704" s="5" t="n">
        <v>19605</v>
      </c>
      <c r="E2704" s="6" t="n">
        <v>345.35</v>
      </c>
      <c r="F2704" s="7" t="n">
        <v>54</v>
      </c>
      <c r="G2704" s="6" t="n">
        <v>348.33823877551</v>
      </c>
      <c r="H2704" s="8" t="n">
        <v>401083.614890898</v>
      </c>
      <c r="I2704" s="9" t="n">
        <v>6.09822230842612</v>
      </c>
      <c r="J2704" s="9" t="n">
        <v>15.8620932517549</v>
      </c>
      <c r="K2704" s="3" t="s">
        <v>941</v>
      </c>
      <c r="L2704" s="3" t="s">
        <v>942</v>
      </c>
      <c r="M2704" s="7" t="n">
        <v>2016</v>
      </c>
    </row>
    <row r="2705" customFormat="false" ht="15" hidden="false" customHeight="false" outlineLevel="0" collapsed="false">
      <c r="A2705" s="3" t="n">
        <v>3755</v>
      </c>
      <c r="B2705" s="3" t="s">
        <v>940</v>
      </c>
      <c r="C2705" s="4" t="s">
        <v>17</v>
      </c>
      <c r="D2705" s="5" t="n">
        <v>19070</v>
      </c>
      <c r="E2705" s="6" t="n">
        <v>346.7</v>
      </c>
      <c r="F2705" s="7" t="n">
        <v>58</v>
      </c>
      <c r="G2705" s="6" t="n">
        <v>432.032704081633</v>
      </c>
      <c r="H2705" s="8" t="n">
        <v>817346.908053383</v>
      </c>
      <c r="I2705" s="9" t="n">
        <v>6.43387450636244</v>
      </c>
      <c r="J2705" s="9" t="n">
        <v>20.2807310051609</v>
      </c>
      <c r="K2705" s="3" t="s">
        <v>941</v>
      </c>
      <c r="L2705" s="3" t="s">
        <v>942</v>
      </c>
      <c r="M2705" s="7" t="n">
        <v>2017</v>
      </c>
    </row>
    <row r="2706" customFormat="false" ht="15" hidden="false" customHeight="false" outlineLevel="0" collapsed="false">
      <c r="A2706" s="3" t="n">
        <v>3756</v>
      </c>
      <c r="B2706" s="3" t="s">
        <v>940</v>
      </c>
      <c r="C2706" s="4" t="s">
        <v>18</v>
      </c>
      <c r="D2706" s="5" t="n">
        <v>19115</v>
      </c>
      <c r="E2706" s="6" t="n">
        <v>349.669140501051</v>
      </c>
      <c r="F2706" s="7" t="n">
        <v>63</v>
      </c>
      <c r="G2706" s="6" t="n">
        <v>121.790880815765</v>
      </c>
      <c r="H2706" s="8" t="n">
        <v>244530.512593084</v>
      </c>
      <c r="I2706" s="9" t="n">
        <v>3.72284812240407</v>
      </c>
      <c r="J2706" s="9" t="n">
        <v>5.70371929080175</v>
      </c>
      <c r="K2706" s="3" t="s">
        <v>941</v>
      </c>
      <c r="L2706" s="3" t="s">
        <v>942</v>
      </c>
      <c r="M2706" s="7" t="n">
        <v>2018</v>
      </c>
    </row>
    <row r="2707" customFormat="false" ht="15" hidden="false" customHeight="false" outlineLevel="0" collapsed="false">
      <c r="A2707" s="3" t="n">
        <v>3757</v>
      </c>
      <c r="B2707" s="3" t="s">
        <v>940</v>
      </c>
      <c r="C2707" s="4" t="s">
        <v>19</v>
      </c>
      <c r="D2707" s="5" t="n">
        <v>18749</v>
      </c>
      <c r="E2707" s="6" t="n">
        <v>350.559601361504</v>
      </c>
      <c r="F2707" s="7" t="n">
        <v>63</v>
      </c>
      <c r="G2707" s="6" t="n">
        <v>467.942011965825</v>
      </c>
      <c r="H2707" s="8" t="n">
        <v>893734.026581372</v>
      </c>
      <c r="I2707" s="9" t="n">
        <v>6.57705458192952</v>
      </c>
      <c r="J2707" s="9" t="n">
        <v>22.3424916055708</v>
      </c>
      <c r="K2707" s="3" t="s">
        <v>941</v>
      </c>
      <c r="L2707" s="3" t="s">
        <v>942</v>
      </c>
      <c r="M2707" s="7" t="n">
        <v>2019</v>
      </c>
    </row>
    <row r="2708" customFormat="false" ht="15" hidden="false" customHeight="false" outlineLevel="0" collapsed="false">
      <c r="A2708" s="3" t="n">
        <v>3758</v>
      </c>
      <c r="B2708" s="3" t="s">
        <v>940</v>
      </c>
      <c r="C2708" s="4" t="s">
        <v>20</v>
      </c>
      <c r="D2708" s="5" t="n">
        <v>19180.8333333333</v>
      </c>
      <c r="E2708" s="6" t="n">
        <v>351.80681465</v>
      </c>
      <c r="F2708" s="7" t="n">
        <v>63</v>
      </c>
      <c r="G2708" s="6" t="n">
        <v>530.02253526405</v>
      </c>
      <c r="H2708" s="8" t="n">
        <v>1094750.94613719</v>
      </c>
      <c r="I2708" s="9" t="n">
        <v>6.6718956558125</v>
      </c>
      <c r="J2708" s="9" t="n">
        <v>24.6690858949391</v>
      </c>
      <c r="K2708" s="3" t="s">
        <v>941</v>
      </c>
      <c r="L2708" s="3" t="s">
        <v>942</v>
      </c>
      <c r="M2708" s="7" t="n">
        <v>2020</v>
      </c>
    </row>
    <row r="2709" customFormat="false" ht="15" hidden="false" customHeight="false" outlineLevel="0" collapsed="false">
      <c r="A2709" s="3" t="n">
        <v>3759</v>
      </c>
      <c r="B2709" s="3" t="s">
        <v>940</v>
      </c>
      <c r="C2709" s="4" t="s">
        <v>21</v>
      </c>
      <c r="D2709" s="5" t="n">
        <v>19231.9166666666</v>
      </c>
      <c r="E2709" s="6" t="n">
        <v>351.80681465</v>
      </c>
      <c r="F2709" s="7" t="n">
        <v>63</v>
      </c>
      <c r="G2709" s="6" t="n">
        <v>216.749012901186</v>
      </c>
      <c r="H2709" s="8" t="n">
        <v>458661.166440543</v>
      </c>
      <c r="I2709" s="9" t="n">
        <v>4.45142038527678</v>
      </c>
      <c r="J2709" s="9" t="n">
        <v>10.0890955319949</v>
      </c>
      <c r="K2709" s="3" t="s">
        <v>941</v>
      </c>
      <c r="L2709" s="3" t="s">
        <v>942</v>
      </c>
      <c r="M2709" s="7" t="n">
        <v>2021</v>
      </c>
    </row>
    <row r="2710" customFormat="false" ht="15" hidden="false" customHeight="false" outlineLevel="0" collapsed="false">
      <c r="A2710" s="3" t="n">
        <v>3760</v>
      </c>
      <c r="B2710" s="3" t="s">
        <v>940</v>
      </c>
      <c r="C2710" s="4" t="s">
        <v>22</v>
      </c>
      <c r="D2710" s="5" t="n">
        <v>19261.9166666667</v>
      </c>
      <c r="E2710" s="6" t="n">
        <v>352.93041507</v>
      </c>
      <c r="F2710" s="7" t="n">
        <v>60</v>
      </c>
      <c r="G2710" s="6" t="n">
        <v>294.349835993241</v>
      </c>
      <c r="H2710" s="8" t="n">
        <v>675983.877566407</v>
      </c>
      <c r="I2710" s="9" t="n">
        <v>5.16654479502497</v>
      </c>
      <c r="J2710" s="9" t="n">
        <v>13.6798700858795</v>
      </c>
      <c r="K2710" s="3" t="s">
        <v>941</v>
      </c>
      <c r="L2710" s="3" t="s">
        <v>942</v>
      </c>
      <c r="M2710" s="7" t="n">
        <v>2022</v>
      </c>
    </row>
    <row r="2711" customFormat="false" ht="15" hidden="false" customHeight="false" outlineLevel="0" collapsed="false">
      <c r="A2711" s="3" t="n">
        <v>3761</v>
      </c>
      <c r="B2711" s="3" t="s">
        <v>940</v>
      </c>
      <c r="C2711" s="4" t="s">
        <v>23</v>
      </c>
      <c r="D2711" s="5" t="n">
        <v>19286.3333333333</v>
      </c>
      <c r="E2711" s="6" t="n">
        <v>359.04898867</v>
      </c>
      <c r="F2711" s="7" t="n">
        <v>73</v>
      </c>
      <c r="G2711" s="6" t="n">
        <v>364.497245460247</v>
      </c>
      <c r="H2711" s="8" t="n">
        <v>929916.307535546</v>
      </c>
      <c r="I2711" s="9" t="n">
        <v>5.95419888035041</v>
      </c>
      <c r="J2711" s="9" t="n">
        <v>16.9185156160895</v>
      </c>
      <c r="K2711" s="3" t="s">
        <v>941</v>
      </c>
      <c r="L2711" s="3" t="s">
        <v>942</v>
      </c>
      <c r="M2711" s="7" t="n">
        <v>2023</v>
      </c>
    </row>
    <row r="2712" customFormat="false" ht="15" hidden="false" customHeight="false" outlineLevel="0" collapsed="false">
      <c r="A2712" s="3" t="n">
        <v>3762</v>
      </c>
      <c r="B2712" s="3" t="s">
        <v>940</v>
      </c>
      <c r="C2712" s="4" t="s">
        <v>24</v>
      </c>
      <c r="D2712" s="5" t="n">
        <v>19472</v>
      </c>
      <c r="E2712" s="6" t="n">
        <v>359.5682327702</v>
      </c>
      <c r="F2712" s="7" t="n">
        <v>59</v>
      </c>
      <c r="G2712" s="6" t="n">
        <v>370.717236151773</v>
      </c>
      <c r="H2712" s="8" t="n">
        <v>964666.265182025</v>
      </c>
      <c r="I2712" s="9" t="n">
        <v>5.84711066794512</v>
      </c>
      <c r="J2712" s="9" t="n">
        <v>16.9964574516962</v>
      </c>
      <c r="K2712" s="3" t="s">
        <v>941</v>
      </c>
      <c r="L2712" s="3" t="s">
        <v>942</v>
      </c>
      <c r="M2712" s="7" t="n">
        <v>2024</v>
      </c>
    </row>
    <row r="2713" customFormat="false" ht="15" hidden="false" customHeight="false" outlineLevel="0" collapsed="false">
      <c r="A2713" s="3" t="n">
        <v>3763</v>
      </c>
      <c r="B2713" s="3" t="s">
        <v>943</v>
      </c>
      <c r="C2713" s="4" t="s">
        <v>14</v>
      </c>
      <c r="D2713" s="5" t="n">
        <v>10402</v>
      </c>
      <c r="E2713" s="6" t="n">
        <v>112</v>
      </c>
      <c r="F2713" s="7" t="n">
        <v>53</v>
      </c>
      <c r="G2713" s="6" t="n">
        <v>10.3272448979589</v>
      </c>
      <c r="H2713" s="8" t="n">
        <v>20369.9741989791</v>
      </c>
      <c r="I2713" s="9" t="n">
        <v>3.06462358427715</v>
      </c>
      <c r="J2713" s="9" t="n">
        <v>0.886326675124332</v>
      </c>
      <c r="K2713" s="3" t="s">
        <v>944</v>
      </c>
      <c r="L2713" s="3" t="s">
        <v>945</v>
      </c>
      <c r="M2713" s="7" t="n">
        <v>2016</v>
      </c>
    </row>
    <row r="2714" customFormat="false" ht="15" hidden="false" customHeight="false" outlineLevel="0" collapsed="false">
      <c r="A2714" s="3" t="n">
        <v>3764</v>
      </c>
      <c r="B2714" s="3" t="s">
        <v>943</v>
      </c>
      <c r="C2714" s="4" t="s">
        <v>17</v>
      </c>
      <c r="D2714" s="5" t="n">
        <v>9222</v>
      </c>
      <c r="E2714" s="6" t="n">
        <v>116.884223260767</v>
      </c>
      <c r="F2714" s="7" t="n">
        <v>55</v>
      </c>
      <c r="G2714" s="6" t="n">
        <v>166.947042130659</v>
      </c>
      <c r="H2714" s="8" t="n">
        <v>325767.188195853</v>
      </c>
      <c r="I2714" s="9" t="n">
        <v>7.62254206467611</v>
      </c>
      <c r="J2714" s="9" t="n">
        <v>16.2058302486521</v>
      </c>
      <c r="K2714" s="3" t="s">
        <v>944</v>
      </c>
      <c r="L2714" s="3" t="s">
        <v>945</v>
      </c>
      <c r="M2714" s="7" t="n">
        <v>2017</v>
      </c>
    </row>
    <row r="2715" customFormat="false" ht="15" hidden="false" customHeight="false" outlineLevel="0" collapsed="false">
      <c r="A2715" s="3" t="n">
        <v>3765</v>
      </c>
      <c r="B2715" s="3" t="s">
        <v>943</v>
      </c>
      <c r="C2715" s="4" t="s">
        <v>18</v>
      </c>
      <c r="D2715" s="5" t="n">
        <v>10793</v>
      </c>
      <c r="E2715" s="6" t="n">
        <v>117.47</v>
      </c>
      <c r="F2715" s="7" t="n">
        <v>70</v>
      </c>
      <c r="G2715" s="6" t="n">
        <v>34.9584948979589</v>
      </c>
      <c r="H2715" s="8" t="n">
        <v>68521.0970946423</v>
      </c>
      <c r="I2715" s="9" t="n">
        <v>3.72476127997667</v>
      </c>
      <c r="J2715" s="9" t="n">
        <v>2.89953412035345</v>
      </c>
      <c r="K2715" s="3" t="s">
        <v>944</v>
      </c>
      <c r="L2715" s="3" t="s">
        <v>945</v>
      </c>
      <c r="M2715" s="7" t="n">
        <v>2018</v>
      </c>
    </row>
    <row r="2716" customFormat="false" ht="15" hidden="false" customHeight="false" outlineLevel="0" collapsed="false">
      <c r="A2716" s="3" t="n">
        <v>3766</v>
      </c>
      <c r="B2716" s="3" t="s">
        <v>943</v>
      </c>
      <c r="C2716" s="4" t="s">
        <v>19</v>
      </c>
      <c r="D2716" s="5" t="n">
        <v>10511.9166666667</v>
      </c>
      <c r="E2716" s="6" t="n">
        <v>117.855784973132</v>
      </c>
      <c r="F2716" s="7" t="n">
        <v>63</v>
      </c>
      <c r="G2716" s="6" t="n">
        <v>16.309294193235</v>
      </c>
      <c r="H2716" s="8" t="n">
        <v>31652.9150772885</v>
      </c>
      <c r="I2716" s="9" t="n">
        <v>3.19488564585471</v>
      </c>
      <c r="J2716" s="9" t="n">
        <v>1.3888998528427</v>
      </c>
      <c r="K2716" s="3" t="s">
        <v>944</v>
      </c>
      <c r="L2716" s="3" t="s">
        <v>945</v>
      </c>
      <c r="M2716" s="7" t="n">
        <v>2019</v>
      </c>
    </row>
    <row r="2717" customFormat="false" ht="15" hidden="false" customHeight="false" outlineLevel="0" collapsed="false">
      <c r="A2717" s="3" t="n">
        <v>3767</v>
      </c>
      <c r="B2717" s="3" t="s">
        <v>943</v>
      </c>
      <c r="C2717" s="4" t="s">
        <v>20</v>
      </c>
      <c r="D2717" s="5" t="n">
        <v>10835.5833333333</v>
      </c>
      <c r="E2717" s="6" t="n">
        <v>118.14783616</v>
      </c>
      <c r="F2717" s="7" t="n">
        <v>70</v>
      </c>
      <c r="G2717" s="6" t="n">
        <v>32.4161827273551</v>
      </c>
      <c r="H2717" s="8" t="n">
        <v>62653.6738136047</v>
      </c>
      <c r="I2717" s="9" t="n">
        <v>3.57956974273142</v>
      </c>
      <c r="J2717" s="9" t="n">
        <v>2.67076557007385</v>
      </c>
      <c r="K2717" s="3" t="s">
        <v>944</v>
      </c>
      <c r="L2717" s="3" t="s">
        <v>945</v>
      </c>
      <c r="M2717" s="7" t="n">
        <v>2020</v>
      </c>
    </row>
    <row r="2718" customFormat="false" ht="15" hidden="false" customHeight="false" outlineLevel="0" collapsed="false">
      <c r="A2718" s="3" t="n">
        <v>3768</v>
      </c>
      <c r="B2718" s="3" t="s">
        <v>943</v>
      </c>
      <c r="C2718" s="4" t="s">
        <v>21</v>
      </c>
      <c r="D2718" s="5" t="n">
        <v>10855</v>
      </c>
      <c r="E2718" s="6" t="n">
        <v>118.14783616</v>
      </c>
      <c r="F2718" s="7" t="n">
        <v>63</v>
      </c>
      <c r="G2718" s="6" t="n">
        <v>43.7632616648035</v>
      </c>
      <c r="H2718" s="8" t="n">
        <v>86907.7043186026</v>
      </c>
      <c r="I2718" s="9" t="n">
        <v>3.95503545764672</v>
      </c>
      <c r="J2718" s="9" t="n">
        <v>3.60908847817583</v>
      </c>
      <c r="K2718" s="3" t="s">
        <v>944</v>
      </c>
      <c r="L2718" s="3" t="s">
        <v>945</v>
      </c>
      <c r="M2718" s="7" t="n">
        <v>2021</v>
      </c>
    </row>
    <row r="2719" customFormat="false" ht="15" hidden="false" customHeight="false" outlineLevel="0" collapsed="false">
      <c r="A2719" s="3" t="n">
        <v>3769</v>
      </c>
      <c r="B2719" s="3" t="s">
        <v>943</v>
      </c>
      <c r="C2719" s="4" t="s">
        <v>22</v>
      </c>
      <c r="D2719" s="5" t="n">
        <v>10874.1666666667</v>
      </c>
      <c r="E2719" s="6" t="n">
        <v>118.52950774</v>
      </c>
      <c r="F2719" s="7" t="n">
        <v>59</v>
      </c>
      <c r="G2719" s="6" t="n">
        <v>78.2114474960906</v>
      </c>
      <c r="H2719" s="8" t="n">
        <v>166589.601052198</v>
      </c>
      <c r="I2719" s="9" t="n">
        <v>4.81144473837448</v>
      </c>
      <c r="J2719" s="9" t="n">
        <v>6.43860841798712</v>
      </c>
      <c r="K2719" s="3" t="s">
        <v>944</v>
      </c>
      <c r="L2719" s="3" t="s">
        <v>945</v>
      </c>
      <c r="M2719" s="7" t="n">
        <v>2022</v>
      </c>
    </row>
    <row r="2720" customFormat="false" ht="15" hidden="false" customHeight="false" outlineLevel="0" collapsed="false">
      <c r="A2720" s="3" t="n">
        <v>3770</v>
      </c>
      <c r="B2720" s="3" t="s">
        <v>943</v>
      </c>
      <c r="C2720" s="4" t="s">
        <v>23</v>
      </c>
      <c r="D2720" s="5" t="n">
        <v>10856.9166666667</v>
      </c>
      <c r="E2720" s="6" t="n">
        <v>118.56784968</v>
      </c>
      <c r="F2720" s="7" t="n">
        <v>71</v>
      </c>
      <c r="G2720" s="6" t="n">
        <v>106.511789496615</v>
      </c>
      <c r="H2720" s="8" t="n">
        <v>250457.147411816</v>
      </c>
      <c r="I2720" s="9" t="n">
        <v>5.97423019256155</v>
      </c>
      <c r="J2720" s="9" t="n">
        <v>8.78231179055301</v>
      </c>
      <c r="K2720" s="3" t="s">
        <v>944</v>
      </c>
      <c r="L2720" s="3" t="s">
        <v>945</v>
      </c>
      <c r="M2720" s="7" t="n">
        <v>2023</v>
      </c>
    </row>
    <row r="2721" customFormat="false" ht="15" hidden="false" customHeight="false" outlineLevel="0" collapsed="false">
      <c r="A2721" s="3" t="n">
        <v>3771</v>
      </c>
      <c r="B2721" s="3" t="s">
        <v>943</v>
      </c>
      <c r="C2721" s="4" t="s">
        <v>24</v>
      </c>
      <c r="D2721" s="5" t="n">
        <v>10910.4166666667</v>
      </c>
      <c r="E2721" s="6" t="n">
        <v>119.032267867542</v>
      </c>
      <c r="F2721" s="7" t="n">
        <v>71</v>
      </c>
      <c r="G2721" s="6" t="n">
        <v>44.2691974774185</v>
      </c>
      <c r="H2721" s="8" t="n">
        <v>113248.191169653</v>
      </c>
      <c r="I2721" s="9" t="n">
        <v>4.04967522786212</v>
      </c>
      <c r="J2721" s="9" t="n">
        <v>3.62231743482902</v>
      </c>
      <c r="K2721" s="3" t="s">
        <v>944</v>
      </c>
      <c r="L2721" s="3" t="s">
        <v>945</v>
      </c>
      <c r="M2721" s="7" t="n">
        <v>2024</v>
      </c>
    </row>
    <row r="2722" customFormat="false" ht="15" hidden="false" customHeight="false" outlineLevel="0" collapsed="false">
      <c r="A2722" s="3" t="n">
        <v>3772</v>
      </c>
      <c r="B2722" s="3" t="s">
        <v>946</v>
      </c>
      <c r="C2722" s="4" t="s">
        <v>14</v>
      </c>
      <c r="D2722" s="5" t="n">
        <v>25554</v>
      </c>
      <c r="E2722" s="6" t="n">
        <v>250</v>
      </c>
      <c r="F2722" s="7" t="n">
        <v>53</v>
      </c>
      <c r="G2722" s="6" t="n">
        <v>733.360663265305</v>
      </c>
      <c r="H2722" s="8" t="n">
        <v>1446517.24025765</v>
      </c>
      <c r="I2722" s="9" t="n">
        <v>10.2496852706672</v>
      </c>
      <c r="J2722" s="9" t="n">
        <v>25.6203415046582</v>
      </c>
      <c r="K2722" s="3" t="s">
        <v>944</v>
      </c>
      <c r="L2722" s="3" t="s">
        <v>947</v>
      </c>
      <c r="M2722" s="7" t="n">
        <v>2016</v>
      </c>
    </row>
    <row r="2723" customFormat="false" ht="15" hidden="false" customHeight="false" outlineLevel="0" collapsed="false">
      <c r="A2723" s="3" t="n">
        <v>3773</v>
      </c>
      <c r="B2723" s="3" t="s">
        <v>946</v>
      </c>
      <c r="C2723" s="4" t="s">
        <v>17</v>
      </c>
      <c r="D2723" s="5" t="n">
        <v>27666</v>
      </c>
      <c r="E2723" s="6" t="n">
        <v>262.269249825417</v>
      </c>
      <c r="F2723" s="7" t="n">
        <v>55</v>
      </c>
      <c r="G2723" s="6" t="n">
        <v>513.991233408523</v>
      </c>
      <c r="H2723" s="8" t="n">
        <v>1002961.63818085</v>
      </c>
      <c r="I2723" s="9" t="n">
        <v>7.62266792542704</v>
      </c>
      <c r="J2723" s="9" t="n">
        <v>16.6313312525273</v>
      </c>
      <c r="K2723" s="3" t="s">
        <v>944</v>
      </c>
      <c r="L2723" s="3" t="s">
        <v>947</v>
      </c>
      <c r="M2723" s="7" t="n">
        <v>2017</v>
      </c>
    </row>
    <row r="2724" customFormat="false" ht="15" hidden="false" customHeight="false" outlineLevel="0" collapsed="false">
      <c r="A2724" s="3" t="n">
        <v>3774</v>
      </c>
      <c r="B2724" s="3" t="s">
        <v>946</v>
      </c>
      <c r="C2724" s="4" t="s">
        <v>18</v>
      </c>
      <c r="D2724" s="5" t="n">
        <v>26273</v>
      </c>
      <c r="E2724" s="6" t="n">
        <v>265.057110946697</v>
      </c>
      <c r="F2724" s="7" t="n">
        <v>70</v>
      </c>
      <c r="G2724" s="6" t="n">
        <v>587.45208163265</v>
      </c>
      <c r="H2724" s="8" t="n">
        <v>1151449.44214736</v>
      </c>
      <c r="I2724" s="9" t="n">
        <v>8.2010329909089</v>
      </c>
      <c r="J2724" s="9" t="n">
        <v>20.0161457958637</v>
      </c>
      <c r="K2724" s="3" t="s">
        <v>944</v>
      </c>
      <c r="L2724" s="3" t="s">
        <v>947</v>
      </c>
      <c r="M2724" s="7" t="n">
        <v>2018</v>
      </c>
    </row>
    <row r="2725" customFormat="false" ht="15" hidden="false" customHeight="false" outlineLevel="0" collapsed="false">
      <c r="A2725" s="3" t="n">
        <v>3775</v>
      </c>
      <c r="B2725" s="3" t="s">
        <v>946</v>
      </c>
      <c r="C2725" s="4" t="s">
        <v>19</v>
      </c>
      <c r="D2725" s="5" t="n">
        <v>25664.3333333333</v>
      </c>
      <c r="E2725" s="6" t="n">
        <v>265.164629942943</v>
      </c>
      <c r="F2725" s="7" t="n">
        <v>63</v>
      </c>
      <c r="G2725" s="6" t="n">
        <v>682.816007145932</v>
      </c>
      <c r="H2725" s="8" t="n">
        <v>1325202.47850875</v>
      </c>
      <c r="I2725" s="9" t="n">
        <v>9.0086726416074</v>
      </c>
      <c r="J2725" s="9" t="n">
        <v>23.8172371397802</v>
      </c>
      <c r="K2725" s="3" t="s">
        <v>944</v>
      </c>
      <c r="L2725" s="3" t="s">
        <v>947</v>
      </c>
      <c r="M2725" s="7" t="n">
        <v>2019</v>
      </c>
    </row>
    <row r="2726" customFormat="false" ht="15" hidden="false" customHeight="false" outlineLevel="0" collapsed="false">
      <c r="A2726" s="3" t="n">
        <v>3776</v>
      </c>
      <c r="B2726" s="3" t="s">
        <v>946</v>
      </c>
      <c r="C2726" s="4" t="s">
        <v>20</v>
      </c>
      <c r="D2726" s="5" t="n">
        <v>26344.3333333333</v>
      </c>
      <c r="E2726" s="6" t="n">
        <v>265.59547036</v>
      </c>
      <c r="F2726" s="7" t="n">
        <v>63</v>
      </c>
      <c r="G2726" s="6" t="n">
        <v>737.997369267493</v>
      </c>
      <c r="H2726" s="8" t="n">
        <v>1426393.93534652</v>
      </c>
      <c r="I2726" s="9" t="n">
        <v>9.2211990447645</v>
      </c>
      <c r="J2726" s="9" t="n">
        <v>25.0088541935421</v>
      </c>
      <c r="K2726" s="3" t="s">
        <v>944</v>
      </c>
      <c r="L2726" s="3" t="s">
        <v>947</v>
      </c>
      <c r="M2726" s="7" t="n">
        <v>2020</v>
      </c>
    </row>
    <row r="2727" customFormat="false" ht="15" hidden="false" customHeight="false" outlineLevel="0" collapsed="false">
      <c r="A2727" s="3" t="n">
        <v>3777</v>
      </c>
      <c r="B2727" s="3" t="s">
        <v>946</v>
      </c>
      <c r="C2727" s="4" t="s">
        <v>21</v>
      </c>
      <c r="D2727" s="5" t="n">
        <v>26384.3333333333</v>
      </c>
      <c r="E2727" s="6" t="n">
        <v>265.59547036</v>
      </c>
      <c r="F2727" s="7" t="n">
        <v>63</v>
      </c>
      <c r="G2727" s="6" t="n">
        <v>976.221464323013</v>
      </c>
      <c r="H2727" s="8" t="n">
        <v>1938639.01234516</v>
      </c>
      <c r="I2727" s="9" t="n">
        <v>11.815556196575</v>
      </c>
      <c r="J2727" s="9" t="n">
        <v>33.1222554063592</v>
      </c>
      <c r="K2727" s="3" t="s">
        <v>944</v>
      </c>
      <c r="L2727" s="3" t="s">
        <v>947</v>
      </c>
      <c r="M2727" s="7" t="n">
        <v>2021</v>
      </c>
    </row>
    <row r="2728" customFormat="false" ht="15" hidden="false" customHeight="false" outlineLevel="0" collapsed="false">
      <c r="A2728" s="3" t="n">
        <v>3778</v>
      </c>
      <c r="B2728" s="3" t="s">
        <v>946</v>
      </c>
      <c r="C2728" s="4" t="s">
        <v>22</v>
      </c>
      <c r="D2728" s="5" t="n">
        <v>26418.8333333333</v>
      </c>
      <c r="E2728" s="6" t="n">
        <v>265.6245579</v>
      </c>
      <c r="F2728" s="7" t="n">
        <v>59</v>
      </c>
      <c r="G2728" s="6" t="n">
        <v>769.961399055624</v>
      </c>
      <c r="H2728" s="8" t="n">
        <v>1640010.08037449</v>
      </c>
      <c r="I2728" s="9" t="n">
        <v>9.9726880563457</v>
      </c>
      <c r="J2728" s="9" t="n">
        <v>26.0899347157585</v>
      </c>
      <c r="K2728" s="3" t="s">
        <v>944</v>
      </c>
      <c r="L2728" s="3" t="s">
        <v>947</v>
      </c>
      <c r="M2728" s="7" t="n">
        <v>2022</v>
      </c>
    </row>
    <row r="2729" customFormat="false" ht="15" hidden="false" customHeight="false" outlineLevel="0" collapsed="false">
      <c r="A2729" s="3" t="n">
        <v>3779</v>
      </c>
      <c r="B2729" s="3" t="s">
        <v>946</v>
      </c>
      <c r="C2729" s="4" t="s">
        <v>23</v>
      </c>
      <c r="D2729" s="5" t="n">
        <v>26365.8333333333</v>
      </c>
      <c r="E2729" s="6" t="n">
        <v>267.17580273</v>
      </c>
      <c r="F2729" s="7" t="n">
        <v>71</v>
      </c>
      <c r="G2729" s="6" t="n">
        <v>657.116435068123</v>
      </c>
      <c r="H2729" s="8" t="n">
        <v>1545176.44124094</v>
      </c>
      <c r="I2729" s="9" t="n">
        <v>9.29016079210908</v>
      </c>
      <c r="J2729" s="9" t="n">
        <v>22.3109725286934</v>
      </c>
      <c r="K2729" s="3" t="s">
        <v>944</v>
      </c>
      <c r="L2729" s="3" t="s">
        <v>947</v>
      </c>
      <c r="M2729" s="7" t="n">
        <v>2023</v>
      </c>
    </row>
    <row r="2730" customFormat="false" ht="15" hidden="false" customHeight="false" outlineLevel="0" collapsed="false">
      <c r="A2730" s="3" t="n">
        <v>3780</v>
      </c>
      <c r="B2730" s="3" t="s">
        <v>946</v>
      </c>
      <c r="C2730" s="4" t="s">
        <v>24</v>
      </c>
      <c r="D2730" s="5" t="n">
        <v>26473.1666666667</v>
      </c>
      <c r="E2730" s="6" t="n">
        <v>266.080542119787</v>
      </c>
      <c r="F2730" s="7" t="n">
        <v>71</v>
      </c>
      <c r="G2730" s="6" t="n">
        <v>691.947933710016</v>
      </c>
      <c r="H2730" s="8" t="n">
        <v>1770121.35619152</v>
      </c>
      <c r="I2730" s="9" t="n">
        <v>9.47241655014559</v>
      </c>
      <c r="J2730" s="9" t="n">
        <v>23.3342430201625</v>
      </c>
      <c r="K2730" s="3" t="s">
        <v>944</v>
      </c>
      <c r="L2730" s="3" t="s">
        <v>947</v>
      </c>
      <c r="M2730" s="7" t="n">
        <v>2024</v>
      </c>
    </row>
    <row r="2731" customFormat="false" ht="15" hidden="false" customHeight="false" outlineLevel="0" collapsed="false">
      <c r="A2731" s="3" t="n">
        <v>3781</v>
      </c>
      <c r="B2731" s="3" t="s">
        <v>948</v>
      </c>
      <c r="C2731" s="4" t="s">
        <v>14</v>
      </c>
      <c r="D2731" s="5" t="n">
        <v>17276</v>
      </c>
      <c r="E2731" s="6" t="n">
        <v>168.83</v>
      </c>
      <c r="F2731" s="7" t="n">
        <v>53</v>
      </c>
      <c r="G2731" s="6" t="n">
        <v>11.0464249999998</v>
      </c>
      <c r="H2731" s="8" t="n">
        <v>17851.4646569997</v>
      </c>
      <c r="I2731" s="9" t="n">
        <v>1.40592282381095</v>
      </c>
      <c r="J2731" s="9" t="n">
        <v>0.570827314902761</v>
      </c>
      <c r="K2731" s="3" t="s">
        <v>949</v>
      </c>
      <c r="L2731" s="3" t="s">
        <v>950</v>
      </c>
      <c r="M2731" s="7" t="n">
        <v>2016</v>
      </c>
    </row>
    <row r="2732" customFormat="false" ht="15" hidden="false" customHeight="false" outlineLevel="0" collapsed="false">
      <c r="A2732" s="3" t="n">
        <v>3782</v>
      </c>
      <c r="B2732" s="3" t="s">
        <v>948</v>
      </c>
      <c r="C2732" s="4" t="s">
        <v>17</v>
      </c>
      <c r="D2732" s="5" t="n">
        <v>17154</v>
      </c>
      <c r="E2732" s="6" t="n">
        <v>168.7</v>
      </c>
      <c r="F2732" s="7" t="n">
        <v>55</v>
      </c>
      <c r="G2732" s="6" t="n">
        <v>2.37689784615364</v>
      </c>
      <c r="H2732" s="8" t="n">
        <v>3817.45892665765</v>
      </c>
      <c r="I2732" s="9" t="n">
        <v>1.7725128480057</v>
      </c>
      <c r="J2732" s="9" t="n">
        <v>0.124040293691634</v>
      </c>
      <c r="K2732" s="3" t="s">
        <v>949</v>
      </c>
      <c r="L2732" s="3" t="s">
        <v>950</v>
      </c>
      <c r="M2732" s="7" t="n">
        <v>2017</v>
      </c>
    </row>
    <row r="2733" customFormat="false" ht="15" hidden="false" customHeight="false" outlineLevel="0" collapsed="false">
      <c r="A2733" s="3" t="n">
        <v>3783</v>
      </c>
      <c r="B2733" s="3" t="s">
        <v>948</v>
      </c>
      <c r="C2733" s="4" t="s">
        <v>18</v>
      </c>
      <c r="D2733" s="5" t="n">
        <v>17243</v>
      </c>
      <c r="E2733" s="6" t="n">
        <v>169.450315929552</v>
      </c>
      <c r="F2733" s="7" t="n">
        <v>70</v>
      </c>
      <c r="G2733" s="6" t="n">
        <v>39.0094369941837</v>
      </c>
      <c r="H2733" s="8" t="n">
        <v>62551.2421258036</v>
      </c>
      <c r="I2733" s="9" t="n">
        <v>2.28502701329781</v>
      </c>
      <c r="J2733" s="9" t="n">
        <v>2.02523082371884</v>
      </c>
      <c r="K2733" s="3" t="s">
        <v>949</v>
      </c>
      <c r="L2733" s="3" t="s">
        <v>950</v>
      </c>
      <c r="M2733" s="7" t="n">
        <v>2018</v>
      </c>
    </row>
    <row r="2734" customFormat="false" ht="15" hidden="false" customHeight="false" outlineLevel="0" collapsed="false">
      <c r="A2734" s="3" t="n">
        <v>3784</v>
      </c>
      <c r="B2734" s="3" t="s">
        <v>948</v>
      </c>
      <c r="C2734" s="4" t="s">
        <v>19</v>
      </c>
      <c r="D2734" s="5" t="n">
        <v>16592.8333333333</v>
      </c>
      <c r="E2734" s="6" t="n">
        <v>169.196376170649</v>
      </c>
      <c r="F2734" s="7" t="n">
        <v>70</v>
      </c>
      <c r="G2734" s="6" t="n">
        <v>233.840864187599</v>
      </c>
      <c r="H2734" s="8" t="n">
        <v>378370.023675335</v>
      </c>
      <c r="I2734" s="9" t="n">
        <v>5.84835240625404</v>
      </c>
      <c r="J2734" s="9" t="n">
        <v>12.6158794619053</v>
      </c>
      <c r="K2734" s="3" t="s">
        <v>949</v>
      </c>
      <c r="L2734" s="3" t="s">
        <v>950</v>
      </c>
      <c r="M2734" s="7" t="n">
        <v>2019</v>
      </c>
    </row>
    <row r="2735" customFormat="false" ht="15" hidden="false" customHeight="false" outlineLevel="0" collapsed="false">
      <c r="A2735" s="3" t="n">
        <v>3785</v>
      </c>
      <c r="B2735" s="3" t="s">
        <v>948</v>
      </c>
      <c r="C2735" s="4" t="s">
        <v>20</v>
      </c>
      <c r="D2735" s="5" t="n">
        <v>17357.4166666667</v>
      </c>
      <c r="E2735" s="6" t="n">
        <v>169.19775598</v>
      </c>
      <c r="F2735" s="7" t="n">
        <v>63</v>
      </c>
      <c r="G2735" s="6" t="n">
        <v>44.0572731635945</v>
      </c>
      <c r="H2735" s="8" t="n">
        <v>66702.1216911507</v>
      </c>
      <c r="I2735" s="9" t="n">
        <v>3.34524364572825</v>
      </c>
      <c r="J2735" s="9" t="n">
        <v>2.26599380736032</v>
      </c>
      <c r="K2735" s="3" t="s">
        <v>949</v>
      </c>
      <c r="L2735" s="3" t="s">
        <v>950</v>
      </c>
      <c r="M2735" s="7" t="n">
        <v>2020</v>
      </c>
    </row>
    <row r="2736" customFormat="false" ht="15" hidden="false" customHeight="false" outlineLevel="0" collapsed="false">
      <c r="A2736" s="3" t="n">
        <v>3786</v>
      </c>
      <c r="B2736" s="3" t="s">
        <v>948</v>
      </c>
      <c r="C2736" s="4" t="s">
        <v>21</v>
      </c>
      <c r="D2736" s="5" t="n">
        <v>17405.25</v>
      </c>
      <c r="E2736" s="6" t="n">
        <v>169.19775598</v>
      </c>
      <c r="F2736" s="7" t="n">
        <v>63</v>
      </c>
      <c r="G2736" s="6" t="n">
        <v>40.3475500865973</v>
      </c>
      <c r="H2736" s="8" t="n">
        <v>70936.6666135607</v>
      </c>
      <c r="I2736" s="9" t="n">
        <v>2.35464088484589</v>
      </c>
      <c r="J2736" s="9" t="n">
        <v>2.07517429032446</v>
      </c>
      <c r="K2736" s="3" t="s">
        <v>949</v>
      </c>
      <c r="L2736" s="3" t="s">
        <v>950</v>
      </c>
      <c r="M2736" s="7" t="n">
        <v>2021</v>
      </c>
    </row>
    <row r="2737" customFormat="false" ht="15" hidden="false" customHeight="false" outlineLevel="0" collapsed="false">
      <c r="A2737" s="3" t="n">
        <v>3787</v>
      </c>
      <c r="B2737" s="3" t="s">
        <v>948</v>
      </c>
      <c r="C2737" s="4" t="s">
        <v>22</v>
      </c>
      <c r="D2737" s="5" t="n">
        <v>17461.9166666667</v>
      </c>
      <c r="E2737" s="6" t="n">
        <v>170.54324694</v>
      </c>
      <c r="F2737" s="7" t="n">
        <v>59</v>
      </c>
      <c r="G2737" s="6" t="n">
        <v>11.8782191259508</v>
      </c>
      <c r="H2737" s="8" t="n">
        <v>25023.7254504494</v>
      </c>
      <c r="I2737" s="9" t="n">
        <v>1.68694636272542</v>
      </c>
      <c r="J2737" s="9" t="n">
        <v>0.608943635803911</v>
      </c>
      <c r="K2737" s="3" t="s">
        <v>949</v>
      </c>
      <c r="L2737" s="3" t="s">
        <v>950</v>
      </c>
      <c r="M2737" s="7" t="n">
        <v>2022</v>
      </c>
    </row>
    <row r="2738" customFormat="false" ht="15" hidden="false" customHeight="false" outlineLevel="0" collapsed="false">
      <c r="A2738" s="3" t="n">
        <v>3788</v>
      </c>
      <c r="B2738" s="3" t="s">
        <v>948</v>
      </c>
      <c r="C2738" s="4" t="s">
        <v>23</v>
      </c>
      <c r="D2738" s="5" t="n">
        <v>17436.5833333333</v>
      </c>
      <c r="E2738" s="6" t="n">
        <v>170.57977876</v>
      </c>
      <c r="F2738" s="7" t="n">
        <v>71</v>
      </c>
      <c r="G2738" s="6" t="n">
        <v>28.3043032306209</v>
      </c>
      <c r="H2738" s="8" t="n">
        <v>61075.0255110339</v>
      </c>
      <c r="I2738" s="9" t="n">
        <v>2.16824476728271</v>
      </c>
      <c r="J2738" s="9" t="n">
        <v>1.45314433460591</v>
      </c>
      <c r="K2738" s="3" t="s">
        <v>949</v>
      </c>
      <c r="L2738" s="3" t="s">
        <v>950</v>
      </c>
      <c r="M2738" s="7" t="n">
        <v>2023</v>
      </c>
    </row>
    <row r="2739" customFormat="false" ht="15" hidden="false" customHeight="false" outlineLevel="0" collapsed="false">
      <c r="A2739" s="3" t="n">
        <v>3789</v>
      </c>
      <c r="B2739" s="3" t="s">
        <v>948</v>
      </c>
      <c r="C2739" s="4" t="s">
        <v>24</v>
      </c>
      <c r="D2739" s="5" t="n">
        <v>17520.4166666667</v>
      </c>
      <c r="E2739" s="6" t="n">
        <v>170.605538644896</v>
      </c>
      <c r="F2739" s="7" t="n">
        <v>71</v>
      </c>
      <c r="G2739" s="6" t="n">
        <v>59.1642699438188</v>
      </c>
      <c r="H2739" s="8" t="n">
        <v>128282.386702255</v>
      </c>
      <c r="I2739" s="9" t="n">
        <v>2.64794907159956</v>
      </c>
      <c r="J2739" s="9" t="n">
        <v>3.01468037199339</v>
      </c>
      <c r="K2739" s="3" t="s">
        <v>949</v>
      </c>
      <c r="L2739" s="3" t="s">
        <v>950</v>
      </c>
      <c r="M2739" s="7" t="n">
        <v>2024</v>
      </c>
    </row>
    <row r="2740" customFormat="false" ht="15" hidden="false" customHeight="false" outlineLevel="0" collapsed="false">
      <c r="A2740" s="3" t="n">
        <v>3790</v>
      </c>
      <c r="B2740" s="3" t="s">
        <v>951</v>
      </c>
      <c r="C2740" s="4" t="s">
        <v>41</v>
      </c>
      <c r="D2740" s="5" t="n">
        <v>7570</v>
      </c>
      <c r="E2740" s="6" t="n">
        <v>101.227272727273</v>
      </c>
      <c r="F2740" s="7" t="n">
        <v>55</v>
      </c>
      <c r="G2740" s="6" t="n">
        <v>139.864699984792</v>
      </c>
      <c r="H2740" s="8" t="n">
        <v>214001.819659387</v>
      </c>
      <c r="I2740" s="9" t="n">
        <v>10.4363742016783</v>
      </c>
      <c r="J2740" s="9" t="n">
        <v>16.5397870261241</v>
      </c>
      <c r="K2740" s="3" t="s">
        <v>952</v>
      </c>
      <c r="L2740" s="3" t="s">
        <v>953</v>
      </c>
      <c r="M2740" s="7" t="n">
        <v>2016</v>
      </c>
    </row>
    <row r="2741" customFormat="false" ht="15" hidden="false" customHeight="false" outlineLevel="0" collapsed="false">
      <c r="A2741" s="3" t="n">
        <v>3791</v>
      </c>
      <c r="B2741" s="3" t="s">
        <v>951</v>
      </c>
      <c r="C2741" s="4" t="s">
        <v>42</v>
      </c>
      <c r="D2741" s="5" t="n">
        <v>7630</v>
      </c>
      <c r="E2741" s="6" t="n">
        <v>82</v>
      </c>
      <c r="F2741" s="7" t="n">
        <v>65</v>
      </c>
      <c r="G2741" s="6" t="n">
        <v>245.714717681327</v>
      </c>
      <c r="H2741" s="8" t="n">
        <v>342510.330163649</v>
      </c>
      <c r="I2741" s="9" t="n">
        <v>15.0758711127763</v>
      </c>
      <c r="J2741" s="9" t="n">
        <v>28.8286500911591</v>
      </c>
      <c r="K2741" s="3" t="s">
        <v>952</v>
      </c>
      <c r="L2741" s="3" t="s">
        <v>953</v>
      </c>
      <c r="M2741" s="7" t="n">
        <v>2017</v>
      </c>
    </row>
    <row r="2742" customFormat="false" ht="15" hidden="false" customHeight="false" outlineLevel="0" collapsed="false">
      <c r="A2742" s="3" t="n">
        <v>3792</v>
      </c>
      <c r="B2742" s="3" t="s">
        <v>951</v>
      </c>
      <c r="C2742" s="4" t="s">
        <v>43</v>
      </c>
      <c r="D2742" s="5" t="n">
        <v>7674</v>
      </c>
      <c r="E2742" s="6" t="n">
        <v>83.4</v>
      </c>
      <c r="F2742" s="7" t="n">
        <v>65</v>
      </c>
      <c r="G2742" s="6" t="n">
        <v>88.9962688007517</v>
      </c>
      <c r="H2742" s="8" t="n">
        <v>136670.08895582</v>
      </c>
      <c r="I2742" s="9" t="n">
        <v>10.8856804578044</v>
      </c>
      <c r="J2742" s="9" t="n">
        <v>10.3816809667701</v>
      </c>
      <c r="K2742" s="3" t="s">
        <v>952</v>
      </c>
      <c r="L2742" s="3" t="s">
        <v>953</v>
      </c>
      <c r="M2742" s="7" t="n">
        <v>2018</v>
      </c>
    </row>
    <row r="2743" customFormat="false" ht="15" hidden="false" customHeight="false" outlineLevel="0" collapsed="false">
      <c r="A2743" s="3" t="n">
        <v>3793</v>
      </c>
      <c r="B2743" s="3" t="s">
        <v>951</v>
      </c>
      <c r="C2743" s="4" t="s">
        <v>44</v>
      </c>
      <c r="D2743" s="5" t="n">
        <v>7716</v>
      </c>
      <c r="E2743" s="6" t="n">
        <v>83.19</v>
      </c>
      <c r="F2743" s="7" t="n">
        <v>63</v>
      </c>
      <c r="G2743" s="6" t="n">
        <v>50.6319459893869</v>
      </c>
      <c r="H2743" s="8" t="n">
        <v>72217.7512164819</v>
      </c>
      <c r="I2743" s="9" t="n">
        <v>10.5385298922553</v>
      </c>
      <c r="J2743" s="9" t="n">
        <v>5.85812445677287</v>
      </c>
      <c r="K2743" s="3" t="s">
        <v>952</v>
      </c>
      <c r="L2743" s="3" t="s">
        <v>953</v>
      </c>
      <c r="M2743" s="7" t="n">
        <v>2019</v>
      </c>
    </row>
    <row r="2744" customFormat="false" ht="15" hidden="false" customHeight="false" outlineLevel="0" collapsed="false">
      <c r="A2744" s="3" t="n">
        <v>3794</v>
      </c>
      <c r="B2744" s="3" t="s">
        <v>951</v>
      </c>
      <c r="C2744" s="4" t="s">
        <v>45</v>
      </c>
      <c r="D2744" s="5" t="n">
        <v>7763</v>
      </c>
      <c r="E2744" s="6" t="n">
        <v>80.25</v>
      </c>
      <c r="F2744" s="7" t="n">
        <v>67</v>
      </c>
      <c r="G2744" s="6" t="n">
        <v>111.537556894143</v>
      </c>
      <c r="H2744" s="8" t="n">
        <v>142775.107398026</v>
      </c>
      <c r="I2744" s="9" t="n">
        <v>10.3056085030106</v>
      </c>
      <c r="J2744" s="9" t="n">
        <v>12.8620210449941</v>
      </c>
      <c r="K2744" s="3" t="s">
        <v>952</v>
      </c>
      <c r="L2744" s="3" t="s">
        <v>953</v>
      </c>
      <c r="M2744" s="7" t="n">
        <v>2020</v>
      </c>
    </row>
    <row r="2745" customFormat="false" ht="15" hidden="false" customHeight="false" outlineLevel="0" collapsed="false">
      <c r="A2745" s="3" t="n">
        <v>3795</v>
      </c>
      <c r="B2745" s="3" t="s">
        <v>951</v>
      </c>
      <c r="C2745" s="4" t="s">
        <v>46</v>
      </c>
      <c r="D2745" s="5" t="n">
        <v>7781</v>
      </c>
      <c r="E2745" s="6" t="n">
        <v>80.25</v>
      </c>
      <c r="F2745" s="7" t="n">
        <v>60</v>
      </c>
      <c r="G2745" s="6" t="n">
        <v>40.1756189334121</v>
      </c>
      <c r="H2745" s="8" t="n">
        <v>69828.9294432867</v>
      </c>
      <c r="I2745" s="9" t="n">
        <v>6.6235167206041</v>
      </c>
      <c r="J2745" s="9" t="n">
        <v>4.6221585141431</v>
      </c>
      <c r="K2745" s="3" t="s">
        <v>952</v>
      </c>
      <c r="L2745" s="3" t="s">
        <v>953</v>
      </c>
      <c r="M2745" s="7" t="n">
        <v>2021</v>
      </c>
    </row>
    <row r="2746" customFormat="false" ht="15" hidden="false" customHeight="false" outlineLevel="0" collapsed="false">
      <c r="A2746" s="3" t="n">
        <v>3796</v>
      </c>
      <c r="B2746" s="3" t="s">
        <v>951</v>
      </c>
      <c r="C2746" s="4" t="s">
        <v>47</v>
      </c>
      <c r="D2746" s="5" t="n">
        <v>7813</v>
      </c>
      <c r="E2746" s="6" t="n">
        <v>80</v>
      </c>
      <c r="F2746" s="7" t="n">
        <v>56</v>
      </c>
      <c r="G2746" s="6" t="n">
        <v>131.23827632374</v>
      </c>
      <c r="H2746" s="8" t="n">
        <v>248089.177311568</v>
      </c>
      <c r="I2746" s="9" t="n">
        <v>9.82833781782533</v>
      </c>
      <c r="J2746" s="9" t="n">
        <v>15.0369711998624</v>
      </c>
      <c r="K2746" s="3" t="s">
        <v>952</v>
      </c>
      <c r="L2746" s="3" t="s">
        <v>953</v>
      </c>
      <c r="M2746" s="7" t="n">
        <v>2022</v>
      </c>
    </row>
    <row r="2747" customFormat="false" ht="15" hidden="false" customHeight="false" outlineLevel="0" collapsed="false">
      <c r="A2747" s="3" t="n">
        <v>3797</v>
      </c>
      <c r="B2747" s="3" t="s">
        <v>951</v>
      </c>
      <c r="C2747" s="4" t="s">
        <v>48</v>
      </c>
      <c r="D2747" s="5" t="n">
        <v>7843</v>
      </c>
      <c r="E2747" s="6" t="n">
        <v>82.82</v>
      </c>
      <c r="F2747" s="7" t="n">
        <v>57</v>
      </c>
      <c r="G2747" s="6" t="n">
        <v>161.846326233194</v>
      </c>
      <c r="H2747" s="8" t="n">
        <v>319096.781883493</v>
      </c>
      <c r="I2747" s="9" t="n">
        <v>12.5594806032745</v>
      </c>
      <c r="J2747" s="9" t="n">
        <v>18.4224261576635</v>
      </c>
      <c r="K2747" s="3" t="s">
        <v>952</v>
      </c>
      <c r="L2747" s="3" t="s">
        <v>953</v>
      </c>
      <c r="M2747" s="7" t="n">
        <v>2023</v>
      </c>
    </row>
    <row r="2748" customFormat="false" ht="15" hidden="false" customHeight="false" outlineLevel="0" collapsed="false">
      <c r="A2748" s="3" t="n">
        <v>3798</v>
      </c>
      <c r="B2748" s="3" t="s">
        <v>951</v>
      </c>
      <c r="C2748" s="4" t="s">
        <v>49</v>
      </c>
      <c r="D2748" s="5" t="n">
        <v>7893</v>
      </c>
      <c r="E2748" s="6" t="n">
        <v>83.45</v>
      </c>
      <c r="F2748" s="7" t="n">
        <v>64</v>
      </c>
      <c r="G2748" s="6" t="n">
        <v>167.823620022874</v>
      </c>
      <c r="H2748" s="8" t="n">
        <v>418270.680541213</v>
      </c>
      <c r="I2748" s="9" t="n">
        <v>11.9320336797391</v>
      </c>
      <c r="J2748" s="9" t="n">
        <v>19.0339382677632</v>
      </c>
      <c r="K2748" s="3" t="s">
        <v>952</v>
      </c>
      <c r="L2748" s="3" t="s">
        <v>953</v>
      </c>
      <c r="M2748" s="7" t="n">
        <v>2024</v>
      </c>
    </row>
    <row r="2749" customFormat="false" ht="15" hidden="false" customHeight="false" outlineLevel="0" collapsed="false">
      <c r="A2749" s="3" t="n">
        <v>3799</v>
      </c>
      <c r="B2749" s="3" t="s">
        <v>954</v>
      </c>
      <c r="C2749" s="4" t="s">
        <v>14</v>
      </c>
      <c r="D2749" s="5" t="n">
        <v>23094</v>
      </c>
      <c r="E2749" s="6" t="n">
        <v>196</v>
      </c>
      <c r="F2749" s="7" t="n">
        <v>52</v>
      </c>
      <c r="G2749" s="6" t="n">
        <v>565.758996235848</v>
      </c>
      <c r="H2749" s="8" t="n">
        <v>1010491.60436902</v>
      </c>
      <c r="I2749" s="9" t="n">
        <v>10.4731837580853</v>
      </c>
      <c r="J2749" s="9" t="n">
        <v>21.8704893618158</v>
      </c>
      <c r="K2749" s="3" t="s">
        <v>955</v>
      </c>
      <c r="L2749" s="3" t="s">
        <v>955</v>
      </c>
      <c r="M2749" s="7" t="n">
        <v>2016</v>
      </c>
    </row>
    <row r="2750" customFormat="false" ht="15" hidden="false" customHeight="false" outlineLevel="0" collapsed="false">
      <c r="A2750" s="3" t="n">
        <v>3800</v>
      </c>
      <c r="B2750" s="3" t="s">
        <v>954</v>
      </c>
      <c r="C2750" s="4" t="s">
        <v>17</v>
      </c>
      <c r="D2750" s="5" t="n">
        <v>23136</v>
      </c>
      <c r="E2750" s="6" t="n">
        <v>199</v>
      </c>
      <c r="F2750" s="7" t="n">
        <v>58</v>
      </c>
      <c r="G2750" s="6" t="n">
        <v>376.341729285899</v>
      </c>
      <c r="H2750" s="8" t="n">
        <v>746771.930557037</v>
      </c>
      <c r="I2750" s="9" t="n">
        <v>6.82265372453198</v>
      </c>
      <c r="J2750" s="9" t="n">
        <v>14.561689791935</v>
      </c>
      <c r="K2750" s="3" t="s">
        <v>955</v>
      </c>
      <c r="L2750" s="3" t="s">
        <v>955</v>
      </c>
      <c r="M2750" s="7" t="n">
        <v>2017</v>
      </c>
    </row>
    <row r="2751" customFormat="false" ht="15" hidden="false" customHeight="false" outlineLevel="0" collapsed="false">
      <c r="A2751" s="3" t="n">
        <v>3801</v>
      </c>
      <c r="B2751" s="3" t="s">
        <v>954</v>
      </c>
      <c r="C2751" s="4" t="s">
        <v>18</v>
      </c>
      <c r="D2751" s="5" t="n">
        <v>23138</v>
      </c>
      <c r="E2751" s="6" t="n">
        <v>199</v>
      </c>
      <c r="F2751" s="7" t="n">
        <v>59</v>
      </c>
      <c r="G2751" s="6" t="n">
        <v>17.3245648712189</v>
      </c>
      <c r="H2751" s="8" t="n">
        <v>21773.6359144865</v>
      </c>
      <c r="I2751" s="9" t="n">
        <v>1.46610251450677</v>
      </c>
      <c r="J2751" s="9" t="n">
        <v>0.670276808790301</v>
      </c>
      <c r="K2751" s="3" t="s">
        <v>955</v>
      </c>
      <c r="L2751" s="3" t="s">
        <v>955</v>
      </c>
      <c r="M2751" s="7" t="n">
        <v>2018</v>
      </c>
    </row>
    <row r="2752" customFormat="false" ht="15" hidden="false" customHeight="false" outlineLevel="0" collapsed="false">
      <c r="A2752" s="3" t="n">
        <v>3802</v>
      </c>
      <c r="B2752" s="3" t="s">
        <v>954</v>
      </c>
      <c r="C2752" s="4" t="s">
        <v>43</v>
      </c>
      <c r="D2752" s="5" t="n">
        <v>23133</v>
      </c>
      <c r="E2752" s="6" t="n">
        <v>199</v>
      </c>
      <c r="F2752" s="7" t="n">
        <v>66</v>
      </c>
      <c r="G2752" s="6" t="n">
        <v>219.9283679645</v>
      </c>
      <c r="H2752" s="8" t="n">
        <v>313971.814213582</v>
      </c>
      <c r="I2752" s="9" t="n">
        <v>4.80921421889617</v>
      </c>
      <c r="J2752" s="9" t="n">
        <v>8.51073304128115</v>
      </c>
      <c r="K2752" s="3" t="s">
        <v>955</v>
      </c>
      <c r="L2752" s="3" t="s">
        <v>955</v>
      </c>
      <c r="M2752" s="7" t="n">
        <v>2018</v>
      </c>
    </row>
    <row r="2753" customFormat="false" ht="15" hidden="false" customHeight="false" outlineLevel="0" collapsed="false">
      <c r="A2753" s="3" t="n">
        <v>3803</v>
      </c>
      <c r="B2753" s="3" t="s">
        <v>954</v>
      </c>
      <c r="C2753" s="4" t="s">
        <v>44</v>
      </c>
      <c r="D2753" s="5" t="n">
        <v>23140</v>
      </c>
      <c r="E2753" s="6" t="n">
        <v>199</v>
      </c>
      <c r="F2753" s="7" t="n">
        <v>59</v>
      </c>
      <c r="G2753" s="6" t="n">
        <v>580.676409347218</v>
      </c>
      <c r="H2753" s="8" t="n">
        <v>829433.778032143</v>
      </c>
      <c r="I2753" s="9" t="n">
        <v>9.84616413916146</v>
      </c>
      <c r="J2753" s="9" t="n">
        <v>22.4025276355005</v>
      </c>
      <c r="K2753" s="3" t="s">
        <v>955</v>
      </c>
      <c r="L2753" s="3" t="s">
        <v>955</v>
      </c>
      <c r="M2753" s="7" t="n">
        <v>2019</v>
      </c>
    </row>
    <row r="2754" customFormat="false" ht="15" hidden="false" customHeight="false" outlineLevel="0" collapsed="false">
      <c r="A2754" s="3" t="n">
        <v>3804</v>
      </c>
      <c r="B2754" s="3" t="s">
        <v>954</v>
      </c>
      <c r="C2754" s="4" t="s">
        <v>45</v>
      </c>
      <c r="D2754" s="5" t="n">
        <v>23107</v>
      </c>
      <c r="E2754" s="6" t="n">
        <v>199</v>
      </c>
      <c r="F2754" s="7" t="n">
        <v>58</v>
      </c>
      <c r="G2754" s="6" t="n">
        <v>171.011899960399</v>
      </c>
      <c r="H2754" s="8" t="n">
        <v>12906.8829507171</v>
      </c>
      <c r="I2754" s="9" t="n">
        <v>4.15912124905682</v>
      </c>
      <c r="J2754" s="9" t="n">
        <v>6.62522210504642</v>
      </c>
      <c r="K2754" s="3" t="s">
        <v>955</v>
      </c>
      <c r="L2754" s="3" t="s">
        <v>955</v>
      </c>
      <c r="M2754" s="7" t="n">
        <v>2020</v>
      </c>
    </row>
    <row r="2755" customFormat="false" ht="15" hidden="false" customHeight="false" outlineLevel="0" collapsed="false">
      <c r="A2755" s="3" t="n">
        <v>3805</v>
      </c>
      <c r="B2755" s="3" t="s">
        <v>954</v>
      </c>
      <c r="C2755" s="4" t="s">
        <v>46</v>
      </c>
      <c r="D2755" s="5" t="n">
        <v>23032</v>
      </c>
      <c r="E2755" s="6" t="n">
        <v>199</v>
      </c>
      <c r="F2755" s="7" t="n">
        <v>55</v>
      </c>
      <c r="G2755" s="6" t="n">
        <v>623.180138914337</v>
      </c>
      <c r="H2755" s="8" t="n">
        <v>44960.3639171837</v>
      </c>
      <c r="I2755" s="9" t="n">
        <v>11.5767010796449</v>
      </c>
      <c r="J2755" s="9" t="n">
        <v>24.2214214439079</v>
      </c>
      <c r="K2755" s="3" t="s">
        <v>955</v>
      </c>
      <c r="L2755" s="3" t="s">
        <v>955</v>
      </c>
      <c r="M2755" s="7" t="n">
        <v>2021</v>
      </c>
    </row>
    <row r="2756" customFormat="false" ht="15" hidden="false" customHeight="false" outlineLevel="0" collapsed="false">
      <c r="A2756" s="3" t="n">
        <v>3806</v>
      </c>
      <c r="B2756" s="3" t="s">
        <v>954</v>
      </c>
      <c r="C2756" s="4" t="s">
        <v>47</v>
      </c>
      <c r="D2756" s="5" t="n">
        <v>23429</v>
      </c>
      <c r="E2756" s="6" t="n">
        <v>199</v>
      </c>
      <c r="F2756" s="7" t="n">
        <v>60</v>
      </c>
      <c r="G2756" s="6" t="n">
        <v>145.179234533422</v>
      </c>
      <c r="H2756" s="8" t="n">
        <v>230870.856522539</v>
      </c>
      <c r="I2756" s="9" t="n">
        <v>4.67599567145494</v>
      </c>
      <c r="J2756" s="9" t="n">
        <v>5.54713102714703</v>
      </c>
      <c r="K2756" s="3" t="s">
        <v>955</v>
      </c>
      <c r="L2756" s="3" t="s">
        <v>955</v>
      </c>
      <c r="M2756" s="7" t="n">
        <v>2022</v>
      </c>
    </row>
    <row r="2757" customFormat="false" ht="15" hidden="false" customHeight="false" outlineLevel="0" collapsed="false">
      <c r="A2757" s="3" t="n">
        <v>3807</v>
      </c>
      <c r="B2757" s="3" t="s">
        <v>954</v>
      </c>
      <c r="C2757" s="4" t="s">
        <v>48</v>
      </c>
      <c r="D2757" s="5" t="n">
        <v>23429</v>
      </c>
      <c r="E2757" s="6" t="n">
        <v>199</v>
      </c>
      <c r="F2757" s="7" t="n">
        <v>65</v>
      </c>
      <c r="G2757" s="6" t="n">
        <v>248.415827465872</v>
      </c>
      <c r="H2757" s="8" t="n">
        <v>428296.193588396</v>
      </c>
      <c r="I2757" s="9" t="n">
        <v>6.29505939006034</v>
      </c>
      <c r="J2757" s="9" t="n">
        <v>9.4656775083896</v>
      </c>
      <c r="K2757" s="3" t="s">
        <v>955</v>
      </c>
      <c r="L2757" s="3" t="s">
        <v>955</v>
      </c>
      <c r="M2757" s="7" t="n">
        <v>2023</v>
      </c>
    </row>
    <row r="2758" customFormat="false" ht="15" hidden="false" customHeight="false" outlineLevel="0" collapsed="false">
      <c r="A2758" s="3" t="n">
        <v>3808</v>
      </c>
      <c r="B2758" s="3" t="s">
        <v>954</v>
      </c>
      <c r="C2758" s="4" t="s">
        <v>49</v>
      </c>
      <c r="D2758" s="5" t="n">
        <v>23439</v>
      </c>
      <c r="E2758" s="6" t="n">
        <v>199</v>
      </c>
      <c r="F2758" s="7" t="n">
        <v>65</v>
      </c>
      <c r="G2758" s="6" t="n">
        <v>702.813703011033</v>
      </c>
      <c r="H2758" s="8" t="n">
        <v>1304899.52929843</v>
      </c>
      <c r="I2758" s="9" t="n">
        <v>12.7054268646655</v>
      </c>
      <c r="J2758" s="9" t="n">
        <v>26.8422437596783</v>
      </c>
      <c r="K2758" s="3" t="s">
        <v>955</v>
      </c>
      <c r="L2758" s="3" t="s">
        <v>955</v>
      </c>
      <c r="M2758" s="7" t="n">
        <v>2024</v>
      </c>
    </row>
    <row r="2759" customFormat="false" ht="15" hidden="false" customHeight="false" outlineLevel="0" collapsed="false">
      <c r="A2759" s="3" t="n">
        <v>3809</v>
      </c>
      <c r="B2759" s="3" t="s">
        <v>956</v>
      </c>
      <c r="C2759" s="4" t="s">
        <v>14</v>
      </c>
      <c r="D2759" s="5" t="n">
        <v>4296</v>
      </c>
      <c r="E2759" s="6" t="n">
        <v>96.6</v>
      </c>
      <c r="F2759" s="7" t="n">
        <v>69</v>
      </c>
      <c r="G2759" s="6" t="n">
        <v>175.601237375631</v>
      </c>
      <c r="H2759" s="8" t="n">
        <v>294048.122603886</v>
      </c>
      <c r="I2759" s="9" t="n">
        <v>9.10477700503285</v>
      </c>
      <c r="J2759" s="9" t="n">
        <v>36.4913132318606</v>
      </c>
      <c r="K2759" s="3" t="s">
        <v>957</v>
      </c>
      <c r="L2759" s="3" t="s">
        <v>958</v>
      </c>
      <c r="M2759" s="7" t="n">
        <v>2016</v>
      </c>
    </row>
    <row r="2760" customFormat="false" ht="15" hidden="false" customHeight="false" outlineLevel="0" collapsed="false">
      <c r="A2760" s="3" t="n">
        <v>3810</v>
      </c>
      <c r="B2760" s="3" t="s">
        <v>956</v>
      </c>
      <c r="C2760" s="4" t="s">
        <v>17</v>
      </c>
      <c r="D2760" s="5" t="n">
        <v>4290</v>
      </c>
      <c r="E2760" s="6" t="n">
        <v>107</v>
      </c>
      <c r="F2760" s="7" t="n">
        <v>69</v>
      </c>
      <c r="G2760" s="6" t="n">
        <v>153.65824253869</v>
      </c>
      <c r="H2760" s="8" t="n">
        <v>578204.702018287</v>
      </c>
      <c r="I2760" s="9" t="n">
        <v>6.8037797811877</v>
      </c>
      <c r="J2760" s="9" t="n">
        <v>32.0638925109984</v>
      </c>
      <c r="K2760" s="3" t="s">
        <v>957</v>
      </c>
      <c r="L2760" s="3" t="s">
        <v>958</v>
      </c>
      <c r="M2760" s="7" t="n">
        <v>2017</v>
      </c>
    </row>
    <row r="2761" customFormat="false" ht="15" hidden="false" customHeight="false" outlineLevel="0" collapsed="false">
      <c r="A2761" s="3" t="n">
        <v>3811</v>
      </c>
      <c r="B2761" s="3" t="s">
        <v>956</v>
      </c>
      <c r="C2761" s="4" t="s">
        <v>18</v>
      </c>
      <c r="D2761" s="5" t="n">
        <v>4296</v>
      </c>
      <c r="E2761" s="6" t="n">
        <v>96.6</v>
      </c>
      <c r="F2761" s="7" t="n">
        <v>68</v>
      </c>
      <c r="G2761" s="6" t="n">
        <v>54.1987124838679</v>
      </c>
      <c r="H2761" s="8" t="n">
        <v>204372.817544169</v>
      </c>
      <c r="I2761" s="9" t="n">
        <v>3.98837705028384</v>
      </c>
      <c r="J2761" s="9" t="n">
        <v>11.2938592644198</v>
      </c>
      <c r="K2761" s="3" t="s">
        <v>957</v>
      </c>
      <c r="L2761" s="3" t="s">
        <v>958</v>
      </c>
      <c r="M2761" s="7" t="n">
        <v>2018</v>
      </c>
    </row>
    <row r="2762" customFormat="false" ht="15" hidden="false" customHeight="false" outlineLevel="0" collapsed="false">
      <c r="A2762" s="3" t="n">
        <v>3812</v>
      </c>
      <c r="B2762" s="3" t="s">
        <v>956</v>
      </c>
      <c r="C2762" s="4" t="s">
        <v>19</v>
      </c>
      <c r="D2762" s="5" t="n">
        <v>4352</v>
      </c>
      <c r="E2762" s="6" t="n">
        <v>96.6</v>
      </c>
      <c r="F2762" s="7" t="n">
        <v>61</v>
      </c>
      <c r="G2762" s="6" t="n">
        <v>51.8490804974289</v>
      </c>
      <c r="H2762" s="8" t="n">
        <v>92606.6771419438</v>
      </c>
      <c r="I2762" s="9" t="n">
        <v>4.03837143130389</v>
      </c>
      <c r="J2762" s="9" t="n">
        <v>10.6652206950245</v>
      </c>
      <c r="K2762" s="3" t="s">
        <v>957</v>
      </c>
      <c r="L2762" s="3" t="s">
        <v>958</v>
      </c>
      <c r="M2762" s="7" t="n">
        <v>2019</v>
      </c>
    </row>
    <row r="2763" customFormat="false" ht="15" hidden="false" customHeight="false" outlineLevel="0" collapsed="false">
      <c r="A2763" s="3" t="n">
        <v>3813</v>
      </c>
      <c r="B2763" s="3" t="s">
        <v>956</v>
      </c>
      <c r="C2763" s="4" t="s">
        <v>20</v>
      </c>
      <c r="D2763" s="5" t="n">
        <v>4357</v>
      </c>
      <c r="E2763" s="6" t="n">
        <v>108</v>
      </c>
      <c r="F2763" s="7" t="n">
        <v>59</v>
      </c>
      <c r="G2763" s="6" t="n">
        <v>114.662164521773</v>
      </c>
      <c r="H2763" s="8" t="n">
        <v>204795.956811439</v>
      </c>
      <c r="I2763" s="9" t="n">
        <v>5.30384083267641</v>
      </c>
      <c r="J2763" s="9" t="n">
        <v>23.4940976552198</v>
      </c>
      <c r="K2763" s="3" t="s">
        <v>957</v>
      </c>
      <c r="L2763" s="3" t="s">
        <v>958</v>
      </c>
      <c r="M2763" s="7" t="n">
        <v>2020</v>
      </c>
    </row>
    <row r="2764" customFormat="false" ht="15" hidden="false" customHeight="false" outlineLevel="0" collapsed="false">
      <c r="A2764" s="3" t="n">
        <v>3814</v>
      </c>
      <c r="B2764" s="3" t="s">
        <v>956</v>
      </c>
      <c r="C2764" s="4" t="s">
        <v>21</v>
      </c>
      <c r="D2764" s="5" t="n">
        <v>4375</v>
      </c>
      <c r="E2764" s="6" t="n">
        <v>108</v>
      </c>
      <c r="F2764" s="7" t="n">
        <v>61</v>
      </c>
      <c r="G2764" s="6" t="n">
        <v>117.637750324997</v>
      </c>
      <c r="H2764" s="8" t="n">
        <v>210110.595203165</v>
      </c>
      <c r="I2764" s="9" t="n">
        <v>5.75533552440383</v>
      </c>
      <c r="J2764" s="9" t="n">
        <v>24.0705673978968</v>
      </c>
      <c r="K2764" s="3" t="s">
        <v>957</v>
      </c>
      <c r="L2764" s="3" t="s">
        <v>958</v>
      </c>
      <c r="M2764" s="7" t="n">
        <v>2021</v>
      </c>
    </row>
    <row r="2765" customFormat="false" ht="15" hidden="false" customHeight="false" outlineLevel="0" collapsed="false">
      <c r="A2765" s="3" t="n">
        <v>3815</v>
      </c>
      <c r="B2765" s="3" t="s">
        <v>956</v>
      </c>
      <c r="C2765" s="4" t="s">
        <v>22</v>
      </c>
      <c r="D2765" s="5" t="n">
        <v>4375</v>
      </c>
      <c r="E2765" s="6" t="n">
        <v>108</v>
      </c>
      <c r="F2765" s="7" t="n">
        <v>60</v>
      </c>
      <c r="G2765" s="6" t="n">
        <v>64.4483036148039</v>
      </c>
      <c r="H2765" s="8" t="n">
        <v>125035.895795515</v>
      </c>
      <c r="I2765" s="9" t="n">
        <v>3.96343802445457</v>
      </c>
      <c r="J2765" s="9" t="n">
        <v>13.1871549018446</v>
      </c>
      <c r="K2765" s="3" t="s">
        <v>957</v>
      </c>
      <c r="L2765" s="3" t="s">
        <v>958</v>
      </c>
      <c r="M2765" s="7" t="n">
        <v>2022</v>
      </c>
    </row>
    <row r="2766" customFormat="false" ht="15" hidden="false" customHeight="false" outlineLevel="0" collapsed="false">
      <c r="A2766" s="3" t="n">
        <v>3816</v>
      </c>
      <c r="B2766" s="3" t="s">
        <v>956</v>
      </c>
      <c r="C2766" s="4" t="s">
        <v>23</v>
      </c>
      <c r="D2766" s="5" t="n">
        <v>4375</v>
      </c>
      <c r="E2766" s="6" t="n">
        <v>108</v>
      </c>
      <c r="F2766" s="7" t="n">
        <v>73</v>
      </c>
      <c r="G2766" s="6" t="n">
        <v>110.24337731206</v>
      </c>
      <c r="H2766" s="8" t="n">
        <v>241997.905908048</v>
      </c>
      <c r="I2766" s="9" t="n">
        <v>6.37786270218119</v>
      </c>
      <c r="J2766" s="9" t="n">
        <v>22.5575602766167</v>
      </c>
      <c r="K2766" s="3" t="s">
        <v>957</v>
      </c>
      <c r="L2766" s="3" t="s">
        <v>958</v>
      </c>
      <c r="M2766" s="7" t="n">
        <v>2023</v>
      </c>
    </row>
    <row r="2767" customFormat="false" ht="15" hidden="false" customHeight="false" outlineLevel="0" collapsed="false">
      <c r="A2767" s="3" t="n">
        <v>3817</v>
      </c>
      <c r="B2767" s="3" t="s">
        <v>956</v>
      </c>
      <c r="C2767" s="4" t="s">
        <v>24</v>
      </c>
      <c r="D2767" s="5" t="n">
        <v>4375</v>
      </c>
      <c r="E2767" s="6" t="n">
        <v>108</v>
      </c>
      <c r="F2767" s="7" t="n">
        <v>72</v>
      </c>
      <c r="G2767" s="6" t="n">
        <v>118.430002090719</v>
      </c>
      <c r="H2767" s="8" t="n">
        <v>283643.467051738</v>
      </c>
      <c r="I2767" s="9" t="n">
        <v>6.41131579642712</v>
      </c>
      <c r="J2767" s="9" t="n">
        <v>24.1662839052918</v>
      </c>
      <c r="K2767" s="3" t="s">
        <v>957</v>
      </c>
      <c r="L2767" s="3" t="s">
        <v>958</v>
      </c>
      <c r="M2767" s="7" t="n">
        <v>2024</v>
      </c>
    </row>
    <row r="2768" customFormat="false" ht="15" hidden="false" customHeight="false" outlineLevel="0" collapsed="false">
      <c r="A2768" s="3" t="n">
        <v>3818</v>
      </c>
      <c r="B2768" s="3" t="s">
        <v>956</v>
      </c>
      <c r="C2768" s="4" t="s">
        <v>37</v>
      </c>
      <c r="D2768" s="5" t="n">
        <v>4303</v>
      </c>
      <c r="E2768" s="6" t="n">
        <v>108</v>
      </c>
      <c r="F2768" s="7" t="n">
        <v>70</v>
      </c>
      <c r="G2768" s="6" t="n">
        <v>76.793590911054</v>
      </c>
      <c r="H2768" s="8" t="n">
        <v>195476.73385294</v>
      </c>
      <c r="I2768" s="9" t="n">
        <v>4.8036376600389</v>
      </c>
      <c r="J2768" s="9" t="n">
        <v>15.9761196456075</v>
      </c>
      <c r="K2768" s="3" t="s">
        <v>957</v>
      </c>
      <c r="L2768" s="3" t="s">
        <v>958</v>
      </c>
      <c r="M2768" s="7" t="n">
        <v>2025</v>
      </c>
    </row>
    <row r="2769" customFormat="false" ht="15" hidden="false" customHeight="false" outlineLevel="0" collapsed="false">
      <c r="A2769" s="3" t="n">
        <v>3819</v>
      </c>
      <c r="B2769" s="3" t="s">
        <v>959</v>
      </c>
      <c r="C2769" s="4" t="s">
        <v>14</v>
      </c>
      <c r="D2769" s="5" t="n">
        <v>4336</v>
      </c>
      <c r="E2769" s="6" t="n">
        <v>58.1</v>
      </c>
      <c r="F2769" s="7" t="n">
        <v>41</v>
      </c>
      <c r="G2769" s="6" t="n">
        <v>-66.2828588124455</v>
      </c>
      <c r="H2769" s="8" t="n">
        <v>-129482.000647437</v>
      </c>
      <c r="I2769" s="9" t="n">
        <v>0.759006604647878</v>
      </c>
      <c r="J2769" s="9" t="n">
        <v>-13.6470301691441</v>
      </c>
      <c r="K2769" s="3" t="s">
        <v>960</v>
      </c>
      <c r="L2769" s="3" t="s">
        <v>961</v>
      </c>
      <c r="M2769" s="7" t="n">
        <v>2016</v>
      </c>
    </row>
    <row r="2770" customFormat="false" ht="15" hidden="false" customHeight="false" outlineLevel="0" collapsed="false">
      <c r="A2770" s="3" t="n">
        <v>3820</v>
      </c>
      <c r="B2770" s="3" t="s">
        <v>959</v>
      </c>
      <c r="C2770" s="4" t="s">
        <v>17</v>
      </c>
      <c r="D2770" s="5" t="n">
        <v>4368</v>
      </c>
      <c r="E2770" s="6" t="n">
        <v>57.2</v>
      </c>
      <c r="F2770" s="7" t="n">
        <v>52</v>
      </c>
      <c r="G2770" s="6" t="n">
        <v>-103.626854156403</v>
      </c>
      <c r="H2770" s="8" t="n">
        <v>-204113.814631867</v>
      </c>
      <c r="I2770" s="9" t="n">
        <v>-0.386388675539636</v>
      </c>
      <c r="J2770" s="9" t="n">
        <v>-21.2376940019058</v>
      </c>
      <c r="K2770" s="3" t="s">
        <v>960</v>
      </c>
      <c r="L2770" s="3" t="s">
        <v>961</v>
      </c>
      <c r="M2770" s="7" t="n">
        <v>2017</v>
      </c>
    </row>
    <row r="2771" customFormat="false" ht="15" hidden="false" customHeight="false" outlineLevel="0" collapsed="false">
      <c r="A2771" s="3" t="n">
        <v>3821</v>
      </c>
      <c r="B2771" s="3" t="s">
        <v>959</v>
      </c>
      <c r="C2771" s="4" t="s">
        <v>18</v>
      </c>
      <c r="D2771" s="5" t="n">
        <v>4857</v>
      </c>
      <c r="E2771" s="6" t="n">
        <v>57.8</v>
      </c>
      <c r="F2771" s="7" t="n">
        <v>54</v>
      </c>
      <c r="G2771" s="6" t="n">
        <v>277.529144871795</v>
      </c>
      <c r="H2771" s="8" t="n">
        <v>634106.916077423</v>
      </c>
      <c r="I2771" s="9" t="n">
        <v>11.3120184476858</v>
      </c>
      <c r="J2771" s="9" t="n">
        <v>51.151475827128</v>
      </c>
      <c r="K2771" s="3" t="s">
        <v>960</v>
      </c>
      <c r="L2771" s="3" t="s">
        <v>961</v>
      </c>
      <c r="M2771" s="7" t="n">
        <v>2018</v>
      </c>
    </row>
    <row r="2772" customFormat="false" ht="15" hidden="false" customHeight="false" outlineLevel="0" collapsed="false">
      <c r="A2772" s="3" t="n">
        <v>3822</v>
      </c>
      <c r="B2772" s="3" t="s">
        <v>959</v>
      </c>
      <c r="C2772" s="4" t="s">
        <v>19</v>
      </c>
      <c r="D2772" s="5" t="n">
        <v>4885</v>
      </c>
      <c r="E2772" s="6" t="n">
        <v>58.3</v>
      </c>
      <c r="F2772" s="7" t="n">
        <v>57</v>
      </c>
      <c r="G2772" s="6" t="n">
        <v>35.6058014743586</v>
      </c>
      <c r="H2772" s="8" t="n">
        <v>64647.6734469191</v>
      </c>
      <c r="I2772" s="9" t="n">
        <v>4.16063802838149</v>
      </c>
      <c r="J2772" s="9" t="n">
        <v>6.5249001857116</v>
      </c>
      <c r="K2772" s="3" t="s">
        <v>960</v>
      </c>
      <c r="L2772" s="3" t="s">
        <v>961</v>
      </c>
      <c r="M2772" s="7" t="n">
        <v>2019</v>
      </c>
    </row>
    <row r="2773" customFormat="false" ht="15" hidden="false" customHeight="false" outlineLevel="0" collapsed="false">
      <c r="A2773" s="3" t="n">
        <v>3823</v>
      </c>
      <c r="B2773" s="3" t="s">
        <v>959</v>
      </c>
      <c r="C2773" s="4" t="s">
        <v>20</v>
      </c>
      <c r="D2773" s="5" t="n">
        <v>4085</v>
      </c>
      <c r="E2773" s="6" t="n">
        <v>62.78</v>
      </c>
      <c r="F2773" s="7" t="n">
        <v>60</v>
      </c>
      <c r="G2773" s="6" t="n">
        <v>234.046306741998</v>
      </c>
      <c r="H2773" s="8" t="n">
        <v>424857.836878772</v>
      </c>
      <c r="I2773" s="9" t="n">
        <v>9.94247730238598</v>
      </c>
      <c r="J2773" s="9" t="n">
        <v>51.1488560541821</v>
      </c>
      <c r="K2773" s="3" t="s">
        <v>960</v>
      </c>
      <c r="L2773" s="3" t="s">
        <v>961</v>
      </c>
      <c r="M2773" s="7" t="n">
        <v>2020</v>
      </c>
    </row>
    <row r="2774" customFormat="false" ht="15" hidden="false" customHeight="false" outlineLevel="0" collapsed="false">
      <c r="A2774" s="3" t="n">
        <v>3824</v>
      </c>
      <c r="B2774" s="3" t="s">
        <v>959</v>
      </c>
      <c r="C2774" s="4" t="s">
        <v>21</v>
      </c>
      <c r="D2774" s="5" t="n">
        <v>4943</v>
      </c>
      <c r="E2774" s="6" t="n">
        <v>62.61</v>
      </c>
      <c r="F2774" s="7" t="n">
        <v>60</v>
      </c>
      <c r="G2774" s="6" t="n">
        <v>37.3012813986573</v>
      </c>
      <c r="H2774" s="8" t="n">
        <v>67808.5074033631</v>
      </c>
      <c r="I2774" s="9" t="n">
        <v>4.39795171565797</v>
      </c>
      <c r="J2774" s="9" t="n">
        <v>6.75539604515314</v>
      </c>
      <c r="K2774" s="3" t="s">
        <v>960</v>
      </c>
      <c r="L2774" s="3" t="s">
        <v>961</v>
      </c>
      <c r="M2774" s="7" t="n">
        <v>2021</v>
      </c>
    </row>
    <row r="2775" customFormat="false" ht="15" hidden="false" customHeight="false" outlineLevel="0" collapsed="false">
      <c r="A2775" s="3" t="n">
        <v>3825</v>
      </c>
      <c r="B2775" s="3" t="s">
        <v>959</v>
      </c>
      <c r="C2775" s="4" t="s">
        <v>22</v>
      </c>
      <c r="D2775" s="5" t="n">
        <v>5029</v>
      </c>
      <c r="E2775" s="6" t="n">
        <v>64</v>
      </c>
      <c r="F2775" s="7" t="n">
        <v>60</v>
      </c>
      <c r="G2775" s="6" t="n">
        <v>85.1991195099362</v>
      </c>
      <c r="H2775" s="8" t="n">
        <v>167802.221848405</v>
      </c>
      <c r="I2775" s="9" t="n">
        <v>6.2249007161046</v>
      </c>
      <c r="J2775" s="9" t="n">
        <v>15.1660032751974</v>
      </c>
      <c r="K2775" s="3" t="s">
        <v>960</v>
      </c>
      <c r="L2775" s="3" t="s">
        <v>961</v>
      </c>
      <c r="M2775" s="7" t="n">
        <v>2022</v>
      </c>
    </row>
    <row r="2776" customFormat="false" ht="15" hidden="false" customHeight="false" outlineLevel="0" collapsed="false">
      <c r="A2776" s="3" t="n">
        <v>3826</v>
      </c>
      <c r="B2776" s="3" t="s">
        <v>959</v>
      </c>
      <c r="C2776" s="4" t="s">
        <v>23</v>
      </c>
      <c r="D2776" s="5" t="n">
        <v>4600</v>
      </c>
      <c r="E2776" s="6" t="n">
        <v>59.29</v>
      </c>
      <c r="F2776" s="7" t="n">
        <v>59</v>
      </c>
      <c r="G2776" s="6" t="n">
        <v>58.2550467781881</v>
      </c>
      <c r="H2776" s="8" t="n">
        <v>128627.26819428</v>
      </c>
      <c r="I2776" s="9" t="n">
        <v>5.40835867981715</v>
      </c>
      <c r="J2776" s="9" t="n">
        <v>11.3368760437884</v>
      </c>
      <c r="K2776" s="3" t="s">
        <v>960</v>
      </c>
      <c r="L2776" s="3" t="s">
        <v>961</v>
      </c>
      <c r="M2776" s="7" t="n">
        <v>2023</v>
      </c>
    </row>
    <row r="2777" customFormat="false" ht="15" hidden="false" customHeight="false" outlineLevel="0" collapsed="false">
      <c r="A2777" s="3" t="n">
        <v>3827</v>
      </c>
      <c r="B2777" s="3" t="s">
        <v>959</v>
      </c>
      <c r="C2777" s="4" t="s">
        <v>24</v>
      </c>
      <c r="D2777" s="5" t="n">
        <v>4606</v>
      </c>
      <c r="E2777" s="6" t="n">
        <v>59.29</v>
      </c>
      <c r="F2777" s="7" t="n">
        <v>62</v>
      </c>
      <c r="G2777" s="6" t="n">
        <v>237.879384615385</v>
      </c>
      <c r="H2777" s="8" t="n">
        <v>577973.162006154</v>
      </c>
      <c r="I2777" s="9" t="n">
        <v>11.0172057626183</v>
      </c>
      <c r="J2777" s="9" t="n">
        <v>46.1061720307091</v>
      </c>
      <c r="K2777" s="3" t="s">
        <v>960</v>
      </c>
      <c r="L2777" s="3" t="s">
        <v>961</v>
      </c>
      <c r="M2777" s="7" t="n">
        <v>2024</v>
      </c>
    </row>
    <row r="2778" customFormat="false" ht="15" hidden="false" customHeight="false" outlineLevel="0" collapsed="false">
      <c r="A2778" s="3" t="n">
        <v>3828</v>
      </c>
      <c r="B2778" s="3" t="s">
        <v>962</v>
      </c>
      <c r="C2778" s="4" t="s">
        <v>14</v>
      </c>
      <c r="D2778" s="5" t="n">
        <v>6544</v>
      </c>
      <c r="E2778" s="6" t="n">
        <v>76</v>
      </c>
      <c r="F2778" s="7" t="n">
        <v>56</v>
      </c>
      <c r="G2778" s="6" t="n">
        <v>215.93465621935</v>
      </c>
      <c r="H2778" s="8" t="n">
        <v>395539.462183267</v>
      </c>
      <c r="I2778" s="9" t="n">
        <v>11.7507204610951</v>
      </c>
      <c r="J2778" s="9" t="n">
        <v>29.4581353048412</v>
      </c>
      <c r="K2778" s="3" t="s">
        <v>963</v>
      </c>
      <c r="L2778" s="3" t="s">
        <v>964</v>
      </c>
      <c r="M2778" s="7" t="n">
        <v>2016</v>
      </c>
    </row>
    <row r="2779" customFormat="false" ht="15" hidden="false" customHeight="false" outlineLevel="0" collapsed="false">
      <c r="A2779" s="3" t="n">
        <v>3829</v>
      </c>
      <c r="B2779" s="3" t="s">
        <v>962</v>
      </c>
      <c r="C2779" s="4" t="s">
        <v>17</v>
      </c>
      <c r="D2779" s="5" t="n">
        <v>5386</v>
      </c>
      <c r="E2779" s="6" t="n">
        <v>76</v>
      </c>
      <c r="F2779" s="7" t="n">
        <v>58</v>
      </c>
      <c r="G2779" s="6" t="n">
        <v>177.318901230328</v>
      </c>
      <c r="H2779" s="8" t="n">
        <v>341650.367893023</v>
      </c>
      <c r="I2779" s="9" t="n">
        <v>9.95794481918103</v>
      </c>
      <c r="J2779" s="9" t="n">
        <v>29.4717793408244</v>
      </c>
      <c r="K2779" s="3" t="s">
        <v>963</v>
      </c>
      <c r="L2779" s="3" t="s">
        <v>964</v>
      </c>
      <c r="M2779" s="7" t="n">
        <v>2017</v>
      </c>
    </row>
    <row r="2780" customFormat="false" ht="15" hidden="false" customHeight="false" outlineLevel="0" collapsed="false">
      <c r="A2780" s="3" t="n">
        <v>3830</v>
      </c>
      <c r="B2780" s="3" t="s">
        <v>962</v>
      </c>
      <c r="C2780" s="4" t="s">
        <v>18</v>
      </c>
      <c r="D2780" s="5" t="n">
        <v>5390</v>
      </c>
      <c r="E2780" s="6" t="n">
        <v>76.1</v>
      </c>
      <c r="F2780" s="7" t="n">
        <v>59</v>
      </c>
      <c r="G2780" s="6" t="n">
        <v>233.043391066229</v>
      </c>
      <c r="H2780" s="8" t="n">
        <v>501830.846960846</v>
      </c>
      <c r="I2780" s="9" t="n">
        <v>12.1990520503147</v>
      </c>
      <c r="J2780" s="9" t="n">
        <v>38.7048777866632</v>
      </c>
      <c r="K2780" s="3" t="s">
        <v>963</v>
      </c>
      <c r="L2780" s="3" t="s">
        <v>964</v>
      </c>
      <c r="M2780" s="7" t="n">
        <v>2018</v>
      </c>
    </row>
    <row r="2781" customFormat="false" ht="15" hidden="false" customHeight="false" outlineLevel="0" collapsed="false">
      <c r="A2781" s="3" t="n">
        <v>3831</v>
      </c>
      <c r="B2781" s="3" t="s">
        <v>962</v>
      </c>
      <c r="C2781" s="4" t="s">
        <v>19</v>
      </c>
      <c r="D2781" s="5" t="n">
        <v>5442</v>
      </c>
      <c r="E2781" s="6" t="n">
        <v>76.1</v>
      </c>
      <c r="F2781" s="7" t="n">
        <v>61</v>
      </c>
      <c r="G2781" s="6" t="n">
        <v>128.730228063955</v>
      </c>
      <c r="H2781" s="8" t="n">
        <v>270964.193987977</v>
      </c>
      <c r="I2781" s="9" t="n">
        <v>7.50677608684962</v>
      </c>
      <c r="J2781" s="9" t="n">
        <v>21.1757926469683</v>
      </c>
      <c r="K2781" s="3" t="s">
        <v>963</v>
      </c>
      <c r="L2781" s="3" t="s">
        <v>964</v>
      </c>
      <c r="M2781" s="7" t="n">
        <v>2019</v>
      </c>
    </row>
    <row r="2782" customFormat="false" ht="15" hidden="false" customHeight="false" outlineLevel="0" collapsed="false">
      <c r="A2782" s="3" t="n">
        <v>3832</v>
      </c>
      <c r="B2782" s="3" t="s">
        <v>962</v>
      </c>
      <c r="C2782" s="4" t="s">
        <v>20</v>
      </c>
      <c r="D2782" s="5" t="n">
        <v>5394</v>
      </c>
      <c r="E2782" s="6" t="n">
        <v>76.1</v>
      </c>
      <c r="F2782" s="7" t="n">
        <v>64</v>
      </c>
      <c r="G2782" s="6" t="n">
        <v>116.106173172519</v>
      </c>
      <c r="H2782" s="8" t="n">
        <v>210423.583391994</v>
      </c>
      <c r="I2782" s="9" t="n">
        <v>7.42814746990737</v>
      </c>
      <c r="J2782" s="9" t="n">
        <v>19.2163350625192</v>
      </c>
      <c r="K2782" s="3" t="s">
        <v>963</v>
      </c>
      <c r="L2782" s="3" t="s">
        <v>964</v>
      </c>
      <c r="M2782" s="7" t="n">
        <v>2020</v>
      </c>
    </row>
    <row r="2783" customFormat="false" ht="15" hidden="false" customHeight="false" outlineLevel="0" collapsed="false">
      <c r="A2783" s="3" t="n">
        <v>3833</v>
      </c>
      <c r="B2783" s="3" t="s">
        <v>962</v>
      </c>
      <c r="C2783" s="4" t="s">
        <v>21</v>
      </c>
      <c r="D2783" s="5" t="n">
        <v>6602</v>
      </c>
      <c r="E2783" s="6" t="n">
        <v>76.9</v>
      </c>
      <c r="F2783" s="7" t="n">
        <v>64</v>
      </c>
      <c r="G2783" s="6" t="n">
        <v>157.706241585833</v>
      </c>
      <c r="H2783" s="8" t="n">
        <v>286390.920262888</v>
      </c>
      <c r="I2783" s="9" t="n">
        <v>10.3791061191902</v>
      </c>
      <c r="J2783" s="9" t="n">
        <v>21.384102938747</v>
      </c>
      <c r="K2783" s="3" t="s">
        <v>963</v>
      </c>
      <c r="L2783" s="3" t="s">
        <v>964</v>
      </c>
      <c r="M2783" s="7" t="n">
        <v>2021</v>
      </c>
    </row>
    <row r="2784" customFormat="false" ht="15" hidden="false" customHeight="false" outlineLevel="0" collapsed="false">
      <c r="A2784" s="3" t="n">
        <v>3834</v>
      </c>
      <c r="B2784" s="3" t="s">
        <v>962</v>
      </c>
      <c r="C2784" s="4" t="s">
        <v>22</v>
      </c>
      <c r="D2784" s="5" t="n">
        <v>6767</v>
      </c>
      <c r="E2784" s="6" t="n">
        <v>78.5</v>
      </c>
      <c r="F2784" s="7" t="n">
        <v>64</v>
      </c>
      <c r="G2784" s="6" t="n">
        <v>170.284258297396</v>
      </c>
      <c r="H2784" s="8" t="n">
        <v>344090.533242109</v>
      </c>
      <c r="I2784" s="9" t="n">
        <v>11.1844593645358</v>
      </c>
      <c r="J2784" s="9" t="n">
        <v>22.5266182891703</v>
      </c>
      <c r="K2784" s="3" t="s">
        <v>963</v>
      </c>
      <c r="L2784" s="3" t="s">
        <v>964</v>
      </c>
      <c r="M2784" s="7" t="n">
        <v>2022</v>
      </c>
    </row>
    <row r="2785" customFormat="false" ht="15" hidden="false" customHeight="false" outlineLevel="0" collapsed="false">
      <c r="A2785" s="3" t="n">
        <v>3835</v>
      </c>
      <c r="B2785" s="3" t="s">
        <v>962</v>
      </c>
      <c r="C2785" s="4" t="s">
        <v>23</v>
      </c>
      <c r="D2785" s="5" t="n">
        <v>6767</v>
      </c>
      <c r="E2785" s="6" t="n">
        <v>78.5</v>
      </c>
      <c r="F2785" s="7" t="n">
        <v>59</v>
      </c>
      <c r="G2785" s="6" t="n">
        <v>188.12481080669</v>
      </c>
      <c r="H2785" s="8" t="n">
        <v>428524.647246828</v>
      </c>
      <c r="I2785" s="9" t="n">
        <v>11.8692146782429</v>
      </c>
      <c r="J2785" s="9" t="n">
        <v>24.8867149913733</v>
      </c>
      <c r="K2785" s="3" t="s">
        <v>963</v>
      </c>
      <c r="L2785" s="3" t="s">
        <v>964</v>
      </c>
      <c r="M2785" s="7" t="n">
        <v>2023</v>
      </c>
    </row>
    <row r="2786" customFormat="false" ht="15" hidden="false" customHeight="false" outlineLevel="0" collapsed="false">
      <c r="A2786" s="3" t="n">
        <v>3836</v>
      </c>
      <c r="B2786" s="3" t="s">
        <v>962</v>
      </c>
      <c r="C2786" s="4" t="s">
        <v>24</v>
      </c>
      <c r="D2786" s="5" t="n">
        <v>6613</v>
      </c>
      <c r="E2786" s="6" t="n">
        <v>78.5</v>
      </c>
      <c r="F2786" s="7" t="n">
        <v>63</v>
      </c>
      <c r="G2786" s="6" t="n">
        <v>176.904262850668</v>
      </c>
      <c r="H2786" s="8" t="n">
        <v>430690.290584833</v>
      </c>
      <c r="I2786" s="9" t="n">
        <v>10.9542187757796</v>
      </c>
      <c r="J2786" s="9" t="n">
        <v>23.8817401813999</v>
      </c>
      <c r="K2786" s="3" t="s">
        <v>963</v>
      </c>
      <c r="L2786" s="3" t="s">
        <v>964</v>
      </c>
      <c r="M2786" s="7" t="n">
        <v>2024</v>
      </c>
    </row>
    <row r="2787" customFormat="false" ht="15" hidden="false" customHeight="false" outlineLevel="0" collapsed="false">
      <c r="A2787" s="3" t="n">
        <v>3837</v>
      </c>
      <c r="B2787" s="3" t="s">
        <v>965</v>
      </c>
      <c r="C2787" s="4" t="s">
        <v>14</v>
      </c>
      <c r="D2787" s="5" t="n">
        <v>8126</v>
      </c>
      <c r="E2787" s="6" t="n">
        <v>120.647</v>
      </c>
      <c r="F2787" s="7" t="n">
        <v>52</v>
      </c>
      <c r="G2787" s="6" t="n">
        <v>269.513528348229</v>
      </c>
      <c r="H2787" s="8" t="n">
        <v>554127.615300887</v>
      </c>
      <c r="I2787" s="9" t="n">
        <v>8.8256746900073</v>
      </c>
      <c r="J2787" s="9" t="n">
        <v>29.6094230681151</v>
      </c>
      <c r="K2787" s="3" t="s">
        <v>966</v>
      </c>
      <c r="L2787" s="3" t="s">
        <v>967</v>
      </c>
      <c r="M2787" s="7" t="n">
        <v>2016</v>
      </c>
    </row>
    <row r="2788" customFormat="false" ht="15" hidden="false" customHeight="false" outlineLevel="0" collapsed="false">
      <c r="A2788" s="3" t="n">
        <v>3838</v>
      </c>
      <c r="B2788" s="3" t="s">
        <v>965</v>
      </c>
      <c r="C2788" s="4" t="s">
        <v>17</v>
      </c>
      <c r="D2788" s="5" t="n">
        <v>8206</v>
      </c>
      <c r="E2788" s="6" t="n">
        <v>120.647</v>
      </c>
      <c r="F2788" s="7" t="n">
        <v>63</v>
      </c>
      <c r="G2788" s="6" t="n">
        <v>378.237172631447</v>
      </c>
      <c r="H2788" s="8" t="n">
        <v>760076.209242425</v>
      </c>
      <c r="I2788" s="9" t="n">
        <v>10.8537392455328</v>
      </c>
      <c r="J2788" s="9" t="n">
        <v>41.2620090831185</v>
      </c>
      <c r="K2788" s="3" t="s">
        <v>966</v>
      </c>
      <c r="L2788" s="3" t="s">
        <v>967</v>
      </c>
      <c r="M2788" s="7" t="n">
        <v>2017</v>
      </c>
    </row>
    <row r="2789" customFormat="false" ht="15" hidden="false" customHeight="false" outlineLevel="0" collapsed="false">
      <c r="A2789" s="3" t="n">
        <v>3839</v>
      </c>
      <c r="B2789" s="3" t="s">
        <v>965</v>
      </c>
      <c r="C2789" s="4" t="s">
        <v>18</v>
      </c>
      <c r="D2789" s="5" t="n">
        <v>6206</v>
      </c>
      <c r="E2789" s="6" t="n">
        <v>120.647</v>
      </c>
      <c r="F2789" s="7" t="n">
        <v>70</v>
      </c>
      <c r="G2789" s="6" t="n">
        <v>144.058013017572</v>
      </c>
      <c r="H2789" s="8" t="n">
        <v>257286.029318182</v>
      </c>
      <c r="I2789" s="9" t="n">
        <v>5.79804560260586</v>
      </c>
      <c r="J2789" s="9" t="n">
        <v>20.7798937928683</v>
      </c>
      <c r="K2789" s="3" t="s">
        <v>966</v>
      </c>
      <c r="L2789" s="3" t="s">
        <v>967</v>
      </c>
      <c r="M2789" s="7" t="n">
        <v>2018</v>
      </c>
    </row>
    <row r="2790" customFormat="false" ht="15" hidden="false" customHeight="false" outlineLevel="0" collapsed="false">
      <c r="A2790" s="3" t="n">
        <v>3840</v>
      </c>
      <c r="B2790" s="3" t="s">
        <v>965</v>
      </c>
      <c r="C2790" s="4" t="s">
        <v>19</v>
      </c>
      <c r="D2790" s="5" t="n">
        <v>6200</v>
      </c>
      <c r="E2790" s="6" t="n">
        <v>120.647</v>
      </c>
      <c r="F2790" s="7" t="n">
        <v>64</v>
      </c>
      <c r="G2790" s="6" t="n">
        <v>272.168503824318</v>
      </c>
      <c r="H2790" s="8" t="n">
        <v>486089.959090909</v>
      </c>
      <c r="I2790" s="9" t="n">
        <v>7.61014686248331</v>
      </c>
      <c r="J2790" s="9" t="n">
        <v>39.2974030218264</v>
      </c>
      <c r="K2790" s="3" t="s">
        <v>966</v>
      </c>
      <c r="L2790" s="3" t="s">
        <v>967</v>
      </c>
      <c r="M2790" s="7" t="n">
        <v>2019</v>
      </c>
    </row>
    <row r="2791" customFormat="false" ht="15" hidden="false" customHeight="false" outlineLevel="0" collapsed="false">
      <c r="A2791" s="3" t="n">
        <v>3841</v>
      </c>
      <c r="B2791" s="3" t="s">
        <v>965</v>
      </c>
      <c r="C2791" s="4" t="s">
        <v>20</v>
      </c>
      <c r="D2791" s="5" t="n">
        <v>6200</v>
      </c>
      <c r="E2791" s="6" t="n">
        <v>120.6</v>
      </c>
      <c r="F2791" s="7" t="n">
        <v>63</v>
      </c>
      <c r="G2791" s="6" t="n">
        <v>323.646075118519</v>
      </c>
      <c r="H2791" s="8" t="n">
        <v>578018.275216227</v>
      </c>
      <c r="I2791" s="9" t="n">
        <v>8.34914611005691</v>
      </c>
      <c r="J2791" s="9" t="n">
        <v>46.6020314730201</v>
      </c>
      <c r="K2791" s="3" t="s">
        <v>966</v>
      </c>
      <c r="L2791" s="3" t="s">
        <v>967</v>
      </c>
      <c r="M2791" s="7" t="n">
        <v>2020</v>
      </c>
    </row>
    <row r="2792" customFormat="false" ht="15" hidden="false" customHeight="false" outlineLevel="0" collapsed="false">
      <c r="A2792" s="3" t="n">
        <v>3842</v>
      </c>
      <c r="B2792" s="3" t="s">
        <v>965</v>
      </c>
      <c r="C2792" s="4" t="s">
        <v>21</v>
      </c>
      <c r="D2792" s="5" t="n">
        <v>6200</v>
      </c>
      <c r="E2792" s="6" t="n">
        <v>105</v>
      </c>
      <c r="F2792" s="7" t="n">
        <v>74</v>
      </c>
      <c r="G2792" s="6" t="n">
        <v>239.176951973635</v>
      </c>
      <c r="H2792" s="8" t="n">
        <v>427159.802994304</v>
      </c>
      <c r="I2792" s="9" t="n">
        <v>7.16795502459595</v>
      </c>
      <c r="J2792" s="9" t="n">
        <v>34.5338749457466</v>
      </c>
      <c r="K2792" s="3" t="s">
        <v>966</v>
      </c>
      <c r="L2792" s="3" t="s">
        <v>967</v>
      </c>
      <c r="M2792" s="7" t="n">
        <v>2021</v>
      </c>
    </row>
    <row r="2793" customFormat="false" ht="15" hidden="false" customHeight="false" outlineLevel="0" collapsed="false">
      <c r="A2793" s="3" t="n">
        <v>3843</v>
      </c>
      <c r="B2793" s="3" t="s">
        <v>965</v>
      </c>
      <c r="C2793" s="4" t="s">
        <v>22</v>
      </c>
      <c r="D2793" s="5" t="n">
        <v>6200</v>
      </c>
      <c r="E2793" s="6" t="n">
        <v>114</v>
      </c>
      <c r="F2793" s="7" t="n">
        <v>58</v>
      </c>
      <c r="G2793" s="6" t="n">
        <v>233.556721946714</v>
      </c>
      <c r="H2793" s="8" t="n">
        <v>453967.449048693</v>
      </c>
      <c r="I2793" s="9" t="n">
        <v>9.34838695767785</v>
      </c>
      <c r="J2793" s="9" t="n">
        <v>33.7223907315928</v>
      </c>
      <c r="K2793" s="3" t="s">
        <v>966</v>
      </c>
      <c r="L2793" s="3" t="s">
        <v>967</v>
      </c>
      <c r="M2793" s="7" t="n">
        <v>2022</v>
      </c>
    </row>
    <row r="2794" customFormat="false" ht="15" hidden="false" customHeight="false" outlineLevel="0" collapsed="false">
      <c r="A2794" s="3" t="n">
        <v>3844</v>
      </c>
      <c r="B2794" s="3" t="s">
        <v>965</v>
      </c>
      <c r="C2794" s="4" t="s">
        <v>23</v>
      </c>
      <c r="D2794" s="5" t="n">
        <v>6220</v>
      </c>
      <c r="E2794" s="6" t="n">
        <v>114</v>
      </c>
      <c r="F2794" s="7" t="n">
        <v>74</v>
      </c>
      <c r="G2794" s="6" t="n">
        <v>163.813559869671</v>
      </c>
      <c r="H2794" s="8" t="n">
        <v>318952.417482372</v>
      </c>
      <c r="I2794" s="9" t="n">
        <v>8.62560268892414</v>
      </c>
      <c r="J2794" s="9" t="n">
        <v>23.5763808244815</v>
      </c>
      <c r="K2794" s="3" t="s">
        <v>966</v>
      </c>
      <c r="L2794" s="3" t="s">
        <v>967</v>
      </c>
      <c r="M2794" s="7" t="n">
        <v>2023</v>
      </c>
    </row>
    <row r="2795" customFormat="false" ht="15" hidden="false" customHeight="false" outlineLevel="0" collapsed="false">
      <c r="A2795" s="3" t="n">
        <v>3845</v>
      </c>
      <c r="B2795" s="3" t="s">
        <v>965</v>
      </c>
      <c r="C2795" s="4" t="s">
        <v>24</v>
      </c>
      <c r="D2795" s="5" t="n">
        <v>6200</v>
      </c>
      <c r="E2795" s="6" t="n">
        <v>114</v>
      </c>
      <c r="F2795" s="7" t="n">
        <v>73</v>
      </c>
      <c r="G2795" s="6" t="n">
        <v>134.431005852285</v>
      </c>
      <c r="H2795" s="8" t="n">
        <v>322835.877811868</v>
      </c>
      <c r="I2795" s="9" t="n">
        <v>7.28748772926425</v>
      </c>
      <c r="J2795" s="9" t="n">
        <v>19.3568173610132</v>
      </c>
      <c r="K2795" s="3" t="s">
        <v>966</v>
      </c>
      <c r="L2795" s="3" t="s">
        <v>967</v>
      </c>
      <c r="M2795" s="7" t="n">
        <v>2024</v>
      </c>
    </row>
    <row r="2796" customFormat="false" ht="15" hidden="false" customHeight="false" outlineLevel="0" collapsed="false">
      <c r="A2796" s="3" t="n">
        <v>3846</v>
      </c>
      <c r="B2796" s="3" t="s">
        <v>968</v>
      </c>
      <c r="C2796" s="4" t="s">
        <v>41</v>
      </c>
      <c r="D2796" s="5" t="n">
        <v>23835</v>
      </c>
      <c r="E2796" s="6" t="n">
        <v>264.606060606061</v>
      </c>
      <c r="F2796" s="7" t="n">
        <v>50</v>
      </c>
      <c r="G2796" s="6" t="n">
        <v>676.833316326531</v>
      </c>
      <c r="H2796" s="8" t="n">
        <v>1207828.86752526</v>
      </c>
      <c r="I2796" s="9" t="n">
        <v>10.1334253508167</v>
      </c>
      <c r="J2796" s="9" t="n">
        <v>25.4205092426085</v>
      </c>
      <c r="K2796" s="3" t="s">
        <v>969</v>
      </c>
      <c r="L2796" s="3" t="s">
        <v>969</v>
      </c>
      <c r="M2796" s="7" t="n">
        <v>2016</v>
      </c>
    </row>
    <row r="2797" customFormat="false" ht="15" hidden="false" customHeight="false" outlineLevel="0" collapsed="false">
      <c r="A2797" s="3" t="n">
        <v>3847</v>
      </c>
      <c r="B2797" s="3" t="s">
        <v>968</v>
      </c>
      <c r="C2797" s="4" t="s">
        <v>42</v>
      </c>
      <c r="D2797" s="5" t="n">
        <v>24486</v>
      </c>
      <c r="E2797" s="6" t="n">
        <v>264.6</v>
      </c>
      <c r="F2797" s="7" t="n">
        <v>56</v>
      </c>
      <c r="G2797" s="6" t="n">
        <v>676.18474471178</v>
      </c>
      <c r="H2797" s="8" t="n">
        <v>1365710.61443672</v>
      </c>
      <c r="I2797" s="9" t="n">
        <v>8.53097847654876</v>
      </c>
      <c r="J2797" s="9" t="n">
        <v>24.7209523685073</v>
      </c>
      <c r="K2797" s="3" t="s">
        <v>969</v>
      </c>
      <c r="L2797" s="3" t="s">
        <v>969</v>
      </c>
      <c r="M2797" s="7" t="n">
        <v>2017</v>
      </c>
    </row>
    <row r="2798" customFormat="false" ht="15" hidden="false" customHeight="false" outlineLevel="0" collapsed="false">
      <c r="A2798" s="3" t="n">
        <v>3848</v>
      </c>
      <c r="B2798" s="3" t="s">
        <v>968</v>
      </c>
      <c r="C2798" s="4" t="s">
        <v>43</v>
      </c>
      <c r="D2798" s="5" t="n">
        <v>25496</v>
      </c>
      <c r="E2798" s="6" t="n">
        <v>264.6</v>
      </c>
      <c r="F2798" s="7" t="n">
        <v>64</v>
      </c>
      <c r="G2798" s="6" t="n">
        <v>597.18751926957</v>
      </c>
      <c r="H2798" s="8" t="n">
        <v>1219803.28310964</v>
      </c>
      <c r="I2798" s="9" t="n">
        <v>7.78434537351746</v>
      </c>
      <c r="J2798" s="9" t="n">
        <v>20.9679680783269</v>
      </c>
      <c r="K2798" s="3" t="s">
        <v>969</v>
      </c>
      <c r="L2798" s="3" t="s">
        <v>969</v>
      </c>
      <c r="M2798" s="7" t="n">
        <v>2018</v>
      </c>
    </row>
    <row r="2799" customFormat="false" ht="15" hidden="false" customHeight="false" outlineLevel="0" collapsed="false">
      <c r="A2799" s="3" t="n">
        <v>3849</v>
      </c>
      <c r="B2799" s="3" t="s">
        <v>968</v>
      </c>
      <c r="C2799" s="4" t="s">
        <v>44</v>
      </c>
      <c r="D2799" s="5" t="n">
        <v>24254</v>
      </c>
      <c r="E2799" s="6" t="n">
        <v>267.35</v>
      </c>
      <c r="F2799" s="7" t="n">
        <v>78</v>
      </c>
      <c r="G2799" s="6" t="n">
        <v>878.404607376236</v>
      </c>
      <c r="H2799" s="8" t="n">
        <v>2647820.68505377</v>
      </c>
      <c r="I2799" s="9" t="n">
        <v>10.4274213922636</v>
      </c>
      <c r="J2799" s="9" t="n">
        <v>32.3323614710246</v>
      </c>
      <c r="K2799" s="3" t="s">
        <v>969</v>
      </c>
      <c r="L2799" s="3" t="s">
        <v>969</v>
      </c>
      <c r="M2799" s="7" t="n">
        <v>2019</v>
      </c>
    </row>
    <row r="2800" customFormat="false" ht="15" hidden="false" customHeight="false" outlineLevel="0" collapsed="false">
      <c r="A2800" s="3" t="n">
        <v>3850</v>
      </c>
      <c r="B2800" s="3" t="s">
        <v>968</v>
      </c>
      <c r="C2800" s="4" t="s">
        <v>45</v>
      </c>
      <c r="D2800" s="5" t="n">
        <v>24280</v>
      </c>
      <c r="E2800" s="6" t="n">
        <v>257.96</v>
      </c>
      <c r="F2800" s="7" t="n">
        <v>79</v>
      </c>
      <c r="G2800" s="6" t="n">
        <v>422.659403458774</v>
      </c>
      <c r="H2800" s="8" t="n">
        <v>1520752.20257126</v>
      </c>
      <c r="I2800" s="9" t="n">
        <v>6.13957636433045</v>
      </c>
      <c r="J2800" s="9" t="n">
        <v>15.5833034556146</v>
      </c>
      <c r="K2800" s="3" t="s">
        <v>969</v>
      </c>
      <c r="L2800" s="3" t="s">
        <v>969</v>
      </c>
      <c r="M2800" s="7" t="n">
        <v>2020</v>
      </c>
    </row>
    <row r="2801" customFormat="false" ht="15" hidden="false" customHeight="false" outlineLevel="0" collapsed="false">
      <c r="A2801" s="3" t="n">
        <v>3851</v>
      </c>
      <c r="B2801" s="3" t="s">
        <v>968</v>
      </c>
      <c r="C2801" s="4" t="s">
        <v>46</v>
      </c>
      <c r="D2801" s="5" t="n">
        <v>24345</v>
      </c>
      <c r="E2801" s="6" t="n">
        <v>267.39</v>
      </c>
      <c r="F2801" s="7" t="n">
        <v>74</v>
      </c>
      <c r="G2801" s="6" t="n">
        <v>197.3958624167</v>
      </c>
      <c r="H2801" s="8" t="n">
        <v>744635.622211068</v>
      </c>
      <c r="I2801" s="9" t="n">
        <v>5.65028745366645</v>
      </c>
      <c r="J2801" s="9" t="n">
        <v>7.25848428433125</v>
      </c>
      <c r="K2801" s="3" t="s">
        <v>969</v>
      </c>
      <c r="L2801" s="3" t="s">
        <v>969</v>
      </c>
      <c r="M2801" s="7" t="n">
        <v>2021</v>
      </c>
    </row>
    <row r="2802" customFormat="false" ht="15" hidden="false" customHeight="false" outlineLevel="0" collapsed="false">
      <c r="A2802" s="3" t="n">
        <v>3852</v>
      </c>
      <c r="B2802" s="3" t="s">
        <v>968</v>
      </c>
      <c r="C2802" s="4" t="s">
        <v>47</v>
      </c>
      <c r="D2802" s="5" t="n">
        <v>24387</v>
      </c>
      <c r="E2802" s="6" t="n">
        <v>263.902</v>
      </c>
      <c r="F2802" s="7" t="n">
        <v>71</v>
      </c>
      <c r="G2802" s="6" t="n">
        <v>511.013805994404</v>
      </c>
      <c r="H2802" s="8" t="n">
        <v>1197167.37371727</v>
      </c>
      <c r="I2802" s="9" t="n">
        <v>8.31305598566868</v>
      </c>
      <c r="J2802" s="9" t="n">
        <v>18.7582331625392</v>
      </c>
      <c r="K2802" s="3" t="s">
        <v>969</v>
      </c>
      <c r="L2802" s="3" t="s">
        <v>969</v>
      </c>
      <c r="M2802" s="7" t="n">
        <v>2022</v>
      </c>
    </row>
    <row r="2803" customFormat="false" ht="15" hidden="false" customHeight="false" outlineLevel="0" collapsed="false">
      <c r="A2803" s="3" t="n">
        <v>3853</v>
      </c>
      <c r="B2803" s="3" t="s">
        <v>968</v>
      </c>
      <c r="C2803" s="4" t="s">
        <v>48</v>
      </c>
      <c r="D2803" s="5" t="n">
        <v>24434</v>
      </c>
      <c r="E2803" s="6" t="n">
        <v>263.902</v>
      </c>
      <c r="F2803" s="7" t="n">
        <v>69</v>
      </c>
      <c r="G2803" s="6" t="n">
        <v>398.043795185656</v>
      </c>
      <c r="H2803" s="8" t="n">
        <v>988832.337314063</v>
      </c>
      <c r="I2803" s="9" t="n">
        <v>6.69080376370288</v>
      </c>
      <c r="J2803" s="9" t="n">
        <v>14.5432839155232</v>
      </c>
      <c r="K2803" s="3" t="s">
        <v>969</v>
      </c>
      <c r="L2803" s="3" t="s">
        <v>969</v>
      </c>
      <c r="M2803" s="7" t="n">
        <v>2023</v>
      </c>
    </row>
    <row r="2804" customFormat="false" ht="15" hidden="false" customHeight="false" outlineLevel="0" collapsed="false">
      <c r="A2804" s="3" t="n">
        <v>3854</v>
      </c>
      <c r="B2804" s="3" t="s">
        <v>968</v>
      </c>
      <c r="C2804" s="4" t="s">
        <v>49</v>
      </c>
      <c r="D2804" s="5" t="n">
        <v>24487</v>
      </c>
      <c r="E2804" s="6" t="n">
        <v>261.2</v>
      </c>
      <c r="F2804" s="7" t="n">
        <v>65</v>
      </c>
      <c r="G2804" s="6" t="n">
        <v>353.776234473551</v>
      </c>
      <c r="H2804" s="8" t="n">
        <v>960325.588478455</v>
      </c>
      <c r="I2804" s="9" t="n">
        <v>6.11161511355961</v>
      </c>
      <c r="J2804" s="9" t="n">
        <v>12.9333415958592</v>
      </c>
      <c r="K2804" s="3" t="s">
        <v>969</v>
      </c>
      <c r="L2804" s="3" t="s">
        <v>969</v>
      </c>
      <c r="M2804" s="7" t="n">
        <v>2024</v>
      </c>
    </row>
    <row r="2805" customFormat="false" ht="15" hidden="false" customHeight="false" outlineLevel="0" collapsed="false">
      <c r="A2805" s="3" t="n">
        <v>3855</v>
      </c>
      <c r="B2805" s="3" t="s">
        <v>970</v>
      </c>
      <c r="C2805" s="4" t="s">
        <v>14</v>
      </c>
      <c r="D2805" s="5" t="n">
        <v>12145</v>
      </c>
      <c r="E2805" s="6" t="n">
        <v>119.7</v>
      </c>
      <c r="F2805" s="7" t="n">
        <v>53</v>
      </c>
      <c r="G2805" s="6" t="n">
        <v>294.283836325624</v>
      </c>
      <c r="H2805" s="8" t="n">
        <v>119135.189336885</v>
      </c>
      <c r="I2805" s="9" t="n">
        <v>15.1829040166749</v>
      </c>
      <c r="J2805" s="9" t="n">
        <v>21.6319207635006</v>
      </c>
      <c r="K2805" s="3" t="s">
        <v>971</v>
      </c>
      <c r="L2805" s="3" t="s">
        <v>972</v>
      </c>
      <c r="M2805" s="7" t="n">
        <v>2016</v>
      </c>
    </row>
    <row r="2806" customFormat="false" ht="15" hidden="false" customHeight="false" outlineLevel="0" collapsed="false">
      <c r="A2806" s="3" t="n">
        <v>3856</v>
      </c>
      <c r="B2806" s="3" t="s">
        <v>970</v>
      </c>
      <c r="C2806" s="4" t="s">
        <v>17</v>
      </c>
      <c r="D2806" s="5" t="n">
        <v>11256</v>
      </c>
      <c r="E2806" s="6" t="n">
        <v>119.7</v>
      </c>
      <c r="F2806" s="7" t="n">
        <v>53</v>
      </c>
      <c r="G2806" s="6" t="n">
        <v>248.419241598794</v>
      </c>
      <c r="H2806" s="8" t="n">
        <v>192405.671003098</v>
      </c>
      <c r="I2806" s="9" t="n">
        <v>13.9969683007722</v>
      </c>
      <c r="J2806" s="9" t="n">
        <v>19.7569009090655</v>
      </c>
      <c r="K2806" s="3" t="s">
        <v>971</v>
      </c>
      <c r="L2806" s="3" t="s">
        <v>972</v>
      </c>
      <c r="M2806" s="7" t="n">
        <v>2017</v>
      </c>
    </row>
    <row r="2807" customFormat="false" ht="15" hidden="false" customHeight="false" outlineLevel="0" collapsed="false">
      <c r="A2807" s="3" t="n">
        <v>3857</v>
      </c>
      <c r="B2807" s="3" t="s">
        <v>970</v>
      </c>
      <c r="C2807" s="4" t="s">
        <v>18</v>
      </c>
      <c r="D2807" s="5" t="n">
        <v>11696</v>
      </c>
      <c r="E2807" s="6" t="n">
        <v>121.6</v>
      </c>
      <c r="F2807" s="7" t="n">
        <v>63</v>
      </c>
      <c r="G2807" s="6" t="n">
        <v>145.349583071604</v>
      </c>
      <c r="H2807" s="8" t="n">
        <v>100092.083390598</v>
      </c>
      <c r="I2807" s="9" t="n">
        <v>11.4228233060411</v>
      </c>
      <c r="J2807" s="9" t="n">
        <v>11.1248484955562</v>
      </c>
      <c r="K2807" s="3" t="s">
        <v>971</v>
      </c>
      <c r="L2807" s="3" t="s">
        <v>972</v>
      </c>
      <c r="M2807" s="7" t="n">
        <v>2018</v>
      </c>
    </row>
    <row r="2808" customFormat="false" ht="15" hidden="false" customHeight="false" outlineLevel="0" collapsed="false">
      <c r="A2808" s="3" t="n">
        <v>3858</v>
      </c>
      <c r="B2808" s="3" t="s">
        <v>970</v>
      </c>
      <c r="C2808" s="4" t="s">
        <v>19</v>
      </c>
      <c r="D2808" s="5" t="n">
        <v>11696</v>
      </c>
      <c r="E2808" s="6" t="n">
        <v>121.6</v>
      </c>
      <c r="F2808" s="7" t="n">
        <v>59</v>
      </c>
      <c r="G2808" s="6" t="n">
        <v>153.531758550696</v>
      </c>
      <c r="H2808" s="8" t="n">
        <v>262471.223306142</v>
      </c>
      <c r="I2808" s="9" t="n">
        <v>12.331043779963</v>
      </c>
      <c r="J2808" s="9" t="n">
        <v>11.7511004643982</v>
      </c>
      <c r="K2808" s="3" t="s">
        <v>971</v>
      </c>
      <c r="L2808" s="3" t="s">
        <v>972</v>
      </c>
      <c r="M2808" s="7" t="n">
        <v>2019</v>
      </c>
    </row>
    <row r="2809" customFormat="false" ht="15" hidden="false" customHeight="false" outlineLevel="0" collapsed="false">
      <c r="A2809" s="3" t="n">
        <v>3859</v>
      </c>
      <c r="B2809" s="3" t="s">
        <v>970</v>
      </c>
      <c r="C2809" s="4" t="s">
        <v>20</v>
      </c>
      <c r="D2809" s="5" t="n">
        <v>11434</v>
      </c>
      <c r="E2809" s="6" t="n">
        <v>116</v>
      </c>
      <c r="F2809" s="7" t="n">
        <v>57</v>
      </c>
      <c r="G2809" s="6" t="n">
        <v>247.694952950954</v>
      </c>
      <c r="H2809" s="8" t="n">
        <v>417141.636987085</v>
      </c>
      <c r="I2809" s="9" t="n">
        <v>14.6220334927269</v>
      </c>
      <c r="J2809" s="9" t="n">
        <v>19.3394965062195</v>
      </c>
      <c r="K2809" s="3" t="s">
        <v>971</v>
      </c>
      <c r="L2809" s="3" t="s">
        <v>972</v>
      </c>
      <c r="M2809" s="7" t="n">
        <v>2020</v>
      </c>
    </row>
    <row r="2810" customFormat="false" ht="15" hidden="false" customHeight="false" outlineLevel="0" collapsed="false">
      <c r="A2810" s="3" t="n">
        <v>3860</v>
      </c>
      <c r="B2810" s="3" t="s">
        <v>970</v>
      </c>
      <c r="C2810" s="4" t="s">
        <v>21</v>
      </c>
      <c r="D2810" s="5" t="n">
        <v>11463</v>
      </c>
      <c r="E2810" s="6" t="n">
        <v>116</v>
      </c>
      <c r="F2810" s="7" t="n">
        <v>54</v>
      </c>
      <c r="G2810" s="6" t="n">
        <v>347.865236021119</v>
      </c>
      <c r="H2810" s="8" t="n">
        <v>440383.83380671</v>
      </c>
      <c r="I2810" s="9" t="n">
        <v>16.5084825318135</v>
      </c>
      <c r="J2810" s="9" t="n">
        <v>27.1662949553695</v>
      </c>
      <c r="K2810" s="3" t="s">
        <v>971</v>
      </c>
      <c r="L2810" s="3" t="s">
        <v>972</v>
      </c>
      <c r="M2810" s="7" t="n">
        <v>2021</v>
      </c>
    </row>
    <row r="2811" customFormat="false" ht="15" hidden="false" customHeight="false" outlineLevel="0" collapsed="false">
      <c r="A2811" s="3" t="n">
        <v>3861</v>
      </c>
      <c r="B2811" s="3" t="s">
        <v>970</v>
      </c>
      <c r="C2811" s="4" t="s">
        <v>22</v>
      </c>
      <c r="D2811" s="5" t="n">
        <v>11579</v>
      </c>
      <c r="E2811" s="6" t="n">
        <v>117</v>
      </c>
      <c r="F2811" s="7" t="n">
        <v>53</v>
      </c>
      <c r="G2811" s="6" t="n">
        <v>335.938013131313</v>
      </c>
      <c r="H2811" s="8" t="n">
        <v>310860.24045106</v>
      </c>
      <c r="I2811" s="9" t="n">
        <v>16.8909832058619</v>
      </c>
      <c r="J2811" s="9" t="n">
        <v>25.9720224650849</v>
      </c>
      <c r="K2811" s="3" t="s">
        <v>971</v>
      </c>
      <c r="L2811" s="3" t="s">
        <v>972</v>
      </c>
      <c r="M2811" s="7" t="n">
        <v>2022</v>
      </c>
    </row>
    <row r="2812" customFormat="false" ht="15" hidden="false" customHeight="false" outlineLevel="0" collapsed="false">
      <c r="A2812" s="3" t="n">
        <v>3862</v>
      </c>
      <c r="B2812" s="3" t="s">
        <v>970</v>
      </c>
      <c r="C2812" s="4" t="s">
        <v>23</v>
      </c>
      <c r="D2812" s="5" t="n">
        <v>11677</v>
      </c>
      <c r="E2812" s="6" t="n">
        <v>116</v>
      </c>
      <c r="F2812" s="7" t="n">
        <v>77</v>
      </c>
      <c r="G2812" s="6" t="n">
        <v>306.353832361608</v>
      </c>
      <c r="H2812" s="8" t="n">
        <v>403241.29538429</v>
      </c>
      <c r="I2812" s="9" t="n">
        <v>14.8250183170483</v>
      </c>
      <c r="J2812" s="9" t="n">
        <v>23.4860354366342</v>
      </c>
      <c r="K2812" s="3" t="s">
        <v>971</v>
      </c>
      <c r="L2812" s="3" t="s">
        <v>972</v>
      </c>
      <c r="M2812" s="7" t="n">
        <v>2023</v>
      </c>
    </row>
    <row r="2813" customFormat="false" ht="15" hidden="false" customHeight="false" outlineLevel="0" collapsed="false">
      <c r="A2813" s="3" t="n">
        <v>3863</v>
      </c>
      <c r="B2813" s="3" t="s">
        <v>970</v>
      </c>
      <c r="C2813" s="4" t="s">
        <v>24</v>
      </c>
      <c r="D2813" s="5" t="n">
        <v>11689</v>
      </c>
      <c r="E2813" s="6" t="n">
        <v>116</v>
      </c>
      <c r="F2813" s="7" t="n">
        <v>76</v>
      </c>
      <c r="G2813" s="6" t="n">
        <v>11.6659901121603</v>
      </c>
      <c r="H2813" s="8" t="n">
        <v>14442.8457385578</v>
      </c>
      <c r="I2813" s="9" t="n">
        <v>8.12864456193338</v>
      </c>
      <c r="J2813" s="9" t="n">
        <v>0.890985095233558</v>
      </c>
      <c r="K2813" s="3" t="s">
        <v>971</v>
      </c>
      <c r="L2813" s="3" t="s">
        <v>972</v>
      </c>
      <c r="M2813" s="7" t="n">
        <v>2024</v>
      </c>
    </row>
    <row r="2814" customFormat="false" ht="15" hidden="false" customHeight="false" outlineLevel="0" collapsed="false">
      <c r="A2814" s="3" t="n">
        <v>3864</v>
      </c>
      <c r="B2814" s="3" t="s">
        <v>973</v>
      </c>
      <c r="C2814" s="4" t="s">
        <v>41</v>
      </c>
      <c r="D2814" s="5" t="n">
        <v>4102</v>
      </c>
      <c r="E2814" s="6" t="n">
        <v>38.6</v>
      </c>
      <c r="F2814" s="7" t="n">
        <v>57</v>
      </c>
      <c r="G2814" s="6" t="n">
        <v>115.287064770418</v>
      </c>
      <c r="H2814" s="8" t="n">
        <v>205911.950280228</v>
      </c>
      <c r="I2814" s="9" t="n">
        <v>9.40909165328089</v>
      </c>
      <c r="J2814" s="9" t="n">
        <v>25.1595344421279</v>
      </c>
      <c r="K2814" s="3" t="s">
        <v>974</v>
      </c>
      <c r="L2814" s="3" t="s">
        <v>975</v>
      </c>
      <c r="M2814" s="7" t="n">
        <v>2016</v>
      </c>
    </row>
    <row r="2815" customFormat="false" ht="15" hidden="false" customHeight="false" outlineLevel="0" collapsed="false">
      <c r="A2815" s="3" t="n">
        <v>3865</v>
      </c>
      <c r="B2815" s="3" t="s">
        <v>973</v>
      </c>
      <c r="C2815" s="4" t="s">
        <v>45</v>
      </c>
      <c r="D2815" s="5" t="n">
        <v>4068</v>
      </c>
      <c r="E2815" s="6" t="n">
        <v>41.492</v>
      </c>
      <c r="F2815" s="7" t="n">
        <v>56</v>
      </c>
      <c r="G2815" s="6" t="n">
        <v>79.0059127546688</v>
      </c>
      <c r="H2815" s="8" t="n">
        <v>140032.758344943</v>
      </c>
      <c r="I2815" s="9" t="n">
        <v>7.43335627877759</v>
      </c>
      <c r="J2815" s="9" t="n">
        <v>17.38586588235</v>
      </c>
      <c r="K2815" s="3" t="s">
        <v>974</v>
      </c>
      <c r="L2815" s="3" t="s">
        <v>975</v>
      </c>
      <c r="M2815" s="7" t="n">
        <v>2020</v>
      </c>
    </row>
    <row r="2816" customFormat="false" ht="15" hidden="false" customHeight="false" outlineLevel="0" collapsed="false">
      <c r="A2816" s="3" t="n">
        <v>3866</v>
      </c>
      <c r="B2816" s="3" t="s">
        <v>973</v>
      </c>
      <c r="C2816" s="4" t="s">
        <v>46</v>
      </c>
      <c r="D2816" s="5" t="n">
        <v>4068</v>
      </c>
      <c r="E2816" s="6" t="n">
        <v>41.492</v>
      </c>
      <c r="F2816" s="7" t="n">
        <v>56</v>
      </c>
      <c r="G2816" s="6" t="n">
        <v>11.0964137661016</v>
      </c>
      <c r="H2816" s="8" t="n">
        <v>19665.3224077492</v>
      </c>
      <c r="I2816" s="9" t="n">
        <v>1.84808963985708</v>
      </c>
      <c r="J2816" s="9" t="n">
        <v>2.44185219543717</v>
      </c>
      <c r="K2816" s="3" t="s">
        <v>974</v>
      </c>
      <c r="L2816" s="3" t="s">
        <v>975</v>
      </c>
      <c r="M2816" s="7" t="n">
        <v>2021</v>
      </c>
    </row>
    <row r="2817" customFormat="false" ht="15" hidden="false" customHeight="false" outlineLevel="0" collapsed="false">
      <c r="A2817" s="3" t="n">
        <v>3867</v>
      </c>
      <c r="B2817" s="3" t="s">
        <v>973</v>
      </c>
      <c r="C2817" s="4" t="s">
        <v>47</v>
      </c>
      <c r="D2817" s="5" t="n">
        <v>4068</v>
      </c>
      <c r="E2817" s="6" t="n">
        <v>41.5</v>
      </c>
      <c r="F2817" s="7" t="n">
        <v>68</v>
      </c>
      <c r="G2817" s="6" t="n">
        <v>126.46932377551</v>
      </c>
      <c r="H2817" s="8" t="n">
        <v>261661.236811817</v>
      </c>
      <c r="I2817" s="9" t="n">
        <v>10.8111925475048</v>
      </c>
      <c r="J2817" s="9" t="n">
        <v>27.8305588117212</v>
      </c>
      <c r="K2817" s="3" t="s">
        <v>974</v>
      </c>
      <c r="L2817" s="3" t="s">
        <v>975</v>
      </c>
      <c r="M2817" s="7" t="n">
        <v>2022</v>
      </c>
    </row>
    <row r="2818" customFormat="false" ht="15" hidden="false" customHeight="false" outlineLevel="0" collapsed="false">
      <c r="A2818" s="3" t="n">
        <v>3868</v>
      </c>
      <c r="B2818" s="3" t="s">
        <v>973</v>
      </c>
      <c r="C2818" s="4" t="s">
        <v>48</v>
      </c>
      <c r="D2818" s="5" t="n">
        <v>4068</v>
      </c>
      <c r="E2818" s="6" t="n">
        <v>41.5</v>
      </c>
      <c r="F2818" s="7" t="n">
        <v>68</v>
      </c>
      <c r="G2818" s="6" t="n">
        <v>108.285446433364</v>
      </c>
      <c r="H2818" s="8" t="n">
        <v>245619.546726943</v>
      </c>
      <c r="I2818" s="9" t="n">
        <v>8.69572756071361</v>
      </c>
      <c r="J2818" s="9" t="n">
        <v>23.7637700231396</v>
      </c>
      <c r="K2818" s="3" t="s">
        <v>974</v>
      </c>
      <c r="L2818" s="3" t="s">
        <v>975</v>
      </c>
      <c r="M2818" s="7" t="n">
        <v>2023</v>
      </c>
    </row>
    <row r="2819" customFormat="false" ht="15" hidden="false" customHeight="false" outlineLevel="0" collapsed="false">
      <c r="A2819" s="3" t="n">
        <v>3869</v>
      </c>
      <c r="B2819" s="3" t="s">
        <v>973</v>
      </c>
      <c r="C2819" s="4" t="s">
        <v>49</v>
      </c>
      <c r="D2819" s="5" t="n">
        <v>4068</v>
      </c>
      <c r="E2819" s="6" t="n">
        <v>41.5</v>
      </c>
      <c r="F2819" s="7" t="n">
        <v>69</v>
      </c>
      <c r="G2819" s="6" t="n">
        <v>236.113911023716</v>
      </c>
      <c r="H2819" s="8" t="n">
        <v>583165.478233634</v>
      </c>
      <c r="I2819" s="9" t="n">
        <v>14.6860126979855</v>
      </c>
      <c r="J2819" s="9" t="n">
        <v>51.9587034297363</v>
      </c>
      <c r="K2819" s="3" t="s">
        <v>974</v>
      </c>
      <c r="L2819" s="3" t="s">
        <v>975</v>
      </c>
      <c r="M2819" s="7" t="n">
        <v>2024</v>
      </c>
    </row>
    <row r="2820" customFormat="false" ht="15" hidden="false" customHeight="false" outlineLevel="0" collapsed="false">
      <c r="A2820" s="3" t="n">
        <v>3870</v>
      </c>
      <c r="B2820" s="3" t="s">
        <v>976</v>
      </c>
      <c r="C2820" s="4" t="s">
        <v>14</v>
      </c>
      <c r="D2820" s="5" t="n">
        <v>12091</v>
      </c>
      <c r="E2820" s="6" t="n">
        <v>133.893939393939</v>
      </c>
      <c r="F2820" s="7" t="n">
        <v>66</v>
      </c>
      <c r="G2820" s="6" t="n">
        <v>87.6394413865347</v>
      </c>
      <c r="H2820" s="8" t="n">
        <v>152432.233149535</v>
      </c>
      <c r="I2820" s="9" t="n">
        <v>4.7548722015041</v>
      </c>
      <c r="J2820" s="9" t="n">
        <v>6.47088338439068</v>
      </c>
      <c r="K2820" s="3" t="s">
        <v>977</v>
      </c>
      <c r="L2820" s="3" t="s">
        <v>978</v>
      </c>
      <c r="M2820" s="7" t="n">
        <v>2016</v>
      </c>
    </row>
    <row r="2821" customFormat="false" ht="15" hidden="false" customHeight="false" outlineLevel="0" collapsed="false">
      <c r="A2821" s="3" t="n">
        <v>3871</v>
      </c>
      <c r="B2821" s="3" t="s">
        <v>976</v>
      </c>
      <c r="C2821" s="4" t="s">
        <v>17</v>
      </c>
      <c r="D2821" s="5" t="n">
        <v>12091</v>
      </c>
      <c r="E2821" s="6" t="n">
        <v>132</v>
      </c>
      <c r="F2821" s="7" t="n">
        <v>67</v>
      </c>
      <c r="G2821" s="6" t="n">
        <v>181.540418028694</v>
      </c>
      <c r="H2821" s="8" t="n">
        <v>315755.222639583</v>
      </c>
      <c r="I2821" s="9" t="n">
        <v>8.6034267985992</v>
      </c>
      <c r="J2821" s="9" t="n">
        <v>13.440913447353</v>
      </c>
      <c r="K2821" s="3" t="s">
        <v>977</v>
      </c>
      <c r="L2821" s="3" t="s">
        <v>978</v>
      </c>
      <c r="M2821" s="7" t="n">
        <v>2017</v>
      </c>
    </row>
    <row r="2822" customFormat="false" ht="15" hidden="false" customHeight="false" outlineLevel="0" collapsed="false">
      <c r="A2822" s="3" t="n">
        <v>3872</v>
      </c>
      <c r="B2822" s="3" t="s">
        <v>976</v>
      </c>
      <c r="C2822" s="4" t="s">
        <v>18</v>
      </c>
      <c r="D2822" s="5" t="n">
        <v>12091</v>
      </c>
      <c r="E2822" s="6" t="n">
        <v>132</v>
      </c>
      <c r="F2822" s="7" t="n">
        <v>67</v>
      </c>
      <c r="G2822" s="6" t="n">
        <v>257.380987122038</v>
      </c>
      <c r="H2822" s="8" t="n">
        <v>447665.548941666</v>
      </c>
      <c r="I2822" s="9" t="n">
        <v>11.2939140467263</v>
      </c>
      <c r="J2822" s="9" t="n">
        <v>19.0560075186937</v>
      </c>
      <c r="K2822" s="3" t="s">
        <v>977</v>
      </c>
      <c r="L2822" s="3" t="s">
        <v>978</v>
      </c>
      <c r="M2822" s="7" t="n">
        <v>2018</v>
      </c>
    </row>
    <row r="2823" customFormat="false" ht="15" hidden="false" customHeight="false" outlineLevel="0" collapsed="false">
      <c r="A2823" s="3" t="n">
        <v>3873</v>
      </c>
      <c r="B2823" s="3" t="s">
        <v>976</v>
      </c>
      <c r="C2823" s="4" t="s">
        <v>19</v>
      </c>
      <c r="D2823" s="5" t="n">
        <v>12256</v>
      </c>
      <c r="E2823" s="6" t="n">
        <v>132</v>
      </c>
      <c r="F2823" s="7" t="n">
        <v>72</v>
      </c>
      <c r="G2823" s="6" t="n">
        <v>220.556496374258</v>
      </c>
      <c r="H2823" s="8" t="n">
        <v>449209.293077476</v>
      </c>
      <c r="I2823" s="9" t="n">
        <v>9.80413336213725</v>
      </c>
      <c r="J2823" s="9" t="n">
        <v>16.109749093525</v>
      </c>
      <c r="K2823" s="3" t="s">
        <v>977</v>
      </c>
      <c r="L2823" s="3" t="s">
        <v>978</v>
      </c>
      <c r="M2823" s="7" t="n">
        <v>2019</v>
      </c>
    </row>
    <row r="2824" customFormat="false" ht="15" hidden="false" customHeight="false" outlineLevel="0" collapsed="false">
      <c r="A2824" s="3" t="n">
        <v>3874</v>
      </c>
      <c r="B2824" s="3" t="s">
        <v>976</v>
      </c>
      <c r="C2824" s="4" t="s">
        <v>20</v>
      </c>
      <c r="D2824" s="5" t="n">
        <v>12261</v>
      </c>
      <c r="E2824" s="6" t="n">
        <v>133.52</v>
      </c>
      <c r="F2824" s="7" t="n">
        <v>65</v>
      </c>
      <c r="G2824" s="6" t="n">
        <v>162.36035665081</v>
      </c>
      <c r="H2824" s="8" t="n">
        <v>338602.814518144</v>
      </c>
      <c r="I2824" s="9" t="n">
        <v>8.92910314935421</v>
      </c>
      <c r="J2824" s="9" t="n">
        <v>11.8217099043348</v>
      </c>
      <c r="K2824" s="3" t="s">
        <v>977</v>
      </c>
      <c r="L2824" s="3" t="s">
        <v>978</v>
      </c>
      <c r="M2824" s="7" t="n">
        <v>2020</v>
      </c>
    </row>
    <row r="2825" customFormat="false" ht="15" hidden="false" customHeight="false" outlineLevel="0" collapsed="false">
      <c r="A2825" s="3" t="n">
        <v>3875</v>
      </c>
      <c r="B2825" s="3" t="s">
        <v>976</v>
      </c>
      <c r="C2825" s="4" t="s">
        <v>21</v>
      </c>
      <c r="D2825" s="5" t="n">
        <v>12261</v>
      </c>
      <c r="E2825" s="6" t="n">
        <v>133.52</v>
      </c>
      <c r="F2825" s="7" t="n">
        <v>69</v>
      </c>
      <c r="G2825" s="6" t="n">
        <v>125.176374334978</v>
      </c>
      <c r="H2825" s="8" t="n">
        <v>237714.455195726</v>
      </c>
      <c r="I2825" s="9" t="n">
        <v>6.16195856873823</v>
      </c>
      <c r="J2825" s="9" t="n">
        <v>9.13932560970748</v>
      </c>
      <c r="K2825" s="3" t="s">
        <v>977</v>
      </c>
      <c r="L2825" s="3" t="s">
        <v>978</v>
      </c>
      <c r="M2825" s="7" t="n">
        <v>2021</v>
      </c>
    </row>
    <row r="2826" customFormat="false" ht="15" hidden="false" customHeight="false" outlineLevel="0" collapsed="false">
      <c r="A2826" s="3" t="n">
        <v>3876</v>
      </c>
      <c r="B2826" s="3" t="s">
        <v>976</v>
      </c>
      <c r="C2826" s="4" t="s">
        <v>22</v>
      </c>
      <c r="D2826" s="5" t="n">
        <v>12283</v>
      </c>
      <c r="E2826" s="6" t="n">
        <v>133.5</v>
      </c>
      <c r="F2826" s="7" t="n">
        <v>71</v>
      </c>
      <c r="G2826" s="6" t="n">
        <v>145.360880369562</v>
      </c>
      <c r="H2826" s="8" t="n">
        <v>300773.025358066</v>
      </c>
      <c r="I2826" s="9" t="n">
        <v>8.15196446838939</v>
      </c>
      <c r="J2826" s="9" t="n">
        <v>10.5940194813394</v>
      </c>
      <c r="K2826" s="3" t="s">
        <v>977</v>
      </c>
      <c r="L2826" s="3" t="s">
        <v>978</v>
      </c>
      <c r="M2826" s="7" t="n">
        <v>2022</v>
      </c>
    </row>
    <row r="2827" customFormat="false" ht="15" hidden="false" customHeight="false" outlineLevel="0" collapsed="false">
      <c r="A2827" s="3" t="n">
        <v>3877</v>
      </c>
      <c r="B2827" s="3" t="s">
        <v>976</v>
      </c>
      <c r="C2827" s="4" t="s">
        <v>23</v>
      </c>
      <c r="D2827" s="5" t="n">
        <v>12270</v>
      </c>
      <c r="E2827" s="6" t="n">
        <v>133.5</v>
      </c>
      <c r="F2827" s="7" t="n">
        <v>64</v>
      </c>
      <c r="G2827" s="6" t="n">
        <v>244.557312830591</v>
      </c>
      <c r="H2827" s="8" t="n">
        <v>711066.211433641</v>
      </c>
      <c r="I2827" s="9" t="n">
        <v>11.8979884695753</v>
      </c>
      <c r="J2827" s="9" t="n">
        <v>17.8424203012711</v>
      </c>
      <c r="K2827" s="3" t="s">
        <v>977</v>
      </c>
      <c r="L2827" s="3" t="s">
        <v>978</v>
      </c>
      <c r="M2827" s="7" t="n">
        <v>2023</v>
      </c>
    </row>
    <row r="2828" customFormat="false" ht="15" hidden="false" customHeight="false" outlineLevel="0" collapsed="false">
      <c r="A2828" s="3" t="n">
        <v>3878</v>
      </c>
      <c r="B2828" s="3" t="s">
        <v>976</v>
      </c>
      <c r="C2828" s="4" t="s">
        <v>24</v>
      </c>
      <c r="D2828" s="5" t="n">
        <v>12259</v>
      </c>
      <c r="E2828" s="6" t="n">
        <v>137.6</v>
      </c>
      <c r="F2828" s="7" t="n">
        <v>81</v>
      </c>
      <c r="G2828" s="6" t="n">
        <v>224.728491160569</v>
      </c>
      <c r="H2828" s="8" t="n">
        <v>730309.342489841</v>
      </c>
      <c r="I2828" s="9" t="n">
        <v>11.0355053210307</v>
      </c>
      <c r="J2828" s="9" t="n">
        <v>16.3655002303396</v>
      </c>
      <c r="K2828" s="3" t="s">
        <v>977</v>
      </c>
      <c r="L2828" s="3" t="s">
        <v>978</v>
      </c>
      <c r="M2828" s="7" t="n">
        <v>2024</v>
      </c>
    </row>
    <row r="2829" customFormat="false" ht="15" hidden="false" customHeight="false" outlineLevel="0" collapsed="false">
      <c r="A2829" s="3" t="n">
        <v>3879</v>
      </c>
      <c r="B2829" s="3" t="s">
        <v>979</v>
      </c>
      <c r="C2829" s="4" t="s">
        <v>14</v>
      </c>
      <c r="D2829" s="5" t="n">
        <v>3922</v>
      </c>
      <c r="E2829" s="6" t="n">
        <v>24</v>
      </c>
      <c r="F2829" s="7" t="n">
        <v>60</v>
      </c>
      <c r="G2829" s="6" t="n">
        <v>6.43877150317742</v>
      </c>
      <c r="H2829" s="8" t="n">
        <v>12209.8545230313</v>
      </c>
      <c r="I2829" s="9" t="n">
        <v>6.4450581525888</v>
      </c>
      <c r="J2829" s="9" t="n">
        <v>1.46562079249605</v>
      </c>
      <c r="K2829" s="3" t="s">
        <v>980</v>
      </c>
      <c r="L2829" s="3" t="s">
        <v>981</v>
      </c>
      <c r="M2829" s="7" t="n">
        <v>2016</v>
      </c>
    </row>
    <row r="2830" customFormat="false" ht="15" hidden="false" customHeight="false" outlineLevel="0" collapsed="false">
      <c r="A2830" s="3" t="n">
        <v>3880</v>
      </c>
      <c r="B2830" s="3" t="s">
        <v>979</v>
      </c>
      <c r="C2830" s="4" t="s">
        <v>17</v>
      </c>
      <c r="D2830" s="5" t="n">
        <v>3942</v>
      </c>
      <c r="E2830" s="6" t="n">
        <v>24.5</v>
      </c>
      <c r="F2830" s="7" t="n">
        <v>59</v>
      </c>
      <c r="G2830" s="6" t="n">
        <v>40.602</v>
      </c>
      <c r="H2830" s="8" t="n">
        <v>72660.9331800001</v>
      </c>
      <c r="I2830" s="9" t="n">
        <v>6.29436819687649</v>
      </c>
      <c r="J2830" s="9" t="n">
        <v>9.22037281097898</v>
      </c>
      <c r="K2830" s="3" t="s">
        <v>980</v>
      </c>
      <c r="L2830" s="3" t="s">
        <v>981</v>
      </c>
      <c r="M2830" s="7" t="n">
        <v>2017</v>
      </c>
    </row>
    <row r="2831" customFormat="false" ht="15" hidden="false" customHeight="false" outlineLevel="0" collapsed="false">
      <c r="A2831" s="3" t="n">
        <v>3881</v>
      </c>
      <c r="B2831" s="3" t="s">
        <v>979</v>
      </c>
      <c r="C2831" s="4" t="s">
        <v>18</v>
      </c>
      <c r="D2831" s="5" t="n">
        <v>3922</v>
      </c>
      <c r="E2831" s="6" t="n">
        <v>25</v>
      </c>
      <c r="F2831" s="7" t="n">
        <v>74</v>
      </c>
      <c r="G2831" s="6" t="n">
        <v>59.9171287878789</v>
      </c>
      <c r="H2831" s="8" t="n">
        <v>121422.660659924</v>
      </c>
      <c r="I2831" s="9" t="n">
        <v>8.25667860093639</v>
      </c>
      <c r="J2831" s="9" t="n">
        <v>13.6760625694582</v>
      </c>
      <c r="K2831" s="3" t="s">
        <v>980</v>
      </c>
      <c r="L2831" s="3" t="s">
        <v>981</v>
      </c>
      <c r="M2831" s="7" t="n">
        <v>2018</v>
      </c>
    </row>
    <row r="2832" customFormat="false" ht="15" hidden="false" customHeight="false" outlineLevel="0" collapsed="false">
      <c r="A2832" s="3" t="n">
        <v>3882</v>
      </c>
      <c r="B2832" s="3" t="s">
        <v>979</v>
      </c>
      <c r="C2832" s="4" t="s">
        <v>19</v>
      </c>
      <c r="D2832" s="5" t="n">
        <v>3745</v>
      </c>
      <c r="E2832" s="6" t="n">
        <v>26.1</v>
      </c>
      <c r="F2832" s="7" t="n">
        <v>71</v>
      </c>
      <c r="G2832" s="6" t="n">
        <v>21.7377575757576</v>
      </c>
      <c r="H2832" s="8" t="n">
        <v>41148.8142542779</v>
      </c>
      <c r="I2832" s="9" t="n">
        <v>4.2039972432805</v>
      </c>
      <c r="J2832" s="9" t="n">
        <v>5.19613700598468</v>
      </c>
      <c r="K2832" s="3" t="s">
        <v>980</v>
      </c>
      <c r="L2832" s="3" t="s">
        <v>981</v>
      </c>
      <c r="M2832" s="7" t="n">
        <v>2019</v>
      </c>
    </row>
    <row r="2833" customFormat="false" ht="15" hidden="false" customHeight="false" outlineLevel="0" collapsed="false">
      <c r="A2833" s="3" t="n">
        <v>3883</v>
      </c>
      <c r="B2833" s="3" t="s">
        <v>979</v>
      </c>
      <c r="C2833" s="4" t="s">
        <v>20</v>
      </c>
      <c r="D2833" s="5" t="n">
        <v>3750</v>
      </c>
      <c r="E2833" s="6" t="n">
        <v>26.1</v>
      </c>
      <c r="F2833" s="7" t="n">
        <v>72</v>
      </c>
      <c r="G2833" s="6" t="n">
        <v>46.8020171103232</v>
      </c>
      <c r="H2833" s="8" t="n">
        <v>90054.6921743194</v>
      </c>
      <c r="I2833" s="9" t="n">
        <v>6.7172236709512</v>
      </c>
      <c r="J2833" s="9" t="n">
        <v>11.141906175281</v>
      </c>
      <c r="K2833" s="3" t="s">
        <v>980</v>
      </c>
      <c r="L2833" s="3" t="s">
        <v>981</v>
      </c>
      <c r="M2833" s="7" t="n">
        <v>2020</v>
      </c>
    </row>
    <row r="2834" customFormat="false" ht="15" hidden="false" customHeight="false" outlineLevel="0" collapsed="false">
      <c r="A2834" s="3" t="n">
        <v>3884</v>
      </c>
      <c r="B2834" s="3" t="s">
        <v>979</v>
      </c>
      <c r="C2834" s="4" t="s">
        <v>21</v>
      </c>
      <c r="D2834" s="5" t="n">
        <v>3941</v>
      </c>
      <c r="E2834" s="6" t="n">
        <v>26.0926136363636</v>
      </c>
      <c r="F2834" s="7" t="n">
        <v>65</v>
      </c>
      <c r="G2834" s="6" t="n">
        <v>-35.3352565727518</v>
      </c>
      <c r="H2834" s="8" t="n">
        <v>-69201.97988234</v>
      </c>
      <c r="I2834" s="9" t="n">
        <v>-2.73085184127692</v>
      </c>
      <c r="J2834" s="9" t="n">
        <v>-8.02637578004115</v>
      </c>
      <c r="K2834" s="3" t="s">
        <v>980</v>
      </c>
      <c r="L2834" s="3" t="s">
        <v>981</v>
      </c>
      <c r="M2834" s="7" t="n">
        <v>2021</v>
      </c>
    </row>
    <row r="2835" customFormat="false" ht="15" hidden="false" customHeight="false" outlineLevel="0" collapsed="false">
      <c r="A2835" s="3" t="n">
        <v>3885</v>
      </c>
      <c r="B2835" s="3" t="s">
        <v>979</v>
      </c>
      <c r="C2835" s="4" t="s">
        <v>22</v>
      </c>
      <c r="D2835" s="5" t="n">
        <v>3972</v>
      </c>
      <c r="E2835" s="6" t="n">
        <v>26.1</v>
      </c>
      <c r="F2835" s="7" t="n">
        <v>53</v>
      </c>
      <c r="G2835" s="6" t="n">
        <v>-30.2386195742218</v>
      </c>
      <c r="H2835" s="8" t="n">
        <v>-64236.8067201065</v>
      </c>
      <c r="I2835" s="9" t="n">
        <v>-2.26159206944416</v>
      </c>
      <c r="J2835" s="9" t="n">
        <v>-6.81507117603427</v>
      </c>
      <c r="K2835" s="3" t="s">
        <v>980</v>
      </c>
      <c r="L2835" s="3" t="s">
        <v>981</v>
      </c>
      <c r="M2835" s="7" t="n">
        <v>2022</v>
      </c>
    </row>
    <row r="2836" customFormat="false" ht="15" hidden="false" customHeight="false" outlineLevel="0" collapsed="false">
      <c r="A2836" s="3" t="n">
        <v>3886</v>
      </c>
      <c r="B2836" s="3" t="s">
        <v>979</v>
      </c>
      <c r="C2836" s="4" t="s">
        <v>23</v>
      </c>
      <c r="D2836" s="5" t="n">
        <v>3921</v>
      </c>
      <c r="E2836" s="6" t="n">
        <v>26.1</v>
      </c>
      <c r="F2836" s="7" t="n">
        <v>54</v>
      </c>
      <c r="G2836" s="6" t="n">
        <v>8.78575584614688</v>
      </c>
      <c r="H2836" s="8" t="n">
        <v>21300.5379036324</v>
      </c>
      <c r="I2836" s="9" t="n">
        <v>2.86011822247115</v>
      </c>
      <c r="J2836" s="9" t="n">
        <v>2.0058569720544</v>
      </c>
      <c r="K2836" s="3" t="s">
        <v>980</v>
      </c>
      <c r="L2836" s="3" t="s">
        <v>981</v>
      </c>
      <c r="M2836" s="7" t="n">
        <v>2023</v>
      </c>
    </row>
    <row r="2837" customFormat="false" ht="15" hidden="false" customHeight="false" outlineLevel="0" collapsed="false">
      <c r="A2837" s="3" t="n">
        <v>3887</v>
      </c>
      <c r="B2837" s="3" t="s">
        <v>979</v>
      </c>
      <c r="C2837" s="4" t="s">
        <v>24</v>
      </c>
      <c r="D2837" s="5" t="n">
        <v>3952</v>
      </c>
      <c r="E2837" s="6" t="n">
        <v>26.1</v>
      </c>
      <c r="F2837" s="7" t="n">
        <v>54</v>
      </c>
      <c r="G2837" s="6" t="n">
        <v>8.38486613636371</v>
      </c>
      <c r="H2837" s="8" t="n">
        <v>21849.8711187661</v>
      </c>
      <c r="I2837" s="9" t="n">
        <v>2.80389549436797</v>
      </c>
      <c r="J2837" s="9" t="n">
        <v>1.89411084756825</v>
      </c>
      <c r="K2837" s="3" t="s">
        <v>980</v>
      </c>
      <c r="L2837" s="3" t="s">
        <v>981</v>
      </c>
      <c r="M2837" s="7" t="n">
        <v>2024</v>
      </c>
    </row>
    <row r="2838" customFormat="false" ht="15" hidden="false" customHeight="false" outlineLevel="0" collapsed="false">
      <c r="A2838" s="3" t="n">
        <v>3897</v>
      </c>
      <c r="B2838" s="3" t="s">
        <v>982</v>
      </c>
      <c r="C2838" s="4" t="s">
        <v>41</v>
      </c>
      <c r="D2838" s="5" t="n">
        <v>4503</v>
      </c>
      <c r="E2838" s="6" t="n">
        <v>88.4787878787879</v>
      </c>
      <c r="F2838" s="7" t="n">
        <v>62</v>
      </c>
      <c r="G2838" s="6" t="n">
        <v>27.1353473404251</v>
      </c>
      <c r="H2838" s="8" t="n">
        <v>10604.7650941115</v>
      </c>
      <c r="I2838" s="9" t="n">
        <v>7.39010434564427</v>
      </c>
      <c r="J2838" s="9" t="n">
        <v>5.39449894589496</v>
      </c>
      <c r="K2838" s="3" t="s">
        <v>983</v>
      </c>
      <c r="L2838" s="3" t="s">
        <v>984</v>
      </c>
      <c r="M2838" s="7" t="n">
        <v>2016</v>
      </c>
    </row>
    <row r="2839" customFormat="false" ht="15" hidden="false" customHeight="false" outlineLevel="0" collapsed="false">
      <c r="A2839" s="3" t="n">
        <v>3898</v>
      </c>
      <c r="B2839" s="3" t="s">
        <v>982</v>
      </c>
      <c r="C2839" s="4" t="s">
        <v>42</v>
      </c>
      <c r="D2839" s="5" t="n">
        <v>4505</v>
      </c>
      <c r="E2839" s="6" t="n">
        <v>88.1</v>
      </c>
      <c r="F2839" s="7" t="n">
        <v>68</v>
      </c>
      <c r="G2839" s="6" t="n">
        <v>168.641460159757</v>
      </c>
      <c r="H2839" s="8" t="n">
        <v>62990.9581988726</v>
      </c>
      <c r="I2839" s="9" t="n">
        <v>6.20293745628695</v>
      </c>
      <c r="J2839" s="9" t="n">
        <v>33.5109880563214</v>
      </c>
      <c r="K2839" s="3" t="s">
        <v>983</v>
      </c>
      <c r="L2839" s="3" t="s">
        <v>984</v>
      </c>
      <c r="M2839" s="7" t="n">
        <v>2017</v>
      </c>
    </row>
    <row r="2840" customFormat="false" ht="15" hidden="false" customHeight="false" outlineLevel="0" collapsed="false">
      <c r="A2840" s="3" t="n">
        <v>3899</v>
      </c>
      <c r="B2840" s="3" t="s">
        <v>982</v>
      </c>
      <c r="C2840" s="4" t="s">
        <v>43</v>
      </c>
      <c r="D2840" s="5" t="n">
        <v>4506</v>
      </c>
      <c r="E2840" s="6" t="n">
        <v>88.5</v>
      </c>
      <c r="F2840" s="7" t="n">
        <v>74</v>
      </c>
      <c r="G2840" s="6" t="n">
        <v>153.014745217231</v>
      </c>
      <c r="H2840" s="8" t="n">
        <v>60564.7663044322</v>
      </c>
      <c r="I2840" s="9" t="n">
        <v>4.37880664430859</v>
      </c>
      <c r="J2840" s="9" t="n">
        <v>30.3990331229788</v>
      </c>
      <c r="K2840" s="3" t="s">
        <v>983</v>
      </c>
      <c r="L2840" s="3" t="s">
        <v>984</v>
      </c>
      <c r="M2840" s="7" t="n">
        <v>2018</v>
      </c>
    </row>
    <row r="2841" customFormat="false" ht="15" hidden="false" customHeight="false" outlineLevel="0" collapsed="false">
      <c r="A2841" s="3" t="n">
        <v>3900</v>
      </c>
      <c r="B2841" s="3" t="s">
        <v>982</v>
      </c>
      <c r="C2841" s="4" t="s">
        <v>44</v>
      </c>
      <c r="D2841" s="5" t="n">
        <v>4513</v>
      </c>
      <c r="E2841" s="6" t="n">
        <v>88.8</v>
      </c>
      <c r="F2841" s="7" t="n">
        <v>75</v>
      </c>
      <c r="G2841" s="6" t="n">
        <v>157.708179300049</v>
      </c>
      <c r="H2841" s="8" t="n">
        <v>41627.0739262479</v>
      </c>
      <c r="I2841" s="9" t="n">
        <v>4.10317646427726</v>
      </c>
      <c r="J2841" s="9" t="n">
        <v>31.197161280259</v>
      </c>
      <c r="K2841" s="3" t="s">
        <v>983</v>
      </c>
      <c r="L2841" s="3" t="s">
        <v>984</v>
      </c>
      <c r="M2841" s="7" t="n">
        <v>2019</v>
      </c>
    </row>
    <row r="2842" customFormat="false" ht="15" hidden="false" customHeight="false" outlineLevel="0" collapsed="false">
      <c r="A2842" s="3" t="n">
        <v>3901</v>
      </c>
      <c r="B2842" s="3" t="s">
        <v>982</v>
      </c>
      <c r="C2842" s="4" t="s">
        <v>45</v>
      </c>
      <c r="D2842" s="5" t="n">
        <v>4549</v>
      </c>
      <c r="E2842" s="6" t="n">
        <v>89.5225757575758</v>
      </c>
      <c r="F2842" s="7" t="n">
        <v>65</v>
      </c>
      <c r="G2842" s="6" t="n">
        <v>250.207331184066</v>
      </c>
      <c r="H2842" s="8" t="n">
        <v>332420.456064526</v>
      </c>
      <c r="I2842" s="9" t="n">
        <v>5.77571998584629</v>
      </c>
      <c r="J2842" s="9" t="n">
        <v>49.2381546684932</v>
      </c>
      <c r="K2842" s="3" t="s">
        <v>983</v>
      </c>
      <c r="L2842" s="3" t="s">
        <v>984</v>
      </c>
      <c r="M2842" s="7" t="n">
        <v>2020</v>
      </c>
    </row>
    <row r="2843" customFormat="false" ht="15" hidden="false" customHeight="false" outlineLevel="0" collapsed="false">
      <c r="A2843" s="3" t="n">
        <v>3902</v>
      </c>
      <c r="B2843" s="3" t="s">
        <v>982</v>
      </c>
      <c r="C2843" s="4" t="s">
        <v>46</v>
      </c>
      <c r="D2843" s="5" t="n">
        <v>4558</v>
      </c>
      <c r="E2843" s="6" t="n">
        <v>89.5</v>
      </c>
      <c r="F2843" s="7" t="n">
        <v>64</v>
      </c>
      <c r="G2843" s="6" t="n">
        <v>125.802915059677</v>
      </c>
      <c r="H2843" s="8" t="n">
        <v>71170.4831367113</v>
      </c>
      <c r="I2843" s="9" t="n">
        <v>3.40202330647091</v>
      </c>
      <c r="J2843" s="9" t="n">
        <v>24.7077989159929</v>
      </c>
      <c r="K2843" s="3" t="s">
        <v>983</v>
      </c>
      <c r="L2843" s="3" t="s">
        <v>984</v>
      </c>
      <c r="M2843" s="7" t="n">
        <v>2021</v>
      </c>
    </row>
    <row r="2844" customFormat="false" ht="15" hidden="false" customHeight="false" outlineLevel="0" collapsed="false">
      <c r="A2844" s="3" t="n">
        <v>3903</v>
      </c>
      <c r="B2844" s="3" t="s">
        <v>982</v>
      </c>
      <c r="C2844" s="4" t="s">
        <v>47</v>
      </c>
      <c r="D2844" s="5" t="n">
        <v>4566</v>
      </c>
      <c r="E2844" s="6" t="n">
        <v>89.58</v>
      </c>
      <c r="F2844" s="7" t="n">
        <v>57</v>
      </c>
      <c r="G2844" s="6" t="n">
        <v>67.3777724662667</v>
      </c>
      <c r="H2844" s="8" t="n">
        <v>35633.4087465098</v>
      </c>
      <c r="I2844" s="9" t="n">
        <v>2.70922672127854</v>
      </c>
      <c r="J2844" s="9" t="n">
        <v>13.20986612462</v>
      </c>
      <c r="K2844" s="3" t="s">
        <v>983</v>
      </c>
      <c r="L2844" s="3" t="s">
        <v>984</v>
      </c>
      <c r="M2844" s="7" t="n">
        <v>2022</v>
      </c>
    </row>
    <row r="2845" customFormat="false" ht="15" hidden="false" customHeight="false" outlineLevel="0" collapsed="false">
      <c r="A2845" s="3" t="n">
        <v>3904</v>
      </c>
      <c r="B2845" s="3" t="s">
        <v>982</v>
      </c>
      <c r="C2845" s="4" t="s">
        <v>48</v>
      </c>
      <c r="D2845" s="5" t="n">
        <v>4566</v>
      </c>
      <c r="E2845" s="6" t="n">
        <v>88.78</v>
      </c>
      <c r="F2845" s="7" t="n">
        <v>51</v>
      </c>
      <c r="G2845" s="6" t="n">
        <v>124.274388324873</v>
      </c>
      <c r="H2845" s="8" t="n">
        <v>69746.5149595685</v>
      </c>
      <c r="I2845" s="9" t="n">
        <v>5.74732581671003</v>
      </c>
      <c r="J2845" s="9" t="n">
        <v>24.2980779376141</v>
      </c>
      <c r="K2845" s="3" t="s">
        <v>983</v>
      </c>
      <c r="L2845" s="3" t="s">
        <v>984</v>
      </c>
      <c r="M2845" s="7" t="n">
        <v>2023</v>
      </c>
    </row>
    <row r="2846" customFormat="false" ht="15" hidden="false" customHeight="false" outlineLevel="0" collapsed="false">
      <c r="A2846" s="3" t="n">
        <v>3905</v>
      </c>
      <c r="B2846" s="3" t="s">
        <v>982</v>
      </c>
      <c r="C2846" s="4" t="s">
        <v>49</v>
      </c>
      <c r="D2846" s="5" t="n">
        <v>4581</v>
      </c>
      <c r="E2846" s="6" t="n">
        <v>88.78</v>
      </c>
      <c r="F2846" s="7" t="n">
        <v>59</v>
      </c>
      <c r="G2846" s="6" t="n">
        <v>65.8569162436546</v>
      </c>
      <c r="H2846" s="8" t="n">
        <v>40694.9642544415</v>
      </c>
      <c r="I2846" s="9" t="n">
        <v>3.88518634609555</v>
      </c>
      <c r="J2846" s="9" t="n">
        <v>12.8694140482974</v>
      </c>
      <c r="K2846" s="3" t="s">
        <v>983</v>
      </c>
      <c r="L2846" s="3" t="s">
        <v>984</v>
      </c>
      <c r="M2846" s="7" t="n">
        <v>2024</v>
      </c>
    </row>
    <row r="2847" customFormat="false" ht="15" hidden="false" customHeight="false" outlineLevel="0" collapsed="false">
      <c r="A2847" s="3" t="n">
        <v>3906</v>
      </c>
      <c r="B2847" s="3" t="s">
        <v>985</v>
      </c>
      <c r="C2847" s="4" t="s">
        <v>14</v>
      </c>
      <c r="D2847" s="5" t="n">
        <v>16607</v>
      </c>
      <c r="E2847" s="6" t="n">
        <v>266.83</v>
      </c>
      <c r="F2847" s="7" t="n">
        <v>66</v>
      </c>
      <c r="G2847" s="6" t="n">
        <v>358.400151800049</v>
      </c>
      <c r="H2847" s="8" t="n">
        <v>1064732.30376637</v>
      </c>
      <c r="I2847" s="9" t="n">
        <v>4.99437260702736</v>
      </c>
      <c r="J2847" s="9" t="n">
        <v>19.2665162428119</v>
      </c>
      <c r="K2847" s="3" t="s">
        <v>986</v>
      </c>
      <c r="L2847" s="3" t="s">
        <v>987</v>
      </c>
      <c r="M2847" s="7" t="n">
        <v>2016</v>
      </c>
    </row>
    <row r="2848" customFormat="false" ht="15" hidden="false" customHeight="false" outlineLevel="0" collapsed="false">
      <c r="A2848" s="3" t="n">
        <v>3907</v>
      </c>
      <c r="B2848" s="3" t="s">
        <v>985</v>
      </c>
      <c r="C2848" s="4" t="s">
        <v>17</v>
      </c>
      <c r="D2848" s="5" t="n">
        <v>16880</v>
      </c>
      <c r="E2848" s="6" t="n">
        <v>249.55</v>
      </c>
      <c r="F2848" s="7" t="n">
        <v>62</v>
      </c>
      <c r="G2848" s="6" t="n">
        <v>538.831118257575</v>
      </c>
      <c r="H2848" s="8" t="n">
        <v>1727501.18643168</v>
      </c>
      <c r="I2848" s="9" t="n">
        <v>7.19805041088045</v>
      </c>
      <c r="J2848" s="9" t="n">
        <v>28.5757673290696</v>
      </c>
      <c r="K2848" s="3" t="s">
        <v>986</v>
      </c>
      <c r="L2848" s="3" t="s">
        <v>987</v>
      </c>
      <c r="M2848" s="7" t="n">
        <v>2017</v>
      </c>
    </row>
    <row r="2849" customFormat="false" ht="15" hidden="false" customHeight="false" outlineLevel="0" collapsed="false">
      <c r="A2849" s="3" t="n">
        <v>3908</v>
      </c>
      <c r="B2849" s="3" t="s">
        <v>985</v>
      </c>
      <c r="C2849" s="4" t="s">
        <v>18</v>
      </c>
      <c r="D2849" s="5" t="n">
        <v>17039</v>
      </c>
      <c r="E2849" s="6" t="n">
        <v>247.74</v>
      </c>
      <c r="F2849" s="7" t="n">
        <v>68</v>
      </c>
      <c r="G2849" s="6" t="n">
        <v>476.368005050505</v>
      </c>
      <c r="H2849" s="8" t="n">
        <v>1589495.21698</v>
      </c>
      <c r="I2849" s="9" t="n">
        <v>5.84735516209256</v>
      </c>
      <c r="J2849" s="9" t="n">
        <v>25.0274242887055</v>
      </c>
      <c r="K2849" s="3" t="s">
        <v>986</v>
      </c>
      <c r="L2849" s="3" t="s">
        <v>987</v>
      </c>
      <c r="M2849" s="7" t="n">
        <v>2018</v>
      </c>
    </row>
    <row r="2850" customFormat="false" ht="15" hidden="false" customHeight="false" outlineLevel="0" collapsed="false">
      <c r="A2850" s="3" t="n">
        <v>3909</v>
      </c>
      <c r="B2850" s="3" t="s">
        <v>985</v>
      </c>
      <c r="C2850" s="4" t="s">
        <v>19</v>
      </c>
      <c r="D2850" s="5" t="n">
        <v>17067</v>
      </c>
      <c r="E2850" s="6" t="n">
        <v>247.24</v>
      </c>
      <c r="F2850" s="7" t="n">
        <v>66</v>
      </c>
      <c r="G2850" s="6" t="n">
        <v>449.658156021998</v>
      </c>
      <c r="H2850" s="8" t="n">
        <v>167070.487869973</v>
      </c>
      <c r="I2850" s="9" t="n">
        <v>5.9001566395818</v>
      </c>
      <c r="J2850" s="9" t="n">
        <v>23.585384524908</v>
      </c>
      <c r="K2850" s="3" t="s">
        <v>986</v>
      </c>
      <c r="L2850" s="3" t="s">
        <v>987</v>
      </c>
      <c r="M2850" s="7" t="n">
        <v>2019</v>
      </c>
    </row>
    <row r="2851" customFormat="false" ht="15" hidden="false" customHeight="false" outlineLevel="0" collapsed="false">
      <c r="A2851" s="3" t="n">
        <v>3910</v>
      </c>
      <c r="B2851" s="3" t="s">
        <v>985</v>
      </c>
      <c r="C2851" s="4" t="s">
        <v>20</v>
      </c>
      <c r="D2851" s="5" t="n">
        <v>17123</v>
      </c>
      <c r="E2851" s="6" t="n">
        <v>248.55</v>
      </c>
      <c r="F2851" s="7" t="n">
        <v>81</v>
      </c>
      <c r="G2851" s="6" t="n">
        <v>666.752434435078</v>
      </c>
      <c r="H2851" s="8" t="n">
        <v>253245.909647131</v>
      </c>
      <c r="I2851" s="9" t="n">
        <v>7.5236911546097</v>
      </c>
      <c r="J2851" s="9" t="n">
        <v>34.762495612023</v>
      </c>
      <c r="K2851" s="3" t="s">
        <v>986</v>
      </c>
      <c r="L2851" s="3" t="s">
        <v>987</v>
      </c>
      <c r="M2851" s="7" t="n">
        <v>2020</v>
      </c>
    </row>
    <row r="2852" customFormat="false" ht="15" hidden="false" customHeight="false" outlineLevel="0" collapsed="false">
      <c r="A2852" s="3" t="n">
        <v>3911</v>
      </c>
      <c r="B2852" s="3" t="s">
        <v>985</v>
      </c>
      <c r="C2852" s="4" t="s">
        <v>21</v>
      </c>
      <c r="D2852" s="5" t="n">
        <v>17351</v>
      </c>
      <c r="E2852" s="6" t="n">
        <v>248.5</v>
      </c>
      <c r="F2852" s="7" t="n">
        <v>80</v>
      </c>
      <c r="G2852" s="6" t="n">
        <v>158.234912429053</v>
      </c>
      <c r="H2852" s="8" t="n">
        <v>68825.857510141</v>
      </c>
      <c r="I2852" s="9" t="n">
        <v>3.19326909812787</v>
      </c>
      <c r="J2852" s="9" t="n">
        <v>8.16385863213371</v>
      </c>
      <c r="K2852" s="3" t="s">
        <v>986</v>
      </c>
      <c r="L2852" s="3" t="s">
        <v>987</v>
      </c>
      <c r="M2852" s="7" t="n">
        <v>2021</v>
      </c>
    </row>
    <row r="2853" customFormat="false" ht="15" hidden="false" customHeight="false" outlineLevel="0" collapsed="false">
      <c r="A2853" s="3" t="n">
        <v>3912</v>
      </c>
      <c r="B2853" s="3" t="s">
        <v>985</v>
      </c>
      <c r="C2853" s="4" t="s">
        <v>22</v>
      </c>
      <c r="D2853" s="5" t="n">
        <v>17157</v>
      </c>
      <c r="E2853" s="6" t="n">
        <v>248.487332504469</v>
      </c>
      <c r="F2853" s="7" t="n">
        <v>69</v>
      </c>
      <c r="G2853" s="6" t="n">
        <v>278.216517585033</v>
      </c>
      <c r="H2853" s="8" t="n">
        <v>160109.941730371</v>
      </c>
      <c r="I2853" s="9" t="n">
        <v>4.14386512042278</v>
      </c>
      <c r="J2853" s="9" t="n">
        <v>14.5164102550653</v>
      </c>
      <c r="K2853" s="3" t="s">
        <v>986</v>
      </c>
      <c r="L2853" s="3" t="s">
        <v>987</v>
      </c>
      <c r="M2853" s="7" t="n">
        <v>2022</v>
      </c>
    </row>
    <row r="2854" customFormat="false" ht="15" hidden="false" customHeight="false" outlineLevel="0" collapsed="false">
      <c r="A2854" s="3" t="n">
        <v>3913</v>
      </c>
      <c r="B2854" s="3" t="s">
        <v>985</v>
      </c>
      <c r="C2854" s="4" t="s">
        <v>23</v>
      </c>
      <c r="D2854" s="5" t="n">
        <v>17085</v>
      </c>
      <c r="E2854" s="6" t="n">
        <v>248.245</v>
      </c>
      <c r="F2854" s="7" t="n">
        <v>77</v>
      </c>
      <c r="G2854" s="6" t="n">
        <v>693.997422639305</v>
      </c>
      <c r="H2854" s="8" t="n">
        <v>276044.41482901</v>
      </c>
      <c r="I2854" s="9" t="n">
        <v>8.88204171527342</v>
      </c>
      <c r="J2854" s="9" t="n">
        <v>36.3630705818741</v>
      </c>
      <c r="K2854" s="3" t="s">
        <v>986</v>
      </c>
      <c r="L2854" s="3" t="s">
        <v>987</v>
      </c>
      <c r="M2854" s="7" t="n">
        <v>2023</v>
      </c>
    </row>
    <row r="2855" customFormat="false" ht="15" hidden="false" customHeight="false" outlineLevel="0" collapsed="false">
      <c r="A2855" s="3" t="n">
        <v>3914</v>
      </c>
      <c r="B2855" s="3" t="s">
        <v>985</v>
      </c>
      <c r="C2855" s="4" t="s">
        <v>24</v>
      </c>
      <c r="D2855" s="5" t="n">
        <v>17221</v>
      </c>
      <c r="E2855" s="6" t="n">
        <v>249.191</v>
      </c>
      <c r="F2855" s="7" t="n">
        <v>81</v>
      </c>
      <c r="G2855" s="6" t="n">
        <v>442.836062105213</v>
      </c>
      <c r="H2855" s="8" t="n">
        <v>194534.056360728</v>
      </c>
      <c r="I2855" s="9" t="n">
        <v>9.03494029080274</v>
      </c>
      <c r="J2855" s="9" t="n">
        <v>22.9567712681229</v>
      </c>
      <c r="K2855" s="3" t="s">
        <v>986</v>
      </c>
      <c r="L2855" s="3" t="s">
        <v>987</v>
      </c>
      <c r="M2855" s="7" t="n">
        <v>2024</v>
      </c>
    </row>
    <row r="2856" customFormat="false" ht="15" hidden="false" customHeight="false" outlineLevel="0" collapsed="false">
      <c r="A2856" s="3" t="n">
        <v>3915</v>
      </c>
      <c r="B2856" s="3" t="s">
        <v>988</v>
      </c>
      <c r="C2856" s="4" t="s">
        <v>14</v>
      </c>
      <c r="D2856" s="5" t="n">
        <v>10019</v>
      </c>
      <c r="E2856" s="6" t="n">
        <v>135</v>
      </c>
      <c r="F2856" s="7" t="n">
        <v>53</v>
      </c>
      <c r="G2856" s="6" t="n">
        <v>144.269662889447</v>
      </c>
      <c r="H2856" s="8" t="n">
        <v>56659.0247065725</v>
      </c>
      <c r="I2856" s="9" t="n">
        <v>4.54887324535228</v>
      </c>
      <c r="J2856" s="9" t="n">
        <v>12.8551406908215</v>
      </c>
      <c r="K2856" s="3" t="s">
        <v>989</v>
      </c>
      <c r="L2856" s="3" t="s">
        <v>990</v>
      </c>
      <c r="M2856" s="7" t="n">
        <v>2016</v>
      </c>
    </row>
    <row r="2857" customFormat="false" ht="15" hidden="false" customHeight="false" outlineLevel="0" collapsed="false">
      <c r="A2857" s="3" t="n">
        <v>3916</v>
      </c>
      <c r="B2857" s="3" t="s">
        <v>988</v>
      </c>
      <c r="C2857" s="4" t="s">
        <v>17</v>
      </c>
      <c r="D2857" s="5" t="n">
        <v>10019</v>
      </c>
      <c r="E2857" s="6" t="n">
        <v>140</v>
      </c>
      <c r="F2857" s="7" t="n">
        <v>54</v>
      </c>
      <c r="G2857" s="6" t="n">
        <v>69.182268266331</v>
      </c>
      <c r="H2857" s="8" t="n">
        <v>25417.1403109365</v>
      </c>
      <c r="I2857" s="9" t="n">
        <v>13.0370373909014</v>
      </c>
      <c r="J2857" s="9" t="n">
        <v>6.18141775046429</v>
      </c>
      <c r="K2857" s="3" t="s">
        <v>989</v>
      </c>
      <c r="L2857" s="3" t="s">
        <v>990</v>
      </c>
      <c r="M2857" s="7" t="n">
        <v>2017</v>
      </c>
    </row>
    <row r="2858" customFormat="false" ht="15" hidden="false" customHeight="false" outlineLevel="0" collapsed="false">
      <c r="A2858" s="3" t="n">
        <v>3917</v>
      </c>
      <c r="B2858" s="3" t="s">
        <v>988</v>
      </c>
      <c r="C2858" s="4" t="s">
        <v>18</v>
      </c>
      <c r="D2858" s="5" t="n">
        <v>10012</v>
      </c>
      <c r="E2858" s="6" t="n">
        <v>140</v>
      </c>
      <c r="F2858" s="7" t="n">
        <v>62</v>
      </c>
      <c r="G2858" s="6" t="n">
        <v>322.84721571608</v>
      </c>
      <c r="H2858" s="8" t="n">
        <v>112577.381757189</v>
      </c>
      <c r="I2858" s="9" t="n">
        <v>8.9281497480885</v>
      </c>
      <c r="J2858" s="9" t="n">
        <v>28.866483321196</v>
      </c>
      <c r="K2858" s="3" t="s">
        <v>989</v>
      </c>
      <c r="L2858" s="3" t="s">
        <v>990</v>
      </c>
      <c r="M2858" s="7" t="n">
        <v>2018</v>
      </c>
    </row>
    <row r="2859" customFormat="false" ht="15" hidden="false" customHeight="false" outlineLevel="0" collapsed="false">
      <c r="A2859" s="3" t="n">
        <v>3918</v>
      </c>
      <c r="B2859" s="3" t="s">
        <v>988</v>
      </c>
      <c r="C2859" s="4" t="s">
        <v>19</v>
      </c>
      <c r="D2859" s="5" t="n">
        <v>10012</v>
      </c>
      <c r="E2859" s="6" t="n">
        <v>140</v>
      </c>
      <c r="F2859" s="7" t="n">
        <v>68</v>
      </c>
      <c r="G2859" s="6" t="n">
        <v>176.073303643216</v>
      </c>
      <c r="H2859" s="8" t="n">
        <v>65811.7990692432</v>
      </c>
      <c r="I2859" s="9" t="n">
        <v>5.55491329479769</v>
      </c>
      <c r="J2859" s="9" t="n">
        <v>15.7431033489059</v>
      </c>
      <c r="K2859" s="3" t="s">
        <v>989</v>
      </c>
      <c r="L2859" s="3" t="s">
        <v>990</v>
      </c>
      <c r="M2859" s="7" t="n">
        <v>2019</v>
      </c>
    </row>
    <row r="2860" customFormat="false" ht="15" hidden="false" customHeight="false" outlineLevel="0" collapsed="false">
      <c r="A2860" s="3" t="n">
        <v>3919</v>
      </c>
      <c r="B2860" s="3" t="s">
        <v>991</v>
      </c>
      <c r="C2860" s="4" t="s">
        <v>20</v>
      </c>
      <c r="D2860" s="5" t="n">
        <v>9798</v>
      </c>
      <c r="E2860" s="6" t="n">
        <v>140</v>
      </c>
      <c r="F2860" s="7" t="n">
        <v>60</v>
      </c>
      <c r="G2860" s="6" t="n">
        <v>346.488191582914</v>
      </c>
      <c r="H2860" s="8" t="n">
        <v>85495.9612730841</v>
      </c>
      <c r="I2860" s="9" t="n">
        <v>9.4729223225731</v>
      </c>
      <c r="J2860" s="9" t="n">
        <v>31.5701900906487</v>
      </c>
      <c r="K2860" s="3" t="s">
        <v>989</v>
      </c>
      <c r="L2860" s="3" t="s">
        <v>990</v>
      </c>
      <c r="M2860" s="7" t="n">
        <v>2020</v>
      </c>
    </row>
    <row r="2861" customFormat="false" ht="15" hidden="false" customHeight="false" outlineLevel="0" collapsed="false">
      <c r="A2861" s="3" t="n">
        <v>3920</v>
      </c>
      <c r="B2861" s="3" t="s">
        <v>991</v>
      </c>
      <c r="C2861" s="4" t="s">
        <v>21</v>
      </c>
      <c r="D2861" s="5" t="n">
        <v>10015</v>
      </c>
      <c r="E2861" s="6" t="n">
        <v>140</v>
      </c>
      <c r="F2861" s="7" t="n">
        <v>61</v>
      </c>
      <c r="G2861" s="6" t="n">
        <v>380.990618970316</v>
      </c>
      <c r="H2861" s="8" t="n">
        <v>149279.744324949</v>
      </c>
      <c r="I2861" s="9" t="n">
        <v>11.4977901635061</v>
      </c>
      <c r="J2861" s="9" t="n">
        <v>34.0550092943268</v>
      </c>
      <c r="K2861" s="3" t="s">
        <v>989</v>
      </c>
      <c r="L2861" s="3" t="s">
        <v>990</v>
      </c>
      <c r="M2861" s="7" t="n">
        <v>2021</v>
      </c>
    </row>
    <row r="2862" customFormat="false" ht="15" hidden="false" customHeight="false" outlineLevel="0" collapsed="false">
      <c r="A2862" s="3" t="n">
        <v>3921</v>
      </c>
      <c r="B2862" s="3" t="s">
        <v>991</v>
      </c>
      <c r="C2862" s="4" t="s">
        <v>46</v>
      </c>
      <c r="D2862" s="5" t="n">
        <v>10305</v>
      </c>
      <c r="E2862" s="6" t="n">
        <v>140</v>
      </c>
      <c r="F2862" s="7" t="n">
        <v>61</v>
      </c>
      <c r="G2862" s="6" t="n">
        <v>205.600760309278</v>
      </c>
      <c r="H2862" s="8" t="n">
        <v>97294.3917935568</v>
      </c>
      <c r="I2862" s="9" t="n">
        <v>8.43261944789611</v>
      </c>
      <c r="J2862" s="9" t="n">
        <v>17.8605321612624</v>
      </c>
      <c r="K2862" s="3" t="s">
        <v>989</v>
      </c>
      <c r="L2862" s="3" t="s">
        <v>990</v>
      </c>
      <c r="M2862" s="7" t="n">
        <v>2021</v>
      </c>
    </row>
    <row r="2863" customFormat="false" ht="15" hidden="false" customHeight="false" outlineLevel="0" collapsed="false">
      <c r="A2863" s="3" t="n">
        <v>3922</v>
      </c>
      <c r="B2863" s="3" t="s">
        <v>991</v>
      </c>
      <c r="C2863" s="4" t="s">
        <v>47</v>
      </c>
      <c r="D2863" s="5" t="n">
        <v>10305</v>
      </c>
      <c r="E2863" s="6" t="n">
        <v>140</v>
      </c>
      <c r="F2863" s="7" t="n">
        <v>59</v>
      </c>
      <c r="G2863" s="6" t="n">
        <v>133.970536401241</v>
      </c>
      <c r="H2863" s="8" t="n">
        <v>72969.7320616637</v>
      </c>
      <c r="I2863" s="9" t="n">
        <v>7.35597817711063</v>
      </c>
      <c r="J2863" s="9" t="n">
        <v>11.638016661303</v>
      </c>
      <c r="K2863" s="3" t="s">
        <v>989</v>
      </c>
      <c r="L2863" s="3" t="s">
        <v>990</v>
      </c>
      <c r="M2863" s="7" t="n">
        <v>2022</v>
      </c>
    </row>
    <row r="2864" customFormat="false" ht="15" hidden="false" customHeight="false" outlineLevel="0" collapsed="false">
      <c r="A2864" s="3" t="n">
        <v>3923</v>
      </c>
      <c r="B2864" s="3" t="s">
        <v>991</v>
      </c>
      <c r="C2864" s="4" t="s">
        <v>48</v>
      </c>
      <c r="D2864" s="5" t="n">
        <v>10052</v>
      </c>
      <c r="E2864" s="6" t="n">
        <v>136.7</v>
      </c>
      <c r="F2864" s="7" t="n">
        <v>61</v>
      </c>
      <c r="G2864" s="6" t="n">
        <v>211.516054435354</v>
      </c>
      <c r="H2864" s="8" t="n">
        <v>124557.574135891</v>
      </c>
      <c r="I2864" s="9" t="n">
        <v>9.34829783495241</v>
      </c>
      <c r="J2864" s="9" t="n">
        <v>18.7852530822775</v>
      </c>
      <c r="K2864" s="3" t="s">
        <v>989</v>
      </c>
      <c r="L2864" s="3" t="s">
        <v>990</v>
      </c>
      <c r="M2864" s="7" t="n">
        <v>2023</v>
      </c>
    </row>
    <row r="2865" customFormat="false" ht="15" hidden="false" customHeight="false" outlineLevel="0" collapsed="false">
      <c r="A2865" s="3" t="n">
        <v>3924</v>
      </c>
      <c r="B2865" s="3" t="s">
        <v>991</v>
      </c>
      <c r="C2865" s="4" t="s">
        <v>49</v>
      </c>
      <c r="D2865" s="5" t="n">
        <v>10052</v>
      </c>
      <c r="E2865" s="6" t="n">
        <v>136.7</v>
      </c>
      <c r="F2865" s="7" t="n">
        <v>61</v>
      </c>
      <c r="G2865" s="6" t="n">
        <v>389.311479591836</v>
      </c>
      <c r="H2865" s="8" t="n">
        <v>227311.186704081</v>
      </c>
      <c r="I2865" s="9" t="n">
        <v>12.4409872556934</v>
      </c>
      <c r="J2865" s="9" t="n">
        <v>34.6706835817702</v>
      </c>
      <c r="K2865" s="3" t="s">
        <v>989</v>
      </c>
      <c r="L2865" s="3" t="s">
        <v>990</v>
      </c>
      <c r="M2865" s="7" t="n">
        <v>2024</v>
      </c>
    </row>
    <row r="2866" customFormat="false" ht="15" hidden="false" customHeight="false" outlineLevel="0" collapsed="false">
      <c r="A2866" s="3" t="n">
        <v>3931</v>
      </c>
      <c r="B2866" s="3" t="s">
        <v>992</v>
      </c>
      <c r="C2866" s="4" t="s">
        <v>14</v>
      </c>
      <c r="D2866" s="5" t="n">
        <v>4601</v>
      </c>
      <c r="E2866" s="6" t="n">
        <v>114.4</v>
      </c>
      <c r="F2866" s="7" t="n">
        <v>49</v>
      </c>
      <c r="G2866" s="6" t="n">
        <v>108.585676515152</v>
      </c>
      <c r="H2866" s="8" t="n">
        <v>27386.5328597496</v>
      </c>
      <c r="I2866" s="9" t="n">
        <v>5.12953879771261</v>
      </c>
      <c r="J2866" s="9" t="n">
        <v>21.0691251027256</v>
      </c>
      <c r="K2866" s="3" t="s">
        <v>993</v>
      </c>
      <c r="L2866" s="3" t="s">
        <v>994</v>
      </c>
      <c r="M2866" s="7" t="n">
        <v>2016</v>
      </c>
    </row>
    <row r="2867" customFormat="false" ht="15" hidden="false" customHeight="false" outlineLevel="0" collapsed="false">
      <c r="A2867" s="3" t="n">
        <v>3932</v>
      </c>
      <c r="B2867" s="3" t="s">
        <v>992</v>
      </c>
      <c r="C2867" s="4" t="s">
        <v>17</v>
      </c>
      <c r="D2867" s="5" t="n">
        <v>4605</v>
      </c>
      <c r="E2867" s="6" t="n">
        <v>117.6</v>
      </c>
      <c r="F2867" s="7" t="n">
        <v>53</v>
      </c>
      <c r="G2867" s="6" t="n">
        <v>194.032917929293</v>
      </c>
      <c r="H2867" s="8" t="n">
        <v>257683.476326818</v>
      </c>
      <c r="I2867" s="9" t="n">
        <v>6.9657111635283</v>
      </c>
      <c r="J2867" s="9" t="n">
        <v>37.7192852609908</v>
      </c>
      <c r="K2867" s="3" t="s">
        <v>993</v>
      </c>
      <c r="L2867" s="3" t="s">
        <v>994</v>
      </c>
      <c r="M2867" s="7" t="n">
        <v>2017</v>
      </c>
    </row>
    <row r="2868" customFormat="false" ht="15" hidden="false" customHeight="false" outlineLevel="0" collapsed="false">
      <c r="A2868" s="3" t="n">
        <v>3933</v>
      </c>
      <c r="B2868" s="3" t="s">
        <v>992</v>
      </c>
      <c r="C2868" s="4" t="s">
        <v>18</v>
      </c>
      <c r="D2868" s="5" t="n">
        <v>4725</v>
      </c>
      <c r="E2868" s="6" t="n">
        <v>117.6</v>
      </c>
      <c r="F2868" s="7" t="n">
        <v>52</v>
      </c>
      <c r="G2868" s="6" t="n">
        <v>223.009749306273</v>
      </c>
      <c r="H2868" s="8" t="n">
        <v>192762.937007863</v>
      </c>
      <c r="I2868" s="9" t="n">
        <v>9.12504693954187</v>
      </c>
      <c r="J2868" s="9" t="n">
        <v>42.251264504447</v>
      </c>
      <c r="K2868" s="3" t="s">
        <v>993</v>
      </c>
      <c r="L2868" s="3" t="s">
        <v>994</v>
      </c>
      <c r="M2868" s="7" t="n">
        <v>2018</v>
      </c>
    </row>
    <row r="2869" customFormat="false" ht="15" hidden="false" customHeight="false" outlineLevel="0" collapsed="false">
      <c r="A2869" s="3" t="n">
        <v>3934</v>
      </c>
      <c r="B2869" s="3" t="s">
        <v>992</v>
      </c>
      <c r="C2869" s="4" t="s">
        <v>19</v>
      </c>
      <c r="D2869" s="5" t="n">
        <v>4733</v>
      </c>
      <c r="E2869" s="6" t="n">
        <v>118.55</v>
      </c>
      <c r="F2869" s="7" t="n">
        <v>55</v>
      </c>
      <c r="G2869" s="6" t="n">
        <v>154.189483505154</v>
      </c>
      <c r="H2869" s="8" t="n">
        <v>122952.236041845</v>
      </c>
      <c r="I2869" s="9" t="n">
        <v>8.95641976095883</v>
      </c>
      <c r="J2869" s="9" t="n">
        <v>29.1632501919176</v>
      </c>
      <c r="K2869" s="3" t="s">
        <v>993</v>
      </c>
      <c r="L2869" s="3" t="s">
        <v>994</v>
      </c>
      <c r="M2869" s="7" t="n">
        <v>2019</v>
      </c>
    </row>
    <row r="2870" customFormat="false" ht="15" hidden="false" customHeight="false" outlineLevel="0" collapsed="false">
      <c r="A2870" s="3" t="n">
        <v>3935</v>
      </c>
      <c r="B2870" s="3" t="s">
        <v>992</v>
      </c>
      <c r="C2870" s="4" t="s">
        <v>20</v>
      </c>
      <c r="D2870" s="5" t="n">
        <v>4807</v>
      </c>
      <c r="E2870" s="6" t="n">
        <v>113</v>
      </c>
      <c r="F2870" s="7" t="n">
        <v>64</v>
      </c>
      <c r="G2870" s="6" t="n">
        <v>205.552463026856</v>
      </c>
      <c r="H2870" s="8" t="n">
        <v>239863.280155299</v>
      </c>
      <c r="I2870" s="9" t="n">
        <v>7.89485606391957</v>
      </c>
      <c r="J2870" s="9" t="n">
        <v>38.174622984041</v>
      </c>
      <c r="K2870" s="3" t="s">
        <v>993</v>
      </c>
      <c r="L2870" s="3" t="s">
        <v>994</v>
      </c>
      <c r="M2870" s="7" t="n">
        <v>2020</v>
      </c>
    </row>
    <row r="2871" customFormat="false" ht="15" hidden="false" customHeight="false" outlineLevel="0" collapsed="false">
      <c r="A2871" s="3" t="n">
        <v>3936</v>
      </c>
      <c r="B2871" s="3" t="s">
        <v>992</v>
      </c>
      <c r="C2871" s="4" t="s">
        <v>21</v>
      </c>
      <c r="D2871" s="5" t="n">
        <v>4760</v>
      </c>
      <c r="E2871" s="6" t="n">
        <v>117.33</v>
      </c>
      <c r="F2871" s="7" t="n">
        <v>65</v>
      </c>
      <c r="G2871" s="6" t="n">
        <v>175.031459770342</v>
      </c>
      <c r="H2871" s="8" t="n">
        <v>252045.302069292</v>
      </c>
      <c r="I2871" s="9" t="n">
        <v>6.23898079091164</v>
      </c>
      <c r="J2871" s="9" t="n">
        <v>32.9174994214757</v>
      </c>
      <c r="K2871" s="3" t="s">
        <v>993</v>
      </c>
      <c r="L2871" s="3" t="s">
        <v>994</v>
      </c>
      <c r="M2871" s="7" t="n">
        <v>2021</v>
      </c>
    </row>
    <row r="2872" customFormat="false" ht="15" hidden="false" customHeight="false" outlineLevel="0" collapsed="false">
      <c r="A2872" s="3" t="n">
        <v>3937</v>
      </c>
      <c r="B2872" s="3" t="s">
        <v>992</v>
      </c>
      <c r="C2872" s="4" t="s">
        <v>22</v>
      </c>
      <c r="D2872" s="5" t="n">
        <v>4767</v>
      </c>
      <c r="E2872" s="6" t="n">
        <v>117.0985</v>
      </c>
      <c r="F2872" s="7" t="n">
        <v>60</v>
      </c>
      <c r="G2872" s="6" t="n">
        <v>169.651274085594</v>
      </c>
      <c r="H2872" s="8" t="n">
        <v>385357.779547204</v>
      </c>
      <c r="I2872" s="9" t="n">
        <v>6.16933662069066</v>
      </c>
      <c r="J2872" s="9" t="n">
        <v>31.8588172071642</v>
      </c>
      <c r="K2872" s="3" t="s">
        <v>993</v>
      </c>
      <c r="L2872" s="3" t="s">
        <v>994</v>
      </c>
      <c r="M2872" s="7" t="n">
        <v>2022</v>
      </c>
    </row>
    <row r="2873" customFormat="false" ht="15" hidden="false" customHeight="false" outlineLevel="0" collapsed="false">
      <c r="A2873" s="3" t="n">
        <v>3938</v>
      </c>
      <c r="B2873" s="3" t="s">
        <v>992</v>
      </c>
      <c r="C2873" s="4" t="s">
        <v>23</v>
      </c>
      <c r="D2873" s="5" t="n">
        <v>4776</v>
      </c>
      <c r="E2873" s="6" t="n">
        <v>117.19</v>
      </c>
      <c r="F2873" s="7" t="n">
        <v>58</v>
      </c>
      <c r="G2873" s="6" t="n">
        <v>25.9317766010841</v>
      </c>
      <c r="H2873" s="8" t="n">
        <v>49422.0764351761</v>
      </c>
      <c r="I2873" s="9" t="n">
        <v>3.03939086861416</v>
      </c>
      <c r="J2873" s="9" t="n">
        <v>4.86055238258592</v>
      </c>
      <c r="K2873" s="3" t="s">
        <v>993</v>
      </c>
      <c r="L2873" s="3" t="s">
        <v>994</v>
      </c>
      <c r="M2873" s="7" t="n">
        <v>2023</v>
      </c>
    </row>
    <row r="2874" customFormat="false" ht="15" hidden="false" customHeight="false" outlineLevel="0" collapsed="false">
      <c r="A2874" s="3" t="n">
        <v>3939</v>
      </c>
      <c r="B2874" s="3" t="s">
        <v>992</v>
      </c>
      <c r="C2874" s="4" t="s">
        <v>24</v>
      </c>
      <c r="D2874" s="5" t="n">
        <v>4858</v>
      </c>
      <c r="E2874" s="6" t="n">
        <v>117.7</v>
      </c>
      <c r="F2874" s="7" t="n">
        <v>61</v>
      </c>
      <c r="G2874" s="6" t="n">
        <v>182.151525153302</v>
      </c>
      <c r="H2874" s="8" t="n">
        <v>342067.813631141</v>
      </c>
      <c r="I2874" s="9" t="n">
        <v>7.18913686837938</v>
      </c>
      <c r="J2874" s="9" t="n">
        <v>33.4735285521008</v>
      </c>
      <c r="K2874" s="3" t="s">
        <v>993</v>
      </c>
      <c r="L2874" s="3" t="s">
        <v>994</v>
      </c>
      <c r="M2874" s="7" t="n">
        <v>2024</v>
      </c>
    </row>
    <row r="2875" customFormat="false" ht="15" hidden="false" customHeight="false" outlineLevel="0" collapsed="false">
      <c r="A2875" s="3" t="n">
        <v>3940</v>
      </c>
      <c r="B2875" s="3" t="s">
        <v>995</v>
      </c>
      <c r="C2875" s="4" t="s">
        <v>41</v>
      </c>
      <c r="D2875" s="5" t="n">
        <v>27010</v>
      </c>
      <c r="E2875" s="6" t="n">
        <v>325</v>
      </c>
      <c r="F2875" s="7" t="n">
        <v>74</v>
      </c>
      <c r="G2875" s="6" t="n">
        <v>-234.2585</v>
      </c>
      <c r="H2875" s="8" t="n">
        <v>-52965.8468500001</v>
      </c>
      <c r="I2875" s="9" t="n">
        <v>0.482807348092318</v>
      </c>
      <c r="J2875" s="9" t="n">
        <v>-7.76405223172329</v>
      </c>
      <c r="K2875" s="3" t="s">
        <v>996</v>
      </c>
      <c r="L2875" s="3" t="s">
        <v>994</v>
      </c>
      <c r="M2875" s="7" t="n">
        <v>2016</v>
      </c>
    </row>
    <row r="2876" customFormat="false" ht="15" hidden="false" customHeight="false" outlineLevel="0" collapsed="false">
      <c r="A2876" s="3" t="n">
        <v>3941</v>
      </c>
      <c r="B2876" s="3" t="s">
        <v>995</v>
      </c>
      <c r="C2876" s="4" t="s">
        <v>42</v>
      </c>
      <c r="D2876" s="5" t="n">
        <v>27191</v>
      </c>
      <c r="E2876" s="6" t="n">
        <v>324.56</v>
      </c>
      <c r="F2876" s="7" t="n">
        <v>73</v>
      </c>
      <c r="G2876" s="6" t="n">
        <v>-414.022724999999</v>
      </c>
      <c r="H2876" s="8" t="n">
        <v>-245300.184107999</v>
      </c>
      <c r="I2876" s="9" t="n">
        <v>-2.26092057831399</v>
      </c>
      <c r="J2876" s="9" t="n">
        <v>-13.6306533799741</v>
      </c>
      <c r="K2876" s="3" t="s">
        <v>996</v>
      </c>
      <c r="L2876" s="3" t="s">
        <v>994</v>
      </c>
      <c r="M2876" s="7" t="n">
        <v>2017</v>
      </c>
    </row>
    <row r="2877" customFormat="false" ht="15" hidden="false" customHeight="false" outlineLevel="0" collapsed="false">
      <c r="A2877" s="3" t="n">
        <v>3942</v>
      </c>
      <c r="B2877" s="3" t="s">
        <v>995</v>
      </c>
      <c r="C2877" s="4" t="s">
        <v>43</v>
      </c>
      <c r="D2877" s="5" t="n">
        <v>27162</v>
      </c>
      <c r="E2877" s="6" t="n">
        <v>319.5</v>
      </c>
      <c r="F2877" s="7" t="n">
        <v>66</v>
      </c>
      <c r="G2877" s="6" t="n">
        <v>832.430338461033</v>
      </c>
      <c r="H2877" s="8" t="n">
        <v>523598.68289199</v>
      </c>
      <c r="I2877" s="9" t="n">
        <v>11.2208173707472</v>
      </c>
      <c r="J2877" s="9" t="n">
        <v>27.4349283033854</v>
      </c>
      <c r="K2877" s="3" t="s">
        <v>996</v>
      </c>
      <c r="L2877" s="3" t="s">
        <v>994</v>
      </c>
      <c r="M2877" s="7" t="n">
        <v>2018</v>
      </c>
    </row>
    <row r="2878" customFormat="false" ht="15" hidden="false" customHeight="false" outlineLevel="0" collapsed="false">
      <c r="A2878" s="3" t="n">
        <v>3943</v>
      </c>
      <c r="B2878" s="3" t="s">
        <v>995</v>
      </c>
      <c r="C2878" s="4" t="s">
        <v>44</v>
      </c>
      <c r="D2878" s="5" t="n">
        <v>27875</v>
      </c>
      <c r="E2878" s="6" t="n">
        <v>324.07</v>
      </c>
      <c r="F2878" s="7" t="n">
        <v>68</v>
      </c>
      <c r="G2878" s="6" t="n">
        <v>879.290450000001</v>
      </c>
      <c r="H2878" s="8" t="n">
        <v>324458.17605</v>
      </c>
      <c r="I2878" s="9" t="n">
        <v>11.8013372875168</v>
      </c>
      <c r="J2878" s="9" t="n">
        <v>28.1607147783476</v>
      </c>
      <c r="K2878" s="3" t="s">
        <v>996</v>
      </c>
      <c r="L2878" s="3" t="s">
        <v>994</v>
      </c>
      <c r="M2878" s="7" t="n">
        <v>2019</v>
      </c>
    </row>
    <row r="2879" customFormat="false" ht="15" hidden="false" customHeight="false" outlineLevel="0" collapsed="false">
      <c r="A2879" s="3" t="n">
        <v>3944</v>
      </c>
      <c r="B2879" s="3" t="s">
        <v>995</v>
      </c>
      <c r="C2879" s="4" t="s">
        <v>45</v>
      </c>
      <c r="D2879" s="5" t="n">
        <v>29014</v>
      </c>
      <c r="E2879" s="6" t="n">
        <v>322.24</v>
      </c>
      <c r="F2879" s="7" t="n">
        <v>68</v>
      </c>
      <c r="G2879" s="6" t="n">
        <v>1000.603425</v>
      </c>
      <c r="H2879" s="8" t="n">
        <v>289174.389825001</v>
      </c>
      <c r="I2879" s="9" t="n">
        <v>11.833631957596</v>
      </c>
      <c r="J2879" s="9" t="n">
        <v>30.8725180265074</v>
      </c>
      <c r="K2879" s="3" t="s">
        <v>996</v>
      </c>
      <c r="L2879" s="3" t="s">
        <v>994</v>
      </c>
      <c r="M2879" s="7" t="n">
        <v>2020</v>
      </c>
    </row>
    <row r="2880" customFormat="false" ht="15" hidden="false" customHeight="false" outlineLevel="0" collapsed="false">
      <c r="A2880" s="3" t="n">
        <v>3945</v>
      </c>
      <c r="B2880" s="3" t="s">
        <v>995</v>
      </c>
      <c r="C2880" s="4" t="s">
        <v>46</v>
      </c>
      <c r="D2880" s="5" t="n">
        <v>29001</v>
      </c>
      <c r="E2880" s="6" t="n">
        <v>319.96</v>
      </c>
      <c r="F2880" s="7" t="n">
        <v>69</v>
      </c>
      <c r="G2880" s="6" t="n">
        <v>614.137199999998</v>
      </c>
      <c r="H2880" s="8" t="n">
        <v>232143.861599999</v>
      </c>
      <c r="I2880" s="9" t="n">
        <v>8.57356477770239</v>
      </c>
      <c r="J2880" s="9" t="n">
        <v>18.9570216371091</v>
      </c>
      <c r="K2880" s="3" t="s">
        <v>996</v>
      </c>
      <c r="L2880" s="3" t="s">
        <v>994</v>
      </c>
      <c r="M2880" s="7" t="n">
        <v>2021</v>
      </c>
    </row>
    <row r="2881" customFormat="false" ht="15" hidden="false" customHeight="false" outlineLevel="0" collapsed="false">
      <c r="A2881" s="3" t="n">
        <v>3946</v>
      </c>
      <c r="B2881" s="3" t="s">
        <v>995</v>
      </c>
      <c r="C2881" s="4" t="s">
        <v>47</v>
      </c>
      <c r="D2881" s="5" t="n">
        <v>26353</v>
      </c>
      <c r="E2881" s="6" t="n">
        <v>338.01</v>
      </c>
      <c r="F2881" s="7" t="n">
        <v>70</v>
      </c>
      <c r="G2881" s="6" t="n">
        <v>687.425090751518</v>
      </c>
      <c r="H2881" s="8" t="n">
        <v>213967.933747318</v>
      </c>
      <c r="I2881" s="9" t="n">
        <v>9.5182050752109</v>
      </c>
      <c r="J2881" s="9" t="n">
        <v>23.3514037068233</v>
      </c>
      <c r="K2881" s="3" t="s">
        <v>996</v>
      </c>
      <c r="L2881" s="3" t="s">
        <v>994</v>
      </c>
      <c r="M2881" s="7" t="n">
        <v>2022</v>
      </c>
    </row>
    <row r="2882" customFormat="false" ht="15" hidden="false" customHeight="false" outlineLevel="0" collapsed="false">
      <c r="A2882" s="3" t="n">
        <v>3947</v>
      </c>
      <c r="B2882" s="3" t="s">
        <v>995</v>
      </c>
      <c r="C2882" s="4" t="s">
        <v>48</v>
      </c>
      <c r="D2882" s="5" t="n">
        <v>26303</v>
      </c>
      <c r="E2882" s="6" t="n">
        <v>330.15</v>
      </c>
      <c r="F2882" s="7" t="n">
        <v>70</v>
      </c>
      <c r="G2882" s="6" t="n">
        <v>936.353537662672</v>
      </c>
      <c r="H2882" s="8" t="n">
        <v>307891.77025424</v>
      </c>
      <c r="I2882" s="9" t="n">
        <v>12.0498422404436</v>
      </c>
      <c r="J2882" s="9" t="n">
        <v>31.7805028335139</v>
      </c>
      <c r="K2882" s="3" t="s">
        <v>996</v>
      </c>
      <c r="L2882" s="3" t="s">
        <v>994</v>
      </c>
      <c r="M2882" s="7" t="n">
        <v>2023</v>
      </c>
    </row>
    <row r="2883" customFormat="false" ht="15" hidden="false" customHeight="false" outlineLevel="0" collapsed="false">
      <c r="A2883" s="3" t="n">
        <v>3948</v>
      </c>
      <c r="B2883" s="3" t="s">
        <v>995</v>
      </c>
      <c r="C2883" s="4" t="s">
        <v>49</v>
      </c>
      <c r="D2883" s="5" t="n">
        <v>26238</v>
      </c>
      <c r="E2883" s="6" t="n">
        <v>329.69</v>
      </c>
      <c r="F2883" s="7" t="n">
        <v>70</v>
      </c>
      <c r="G2883" s="6" t="n">
        <v>295.514490040739</v>
      </c>
      <c r="H2883" s="8" t="n">
        <v>72433.5566538854</v>
      </c>
      <c r="I2883" s="9" t="n">
        <v>12.2214051041248</v>
      </c>
      <c r="J2883" s="9" t="n">
        <v>10.0824418838737</v>
      </c>
      <c r="K2883" s="3" t="s">
        <v>996</v>
      </c>
      <c r="L2883" s="3" t="s">
        <v>994</v>
      </c>
      <c r="M2883" s="7" t="n">
        <v>2024</v>
      </c>
    </row>
    <row r="2884" customFormat="false" ht="15" hidden="false" customHeight="false" outlineLevel="0" collapsed="false">
      <c r="A2884" s="3" t="n">
        <v>3949</v>
      </c>
      <c r="B2884" s="3" t="s">
        <v>997</v>
      </c>
      <c r="C2884" s="4" t="s">
        <v>14</v>
      </c>
      <c r="D2884" s="5" t="n">
        <v>22520</v>
      </c>
      <c r="E2884" s="6" t="n">
        <v>342</v>
      </c>
      <c r="F2884" s="7" t="n">
        <v>61</v>
      </c>
      <c r="G2884" s="6" t="n">
        <v>347.768558080809</v>
      </c>
      <c r="H2884" s="8" t="n">
        <v>88385.3790362377</v>
      </c>
      <c r="I2884" s="9" t="n">
        <v>4.96856459753831</v>
      </c>
      <c r="J2884" s="9" t="n">
        <v>13.786312613347</v>
      </c>
      <c r="K2884" s="3" t="s">
        <v>998</v>
      </c>
      <c r="L2884" s="3" t="s">
        <v>999</v>
      </c>
      <c r="M2884" s="7" t="n">
        <v>2016</v>
      </c>
    </row>
    <row r="2885" customFormat="false" ht="15" hidden="false" customHeight="false" outlineLevel="0" collapsed="false">
      <c r="A2885" s="3" t="n">
        <v>3950</v>
      </c>
      <c r="B2885" s="3" t="s">
        <v>997</v>
      </c>
      <c r="C2885" s="4" t="s">
        <v>17</v>
      </c>
      <c r="D2885" s="5" t="n">
        <v>22777</v>
      </c>
      <c r="E2885" s="6" t="n">
        <v>333</v>
      </c>
      <c r="F2885" s="7" t="n">
        <v>62</v>
      </c>
      <c r="G2885" s="6" t="n">
        <v>59.030479797978</v>
      </c>
      <c r="H2885" s="8" t="n">
        <v>11856.8621722219</v>
      </c>
      <c r="I2885" s="9" t="n">
        <v>3.27492344334807</v>
      </c>
      <c r="J2885" s="9" t="n">
        <v>2.32005064785458</v>
      </c>
      <c r="K2885" s="3" t="s">
        <v>998</v>
      </c>
      <c r="L2885" s="3" t="s">
        <v>999</v>
      </c>
      <c r="M2885" s="7" t="n">
        <v>2017</v>
      </c>
    </row>
    <row r="2886" customFormat="false" ht="15" hidden="false" customHeight="false" outlineLevel="0" collapsed="false">
      <c r="A2886" s="3" t="n">
        <v>3951</v>
      </c>
      <c r="B2886" s="3" t="s">
        <v>997</v>
      </c>
      <c r="C2886" s="4" t="s">
        <v>18</v>
      </c>
      <c r="D2886" s="5" t="n">
        <v>22831</v>
      </c>
      <c r="E2886" s="6" t="n">
        <v>337.5</v>
      </c>
      <c r="F2886" s="7" t="n">
        <v>66</v>
      </c>
      <c r="G2886" s="6" t="n">
        <v>445.785020685278</v>
      </c>
      <c r="H2886" s="8" t="n">
        <v>108085.036115353</v>
      </c>
      <c r="I2886" s="9" t="n">
        <v>5.9057206339903</v>
      </c>
      <c r="J2886" s="9" t="n">
        <v>17.4790655725128</v>
      </c>
      <c r="K2886" s="3" t="s">
        <v>998</v>
      </c>
      <c r="L2886" s="3" t="s">
        <v>999</v>
      </c>
      <c r="M2886" s="7" t="n">
        <v>2018</v>
      </c>
    </row>
    <row r="2887" customFormat="false" ht="15" hidden="false" customHeight="false" outlineLevel="0" collapsed="false">
      <c r="A2887" s="3" t="n">
        <v>3952</v>
      </c>
      <c r="B2887" s="3" t="s">
        <v>997</v>
      </c>
      <c r="C2887" s="4" t="s">
        <v>20</v>
      </c>
      <c r="D2887" s="5" t="n">
        <v>22888</v>
      </c>
      <c r="E2887" s="6" t="n">
        <v>343.5</v>
      </c>
      <c r="F2887" s="7" t="n">
        <v>57</v>
      </c>
      <c r="G2887" s="6" t="n">
        <v>293.63395</v>
      </c>
      <c r="H2887" s="8" t="n">
        <v>86385.8508621195</v>
      </c>
      <c r="I2887" s="9" t="n">
        <v>5.05542401393127</v>
      </c>
      <c r="J2887" s="9" t="n">
        <v>11.4531412334812</v>
      </c>
      <c r="K2887" s="3" t="s">
        <v>998</v>
      </c>
      <c r="L2887" s="3" t="s">
        <v>999</v>
      </c>
      <c r="M2887" s="7" t="n">
        <v>2020</v>
      </c>
    </row>
    <row r="2888" customFormat="false" ht="15" hidden="false" customHeight="false" outlineLevel="0" collapsed="false">
      <c r="A2888" s="3" t="n">
        <v>3953</v>
      </c>
      <c r="B2888" s="3" t="s">
        <v>997</v>
      </c>
      <c r="C2888" s="4" t="s">
        <v>21</v>
      </c>
      <c r="D2888" s="5" t="n">
        <v>22934</v>
      </c>
      <c r="E2888" s="6" t="n">
        <v>343.5</v>
      </c>
      <c r="F2888" s="7" t="n">
        <v>55</v>
      </c>
      <c r="G2888" s="6" t="n">
        <v>202.857724999999</v>
      </c>
      <c r="H2888" s="8" t="n">
        <v>52929.3751776824</v>
      </c>
      <c r="I2888" s="9" t="n">
        <v>5.00944616358186</v>
      </c>
      <c r="J2888" s="9" t="n">
        <v>7.91825378378839</v>
      </c>
      <c r="K2888" s="3" t="s">
        <v>998</v>
      </c>
      <c r="L2888" s="3" t="s">
        <v>999</v>
      </c>
      <c r="M2888" s="7" t="n">
        <v>2021</v>
      </c>
    </row>
    <row r="2889" customFormat="false" ht="15" hidden="false" customHeight="false" outlineLevel="0" collapsed="false">
      <c r="A2889" s="3" t="n">
        <v>3954</v>
      </c>
      <c r="B2889" s="3" t="s">
        <v>997</v>
      </c>
      <c r="C2889" s="4" t="s">
        <v>22</v>
      </c>
      <c r="D2889" s="5" t="n">
        <v>23705</v>
      </c>
      <c r="E2889" s="6" t="n">
        <v>343.8</v>
      </c>
      <c r="F2889" s="7" t="n">
        <v>26</v>
      </c>
      <c r="G2889" s="6" t="n">
        <v>214.857125</v>
      </c>
      <c r="H2889" s="8" t="n">
        <v>116648.08173375</v>
      </c>
      <c r="I2889" s="9" t="n">
        <v>2.80706071565108</v>
      </c>
      <c r="J2889" s="9" t="n">
        <v>8.11385934696104</v>
      </c>
      <c r="K2889" s="3" t="s">
        <v>998</v>
      </c>
      <c r="L2889" s="3" t="s">
        <v>999</v>
      </c>
      <c r="M2889" s="7" t="n">
        <v>2022</v>
      </c>
    </row>
    <row r="2890" customFormat="false" ht="15" hidden="false" customHeight="false" outlineLevel="0" collapsed="false">
      <c r="A2890" s="3" t="n">
        <v>3955</v>
      </c>
      <c r="B2890" s="3" t="s">
        <v>997</v>
      </c>
      <c r="C2890" s="4" t="s">
        <v>23</v>
      </c>
      <c r="D2890" s="5" t="n">
        <v>23440</v>
      </c>
      <c r="E2890" s="6" t="n">
        <v>343.8</v>
      </c>
      <c r="F2890" s="7" t="n">
        <v>26</v>
      </c>
      <c r="G2890" s="6" t="n">
        <v>489.746649999999</v>
      </c>
      <c r="H2890" s="8" t="n">
        <v>300586.903903999</v>
      </c>
      <c r="I2890" s="9" t="n">
        <v>5.34007090826815</v>
      </c>
      <c r="J2890" s="9" t="n">
        <v>18.7038728351496</v>
      </c>
      <c r="K2890" s="3" t="s">
        <v>998</v>
      </c>
      <c r="L2890" s="3" t="s">
        <v>999</v>
      </c>
      <c r="M2890" s="7" t="n">
        <v>2023</v>
      </c>
    </row>
    <row r="2891" customFormat="false" ht="15" hidden="false" customHeight="false" outlineLevel="0" collapsed="false">
      <c r="A2891" s="3" t="n">
        <v>3956</v>
      </c>
      <c r="B2891" s="3" t="s">
        <v>997</v>
      </c>
      <c r="C2891" s="4" t="s">
        <v>24</v>
      </c>
      <c r="D2891" s="5" t="n">
        <v>23799</v>
      </c>
      <c r="E2891" s="6" t="n">
        <v>344.18</v>
      </c>
      <c r="F2891" s="7" t="n">
        <v>29</v>
      </c>
      <c r="G2891" s="6" t="n">
        <v>494.760280397303</v>
      </c>
      <c r="H2891" s="8" t="n">
        <v>333616.857071901</v>
      </c>
      <c r="I2891" s="9" t="n">
        <v>5.41559154501212</v>
      </c>
      <c r="J2891" s="9" t="n">
        <v>18.5593307567017</v>
      </c>
      <c r="K2891" s="3" t="s">
        <v>998</v>
      </c>
      <c r="L2891" s="3" t="s">
        <v>999</v>
      </c>
      <c r="M2891" s="7" t="n">
        <v>2024</v>
      </c>
    </row>
    <row r="2892" customFormat="false" ht="15" hidden="false" customHeight="false" outlineLevel="0" collapsed="false">
      <c r="A2892" s="3" t="n">
        <v>3957</v>
      </c>
      <c r="B2892" s="3" t="s">
        <v>1000</v>
      </c>
      <c r="C2892" s="4" t="s">
        <v>14</v>
      </c>
      <c r="D2892" s="5" t="n">
        <v>11466</v>
      </c>
      <c r="E2892" s="6" t="n">
        <v>138.3</v>
      </c>
      <c r="F2892" s="7" t="n">
        <v>72</v>
      </c>
      <c r="G2892" s="6" t="n">
        <v>560.641119363525</v>
      </c>
      <c r="H2892" s="8" t="n">
        <v>119147.450687136</v>
      </c>
      <c r="I2892" s="9" t="n">
        <v>11.4450114775251</v>
      </c>
      <c r="J2892" s="9" t="n">
        <v>43.6515031661742</v>
      </c>
      <c r="K2892" s="3" t="s">
        <v>1001</v>
      </c>
      <c r="L2892" s="3" t="s">
        <v>999</v>
      </c>
      <c r="M2892" s="7" t="n">
        <v>2016</v>
      </c>
    </row>
    <row r="2893" customFormat="false" ht="15" hidden="false" customHeight="false" outlineLevel="0" collapsed="false">
      <c r="A2893" s="3" t="n">
        <v>3958</v>
      </c>
      <c r="B2893" s="3" t="s">
        <v>1000</v>
      </c>
      <c r="C2893" s="4" t="s">
        <v>17</v>
      </c>
      <c r="D2893" s="5" t="n">
        <v>11518</v>
      </c>
      <c r="E2893" s="6" t="n">
        <v>148.711162640152</v>
      </c>
      <c r="F2893" s="7" t="n">
        <v>73</v>
      </c>
      <c r="G2893" s="6" t="n">
        <v>650.058135046288</v>
      </c>
      <c r="H2893" s="8" t="n">
        <v>140562.070541059</v>
      </c>
      <c r="I2893" s="9" t="n">
        <v>11.8618711746928</v>
      </c>
      <c r="J2893" s="9" t="n">
        <v>50.5234266296442</v>
      </c>
      <c r="K2893" s="3" t="s">
        <v>1001</v>
      </c>
      <c r="L2893" s="3" t="s">
        <v>999</v>
      </c>
      <c r="M2893" s="7" t="n">
        <v>2017</v>
      </c>
    </row>
    <row r="2894" customFormat="false" ht="15" hidden="false" customHeight="false" outlineLevel="0" collapsed="false">
      <c r="A2894" s="3" t="n">
        <v>3959</v>
      </c>
      <c r="B2894" s="3" t="s">
        <v>1000</v>
      </c>
      <c r="C2894" s="4" t="s">
        <v>18</v>
      </c>
      <c r="D2894" s="5" t="n">
        <v>11648</v>
      </c>
      <c r="E2894" s="6" t="n">
        <v>148.9</v>
      </c>
      <c r="F2894" s="7" t="n">
        <v>70</v>
      </c>
      <c r="G2894" s="6" t="n">
        <v>708.451477151583</v>
      </c>
      <c r="H2894" s="8" t="n">
        <v>144722.467752525</v>
      </c>
      <c r="I2894" s="9" t="n">
        <v>12.4621812108362</v>
      </c>
      <c r="J2894" s="9" t="n">
        <v>54.4473093247439</v>
      </c>
      <c r="K2894" s="3" t="s">
        <v>1001</v>
      </c>
      <c r="L2894" s="3" t="s">
        <v>999</v>
      </c>
      <c r="M2894" s="7" t="n">
        <v>2018</v>
      </c>
    </row>
    <row r="2895" customFormat="false" ht="15" hidden="false" customHeight="false" outlineLevel="0" collapsed="false">
      <c r="A2895" s="3" t="n">
        <v>3960</v>
      </c>
      <c r="B2895" s="3" t="s">
        <v>1000</v>
      </c>
      <c r="C2895" s="4" t="s">
        <v>19</v>
      </c>
      <c r="D2895" s="5" t="n">
        <v>11726</v>
      </c>
      <c r="E2895" s="6" t="n">
        <v>149.033</v>
      </c>
      <c r="F2895" s="7" t="n">
        <v>72</v>
      </c>
      <c r="G2895" s="6" t="n">
        <v>841.465016890863</v>
      </c>
      <c r="H2895" s="8" t="n">
        <v>183801.203639471</v>
      </c>
      <c r="I2895" s="9" t="n">
        <v>16.2783292873096</v>
      </c>
      <c r="J2895" s="9" t="n">
        <v>64.2397511538426</v>
      </c>
      <c r="K2895" s="3" t="s">
        <v>1001</v>
      </c>
      <c r="L2895" s="3" t="s">
        <v>999</v>
      </c>
      <c r="M2895" s="7" t="n">
        <v>2019</v>
      </c>
    </row>
    <row r="2896" customFormat="false" ht="15" hidden="false" customHeight="false" outlineLevel="0" collapsed="false">
      <c r="A2896" s="3" t="n">
        <v>3961</v>
      </c>
      <c r="B2896" s="3" t="s">
        <v>1000</v>
      </c>
      <c r="C2896" s="4" t="s">
        <v>20</v>
      </c>
      <c r="D2896" s="5" t="n">
        <v>11826</v>
      </c>
      <c r="E2896" s="6" t="n">
        <v>147.7</v>
      </c>
      <c r="F2896" s="7" t="n">
        <v>70</v>
      </c>
      <c r="G2896" s="6" t="n">
        <v>985.788676256346</v>
      </c>
      <c r="H2896" s="8" t="n">
        <v>226731.39553896</v>
      </c>
      <c r="I2896" s="9" t="n">
        <v>17.487427413561</v>
      </c>
      <c r="J2896" s="9" t="n">
        <v>74.4169975945286</v>
      </c>
      <c r="K2896" s="3" t="s">
        <v>1001</v>
      </c>
      <c r="L2896" s="3" t="s">
        <v>999</v>
      </c>
      <c r="M2896" s="7" t="n">
        <v>2020</v>
      </c>
    </row>
    <row r="2897" customFormat="false" ht="15" hidden="false" customHeight="false" outlineLevel="0" collapsed="false">
      <c r="A2897" s="3" t="n">
        <v>3962</v>
      </c>
      <c r="B2897" s="3" t="s">
        <v>1000</v>
      </c>
      <c r="C2897" s="4" t="s">
        <v>21</v>
      </c>
      <c r="D2897" s="5" t="n">
        <v>11956</v>
      </c>
      <c r="E2897" s="6" t="n">
        <v>148.2</v>
      </c>
      <c r="F2897" s="7" t="n">
        <v>72</v>
      </c>
      <c r="G2897" s="6" t="n">
        <v>702.802073807108</v>
      </c>
      <c r="H2897" s="8" t="n">
        <v>170886.324246198</v>
      </c>
      <c r="I2897" s="9" t="n">
        <v>13.5834778535576</v>
      </c>
      <c r="J2897" s="9" t="n">
        <v>52.621691291172</v>
      </c>
      <c r="K2897" s="3" t="s">
        <v>1001</v>
      </c>
      <c r="L2897" s="3" t="s">
        <v>999</v>
      </c>
      <c r="M2897" s="7" t="n">
        <v>2021</v>
      </c>
    </row>
    <row r="2898" customFormat="false" ht="15" hidden="false" customHeight="false" outlineLevel="0" collapsed="false">
      <c r="A2898" s="3" t="n">
        <v>3963</v>
      </c>
      <c r="B2898" s="3" t="s">
        <v>1000</v>
      </c>
      <c r="C2898" s="4" t="s">
        <v>22</v>
      </c>
      <c r="D2898" s="5" t="n">
        <v>11954</v>
      </c>
      <c r="E2898" s="6" t="n">
        <v>150.3</v>
      </c>
      <c r="F2898" s="7" t="n">
        <v>72</v>
      </c>
      <c r="G2898" s="6" t="n">
        <v>717.849089589286</v>
      </c>
      <c r="H2898" s="8" t="n">
        <v>187405.485082524</v>
      </c>
      <c r="I2898" s="9" t="n">
        <v>14.1088061459804</v>
      </c>
      <c r="J2898" s="9" t="n">
        <v>53.757315977676</v>
      </c>
      <c r="K2898" s="3" t="s">
        <v>1001</v>
      </c>
      <c r="L2898" s="3" t="s">
        <v>999</v>
      </c>
      <c r="M2898" s="7" t="n">
        <v>2022</v>
      </c>
    </row>
    <row r="2899" customFormat="false" ht="15" hidden="false" customHeight="false" outlineLevel="0" collapsed="false">
      <c r="A2899" s="3" t="n">
        <v>3964</v>
      </c>
      <c r="B2899" s="3" t="s">
        <v>1000</v>
      </c>
      <c r="C2899" s="4" t="s">
        <v>23</v>
      </c>
      <c r="D2899" s="5" t="n">
        <v>12079</v>
      </c>
      <c r="E2899" s="6" t="n">
        <v>151.441680019161</v>
      </c>
      <c r="F2899" s="7" t="n">
        <v>72</v>
      </c>
      <c r="G2899" s="6" t="n">
        <v>678.235305018308</v>
      </c>
      <c r="H2899" s="8" t="n">
        <v>180873.576850545</v>
      </c>
      <c r="I2899" s="9" t="n">
        <v>14.4152894984612</v>
      </c>
      <c r="J2899" s="9" t="n">
        <v>50.2651619456528</v>
      </c>
      <c r="K2899" s="3" t="s">
        <v>1001</v>
      </c>
      <c r="L2899" s="3" t="s">
        <v>999</v>
      </c>
      <c r="M2899" s="7" t="n">
        <v>2023</v>
      </c>
    </row>
    <row r="2900" customFormat="false" ht="15" hidden="false" customHeight="false" outlineLevel="0" collapsed="false">
      <c r="A2900" s="3" t="n">
        <v>3965</v>
      </c>
      <c r="B2900" s="3" t="s">
        <v>1000</v>
      </c>
      <c r="C2900" s="4" t="s">
        <v>24</v>
      </c>
      <c r="D2900" s="5" t="n">
        <v>12132</v>
      </c>
      <c r="E2900" s="6" t="n">
        <v>168.511446320455</v>
      </c>
      <c r="F2900" s="7" t="n">
        <v>71</v>
      </c>
      <c r="G2900" s="6" t="n">
        <v>658.893243921914</v>
      </c>
      <c r="H2900" s="8" t="n">
        <v>218669.829926856</v>
      </c>
      <c r="I2900" s="9" t="n">
        <v>13.9932906581601</v>
      </c>
      <c r="J2900" s="9" t="n">
        <v>48.4851614941578</v>
      </c>
      <c r="K2900" s="3" t="s">
        <v>1001</v>
      </c>
      <c r="L2900" s="3" t="s">
        <v>999</v>
      </c>
      <c r="M2900" s="7" t="n">
        <v>2024</v>
      </c>
    </row>
    <row r="2901" customFormat="false" ht="15" hidden="false" customHeight="false" outlineLevel="0" collapsed="false">
      <c r="A2901" s="3" t="n">
        <v>3984</v>
      </c>
      <c r="B2901" s="3" t="s">
        <v>1002</v>
      </c>
      <c r="C2901" s="4" t="s">
        <v>14</v>
      </c>
      <c r="D2901" s="5" t="n">
        <v>19396</v>
      </c>
      <c r="E2901" s="6" t="n">
        <v>301.78</v>
      </c>
      <c r="F2901" s="7" t="n">
        <v>60</v>
      </c>
      <c r="G2901" s="6" t="n">
        <v>539.06465510204</v>
      </c>
      <c r="H2901" s="8" t="n">
        <v>410567.813265367</v>
      </c>
      <c r="I2901" s="9" t="n">
        <v>7.89788623245556</v>
      </c>
      <c r="J2901" s="9" t="n">
        <v>24.8116059701132</v>
      </c>
      <c r="K2901" s="3" t="s">
        <v>1003</v>
      </c>
      <c r="L2901" s="3" t="s">
        <v>1004</v>
      </c>
      <c r="M2901" s="7" t="n">
        <v>2016</v>
      </c>
    </row>
    <row r="2902" customFormat="false" ht="15" hidden="false" customHeight="false" outlineLevel="0" collapsed="false">
      <c r="A2902" s="3" t="n">
        <v>3985</v>
      </c>
      <c r="B2902" s="3" t="s">
        <v>1002</v>
      </c>
      <c r="C2902" s="4" t="s">
        <v>17</v>
      </c>
      <c r="D2902" s="5" t="n">
        <v>19136</v>
      </c>
      <c r="E2902" s="6" t="n">
        <v>300.2</v>
      </c>
      <c r="F2902" s="7" t="n">
        <v>60</v>
      </c>
      <c r="G2902" s="6" t="n">
        <v>626.007040816326</v>
      </c>
      <c r="H2902" s="8" t="n">
        <v>801739.737314286</v>
      </c>
      <c r="I2902" s="9" t="n">
        <v>7.97872340425533</v>
      </c>
      <c r="J2902" s="9" t="n">
        <v>29.2850338262731</v>
      </c>
      <c r="K2902" s="3" t="s">
        <v>1003</v>
      </c>
      <c r="L2902" s="3" t="s">
        <v>1004</v>
      </c>
      <c r="M2902" s="7" t="n">
        <v>2017</v>
      </c>
    </row>
    <row r="2903" customFormat="false" ht="15" hidden="false" customHeight="false" outlineLevel="0" collapsed="false">
      <c r="A2903" s="3" t="n">
        <v>3986</v>
      </c>
      <c r="B2903" s="3" t="s">
        <v>1002</v>
      </c>
      <c r="C2903" s="4" t="s">
        <v>18</v>
      </c>
      <c r="D2903" s="5" t="n">
        <v>19177</v>
      </c>
      <c r="E2903" s="6" t="n">
        <v>300.563826490952</v>
      </c>
      <c r="F2903" s="7" t="n">
        <v>63</v>
      </c>
      <c r="G2903" s="6" t="n">
        <v>417.881688476972</v>
      </c>
      <c r="H2903" s="8" t="n">
        <v>578990.481520338</v>
      </c>
      <c r="I2903" s="9" t="n">
        <v>6.01282701449151</v>
      </c>
      <c r="J2903" s="9" t="n">
        <v>19.5069938507939</v>
      </c>
      <c r="K2903" s="3" t="s">
        <v>1003</v>
      </c>
      <c r="L2903" s="3" t="s">
        <v>1004</v>
      </c>
      <c r="M2903" s="7" t="n">
        <v>2018</v>
      </c>
    </row>
    <row r="2904" customFormat="false" ht="15" hidden="false" customHeight="false" outlineLevel="0" collapsed="false">
      <c r="A2904" s="3" t="n">
        <v>3987</v>
      </c>
      <c r="B2904" s="3" t="s">
        <v>1002</v>
      </c>
      <c r="C2904" s="4" t="s">
        <v>19</v>
      </c>
      <c r="D2904" s="5" t="n">
        <v>18719.25</v>
      </c>
      <c r="E2904" s="6" t="n">
        <v>300.200144733009</v>
      </c>
      <c r="F2904" s="7" t="n">
        <v>69</v>
      </c>
      <c r="G2904" s="6" t="n">
        <v>431.368977340447</v>
      </c>
      <c r="H2904" s="8" t="n">
        <v>652523.224643348</v>
      </c>
      <c r="I2904" s="9" t="n">
        <v>6.24813809623194</v>
      </c>
      <c r="J2904" s="9" t="n">
        <v>20.6289982436195</v>
      </c>
      <c r="K2904" s="3" t="s">
        <v>1003</v>
      </c>
      <c r="L2904" s="3" t="s">
        <v>1004</v>
      </c>
      <c r="M2904" s="7" t="n">
        <v>2019</v>
      </c>
    </row>
    <row r="2905" customFormat="false" ht="15" hidden="false" customHeight="false" outlineLevel="0" collapsed="false">
      <c r="A2905" s="3" t="n">
        <v>3988</v>
      </c>
      <c r="B2905" s="3" t="s">
        <v>1002</v>
      </c>
      <c r="C2905" s="4" t="s">
        <v>20</v>
      </c>
      <c r="D2905" s="5" t="n">
        <v>19173.9166666667</v>
      </c>
      <c r="E2905" s="6" t="n">
        <v>301.29351769</v>
      </c>
      <c r="F2905" s="7" t="n">
        <v>68</v>
      </c>
      <c r="G2905" s="6" t="n">
        <v>711.488318991999</v>
      </c>
      <c r="H2905" s="8" t="n">
        <v>1076154.54200816</v>
      </c>
      <c r="I2905" s="9" t="n">
        <v>7.99677094642601</v>
      </c>
      <c r="J2905" s="9" t="n">
        <v>33.1270781705186</v>
      </c>
      <c r="K2905" s="3" t="s">
        <v>1003</v>
      </c>
      <c r="L2905" s="3" t="s">
        <v>1004</v>
      </c>
      <c r="M2905" s="7" t="n">
        <v>2020</v>
      </c>
    </row>
    <row r="2906" customFormat="false" ht="15" hidden="false" customHeight="false" outlineLevel="0" collapsed="false">
      <c r="A2906" s="3" t="n">
        <v>3989</v>
      </c>
      <c r="B2906" s="3" t="s">
        <v>1002</v>
      </c>
      <c r="C2906" s="4" t="s">
        <v>21</v>
      </c>
      <c r="D2906" s="5" t="n">
        <v>19188.3333333333</v>
      </c>
      <c r="E2906" s="6" t="n">
        <v>301.29351769</v>
      </c>
      <c r="F2906" s="7" t="n">
        <v>65</v>
      </c>
      <c r="G2906" s="6" t="n">
        <v>372.247776515298</v>
      </c>
      <c r="H2906" s="8" t="n">
        <v>612436.289532871</v>
      </c>
      <c r="I2906" s="9" t="n">
        <v>5.82461212470017</v>
      </c>
      <c r="J2906" s="9" t="n">
        <v>17.3665092721682</v>
      </c>
      <c r="K2906" s="3" t="s">
        <v>1003</v>
      </c>
      <c r="L2906" s="3" t="s">
        <v>1004</v>
      </c>
      <c r="M2906" s="7" t="n">
        <v>2021</v>
      </c>
    </row>
    <row r="2907" customFormat="false" ht="15" hidden="false" customHeight="false" outlineLevel="0" collapsed="false">
      <c r="A2907" s="3" t="n">
        <v>3990</v>
      </c>
      <c r="B2907" s="3" t="s">
        <v>1002</v>
      </c>
      <c r="C2907" s="4" t="s">
        <v>22</v>
      </c>
      <c r="D2907" s="5" t="n">
        <v>19201.4166666667</v>
      </c>
      <c r="E2907" s="6" t="n">
        <v>302.2889799</v>
      </c>
      <c r="F2907" s="7" t="n">
        <v>71</v>
      </c>
      <c r="G2907" s="6" t="n">
        <v>351.291907718509</v>
      </c>
      <c r="H2907" s="8" t="n">
        <v>642976.604535342</v>
      </c>
      <c r="I2907" s="9" t="n">
        <v>5.90775587169621</v>
      </c>
      <c r="J2907" s="9" t="n">
        <v>16.3776862973734</v>
      </c>
      <c r="K2907" s="3" t="s">
        <v>1003</v>
      </c>
      <c r="L2907" s="3" t="s">
        <v>1004</v>
      </c>
      <c r="M2907" s="7" t="n">
        <v>2022</v>
      </c>
    </row>
    <row r="2908" customFormat="false" ht="15" hidden="false" customHeight="false" outlineLevel="0" collapsed="false">
      <c r="A2908" s="3" t="n">
        <v>3991</v>
      </c>
      <c r="B2908" s="3" t="s">
        <v>1002</v>
      </c>
      <c r="C2908" s="4" t="s">
        <v>23</v>
      </c>
      <c r="D2908" s="5" t="n">
        <v>19210.75</v>
      </c>
      <c r="E2908" s="6" t="n">
        <v>302.3585841</v>
      </c>
      <c r="F2908" s="7" t="n">
        <v>74</v>
      </c>
      <c r="G2908" s="6" t="n">
        <v>442.924088794357</v>
      </c>
      <c r="H2908" s="8" t="n">
        <v>919824.884440129</v>
      </c>
      <c r="I2908" s="9" t="n">
        <v>6.92734157041847</v>
      </c>
      <c r="J2908" s="9" t="n">
        <v>20.6396655000327</v>
      </c>
      <c r="K2908" s="3" t="s">
        <v>1003</v>
      </c>
      <c r="L2908" s="3" t="s">
        <v>1004</v>
      </c>
      <c r="M2908" s="7" t="n">
        <v>2023</v>
      </c>
    </row>
    <row r="2909" customFormat="false" ht="15" hidden="false" customHeight="false" outlineLevel="0" collapsed="false">
      <c r="A2909" s="3" t="n">
        <v>3992</v>
      </c>
      <c r="B2909" s="3" t="s">
        <v>1002</v>
      </c>
      <c r="C2909" s="4" t="s">
        <v>24</v>
      </c>
      <c r="D2909" s="5" t="n">
        <v>19277.5</v>
      </c>
      <c r="E2909" s="6" t="n">
        <v>301.87486294916</v>
      </c>
      <c r="F2909" s="7" t="n">
        <v>73</v>
      </c>
      <c r="G2909" s="6" t="n">
        <v>502.102904321699</v>
      </c>
      <c r="H2909" s="8" t="n">
        <v>1081854.66125325</v>
      </c>
      <c r="I2909" s="9" t="n">
        <v>7.3283307312093</v>
      </c>
      <c r="J2909" s="9" t="n">
        <v>23.2524230250867</v>
      </c>
      <c r="K2909" s="3" t="s">
        <v>1003</v>
      </c>
      <c r="L2909" s="3" t="s">
        <v>1004</v>
      </c>
      <c r="M2909" s="7" t="n">
        <v>2024</v>
      </c>
    </row>
    <row r="2910" customFormat="false" ht="15" hidden="false" customHeight="false" outlineLevel="0" collapsed="false">
      <c r="A2910" s="3" t="n">
        <v>3993</v>
      </c>
      <c r="B2910" s="3" t="s">
        <v>1005</v>
      </c>
      <c r="C2910" s="4" t="s">
        <v>14</v>
      </c>
      <c r="D2910" s="5" t="n">
        <v>14535</v>
      </c>
      <c r="E2910" s="6" t="n">
        <v>210.575757575758</v>
      </c>
      <c r="F2910" s="7" t="n">
        <v>58</v>
      </c>
      <c r="G2910" s="6" t="n">
        <v>579.986766142329</v>
      </c>
      <c r="H2910" s="8" t="n">
        <v>384111.170059856</v>
      </c>
      <c r="I2910" s="9" t="n">
        <v>10.6852267703616</v>
      </c>
      <c r="J2910" s="9" t="n">
        <v>35.6228975376854</v>
      </c>
      <c r="K2910" s="3" t="s">
        <v>1006</v>
      </c>
      <c r="L2910" s="3" t="s">
        <v>1007</v>
      </c>
      <c r="M2910" s="7" t="n">
        <v>2016</v>
      </c>
    </row>
    <row r="2911" customFormat="false" ht="15" hidden="false" customHeight="false" outlineLevel="0" collapsed="false">
      <c r="A2911" s="3" t="n">
        <v>3994</v>
      </c>
      <c r="B2911" s="3" t="s">
        <v>1005</v>
      </c>
      <c r="C2911" s="4" t="s">
        <v>17</v>
      </c>
      <c r="D2911" s="5" t="n">
        <v>14814</v>
      </c>
      <c r="E2911" s="6" t="n">
        <v>210.575757575758</v>
      </c>
      <c r="F2911" s="7" t="n">
        <v>63</v>
      </c>
      <c r="G2911" s="6" t="n">
        <v>544.517243354569</v>
      </c>
      <c r="H2911" s="8" t="n">
        <v>360620.56528263</v>
      </c>
      <c r="I2911" s="9" t="n">
        <v>10.6830364033922</v>
      </c>
      <c r="J2911" s="9" t="n">
        <v>32.9046269463564</v>
      </c>
      <c r="K2911" s="3" t="s">
        <v>1006</v>
      </c>
      <c r="L2911" s="3" t="s">
        <v>1007</v>
      </c>
      <c r="M2911" s="7" t="n">
        <v>2017</v>
      </c>
    </row>
    <row r="2912" customFormat="false" ht="15" hidden="false" customHeight="false" outlineLevel="0" collapsed="false">
      <c r="A2912" s="3" t="n">
        <v>3995</v>
      </c>
      <c r="B2912" s="3" t="s">
        <v>1005</v>
      </c>
      <c r="C2912" s="4" t="s">
        <v>18</v>
      </c>
      <c r="D2912" s="5" t="n">
        <v>14957</v>
      </c>
      <c r="E2912" s="6" t="n">
        <v>206.68</v>
      </c>
      <c r="F2912" s="7" t="n">
        <v>64</v>
      </c>
      <c r="G2912" s="6" t="n">
        <v>533.713542114507</v>
      </c>
      <c r="H2912" s="8" t="n">
        <v>655644.70000808</v>
      </c>
      <c r="I2912" s="9" t="n">
        <v>10.9391434541587</v>
      </c>
      <c r="J2912" s="9" t="n">
        <v>31.9434193794288</v>
      </c>
      <c r="K2912" s="3" t="s">
        <v>1006</v>
      </c>
      <c r="L2912" s="3" t="s">
        <v>1007</v>
      </c>
      <c r="M2912" s="7" t="n">
        <v>2018</v>
      </c>
    </row>
    <row r="2913" customFormat="false" ht="15" hidden="false" customHeight="false" outlineLevel="0" collapsed="false">
      <c r="A2913" s="3" t="n">
        <v>3996</v>
      </c>
      <c r="B2913" s="3" t="s">
        <v>1005</v>
      </c>
      <c r="C2913" s="4" t="s">
        <v>19</v>
      </c>
      <c r="D2913" s="5" t="n">
        <v>15167</v>
      </c>
      <c r="E2913" s="6" t="n">
        <v>210</v>
      </c>
      <c r="F2913" s="7" t="n">
        <v>66</v>
      </c>
      <c r="G2913" s="6" t="n">
        <v>443.901697463793</v>
      </c>
      <c r="H2913" s="8" t="n">
        <v>714550.186469388</v>
      </c>
      <c r="I2913" s="9" t="n">
        <v>10.365907186465</v>
      </c>
      <c r="J2913" s="9" t="n">
        <v>26.2002112778601</v>
      </c>
      <c r="K2913" s="3" t="s">
        <v>1006</v>
      </c>
      <c r="L2913" s="3" t="s">
        <v>1007</v>
      </c>
      <c r="M2913" s="7" t="n">
        <v>2019</v>
      </c>
    </row>
    <row r="2914" customFormat="false" ht="15" hidden="false" customHeight="false" outlineLevel="0" collapsed="false">
      <c r="A2914" s="3" t="n">
        <v>3997</v>
      </c>
      <c r="B2914" s="3" t="s">
        <v>1005</v>
      </c>
      <c r="C2914" s="4" t="s">
        <v>20</v>
      </c>
      <c r="D2914" s="5" t="n">
        <v>15240</v>
      </c>
      <c r="E2914" s="6" t="n">
        <v>219</v>
      </c>
      <c r="F2914" s="7" t="n">
        <v>66</v>
      </c>
      <c r="G2914" s="6" t="n">
        <v>347.720043481538</v>
      </c>
      <c r="H2914" s="8" t="n">
        <v>559726.226163266</v>
      </c>
      <c r="I2914" s="9" t="n">
        <v>9.47695321630919</v>
      </c>
      <c r="J2914" s="9" t="n">
        <v>20.369058333963</v>
      </c>
      <c r="K2914" s="3" t="s">
        <v>1006</v>
      </c>
      <c r="L2914" s="3" t="s">
        <v>1007</v>
      </c>
      <c r="M2914" s="7" t="n">
        <v>2020</v>
      </c>
    </row>
    <row r="2915" customFormat="false" ht="15" hidden="false" customHeight="false" outlineLevel="0" collapsed="false">
      <c r="A2915" s="3" t="n">
        <v>3998</v>
      </c>
      <c r="B2915" s="3" t="s">
        <v>1005</v>
      </c>
      <c r="C2915" s="4" t="s">
        <v>21</v>
      </c>
      <c r="D2915" s="5" t="n">
        <v>15437</v>
      </c>
      <c r="E2915" s="6" t="n">
        <v>210</v>
      </c>
      <c r="F2915" s="7" t="n">
        <v>66</v>
      </c>
      <c r="G2915" s="6" t="n">
        <v>369.067415257229</v>
      </c>
      <c r="H2915" s="8" t="n">
        <v>238639.846505203</v>
      </c>
      <c r="I2915" s="9" t="n">
        <v>9.64240177327918</v>
      </c>
      <c r="J2915" s="9" t="n">
        <v>21.4023012942686</v>
      </c>
      <c r="K2915" s="3" t="s">
        <v>1006</v>
      </c>
      <c r="L2915" s="3" t="s">
        <v>1007</v>
      </c>
      <c r="M2915" s="7" t="n">
        <v>2021</v>
      </c>
    </row>
    <row r="2916" customFormat="false" ht="15" hidden="false" customHeight="false" outlineLevel="0" collapsed="false">
      <c r="A2916" s="3" t="n">
        <v>3999</v>
      </c>
      <c r="B2916" s="3" t="s">
        <v>1005</v>
      </c>
      <c r="C2916" s="4" t="s">
        <v>22</v>
      </c>
      <c r="D2916" s="5" t="n">
        <v>15664</v>
      </c>
      <c r="E2916" s="6" t="n">
        <v>200.2</v>
      </c>
      <c r="F2916" s="7" t="n">
        <v>51</v>
      </c>
      <c r="G2916" s="6" t="n">
        <v>477.433548261019</v>
      </c>
      <c r="H2916" s="8" t="n">
        <v>241653.366115939</v>
      </c>
      <c r="I2916" s="9" t="n">
        <v>10.6916285695356</v>
      </c>
      <c r="J2916" s="9" t="n">
        <v>27.2852497106828</v>
      </c>
      <c r="K2916" s="3" t="s">
        <v>1006</v>
      </c>
      <c r="L2916" s="3" t="s">
        <v>1007</v>
      </c>
      <c r="M2916" s="7" t="n">
        <v>2022</v>
      </c>
    </row>
    <row r="2917" customFormat="false" ht="15" hidden="false" customHeight="false" outlineLevel="0" collapsed="false">
      <c r="A2917" s="3" t="n">
        <v>4000</v>
      </c>
      <c r="B2917" s="3" t="s">
        <v>1005</v>
      </c>
      <c r="C2917" s="4" t="s">
        <v>23</v>
      </c>
      <c r="D2917" s="5" t="n">
        <v>15544</v>
      </c>
      <c r="E2917" s="6" t="n">
        <v>218.5</v>
      </c>
      <c r="F2917" s="7" t="n">
        <v>51</v>
      </c>
      <c r="G2917" s="6" t="n">
        <v>650.024371300775</v>
      </c>
      <c r="H2917" s="8" t="n">
        <v>435737.701082806</v>
      </c>
      <c r="I2917" s="9" t="n">
        <v>11.99390753942</v>
      </c>
      <c r="J2917" s="9" t="n">
        <v>37.4355766071939</v>
      </c>
      <c r="K2917" s="3" t="s">
        <v>1006</v>
      </c>
      <c r="L2917" s="3" t="s">
        <v>1007</v>
      </c>
      <c r="M2917" s="7" t="n">
        <v>2023</v>
      </c>
    </row>
    <row r="2918" customFormat="false" ht="15" hidden="false" customHeight="false" outlineLevel="0" collapsed="false">
      <c r="A2918" s="3" t="n">
        <v>4001</v>
      </c>
      <c r="B2918" s="3" t="s">
        <v>1005</v>
      </c>
      <c r="C2918" s="4" t="s">
        <v>24</v>
      </c>
      <c r="D2918" s="5" t="n">
        <v>15721</v>
      </c>
      <c r="E2918" s="6" t="n">
        <v>218</v>
      </c>
      <c r="F2918" s="7" t="n">
        <v>50</v>
      </c>
      <c r="G2918" s="6" t="n">
        <v>509.364261624075</v>
      </c>
      <c r="H2918" s="8" t="n">
        <v>424289.877283999</v>
      </c>
      <c r="I2918" s="9" t="n">
        <v>10.0625117356199</v>
      </c>
      <c r="J2918" s="9" t="n">
        <v>28.925075178993</v>
      </c>
      <c r="K2918" s="3" t="s">
        <v>1006</v>
      </c>
      <c r="L2918" s="3" t="s">
        <v>1007</v>
      </c>
      <c r="M2918" s="7" t="n">
        <v>2024</v>
      </c>
    </row>
    <row r="2919" customFormat="false" ht="15" hidden="false" customHeight="false" outlineLevel="0" collapsed="false">
      <c r="A2919" s="3" t="n">
        <v>4002</v>
      </c>
      <c r="B2919" s="3" t="s">
        <v>1008</v>
      </c>
      <c r="C2919" s="4" t="s">
        <v>14</v>
      </c>
      <c r="D2919" s="5" t="n">
        <v>16932</v>
      </c>
      <c r="E2919" s="6" t="n">
        <v>203</v>
      </c>
      <c r="F2919" s="7" t="n">
        <v>55</v>
      </c>
      <c r="G2919" s="6" t="n">
        <v>905.633516893055</v>
      </c>
      <c r="H2919" s="8" t="n">
        <v>1519353.37329077</v>
      </c>
      <c r="I2919" s="9" t="n">
        <v>15.449544933187</v>
      </c>
      <c r="J2919" s="9" t="n">
        <v>47.749675108673</v>
      </c>
      <c r="K2919" s="3" t="s">
        <v>1009</v>
      </c>
      <c r="L2919" s="3" t="s">
        <v>1010</v>
      </c>
      <c r="M2919" s="7" t="n">
        <v>2016</v>
      </c>
    </row>
    <row r="2920" customFormat="false" ht="15" hidden="false" customHeight="false" outlineLevel="0" collapsed="false">
      <c r="A2920" s="3" t="n">
        <v>4003</v>
      </c>
      <c r="B2920" s="3" t="s">
        <v>1008</v>
      </c>
      <c r="C2920" s="4" t="s">
        <v>17</v>
      </c>
      <c r="D2920" s="5" t="n">
        <v>15998</v>
      </c>
      <c r="E2920" s="6" t="n">
        <v>190.6</v>
      </c>
      <c r="F2920" s="7" t="n">
        <v>64</v>
      </c>
      <c r="G2920" s="6" t="n">
        <v>655.366865214313</v>
      </c>
      <c r="H2920" s="8" t="n">
        <v>127099.690909071</v>
      </c>
      <c r="I2920" s="9" t="n">
        <v>10.6302212362906</v>
      </c>
      <c r="J2920" s="9" t="n">
        <v>36.6721575768656</v>
      </c>
      <c r="K2920" s="3" t="s">
        <v>1009</v>
      </c>
      <c r="L2920" s="3" t="s">
        <v>1010</v>
      </c>
      <c r="M2920" s="7" t="n">
        <v>2017</v>
      </c>
    </row>
    <row r="2921" customFormat="false" ht="15" hidden="false" customHeight="false" outlineLevel="0" collapsed="false">
      <c r="A2921" s="3" t="n">
        <v>4004</v>
      </c>
      <c r="B2921" s="3" t="s">
        <v>1008</v>
      </c>
      <c r="C2921" s="4" t="s">
        <v>18</v>
      </c>
      <c r="D2921" s="5" t="n">
        <v>16604</v>
      </c>
      <c r="E2921" s="6" t="n">
        <v>190.6</v>
      </c>
      <c r="F2921" s="7" t="n">
        <v>63</v>
      </c>
      <c r="G2921" s="6" t="n">
        <v>764.172422727904</v>
      </c>
      <c r="H2921" s="8" t="n">
        <v>163661.883754449</v>
      </c>
      <c r="I2921" s="9" t="n">
        <v>10.884262886388</v>
      </c>
      <c r="J2921" s="9" t="n">
        <v>41.1999141141533</v>
      </c>
      <c r="K2921" s="3" t="s">
        <v>1009</v>
      </c>
      <c r="L2921" s="3" t="s">
        <v>1010</v>
      </c>
      <c r="M2921" s="7" t="n">
        <v>2018</v>
      </c>
    </row>
    <row r="2922" customFormat="false" ht="15" hidden="false" customHeight="false" outlineLevel="0" collapsed="false">
      <c r="A2922" s="3" t="n">
        <v>4005</v>
      </c>
      <c r="B2922" s="3" t="s">
        <v>1008</v>
      </c>
      <c r="C2922" s="4" t="s">
        <v>19</v>
      </c>
      <c r="D2922" s="5" t="n">
        <v>16394</v>
      </c>
      <c r="E2922" s="6" t="n">
        <v>190.6</v>
      </c>
      <c r="F2922" s="7" t="n">
        <v>60</v>
      </c>
      <c r="G2922" s="6" t="n">
        <v>549.395047465513</v>
      </c>
      <c r="H2922" s="8" t="n">
        <v>302756.55605099</v>
      </c>
      <c r="I2922" s="9" t="n">
        <v>8.70686101478271</v>
      </c>
      <c r="J2922" s="9" t="n">
        <v>29.9997395207046</v>
      </c>
      <c r="K2922" s="3" t="s">
        <v>1009</v>
      </c>
      <c r="L2922" s="3" t="s">
        <v>1010</v>
      </c>
      <c r="M2922" s="7" t="n">
        <v>2019</v>
      </c>
    </row>
    <row r="2923" customFormat="false" ht="15" hidden="false" customHeight="false" outlineLevel="0" collapsed="false">
      <c r="A2923" s="3" t="n">
        <v>4006</v>
      </c>
      <c r="B2923" s="3" t="s">
        <v>1008</v>
      </c>
      <c r="C2923" s="4" t="s">
        <v>20</v>
      </c>
      <c r="D2923" s="5" t="n">
        <v>16360</v>
      </c>
      <c r="E2923" s="6" t="n">
        <v>190.6</v>
      </c>
      <c r="F2923" s="7" t="n">
        <v>60</v>
      </c>
      <c r="G2923" s="6" t="n">
        <v>967.253510528743</v>
      </c>
      <c r="H2923" s="8" t="n">
        <v>587162.302103811</v>
      </c>
      <c r="I2923" s="9" t="n">
        <v>12.7666407560869</v>
      </c>
      <c r="J2923" s="9" t="n">
        <v>52.7816799509833</v>
      </c>
      <c r="K2923" s="3" t="s">
        <v>1009</v>
      </c>
      <c r="L2923" s="3" t="s">
        <v>1010</v>
      </c>
      <c r="M2923" s="7" t="n">
        <v>2020</v>
      </c>
    </row>
    <row r="2924" customFormat="false" ht="15" hidden="false" customHeight="false" outlineLevel="0" collapsed="false">
      <c r="A2924" s="3" t="n">
        <v>4007</v>
      </c>
      <c r="B2924" s="3" t="s">
        <v>1008</v>
      </c>
      <c r="C2924" s="4" t="s">
        <v>21</v>
      </c>
      <c r="D2924" s="5" t="n">
        <v>16394</v>
      </c>
      <c r="E2924" s="6" t="n">
        <v>193.82</v>
      </c>
      <c r="F2924" s="7" t="n">
        <v>60</v>
      </c>
      <c r="G2924" s="6" t="n">
        <v>995.651109660408</v>
      </c>
      <c r="H2924" s="8" t="n">
        <v>627062.115800165</v>
      </c>
      <c r="I2924" s="9" t="n">
        <v>13.4608501619638</v>
      </c>
      <c r="J2924" s="9" t="n">
        <v>54.3675704415368</v>
      </c>
      <c r="K2924" s="3" t="s">
        <v>1009</v>
      </c>
      <c r="L2924" s="3" t="s">
        <v>1010</v>
      </c>
      <c r="M2924" s="7" t="n">
        <v>2021</v>
      </c>
    </row>
    <row r="2925" customFormat="false" ht="15" hidden="false" customHeight="false" outlineLevel="0" collapsed="false">
      <c r="A2925" s="3" t="n">
        <v>4008</v>
      </c>
      <c r="B2925" s="3" t="s">
        <v>1008</v>
      </c>
      <c r="C2925" s="4" t="s">
        <v>22</v>
      </c>
      <c r="D2925" s="5" t="n">
        <v>16394</v>
      </c>
      <c r="E2925" s="6" t="n">
        <v>193.8</v>
      </c>
      <c r="F2925" s="7" t="n">
        <v>61</v>
      </c>
      <c r="G2925" s="6" t="n">
        <v>935.340378475818</v>
      </c>
      <c r="H2925" s="8" t="n">
        <v>1753886.73188744</v>
      </c>
      <c r="I2925" s="9" t="n">
        <v>13.2484263335089</v>
      </c>
      <c r="J2925" s="9" t="n">
        <v>51.0743004454062</v>
      </c>
      <c r="K2925" s="3" t="s">
        <v>1009</v>
      </c>
      <c r="L2925" s="3" t="s">
        <v>1010</v>
      </c>
      <c r="M2925" s="7" t="n">
        <v>2022</v>
      </c>
    </row>
    <row r="2926" customFormat="false" ht="15" hidden="false" customHeight="false" outlineLevel="0" collapsed="false">
      <c r="A2926" s="3" t="n">
        <v>4009</v>
      </c>
      <c r="B2926" s="3" t="s">
        <v>1008</v>
      </c>
      <c r="C2926" s="4" t="s">
        <v>23</v>
      </c>
      <c r="D2926" s="5" t="n">
        <v>16533</v>
      </c>
      <c r="E2926" s="6" t="n">
        <v>193.8</v>
      </c>
      <c r="F2926" s="7" t="n">
        <v>58</v>
      </c>
      <c r="G2926" s="6" t="n">
        <v>844.737117570076</v>
      </c>
      <c r="H2926" s="8" t="n">
        <v>1810280.95586673</v>
      </c>
      <c r="I2926" s="9" t="n">
        <v>12.389555938001</v>
      </c>
      <c r="J2926" s="9" t="n">
        <v>45.7390969804193</v>
      </c>
      <c r="K2926" s="3" t="s">
        <v>1009</v>
      </c>
      <c r="L2926" s="3" t="s">
        <v>1010</v>
      </c>
      <c r="M2926" s="7" t="n">
        <v>2023</v>
      </c>
    </row>
    <row r="2927" customFormat="false" ht="15" hidden="false" customHeight="false" outlineLevel="0" collapsed="false">
      <c r="A2927" s="3" t="n">
        <v>4010</v>
      </c>
      <c r="B2927" s="3" t="s">
        <v>1008</v>
      </c>
      <c r="C2927" s="4" t="s">
        <v>24</v>
      </c>
      <c r="D2927" s="5" t="n">
        <v>16750</v>
      </c>
      <c r="E2927" s="6" t="n">
        <v>193.8</v>
      </c>
      <c r="F2927" s="7" t="n">
        <v>68</v>
      </c>
      <c r="G2927" s="6" t="n">
        <v>1241.1055532612</v>
      </c>
      <c r="H2927" s="8" t="n">
        <v>2940641.3362717</v>
      </c>
      <c r="I2927" s="9" t="n">
        <v>16.1163833986822</v>
      </c>
      <c r="J2927" s="9" t="n">
        <v>66.1485153360401</v>
      </c>
      <c r="K2927" s="3" t="s">
        <v>1009</v>
      </c>
      <c r="L2927" s="3" t="s">
        <v>1010</v>
      </c>
      <c r="M2927" s="7" t="n">
        <v>2024</v>
      </c>
    </row>
    <row r="2928" customFormat="false" ht="15" hidden="false" customHeight="false" outlineLevel="0" collapsed="false">
      <c r="A2928" s="3" t="n">
        <v>4011</v>
      </c>
      <c r="B2928" s="3" t="s">
        <v>1011</v>
      </c>
      <c r="C2928" s="4" t="s">
        <v>14</v>
      </c>
      <c r="D2928" s="5" t="n">
        <v>13697</v>
      </c>
      <c r="E2928" s="6" t="n">
        <v>203.7</v>
      </c>
      <c r="F2928" s="7" t="n">
        <v>61</v>
      </c>
      <c r="G2928" s="6" t="n">
        <v>519.506647857725</v>
      </c>
      <c r="H2928" s="8" t="n">
        <v>244567.716181779</v>
      </c>
      <c r="I2928" s="9" t="n">
        <v>9.90806033694939</v>
      </c>
      <c r="J2928" s="9" t="n">
        <v>33.8603815276193</v>
      </c>
      <c r="K2928" s="3" t="s">
        <v>1012</v>
      </c>
      <c r="L2928" s="3" t="s">
        <v>1013</v>
      </c>
      <c r="M2928" s="7" t="n">
        <v>2016</v>
      </c>
    </row>
    <row r="2929" customFormat="false" ht="15" hidden="false" customHeight="false" outlineLevel="0" collapsed="false">
      <c r="A2929" s="3" t="n">
        <v>4012</v>
      </c>
      <c r="B2929" s="3" t="s">
        <v>1011</v>
      </c>
      <c r="C2929" s="4" t="s">
        <v>17</v>
      </c>
      <c r="D2929" s="5" t="n">
        <v>13953</v>
      </c>
      <c r="E2929" s="6" t="n">
        <v>194</v>
      </c>
      <c r="F2929" s="7" t="n">
        <v>61</v>
      </c>
      <c r="G2929" s="6" t="n">
        <v>442.70542167322</v>
      </c>
      <c r="H2929" s="8" t="n">
        <v>257436.335254022</v>
      </c>
      <c r="I2929" s="9" t="n">
        <v>9.47634369729731</v>
      </c>
      <c r="J2929" s="9" t="n">
        <v>28.4030462466303</v>
      </c>
      <c r="K2929" s="3" t="s">
        <v>1012</v>
      </c>
      <c r="L2929" s="3" t="s">
        <v>1013</v>
      </c>
      <c r="M2929" s="7" t="n">
        <v>2017</v>
      </c>
    </row>
    <row r="2930" customFormat="false" ht="15" hidden="false" customHeight="false" outlineLevel="0" collapsed="false">
      <c r="A2930" s="3" t="n">
        <v>4013</v>
      </c>
      <c r="B2930" s="3" t="s">
        <v>1011</v>
      </c>
      <c r="C2930" s="4" t="s">
        <v>18</v>
      </c>
      <c r="D2930" s="5" t="n">
        <v>14532</v>
      </c>
      <c r="E2930" s="6" t="n">
        <v>194</v>
      </c>
      <c r="F2930" s="7" t="n">
        <v>64</v>
      </c>
      <c r="G2930" s="6" t="n">
        <v>474.364434598259</v>
      </c>
      <c r="H2930" s="8" t="n">
        <v>257161.600037331</v>
      </c>
      <c r="I2930" s="9" t="n">
        <v>9.79238733949177</v>
      </c>
      <c r="J2930" s="9" t="n">
        <v>29.2216278622467</v>
      </c>
      <c r="K2930" s="3" t="s">
        <v>1012</v>
      </c>
      <c r="L2930" s="3" t="s">
        <v>1013</v>
      </c>
      <c r="M2930" s="7" t="n">
        <v>2018</v>
      </c>
    </row>
    <row r="2931" customFormat="false" ht="15" hidden="false" customHeight="false" outlineLevel="0" collapsed="false">
      <c r="A2931" s="3" t="n">
        <v>4014</v>
      </c>
      <c r="B2931" s="3" t="s">
        <v>1011</v>
      </c>
      <c r="C2931" s="4" t="s">
        <v>19</v>
      </c>
      <c r="D2931" s="5" t="n">
        <v>14487</v>
      </c>
      <c r="E2931" s="6" t="n">
        <v>192</v>
      </c>
      <c r="F2931" s="7" t="n">
        <v>80</v>
      </c>
      <c r="G2931" s="6" t="n">
        <v>354.047645887946</v>
      </c>
      <c r="H2931" s="8" t="n">
        <v>191935.677435647</v>
      </c>
      <c r="I2931" s="9" t="n">
        <v>10.9872081976113</v>
      </c>
      <c r="J2931" s="9" t="n">
        <v>21.8776628573084</v>
      </c>
      <c r="K2931" s="3" t="s">
        <v>1012</v>
      </c>
      <c r="L2931" s="3" t="s">
        <v>1013</v>
      </c>
      <c r="M2931" s="7" t="n">
        <v>2019</v>
      </c>
    </row>
    <row r="2932" customFormat="false" ht="15" hidden="false" customHeight="false" outlineLevel="0" collapsed="false">
      <c r="A2932" s="3" t="n">
        <v>4015</v>
      </c>
      <c r="B2932" s="3" t="s">
        <v>1011</v>
      </c>
      <c r="C2932" s="4" t="s">
        <v>20</v>
      </c>
      <c r="D2932" s="5" t="n">
        <v>14593</v>
      </c>
      <c r="E2932" s="6" t="n">
        <v>192</v>
      </c>
      <c r="F2932" s="7" t="n">
        <v>80</v>
      </c>
      <c r="G2932" s="6" t="n">
        <v>527.09731455414</v>
      </c>
      <c r="H2932" s="8" t="n">
        <v>271544.903248939</v>
      </c>
      <c r="I2932" s="9" t="n">
        <v>10.5956178884218</v>
      </c>
      <c r="J2932" s="9" t="n">
        <v>32.2457449658789</v>
      </c>
      <c r="K2932" s="3" t="s">
        <v>1012</v>
      </c>
      <c r="L2932" s="3" t="s">
        <v>1013</v>
      </c>
      <c r="M2932" s="7" t="n">
        <v>2020</v>
      </c>
    </row>
    <row r="2933" customFormat="false" ht="15" hidden="false" customHeight="false" outlineLevel="0" collapsed="false">
      <c r="A2933" s="3" t="n">
        <v>4016</v>
      </c>
      <c r="B2933" s="3" t="s">
        <v>1011</v>
      </c>
      <c r="C2933" s="4" t="s">
        <v>21</v>
      </c>
      <c r="D2933" s="5" t="n">
        <v>14772</v>
      </c>
      <c r="E2933" s="6" t="n">
        <v>192</v>
      </c>
      <c r="F2933" s="7" t="n">
        <v>80</v>
      </c>
      <c r="G2933" s="6" t="n">
        <v>292.044965055278</v>
      </c>
      <c r="H2933" s="8" t="n">
        <v>158322.894843637</v>
      </c>
      <c r="I2933" s="9" t="n">
        <v>10.205354777511</v>
      </c>
      <c r="J2933" s="9" t="n">
        <v>17.69815925664</v>
      </c>
      <c r="K2933" s="3" t="s">
        <v>1012</v>
      </c>
      <c r="L2933" s="3" t="s">
        <v>1013</v>
      </c>
      <c r="M2933" s="7" t="n">
        <v>2021</v>
      </c>
    </row>
    <row r="2934" customFormat="false" ht="15" hidden="false" customHeight="false" outlineLevel="0" collapsed="false">
      <c r="A2934" s="3" t="n">
        <v>4017</v>
      </c>
      <c r="B2934" s="3" t="s">
        <v>1011</v>
      </c>
      <c r="C2934" s="4" t="s">
        <v>22</v>
      </c>
      <c r="D2934" s="5" t="n">
        <v>15016</v>
      </c>
      <c r="E2934" s="6" t="n">
        <v>197</v>
      </c>
      <c r="F2934" s="7" t="n">
        <v>66</v>
      </c>
      <c r="G2934" s="6" t="n">
        <v>394.351623741993</v>
      </c>
      <c r="H2934" s="8" t="n">
        <v>235163.717716667</v>
      </c>
      <c r="I2934" s="9" t="n">
        <v>11.857779759251</v>
      </c>
      <c r="J2934" s="9" t="n">
        <v>23.509697887812</v>
      </c>
      <c r="K2934" s="3" t="s">
        <v>1012</v>
      </c>
      <c r="L2934" s="3" t="s">
        <v>1013</v>
      </c>
      <c r="M2934" s="7" t="n">
        <v>2022</v>
      </c>
    </row>
    <row r="2935" customFormat="false" ht="15" hidden="false" customHeight="false" outlineLevel="0" collapsed="false">
      <c r="A2935" s="3" t="n">
        <v>4018</v>
      </c>
      <c r="B2935" s="3" t="s">
        <v>1011</v>
      </c>
      <c r="C2935" s="4" t="s">
        <v>23</v>
      </c>
      <c r="D2935" s="5" t="n">
        <v>15171</v>
      </c>
      <c r="E2935" s="6" t="n">
        <v>197</v>
      </c>
      <c r="F2935" s="7" t="n">
        <v>67</v>
      </c>
      <c r="G2935" s="6" t="n">
        <v>812.775956301447</v>
      </c>
      <c r="H2935" s="8" t="n">
        <v>483393.091789773</v>
      </c>
      <c r="I2935" s="9" t="n">
        <v>13.980479371574</v>
      </c>
      <c r="J2935" s="9" t="n">
        <v>47.9594632429829</v>
      </c>
      <c r="K2935" s="3" t="s">
        <v>1012</v>
      </c>
      <c r="L2935" s="3" t="s">
        <v>1013</v>
      </c>
      <c r="M2935" s="7" t="n">
        <v>2023</v>
      </c>
    </row>
    <row r="2936" customFormat="false" ht="15" hidden="false" customHeight="false" outlineLevel="0" collapsed="false">
      <c r="A2936" s="3" t="n">
        <v>4019</v>
      </c>
      <c r="B2936" s="3" t="s">
        <v>1011</v>
      </c>
      <c r="C2936" s="4" t="s">
        <v>24</v>
      </c>
      <c r="D2936" s="5" t="n">
        <v>15033</v>
      </c>
      <c r="E2936" s="6" t="n">
        <v>197</v>
      </c>
      <c r="F2936" s="7" t="n">
        <v>48</v>
      </c>
      <c r="G2936" s="6" t="n">
        <v>910.293804861122</v>
      </c>
      <c r="H2936" s="8" t="n">
        <v>517567.27041852</v>
      </c>
      <c r="I2936" s="9" t="n">
        <v>14.1202562409617</v>
      </c>
      <c r="J2936" s="9" t="n">
        <v>54.0582675388668</v>
      </c>
      <c r="K2936" s="3" t="s">
        <v>1012</v>
      </c>
      <c r="L2936" s="3" t="s">
        <v>1013</v>
      </c>
      <c r="M2936" s="7" t="n">
        <v>2024</v>
      </c>
    </row>
    <row r="2937" customFormat="false" ht="15" hidden="false" customHeight="false" outlineLevel="0" collapsed="false">
      <c r="A2937" s="3" t="n">
        <v>4020</v>
      </c>
      <c r="B2937" s="3" t="s">
        <v>1014</v>
      </c>
      <c r="C2937" s="4" t="s">
        <v>41</v>
      </c>
      <c r="D2937" s="5" t="n">
        <v>18630</v>
      </c>
      <c r="E2937" s="6" t="n">
        <v>190.86</v>
      </c>
      <c r="F2937" s="7" t="n">
        <v>60</v>
      </c>
      <c r="G2937" s="6" t="n">
        <v>682.636515787154</v>
      </c>
      <c r="H2937" s="8" t="n">
        <v>1293603.02378182</v>
      </c>
      <c r="I2937" s="9" t="n">
        <v>9.11254145977405</v>
      </c>
      <c r="J2937" s="9" t="n">
        <v>32.8015476788826</v>
      </c>
      <c r="K2937" s="3" t="s">
        <v>1015</v>
      </c>
      <c r="L2937" s="3" t="s">
        <v>1016</v>
      </c>
      <c r="M2937" s="7" t="n">
        <v>2016</v>
      </c>
    </row>
    <row r="2938" customFormat="false" ht="15" hidden="false" customHeight="false" outlineLevel="0" collapsed="false">
      <c r="A2938" s="3" t="n">
        <v>4021</v>
      </c>
      <c r="B2938" s="3" t="s">
        <v>1014</v>
      </c>
      <c r="C2938" s="4" t="s">
        <v>42</v>
      </c>
      <c r="D2938" s="5" t="n">
        <v>18199</v>
      </c>
      <c r="E2938" s="6" t="n">
        <v>177</v>
      </c>
      <c r="F2938" s="7" t="n">
        <v>60</v>
      </c>
      <c r="G2938" s="6" t="n">
        <v>257.126927002518</v>
      </c>
      <c r="H2938" s="8" t="n">
        <v>3315.19173170697</v>
      </c>
      <c r="I2938" s="9" t="n">
        <v>4.10299700871943</v>
      </c>
      <c r="J2938" s="9" t="n">
        <v>12.6478791991798</v>
      </c>
      <c r="K2938" s="3" t="s">
        <v>1015</v>
      </c>
      <c r="L2938" s="3" t="s">
        <v>1016</v>
      </c>
      <c r="M2938" s="7" t="n">
        <v>2017</v>
      </c>
    </row>
    <row r="2939" customFormat="false" ht="15" hidden="false" customHeight="false" outlineLevel="0" collapsed="false">
      <c r="A2939" s="3" t="n">
        <v>4022</v>
      </c>
      <c r="B2939" s="3" t="s">
        <v>1014</v>
      </c>
      <c r="C2939" s="4" t="s">
        <v>43</v>
      </c>
      <c r="D2939" s="5" t="n">
        <v>18341</v>
      </c>
      <c r="E2939" s="6" t="n">
        <v>188</v>
      </c>
      <c r="F2939" s="7" t="n">
        <v>60</v>
      </c>
      <c r="G2939" s="6" t="n">
        <v>231.164164924531</v>
      </c>
      <c r="H2939" s="8" t="n">
        <v>4044.9307859746</v>
      </c>
      <c r="I2939" s="9" t="n">
        <v>4.11860158386777</v>
      </c>
      <c r="J2939" s="9" t="n">
        <v>11.2827554288721</v>
      </c>
      <c r="K2939" s="3" t="s">
        <v>1015</v>
      </c>
      <c r="L2939" s="3" t="s">
        <v>1016</v>
      </c>
      <c r="M2939" s="7" t="n">
        <v>2018</v>
      </c>
    </row>
    <row r="2940" customFormat="false" ht="15" hidden="false" customHeight="false" outlineLevel="0" collapsed="false">
      <c r="A2940" s="3" t="n">
        <v>4023</v>
      </c>
      <c r="B2940" s="3" t="s">
        <v>1014</v>
      </c>
      <c r="C2940" s="4" t="s">
        <v>45</v>
      </c>
      <c r="D2940" s="5" t="n">
        <v>18651</v>
      </c>
      <c r="E2940" s="6" t="n">
        <v>188</v>
      </c>
      <c r="F2940" s="7" t="n">
        <v>60</v>
      </c>
      <c r="G2940" s="6" t="n">
        <v>378.4096591596</v>
      </c>
      <c r="H2940" s="8"/>
      <c r="I2940" s="9" t="n">
        <v>5.41250858032837</v>
      </c>
      <c r="J2940" s="9" t="n">
        <v>18.1625894388032</v>
      </c>
      <c r="K2940" s="3" t="s">
        <v>1015</v>
      </c>
      <c r="L2940" s="3" t="s">
        <v>1016</v>
      </c>
      <c r="M2940" s="7" t="n">
        <v>2020</v>
      </c>
    </row>
    <row r="2941" customFormat="false" ht="15" hidden="false" customHeight="false" outlineLevel="0" collapsed="false">
      <c r="A2941" s="3" t="n">
        <v>4024</v>
      </c>
      <c r="B2941" s="3" t="s">
        <v>1014</v>
      </c>
      <c r="C2941" s="4" t="s">
        <v>47</v>
      </c>
      <c r="D2941" s="5" t="n">
        <v>18920</v>
      </c>
      <c r="E2941" s="6" t="n">
        <v>188</v>
      </c>
      <c r="F2941" s="7" t="n">
        <v>60</v>
      </c>
      <c r="G2941" s="6" t="n">
        <v>365.464767723037</v>
      </c>
      <c r="H2941" s="8" t="n">
        <v>755952.908092071</v>
      </c>
      <c r="I2941" s="9" t="n">
        <v>5.9000682852785</v>
      </c>
      <c r="J2941" s="9" t="n">
        <v>17.2918738278174</v>
      </c>
      <c r="K2941" s="3" t="s">
        <v>1015</v>
      </c>
      <c r="L2941" s="3" t="s">
        <v>1016</v>
      </c>
      <c r="M2941" s="7" t="n">
        <v>2022</v>
      </c>
    </row>
    <row r="2942" customFormat="false" ht="15" hidden="false" customHeight="false" outlineLevel="0" collapsed="false">
      <c r="A2942" s="3" t="n">
        <v>4025</v>
      </c>
      <c r="B2942" s="3" t="s">
        <v>1014</v>
      </c>
      <c r="C2942" s="4" t="s">
        <v>48</v>
      </c>
      <c r="D2942" s="5" t="n">
        <v>18896</v>
      </c>
      <c r="E2942" s="6" t="n">
        <v>188</v>
      </c>
      <c r="F2942" s="7" t="n">
        <v>60</v>
      </c>
      <c r="G2942" s="6" t="n">
        <v>525.239033968657</v>
      </c>
      <c r="H2942" s="8" t="n">
        <v>11030.0197133418</v>
      </c>
      <c r="I2942" s="9" t="n">
        <v>7.29758266680283</v>
      </c>
      <c r="J2942" s="9" t="n">
        <v>24.8149444483026</v>
      </c>
      <c r="K2942" s="3" t="s">
        <v>1015</v>
      </c>
      <c r="L2942" s="3" t="s">
        <v>1016</v>
      </c>
      <c r="M2942" s="7" t="n">
        <v>2023</v>
      </c>
    </row>
    <row r="2943" customFormat="false" ht="15" hidden="false" customHeight="false" outlineLevel="0" collapsed="false">
      <c r="A2943" s="3" t="n">
        <v>4026</v>
      </c>
      <c r="B2943" s="3" t="s">
        <v>1014</v>
      </c>
      <c r="C2943" s="4" t="s">
        <v>49</v>
      </c>
      <c r="D2943" s="5" t="n">
        <v>18952</v>
      </c>
      <c r="E2943" s="6" t="n">
        <v>190</v>
      </c>
      <c r="F2943" s="7" t="n">
        <v>67</v>
      </c>
      <c r="G2943" s="6" t="n">
        <v>400.964468772371</v>
      </c>
      <c r="H2943" s="8" t="n">
        <v>994445.470011295</v>
      </c>
      <c r="I2943" s="9" t="n">
        <v>5.8799355362919</v>
      </c>
      <c r="J2943" s="9" t="n">
        <v>18.9395002983167</v>
      </c>
      <c r="K2943" s="3" t="s">
        <v>1015</v>
      </c>
      <c r="L2943" s="3" t="s">
        <v>1016</v>
      </c>
      <c r="M2943" s="7" t="n">
        <v>2024</v>
      </c>
    </row>
    <row r="2944" customFormat="false" ht="15" hidden="false" customHeight="false" outlineLevel="0" collapsed="false">
      <c r="A2944" s="3" t="n">
        <v>4027</v>
      </c>
      <c r="B2944" s="3" t="s">
        <v>1017</v>
      </c>
      <c r="C2944" s="4" t="s">
        <v>14</v>
      </c>
      <c r="D2944" s="5" t="n">
        <v>27701</v>
      </c>
      <c r="E2944" s="6" t="n">
        <v>236</v>
      </c>
      <c r="F2944" s="7" t="n">
        <v>51</v>
      </c>
      <c r="G2944" s="6" t="n">
        <v>491.279478964645</v>
      </c>
      <c r="H2944" s="8" t="n">
        <v>879699.773418462</v>
      </c>
      <c r="I2944" s="9" t="n">
        <v>6.66386659474603</v>
      </c>
      <c r="J2944" s="9" t="n">
        <v>15.8328599481952</v>
      </c>
      <c r="K2944" s="3" t="s">
        <v>1018</v>
      </c>
      <c r="L2944" s="3" t="s">
        <v>1019</v>
      </c>
      <c r="M2944" s="7" t="n">
        <v>2016</v>
      </c>
    </row>
    <row r="2945" customFormat="false" ht="15" hidden="false" customHeight="false" outlineLevel="0" collapsed="false">
      <c r="A2945" s="3" t="n">
        <v>4028</v>
      </c>
      <c r="B2945" s="3" t="s">
        <v>1017</v>
      </c>
      <c r="C2945" s="4" t="s">
        <v>17</v>
      </c>
      <c r="D2945" s="5" t="n">
        <v>27934</v>
      </c>
      <c r="E2945" s="6" t="n">
        <v>237</v>
      </c>
      <c r="F2945" s="7" t="n">
        <v>51</v>
      </c>
      <c r="G2945" s="6" t="n">
        <v>687.362166035354</v>
      </c>
      <c r="H2945" s="8" t="n">
        <v>1249189.74705621</v>
      </c>
      <c r="I2945" s="9" t="n">
        <v>7.87229879962715</v>
      </c>
      <c r="J2945" s="9" t="n">
        <v>22.027751556926</v>
      </c>
      <c r="K2945" s="3" t="s">
        <v>1018</v>
      </c>
      <c r="L2945" s="3" t="s">
        <v>1019</v>
      </c>
      <c r="M2945" s="7" t="n">
        <v>2017</v>
      </c>
    </row>
    <row r="2946" customFormat="false" ht="15" hidden="false" customHeight="false" outlineLevel="0" collapsed="false">
      <c r="A2946" s="3" t="n">
        <v>4029</v>
      </c>
      <c r="B2946" s="3" t="s">
        <v>1017</v>
      </c>
      <c r="C2946" s="4" t="s">
        <v>18</v>
      </c>
      <c r="D2946" s="5" t="n">
        <v>23577</v>
      </c>
      <c r="E2946" s="6" t="n">
        <v>242.5</v>
      </c>
      <c r="F2946" s="7" t="n">
        <v>55</v>
      </c>
      <c r="G2946" s="6" t="n">
        <v>686.065499599847</v>
      </c>
      <c r="H2946" s="8" t="n">
        <v>1250186.18516272</v>
      </c>
      <c r="I2946" s="9" t="n">
        <v>7.69294915766363</v>
      </c>
      <c r="J2946" s="9" t="n">
        <v>26.0492192649697</v>
      </c>
      <c r="K2946" s="3" t="s">
        <v>1018</v>
      </c>
      <c r="L2946" s="3" t="s">
        <v>1019</v>
      </c>
      <c r="M2946" s="7" t="n">
        <v>2018</v>
      </c>
    </row>
    <row r="2947" customFormat="false" ht="15" hidden="false" customHeight="false" outlineLevel="0" collapsed="false">
      <c r="A2947" s="3" t="n">
        <v>4030</v>
      </c>
      <c r="B2947" s="3" t="s">
        <v>1017</v>
      </c>
      <c r="C2947" s="4" t="s">
        <v>19</v>
      </c>
      <c r="D2947" s="5" t="n">
        <v>23928</v>
      </c>
      <c r="E2947" s="6" t="n">
        <v>242.4</v>
      </c>
      <c r="F2947" s="7" t="n">
        <v>58</v>
      </c>
      <c r="G2947" s="6" t="n">
        <v>591.933956818181</v>
      </c>
      <c r="H2947" s="8" t="n">
        <v>1081613.63232374</v>
      </c>
      <c r="I2947" s="9" t="n">
        <v>6.97320328503478</v>
      </c>
      <c r="J2947" s="9" t="n">
        <v>22.1454509778375</v>
      </c>
      <c r="K2947" s="3" t="s">
        <v>1018</v>
      </c>
      <c r="L2947" s="3" t="s">
        <v>1019</v>
      </c>
      <c r="M2947" s="7" t="n">
        <v>2019</v>
      </c>
    </row>
    <row r="2948" customFormat="false" ht="15" hidden="false" customHeight="false" outlineLevel="0" collapsed="false">
      <c r="A2948" s="3" t="n">
        <v>4031</v>
      </c>
      <c r="B2948" s="3" t="s">
        <v>1017</v>
      </c>
      <c r="C2948" s="4" t="s">
        <v>20</v>
      </c>
      <c r="D2948" s="5" t="n">
        <v>24144</v>
      </c>
      <c r="E2948" s="6" t="n">
        <v>242.4</v>
      </c>
      <c r="F2948" s="7" t="n">
        <v>58</v>
      </c>
      <c r="G2948" s="6" t="n">
        <v>777.536828939394</v>
      </c>
      <c r="H2948" s="8" t="n">
        <v>1429400.38021731</v>
      </c>
      <c r="I2948" s="9" t="n">
        <v>8.3352435008198</v>
      </c>
      <c r="J2948" s="9" t="n">
        <v>28.7500060421411</v>
      </c>
      <c r="K2948" s="3" t="s">
        <v>1018</v>
      </c>
      <c r="L2948" s="3" t="s">
        <v>1019</v>
      </c>
      <c r="M2948" s="7" t="n">
        <v>2020</v>
      </c>
    </row>
    <row r="2949" customFormat="false" ht="15" hidden="false" customHeight="false" outlineLevel="0" collapsed="false">
      <c r="A2949" s="3" t="n">
        <v>4032</v>
      </c>
      <c r="B2949" s="3" t="s">
        <v>1017</v>
      </c>
      <c r="C2949" s="4" t="s">
        <v>21</v>
      </c>
      <c r="D2949" s="5" t="n">
        <v>24193</v>
      </c>
      <c r="E2949" s="6" t="n">
        <v>239.27</v>
      </c>
      <c r="F2949" s="7" t="n">
        <v>65</v>
      </c>
      <c r="G2949" s="6" t="n">
        <v>787.473805555555</v>
      </c>
      <c r="H2949" s="8" t="n">
        <v>1444439.57731639</v>
      </c>
      <c r="I2949" s="9" t="n">
        <v>8.60910184063606</v>
      </c>
      <c r="J2949" s="9" t="n">
        <v>29.1382902753729</v>
      </c>
      <c r="K2949" s="3" t="s">
        <v>1018</v>
      </c>
      <c r="L2949" s="3" t="s">
        <v>1019</v>
      </c>
      <c r="M2949" s="7" t="n">
        <v>2021</v>
      </c>
    </row>
    <row r="2950" customFormat="false" ht="15" hidden="false" customHeight="false" outlineLevel="0" collapsed="false">
      <c r="A2950" s="3" t="n">
        <v>4033</v>
      </c>
      <c r="B2950" s="3" t="s">
        <v>1017</v>
      </c>
      <c r="C2950" s="4" t="s">
        <v>22</v>
      </c>
      <c r="D2950" s="5" t="n">
        <v>24383</v>
      </c>
      <c r="E2950" s="6" t="n">
        <v>239.3</v>
      </c>
      <c r="F2950" s="7" t="n">
        <v>69</v>
      </c>
      <c r="G2950" s="6" t="n">
        <v>183.230652991498</v>
      </c>
      <c r="H2950" s="8" t="n">
        <v>353182.580560702</v>
      </c>
      <c r="I2950" s="9" t="n">
        <v>6.15051263057158</v>
      </c>
      <c r="J2950" s="9" t="n">
        <v>6.72711210566142</v>
      </c>
      <c r="K2950" s="3" t="s">
        <v>1018</v>
      </c>
      <c r="L2950" s="3" t="s">
        <v>1019</v>
      </c>
      <c r="M2950" s="7" t="n">
        <v>2022</v>
      </c>
    </row>
    <row r="2951" customFormat="false" ht="15" hidden="false" customHeight="false" outlineLevel="0" collapsed="false">
      <c r="A2951" s="3" t="n">
        <v>4034</v>
      </c>
      <c r="B2951" s="3" t="s">
        <v>1017</v>
      </c>
      <c r="C2951" s="4" t="s">
        <v>23</v>
      </c>
      <c r="D2951" s="5" t="n">
        <v>23787</v>
      </c>
      <c r="E2951" s="6" t="n">
        <v>237.9</v>
      </c>
      <c r="F2951" s="7" t="n">
        <v>69</v>
      </c>
      <c r="G2951" s="6" t="n">
        <v>294.461591715676</v>
      </c>
      <c r="H2951" s="8" t="n">
        <v>638769.641676981</v>
      </c>
      <c r="I2951" s="9" t="n">
        <v>6.73095945079586</v>
      </c>
      <c r="J2951" s="9" t="n">
        <v>11.0817068472326</v>
      </c>
      <c r="K2951" s="3" t="s">
        <v>1018</v>
      </c>
      <c r="L2951" s="3" t="s">
        <v>1019</v>
      </c>
      <c r="M2951" s="7" t="n">
        <v>2023</v>
      </c>
    </row>
    <row r="2952" customFormat="false" ht="15" hidden="false" customHeight="false" outlineLevel="0" collapsed="false">
      <c r="A2952" s="3" t="n">
        <v>4035</v>
      </c>
      <c r="B2952" s="3" t="s">
        <v>1017</v>
      </c>
      <c r="C2952" s="4" t="s">
        <v>24</v>
      </c>
      <c r="D2952" s="5" t="n">
        <v>24023</v>
      </c>
      <c r="E2952" s="6" t="n">
        <v>237.66</v>
      </c>
      <c r="F2952" s="7" t="n">
        <v>70</v>
      </c>
      <c r="G2952" s="6" t="n">
        <v>183.513785479299</v>
      </c>
      <c r="H2952" s="8" t="n">
        <v>436327.696833833</v>
      </c>
      <c r="I2952" s="9" t="n">
        <v>5.06977471143693</v>
      </c>
      <c r="J2952" s="9" t="n">
        <v>6.8197373079355</v>
      </c>
      <c r="K2952" s="3" t="s">
        <v>1018</v>
      </c>
      <c r="L2952" s="3" t="s">
        <v>1019</v>
      </c>
      <c r="M2952" s="7" t="n">
        <v>2024</v>
      </c>
    </row>
    <row r="2953" customFormat="false" ht="15" hidden="false" customHeight="false" outlineLevel="0" collapsed="false">
      <c r="A2953" s="3" t="n">
        <v>4036</v>
      </c>
      <c r="B2953" s="3" t="s">
        <v>1020</v>
      </c>
      <c r="C2953" s="4" t="s">
        <v>41</v>
      </c>
      <c r="D2953" s="5" t="n">
        <v>233749</v>
      </c>
      <c r="E2953" s="6" t="n">
        <v>2477</v>
      </c>
      <c r="F2953" s="7" t="n">
        <v>75</v>
      </c>
      <c r="G2953" s="6" t="n">
        <v>6754.14145492941</v>
      </c>
      <c r="H2953" s="8" t="n">
        <v>7938970.21094452</v>
      </c>
      <c r="I2953" s="9" t="n">
        <v>8.10536757755352</v>
      </c>
      <c r="J2953" s="9" t="n">
        <v>25.8665236251372</v>
      </c>
      <c r="K2953" s="3" t="s">
        <v>1021</v>
      </c>
      <c r="L2953" s="3" t="s">
        <v>1022</v>
      </c>
      <c r="M2953" s="7" t="n">
        <v>2016</v>
      </c>
    </row>
    <row r="2954" customFormat="false" ht="15" hidden="false" customHeight="false" outlineLevel="0" collapsed="false">
      <c r="A2954" s="3" t="n">
        <v>4037</v>
      </c>
      <c r="B2954" s="3" t="s">
        <v>1020</v>
      </c>
      <c r="C2954" s="4" t="s">
        <v>42</v>
      </c>
      <c r="D2954" s="5" t="n">
        <v>234537</v>
      </c>
      <c r="E2954" s="6" t="n">
        <v>2478</v>
      </c>
      <c r="F2954" s="7" t="n">
        <v>70</v>
      </c>
      <c r="G2954" s="6" t="n">
        <v>6145.3864958347</v>
      </c>
      <c r="H2954" s="8" t="n">
        <v>7607381.41341532</v>
      </c>
      <c r="I2954" s="9" t="n">
        <v>7.39700568567759</v>
      </c>
      <c r="J2954" s="9" t="n">
        <v>23.4560841223233</v>
      </c>
      <c r="K2954" s="3" t="s">
        <v>1021</v>
      </c>
      <c r="L2954" s="3" t="s">
        <v>1022</v>
      </c>
      <c r="M2954" s="7" t="n">
        <v>2017</v>
      </c>
    </row>
    <row r="2955" customFormat="false" ht="15" hidden="false" customHeight="false" outlineLevel="0" collapsed="false">
      <c r="A2955" s="3" t="n">
        <v>4038</v>
      </c>
      <c r="B2955" s="3" t="s">
        <v>1020</v>
      </c>
      <c r="C2955" s="4" t="s">
        <v>43</v>
      </c>
      <c r="D2955" s="5" t="n">
        <v>234873</v>
      </c>
      <c r="E2955" s="6" t="n">
        <v>2478.233</v>
      </c>
      <c r="F2955" s="7" t="n">
        <v>68</v>
      </c>
      <c r="G2955" s="6" t="n">
        <v>5977.8886962544</v>
      </c>
      <c r="H2955" s="8" t="n">
        <v>7562412.68347956</v>
      </c>
      <c r="I2955" s="9" t="n">
        <v>7.41432115816826</v>
      </c>
      <c r="J2955" s="9" t="n">
        <v>22.7841275919279</v>
      </c>
      <c r="K2955" s="3" t="s">
        <v>1021</v>
      </c>
      <c r="L2955" s="3" t="s">
        <v>1022</v>
      </c>
      <c r="M2955" s="7" t="n">
        <v>2018</v>
      </c>
    </row>
    <row r="2956" customFormat="false" ht="15" hidden="false" customHeight="false" outlineLevel="0" collapsed="false">
      <c r="A2956" s="3" t="n">
        <v>4039</v>
      </c>
      <c r="B2956" s="3" t="s">
        <v>1020</v>
      </c>
      <c r="C2956" s="4" t="s">
        <v>19</v>
      </c>
      <c r="D2956" s="5" t="n">
        <v>234832</v>
      </c>
      <c r="E2956" s="6" t="n">
        <v>2478.5</v>
      </c>
      <c r="F2956" s="7" t="n">
        <v>73</v>
      </c>
      <c r="G2956" s="6" t="n">
        <v>6048.7067549191</v>
      </c>
      <c r="H2956" s="8" t="n">
        <v>7667218.01158051</v>
      </c>
      <c r="I2956" s="9" t="n">
        <v>7.54105544911685</v>
      </c>
      <c r="J2956" s="9" t="n">
        <v>23.0580686440363</v>
      </c>
      <c r="K2956" s="3" t="s">
        <v>1021</v>
      </c>
      <c r="L2956" s="3" t="s">
        <v>1022</v>
      </c>
      <c r="M2956" s="7" t="n">
        <v>2019</v>
      </c>
    </row>
    <row r="2957" customFormat="false" ht="15" hidden="false" customHeight="false" outlineLevel="0" collapsed="false">
      <c r="A2957" s="3" t="n">
        <v>4040</v>
      </c>
      <c r="B2957" s="3" t="s">
        <v>1020</v>
      </c>
      <c r="C2957" s="4" t="s">
        <v>20</v>
      </c>
      <c r="D2957" s="5" t="n">
        <v>234852</v>
      </c>
      <c r="E2957" s="6" t="n">
        <v>2478.5</v>
      </c>
      <c r="F2957" s="7" t="n">
        <v>73</v>
      </c>
      <c r="G2957" s="6" t="n">
        <v>5629.21764288636</v>
      </c>
      <c r="H2957" s="8" t="n">
        <v>8036373.28650303</v>
      </c>
      <c r="I2957" s="9" t="n">
        <v>6.87328424302963</v>
      </c>
      <c r="J2957" s="9" t="n">
        <v>21.3983344351892</v>
      </c>
      <c r="K2957" s="3" t="s">
        <v>1021</v>
      </c>
      <c r="L2957" s="3" t="s">
        <v>1022</v>
      </c>
      <c r="M2957" s="7" t="n">
        <v>2020</v>
      </c>
    </row>
    <row r="2958" customFormat="false" ht="15" hidden="false" customHeight="false" outlineLevel="0" collapsed="false">
      <c r="A2958" s="3" t="n">
        <v>4041</v>
      </c>
      <c r="B2958" s="3" t="s">
        <v>1020</v>
      </c>
      <c r="C2958" s="4" t="s">
        <v>21</v>
      </c>
      <c r="D2958" s="5" t="n">
        <v>235950</v>
      </c>
      <c r="E2958" s="6" t="n">
        <v>2484.2</v>
      </c>
      <c r="F2958" s="7" t="n">
        <v>73</v>
      </c>
      <c r="G2958" s="6" t="n">
        <v>6736.52840171405</v>
      </c>
      <c r="H2958" s="8" t="n">
        <v>10371625.5646079</v>
      </c>
      <c r="I2958" s="9" t="n">
        <v>8.30514714392442</v>
      </c>
      <c r="J2958" s="9" t="n">
        <v>25.5584103102833</v>
      </c>
      <c r="K2958" s="3" t="s">
        <v>1021</v>
      </c>
      <c r="L2958" s="3" t="s">
        <v>1022</v>
      </c>
      <c r="M2958" s="7" t="n">
        <v>2021</v>
      </c>
    </row>
    <row r="2959" customFormat="false" ht="15" hidden="false" customHeight="false" outlineLevel="0" collapsed="false">
      <c r="A2959" s="3" t="n">
        <v>4042</v>
      </c>
      <c r="B2959" s="3" t="s">
        <v>1020</v>
      </c>
      <c r="C2959" s="4" t="s">
        <v>22</v>
      </c>
      <c r="D2959" s="5" t="n">
        <v>235861</v>
      </c>
      <c r="E2959" s="6" t="n">
        <v>2485.1</v>
      </c>
      <c r="F2959" s="7" t="n">
        <v>73</v>
      </c>
      <c r="G2959" s="6" t="n">
        <v>7718.14531685311</v>
      </c>
      <c r="H2959" s="8" t="n">
        <v>12668004.1006565</v>
      </c>
      <c r="I2959" s="9" t="n">
        <v>9.52774330148439</v>
      </c>
      <c r="J2959" s="9" t="n">
        <v>29.2937175751576</v>
      </c>
      <c r="K2959" s="3" t="s">
        <v>1021</v>
      </c>
      <c r="L2959" s="3" t="s">
        <v>1022</v>
      </c>
      <c r="M2959" s="7" t="n">
        <v>2022</v>
      </c>
    </row>
    <row r="2960" customFormat="false" ht="15" hidden="false" customHeight="false" outlineLevel="0" collapsed="false">
      <c r="A2960" s="3" t="n">
        <v>4043</v>
      </c>
      <c r="B2960" s="3" t="s">
        <v>1020</v>
      </c>
      <c r="C2960" s="4" t="s">
        <v>23</v>
      </c>
      <c r="D2960" s="5" t="n">
        <v>236316</v>
      </c>
      <c r="E2960" s="6" t="n">
        <v>2485.9</v>
      </c>
      <c r="F2960" s="7" t="n">
        <v>73</v>
      </c>
      <c r="G2960" s="6" t="n">
        <v>6946.45169321131</v>
      </c>
      <c r="H2960" s="8" t="n">
        <v>13173185.5332114</v>
      </c>
      <c r="I2960" s="9" t="n">
        <v>9.02936877096461</v>
      </c>
      <c r="J2960" s="9" t="n">
        <v>26.3140422365708</v>
      </c>
      <c r="K2960" s="3" t="s">
        <v>1021</v>
      </c>
      <c r="L2960" s="3" t="s">
        <v>1022</v>
      </c>
      <c r="M2960" s="7" t="n">
        <v>2023</v>
      </c>
    </row>
    <row r="2961" customFormat="false" ht="15" hidden="false" customHeight="false" outlineLevel="0" collapsed="false">
      <c r="A2961" s="3" t="n">
        <v>4044</v>
      </c>
      <c r="B2961" s="3" t="s">
        <v>1020</v>
      </c>
      <c r="C2961" s="4" t="s">
        <v>24</v>
      </c>
      <c r="D2961" s="5" t="n">
        <v>236388</v>
      </c>
      <c r="E2961" s="6" t="n">
        <v>2487.5</v>
      </c>
      <c r="F2961" s="7" t="n">
        <v>74</v>
      </c>
      <c r="G2961" s="6" t="n">
        <v>5902.82011176007</v>
      </c>
      <c r="H2961" s="8" t="n">
        <v>12560098.40379</v>
      </c>
      <c r="I2961" s="9" t="n">
        <v>7.74951011065273</v>
      </c>
      <c r="J2961" s="9" t="n">
        <v>22.2925790711525</v>
      </c>
      <c r="K2961" s="3" t="s">
        <v>1021</v>
      </c>
      <c r="L2961" s="3" t="s">
        <v>1022</v>
      </c>
      <c r="M2961" s="7" t="n">
        <v>2024</v>
      </c>
    </row>
    <row r="2962" customFormat="false" ht="15" hidden="false" customHeight="false" outlineLevel="0" collapsed="false">
      <c r="A2962" s="3" t="n">
        <v>4045</v>
      </c>
      <c r="B2962" s="3" t="s">
        <v>1023</v>
      </c>
      <c r="C2962" s="4" t="s">
        <v>14</v>
      </c>
      <c r="D2962" s="5" t="n">
        <v>27948</v>
      </c>
      <c r="E2962" s="6" t="n">
        <v>315</v>
      </c>
      <c r="F2962" s="7" t="n">
        <v>59</v>
      </c>
      <c r="G2962" s="6" t="n">
        <v>991.032402783278</v>
      </c>
      <c r="H2962" s="8" t="n">
        <v>1212785.10429921</v>
      </c>
      <c r="I2962" s="9" t="n">
        <v>7.4389815982125</v>
      </c>
      <c r="J2962" s="9" t="n">
        <v>31.6565303743482</v>
      </c>
      <c r="K2962" s="3" t="s">
        <v>1024</v>
      </c>
      <c r="L2962" s="3" t="s">
        <v>1025</v>
      </c>
      <c r="M2962" s="7" t="n">
        <v>2016</v>
      </c>
    </row>
    <row r="2963" customFormat="false" ht="15" hidden="false" customHeight="false" outlineLevel="0" collapsed="false">
      <c r="A2963" s="3" t="n">
        <v>4046</v>
      </c>
      <c r="B2963" s="3" t="s">
        <v>1023</v>
      </c>
      <c r="C2963" s="4" t="s">
        <v>17</v>
      </c>
      <c r="D2963" s="5" t="n">
        <v>25641</v>
      </c>
      <c r="E2963" s="6" t="n">
        <v>317.77</v>
      </c>
      <c r="F2963" s="7" t="n">
        <v>59</v>
      </c>
      <c r="G2963" s="6" t="n">
        <v>710.083209666373</v>
      </c>
      <c r="H2963" s="8" t="n">
        <v>796735.997808813</v>
      </c>
      <c r="I2963" s="9" t="n">
        <v>8.37271335188448</v>
      </c>
      <c r="J2963" s="9" t="n">
        <v>24.7908809287021</v>
      </c>
      <c r="K2963" s="3" t="s">
        <v>1024</v>
      </c>
      <c r="L2963" s="3" t="s">
        <v>1025</v>
      </c>
      <c r="M2963" s="7" t="n">
        <v>2017</v>
      </c>
    </row>
    <row r="2964" customFormat="false" ht="15" hidden="false" customHeight="false" outlineLevel="0" collapsed="false">
      <c r="A2964" s="3" t="n">
        <v>4047</v>
      </c>
      <c r="B2964" s="3" t="s">
        <v>1023</v>
      </c>
      <c r="C2964" s="4" t="s">
        <v>18</v>
      </c>
      <c r="D2964" s="5" t="n">
        <v>25629</v>
      </c>
      <c r="E2964" s="6" t="n">
        <v>306</v>
      </c>
      <c r="F2964" s="7" t="n">
        <v>61</v>
      </c>
      <c r="G2964" s="6" t="n">
        <v>566.526960381071</v>
      </c>
      <c r="H2964" s="8" t="n">
        <v>882907.952867472</v>
      </c>
      <c r="I2964" s="9" t="n">
        <v>7.65871091665051</v>
      </c>
      <c r="J2964" s="9" t="n">
        <v>19.7882138759291</v>
      </c>
      <c r="K2964" s="3" t="s">
        <v>1024</v>
      </c>
      <c r="L2964" s="3" t="s">
        <v>1025</v>
      </c>
      <c r="M2964" s="7" t="n">
        <v>2018</v>
      </c>
    </row>
    <row r="2965" customFormat="false" ht="15" hidden="false" customHeight="false" outlineLevel="0" collapsed="false">
      <c r="A2965" s="3" t="n">
        <v>4048</v>
      </c>
      <c r="B2965" s="3" t="s">
        <v>1023</v>
      </c>
      <c r="C2965" s="4" t="s">
        <v>19</v>
      </c>
      <c r="D2965" s="5" t="n">
        <v>25751</v>
      </c>
      <c r="E2965" s="6" t="n">
        <v>306</v>
      </c>
      <c r="F2965" s="7" t="n">
        <v>62</v>
      </c>
      <c r="G2965" s="6" t="n">
        <v>49.5794853538695</v>
      </c>
      <c r="H2965" s="8" t="n">
        <v>74275.0126611551</v>
      </c>
      <c r="I2965" s="9" t="n">
        <v>3.48981072246639</v>
      </c>
      <c r="J2965" s="9" t="n">
        <v>1.72355675956292</v>
      </c>
      <c r="K2965" s="3" t="s">
        <v>1024</v>
      </c>
      <c r="L2965" s="3" t="s">
        <v>1025</v>
      </c>
      <c r="M2965" s="7" t="n">
        <v>2019</v>
      </c>
    </row>
    <row r="2966" customFormat="false" ht="15" hidden="false" customHeight="false" outlineLevel="0" collapsed="false">
      <c r="A2966" s="3" t="n">
        <v>4049</v>
      </c>
      <c r="B2966" s="3" t="s">
        <v>1023</v>
      </c>
      <c r="C2966" s="4" t="s">
        <v>20</v>
      </c>
      <c r="D2966" s="5" t="n">
        <v>25828</v>
      </c>
      <c r="E2966" s="6" t="n">
        <v>306</v>
      </c>
      <c r="F2966" s="7" t="n">
        <v>62</v>
      </c>
      <c r="G2966" s="6" t="n">
        <v>824.683629716879</v>
      </c>
      <c r="H2966" s="8" t="n">
        <v>1300795.84542417</v>
      </c>
      <c r="I2966" s="9" t="n">
        <v>6.68079253569256</v>
      </c>
      <c r="J2966" s="9" t="n">
        <v>28.5051144904728</v>
      </c>
      <c r="K2966" s="3" t="s">
        <v>1024</v>
      </c>
      <c r="L2966" s="3" t="s">
        <v>1025</v>
      </c>
      <c r="M2966" s="7" t="n">
        <v>2020</v>
      </c>
    </row>
    <row r="2967" customFormat="false" ht="15" hidden="false" customHeight="false" outlineLevel="0" collapsed="false">
      <c r="A2967" s="3" t="n">
        <v>4050</v>
      </c>
      <c r="B2967" s="3" t="s">
        <v>1023</v>
      </c>
      <c r="C2967" s="4" t="s">
        <v>21</v>
      </c>
      <c r="D2967" s="5" t="n">
        <v>25041</v>
      </c>
      <c r="E2967" s="6" t="n">
        <v>306</v>
      </c>
      <c r="F2967" s="7" t="n">
        <v>62</v>
      </c>
      <c r="G2967" s="6" t="n">
        <v>404.053522606158</v>
      </c>
      <c r="H2967" s="8" t="n">
        <v>662902.400133315</v>
      </c>
      <c r="I2967" s="9" t="n">
        <v>5.51934483026267</v>
      </c>
      <c r="J2967" s="9" t="n">
        <v>14.4445795044193</v>
      </c>
      <c r="K2967" s="3" t="s">
        <v>1024</v>
      </c>
      <c r="L2967" s="3" t="s">
        <v>1025</v>
      </c>
      <c r="M2967" s="7" t="n">
        <v>2021</v>
      </c>
    </row>
    <row r="2968" customFormat="false" ht="15" hidden="false" customHeight="false" outlineLevel="0" collapsed="false">
      <c r="A2968" s="3" t="n">
        <v>4051</v>
      </c>
      <c r="B2968" s="3" t="s">
        <v>1023</v>
      </c>
      <c r="C2968" s="4" t="s">
        <v>22</v>
      </c>
      <c r="D2968" s="5" t="n">
        <v>25829</v>
      </c>
      <c r="E2968" s="6" t="n">
        <v>306</v>
      </c>
      <c r="F2968" s="7" t="n">
        <v>64</v>
      </c>
      <c r="G2968" s="6" t="n">
        <v>337.318359350571</v>
      </c>
      <c r="H2968" s="8" t="n">
        <v>578009.371299139</v>
      </c>
      <c r="I2968" s="9" t="n">
        <v>4.16976656808635</v>
      </c>
      <c r="J2968" s="9" t="n">
        <v>11.6909569566305</v>
      </c>
      <c r="K2968" s="3" t="s">
        <v>1024</v>
      </c>
      <c r="L2968" s="3" t="s">
        <v>1025</v>
      </c>
      <c r="M2968" s="7" t="n">
        <v>2022</v>
      </c>
    </row>
    <row r="2969" customFormat="false" ht="15" hidden="false" customHeight="false" outlineLevel="0" collapsed="false">
      <c r="A2969" s="3" t="n">
        <v>4052</v>
      </c>
      <c r="B2969" s="3" t="s">
        <v>1023</v>
      </c>
      <c r="C2969" s="4" t="s">
        <v>23</v>
      </c>
      <c r="D2969" s="5" t="n">
        <v>25759</v>
      </c>
      <c r="E2969" s="6" t="n">
        <v>335</v>
      </c>
      <c r="F2969" s="7" t="n">
        <v>65</v>
      </c>
      <c r="G2969" s="6" t="n">
        <v>1193.21286156314</v>
      </c>
      <c r="H2969" s="8" t="n">
        <v>2407403.66948448</v>
      </c>
      <c r="I2969" s="9" t="n">
        <v>9.22389334177013</v>
      </c>
      <c r="J2969" s="9" t="n">
        <v>41.4673804560799</v>
      </c>
      <c r="K2969" s="3" t="s">
        <v>1024</v>
      </c>
      <c r="L2969" s="3" t="s">
        <v>1025</v>
      </c>
      <c r="M2969" s="7" t="n">
        <v>2023</v>
      </c>
    </row>
    <row r="2970" customFormat="false" ht="15" hidden="false" customHeight="false" outlineLevel="0" collapsed="false">
      <c r="A2970" s="3" t="n">
        <v>4053</v>
      </c>
      <c r="B2970" s="3" t="s">
        <v>1023</v>
      </c>
      <c r="C2970" s="4" t="s">
        <v>24</v>
      </c>
      <c r="D2970" s="5" t="n">
        <v>26026</v>
      </c>
      <c r="E2970" s="6" t="n">
        <v>335</v>
      </c>
      <c r="F2970" s="7" t="n">
        <v>68</v>
      </c>
      <c r="G2970" s="6" t="n">
        <v>1254.60325631873</v>
      </c>
      <c r="H2970" s="8" t="n">
        <v>2856695.81630166</v>
      </c>
      <c r="I2970" s="9" t="n">
        <v>9.30357988660754</v>
      </c>
      <c r="J2970" s="9" t="n">
        <v>43.0353340731676</v>
      </c>
      <c r="K2970" s="3" t="s">
        <v>1024</v>
      </c>
      <c r="L2970" s="3" t="s">
        <v>1025</v>
      </c>
      <c r="M2970" s="7" t="n">
        <v>2024</v>
      </c>
    </row>
    <row r="2971" customFormat="false" ht="15" hidden="false" customHeight="false" outlineLevel="0" collapsed="false">
      <c r="A2971" s="3" t="n">
        <v>4054</v>
      </c>
      <c r="B2971" s="3" t="s">
        <v>1026</v>
      </c>
      <c r="C2971" s="4" t="s">
        <v>14</v>
      </c>
      <c r="D2971" s="5" t="n">
        <v>28335</v>
      </c>
      <c r="E2971" s="6" t="n">
        <v>347.7</v>
      </c>
      <c r="F2971" s="7" t="n">
        <v>58</v>
      </c>
      <c r="G2971" s="6" t="n">
        <v>628.997711542357</v>
      </c>
      <c r="H2971" s="8" t="n">
        <v>889770.170437372</v>
      </c>
      <c r="I2971" s="9" t="n">
        <v>6.72708325579664</v>
      </c>
      <c r="J2971" s="9" t="n">
        <v>19.8176448899095</v>
      </c>
      <c r="K2971" s="3" t="s">
        <v>1027</v>
      </c>
      <c r="L2971" s="3" t="s">
        <v>1028</v>
      </c>
      <c r="M2971" s="7" t="n">
        <v>2016</v>
      </c>
    </row>
    <row r="2972" customFormat="false" ht="15" hidden="false" customHeight="false" outlineLevel="0" collapsed="false">
      <c r="A2972" s="3" t="n">
        <v>4055</v>
      </c>
      <c r="B2972" s="3" t="s">
        <v>1026</v>
      </c>
      <c r="C2972" s="4" t="s">
        <v>17</v>
      </c>
      <c r="D2972" s="5" t="n">
        <v>29235</v>
      </c>
      <c r="E2972" s="6" t="n">
        <v>347.7</v>
      </c>
      <c r="F2972" s="7" t="n">
        <v>59</v>
      </c>
      <c r="G2972" s="6" t="n">
        <v>869.451986562266</v>
      </c>
      <c r="H2972" s="8" t="n">
        <v>1375665.53077882</v>
      </c>
      <c r="I2972" s="9" t="n">
        <v>6.40920167182953</v>
      </c>
      <c r="J2972" s="9" t="n">
        <v>26.623195446646</v>
      </c>
      <c r="K2972" s="3" t="s">
        <v>1027</v>
      </c>
      <c r="L2972" s="3" t="s">
        <v>1028</v>
      </c>
      <c r="M2972" s="7" t="n">
        <v>2017</v>
      </c>
    </row>
    <row r="2973" customFormat="false" ht="15" hidden="false" customHeight="false" outlineLevel="0" collapsed="false">
      <c r="A2973" s="3" t="n">
        <v>4056</v>
      </c>
      <c r="B2973" s="3" t="s">
        <v>1026</v>
      </c>
      <c r="C2973" s="4" t="s">
        <v>18</v>
      </c>
      <c r="D2973" s="5" t="n">
        <v>29210</v>
      </c>
      <c r="E2973" s="6" t="n">
        <v>347.7</v>
      </c>
      <c r="F2973" s="7" t="n">
        <v>59</v>
      </c>
      <c r="G2973" s="6" t="n">
        <v>502.463864813444</v>
      </c>
      <c r="H2973" s="8" t="n">
        <v>846318.256881002</v>
      </c>
      <c r="I2973" s="9" t="n">
        <v>4.3707750811097</v>
      </c>
      <c r="J2973" s="9" t="n">
        <v>15.3989444392186</v>
      </c>
      <c r="K2973" s="3" t="s">
        <v>1027</v>
      </c>
      <c r="L2973" s="3" t="s">
        <v>1028</v>
      </c>
      <c r="M2973" s="7" t="n">
        <v>2018</v>
      </c>
    </row>
    <row r="2974" customFormat="false" ht="15" hidden="false" customHeight="false" outlineLevel="0" collapsed="false">
      <c r="A2974" s="3" t="n">
        <v>4057</v>
      </c>
      <c r="B2974" s="3" t="s">
        <v>1026</v>
      </c>
      <c r="C2974" s="4" t="s">
        <v>19</v>
      </c>
      <c r="D2974" s="5" t="n">
        <v>29509</v>
      </c>
      <c r="E2974" s="6" t="n">
        <v>347.7</v>
      </c>
      <c r="F2974" s="7" t="n">
        <v>66</v>
      </c>
      <c r="G2974" s="6" t="n">
        <v>911.741663035576</v>
      </c>
      <c r="H2974" s="8" t="n">
        <v>1622187.32975707</v>
      </c>
      <c r="I2974" s="9" t="n">
        <v>6.60181470055015</v>
      </c>
      <c r="J2974" s="9" t="n">
        <v>27.6589050166671</v>
      </c>
      <c r="K2974" s="3" t="s">
        <v>1027</v>
      </c>
      <c r="L2974" s="3" t="s">
        <v>1028</v>
      </c>
      <c r="M2974" s="7" t="n">
        <v>2019</v>
      </c>
    </row>
    <row r="2975" customFormat="false" ht="15" hidden="false" customHeight="false" outlineLevel="0" collapsed="false">
      <c r="A2975" s="3" t="n">
        <v>4058</v>
      </c>
      <c r="B2975" s="3" t="s">
        <v>1026</v>
      </c>
      <c r="C2975" s="4" t="s">
        <v>20</v>
      </c>
      <c r="D2975" s="5" t="n">
        <v>29557</v>
      </c>
      <c r="E2975" s="6" t="n">
        <v>338.4</v>
      </c>
      <c r="F2975" s="7" t="n">
        <v>66</v>
      </c>
      <c r="G2975" s="6" t="n">
        <v>1129.35870951725</v>
      </c>
      <c r="H2975" s="8" t="n">
        <v>2176580.82100868</v>
      </c>
      <c r="I2975" s="9" t="n">
        <v>7.48763523491103</v>
      </c>
      <c r="J2975" s="9" t="n">
        <v>34.1112588914482</v>
      </c>
      <c r="K2975" s="3" t="s">
        <v>1027</v>
      </c>
      <c r="L2975" s="3" t="s">
        <v>1028</v>
      </c>
      <c r="M2975" s="7" t="n">
        <v>2020</v>
      </c>
    </row>
    <row r="2976" customFormat="false" ht="15" hidden="false" customHeight="false" outlineLevel="0" collapsed="false">
      <c r="A2976" s="3" t="n">
        <v>4059</v>
      </c>
      <c r="B2976" s="3" t="s">
        <v>1026</v>
      </c>
      <c r="C2976" s="4" t="s">
        <v>21</v>
      </c>
      <c r="D2976" s="5" t="n">
        <v>29616</v>
      </c>
      <c r="E2976" s="6" t="n">
        <v>338.4</v>
      </c>
      <c r="F2976" s="7" t="n">
        <v>67</v>
      </c>
      <c r="G2976" s="6" t="n">
        <v>1161.16694108751</v>
      </c>
      <c r="H2976" s="8" t="n">
        <v>1940328.27253929</v>
      </c>
      <c r="I2976" s="9" t="n">
        <v>7.91375826613562</v>
      </c>
      <c r="J2976" s="9" t="n">
        <v>35.0982882099951</v>
      </c>
      <c r="K2976" s="3" t="s">
        <v>1027</v>
      </c>
      <c r="L2976" s="3" t="s">
        <v>1028</v>
      </c>
      <c r="M2976" s="7" t="n">
        <v>2021</v>
      </c>
    </row>
    <row r="2977" customFormat="false" ht="15" hidden="false" customHeight="false" outlineLevel="0" collapsed="false">
      <c r="A2977" s="3" t="n">
        <v>4060</v>
      </c>
      <c r="B2977" s="3" t="s">
        <v>1026</v>
      </c>
      <c r="C2977" s="4" t="s">
        <v>22</v>
      </c>
      <c r="D2977" s="5" t="n">
        <v>29469</v>
      </c>
      <c r="E2977" s="6" t="n">
        <v>338.39</v>
      </c>
      <c r="F2977" s="7" t="n">
        <v>67</v>
      </c>
      <c r="G2977" s="6" t="n">
        <v>1271.91771544841</v>
      </c>
      <c r="H2977" s="8" t="n">
        <v>2332207.9011987</v>
      </c>
      <c r="I2977" s="9" t="n">
        <v>13.5424283466952</v>
      </c>
      <c r="J2977" s="9" t="n">
        <v>38.637702302977</v>
      </c>
      <c r="K2977" s="3" t="s">
        <v>1027</v>
      </c>
      <c r="L2977" s="3" t="s">
        <v>1028</v>
      </c>
      <c r="M2977" s="7" t="n">
        <v>2022</v>
      </c>
    </row>
    <row r="2978" customFormat="false" ht="15" hidden="false" customHeight="false" outlineLevel="0" collapsed="false">
      <c r="A2978" s="3" t="n">
        <v>4061</v>
      </c>
      <c r="B2978" s="3" t="s">
        <v>1026</v>
      </c>
      <c r="C2978" s="4" t="s">
        <v>23</v>
      </c>
      <c r="D2978" s="5" t="n">
        <v>29705</v>
      </c>
      <c r="E2978" s="6" t="n">
        <v>338.39</v>
      </c>
      <c r="F2978" s="7" t="n">
        <v>67</v>
      </c>
      <c r="G2978" s="6" t="n">
        <v>933.321870054539</v>
      </c>
      <c r="H2978" s="8" t="n">
        <v>1962757.2959946</v>
      </c>
      <c r="I2978" s="9" t="n">
        <v>14.4662843000228</v>
      </c>
      <c r="J2978" s="9" t="n">
        <v>28.1267504711293</v>
      </c>
      <c r="K2978" s="3" t="s">
        <v>1027</v>
      </c>
      <c r="L2978" s="3" t="s">
        <v>1028</v>
      </c>
      <c r="M2978" s="7" t="n">
        <v>2023</v>
      </c>
    </row>
    <row r="2979" customFormat="false" ht="15" hidden="false" customHeight="false" outlineLevel="0" collapsed="false">
      <c r="A2979" s="3" t="n">
        <v>4062</v>
      </c>
      <c r="B2979" s="3" t="s">
        <v>1026</v>
      </c>
      <c r="C2979" s="4" t="s">
        <v>24</v>
      </c>
      <c r="D2979" s="5" t="n">
        <v>29717</v>
      </c>
      <c r="E2979" s="6" t="n">
        <v>338.39</v>
      </c>
      <c r="F2979" s="7" t="n">
        <v>69</v>
      </c>
      <c r="G2979" s="6" t="n">
        <v>1509.01042813137</v>
      </c>
      <c r="H2979" s="8" t="n">
        <v>3521822.47242916</v>
      </c>
      <c r="I2979" s="9" t="n">
        <v>15.5783384911572</v>
      </c>
      <c r="J2979" s="9" t="n">
        <v>45.3328966738779</v>
      </c>
      <c r="K2979" s="3" t="s">
        <v>1027</v>
      </c>
      <c r="L2979" s="3" t="s">
        <v>1028</v>
      </c>
      <c r="M2979" s="7" t="n">
        <v>2024</v>
      </c>
    </row>
    <row r="2980" customFormat="false" ht="15" hidden="false" customHeight="false" outlineLevel="0" collapsed="false">
      <c r="A2980" s="3" t="n">
        <v>4063</v>
      </c>
      <c r="B2980" s="3" t="s">
        <v>1029</v>
      </c>
      <c r="C2980" s="4" t="s">
        <v>41</v>
      </c>
      <c r="D2980" s="5" t="n">
        <v>4267</v>
      </c>
      <c r="E2980" s="6" t="n">
        <v>60</v>
      </c>
      <c r="F2980" s="7" t="n">
        <v>73</v>
      </c>
      <c r="G2980" s="6" t="n">
        <v>116.968427786839</v>
      </c>
      <c r="H2980" s="8" t="n">
        <v>148192.484049975</v>
      </c>
      <c r="I2980" s="9" t="n">
        <v>6.55704966049794</v>
      </c>
      <c r="J2980" s="9" t="n">
        <v>24.5393855494436</v>
      </c>
      <c r="K2980" s="3" t="s">
        <v>1030</v>
      </c>
      <c r="L2980" s="3" t="s">
        <v>1031</v>
      </c>
      <c r="M2980" s="7" t="n">
        <v>2016</v>
      </c>
    </row>
    <row r="2981" customFormat="false" ht="15" hidden="false" customHeight="false" outlineLevel="0" collapsed="false">
      <c r="A2981" s="3" t="n">
        <v>4064</v>
      </c>
      <c r="B2981" s="3" t="s">
        <v>1029</v>
      </c>
      <c r="C2981" s="4" t="s">
        <v>42</v>
      </c>
      <c r="D2981" s="5" t="n">
        <v>4273</v>
      </c>
      <c r="E2981" s="6" t="n">
        <v>60</v>
      </c>
      <c r="F2981" s="7" t="n">
        <v>70</v>
      </c>
      <c r="G2981" s="6" t="n">
        <v>119.541111544498</v>
      </c>
      <c r="H2981" s="8" t="n">
        <v>161072.440277197</v>
      </c>
      <c r="I2981" s="9" t="n">
        <v>6.64690114162218</v>
      </c>
      <c r="J2981" s="9" t="n">
        <v>25.0439063695928</v>
      </c>
      <c r="K2981" s="3" t="s">
        <v>1030</v>
      </c>
      <c r="L2981" s="3" t="s">
        <v>1031</v>
      </c>
      <c r="M2981" s="7" t="n">
        <v>2017</v>
      </c>
    </row>
    <row r="2982" customFormat="false" ht="15" hidden="false" customHeight="false" outlineLevel="0" collapsed="false">
      <c r="A2982" s="3" t="n">
        <v>4065</v>
      </c>
      <c r="B2982" s="3" t="s">
        <v>1029</v>
      </c>
      <c r="C2982" s="4" t="s">
        <v>43</v>
      </c>
      <c r="D2982" s="5" t="n">
        <v>4298</v>
      </c>
      <c r="E2982" s="6" t="n">
        <v>59.638</v>
      </c>
      <c r="F2982" s="7" t="n">
        <v>71</v>
      </c>
      <c r="G2982" s="6" t="n">
        <v>131.244861074495</v>
      </c>
      <c r="H2982" s="8" t="n">
        <v>191503.471152943</v>
      </c>
      <c r="I2982" s="9" t="n">
        <v>7.22443145308927</v>
      </c>
      <c r="J2982" s="9" t="n">
        <v>27.3359121965655</v>
      </c>
      <c r="K2982" s="3" t="s">
        <v>1030</v>
      </c>
      <c r="L2982" s="3" t="s">
        <v>1031</v>
      </c>
      <c r="M2982" s="7" t="n">
        <v>2018</v>
      </c>
    </row>
    <row r="2983" customFormat="false" ht="15" hidden="false" customHeight="false" outlineLevel="0" collapsed="false">
      <c r="A2983" s="3" t="n">
        <v>4066</v>
      </c>
      <c r="B2983" s="3" t="s">
        <v>1029</v>
      </c>
      <c r="C2983" s="4" t="s">
        <v>19</v>
      </c>
      <c r="D2983" s="5" t="n">
        <v>4303</v>
      </c>
      <c r="E2983" s="6" t="n">
        <v>59.77</v>
      </c>
      <c r="F2983" s="7" t="n">
        <v>75</v>
      </c>
      <c r="G2983" s="6" t="n">
        <v>112.724835648948</v>
      </c>
      <c r="H2983" s="8" t="n">
        <v>167769.99690018</v>
      </c>
      <c r="I2983" s="9" t="n">
        <v>6.58691124994461</v>
      </c>
      <c r="J2983" s="9" t="n">
        <v>23.4512469073745</v>
      </c>
      <c r="K2983" s="3" t="s">
        <v>1030</v>
      </c>
      <c r="L2983" s="3" t="s">
        <v>1031</v>
      </c>
      <c r="M2983" s="7" t="n">
        <v>2019</v>
      </c>
    </row>
    <row r="2984" customFormat="false" ht="15" hidden="false" customHeight="false" outlineLevel="0" collapsed="false">
      <c r="A2984" s="3" t="n">
        <v>4067</v>
      </c>
      <c r="B2984" s="3" t="s">
        <v>1029</v>
      </c>
      <c r="C2984" s="4" t="s">
        <v>20</v>
      </c>
      <c r="D2984" s="5" t="n">
        <v>4327</v>
      </c>
      <c r="E2984" s="6" t="n">
        <v>59.8</v>
      </c>
      <c r="F2984" s="7" t="n">
        <v>75</v>
      </c>
      <c r="G2984" s="6" t="n">
        <v>118.065685620948</v>
      </c>
      <c r="H2984" s="8" t="n">
        <v>180136.96409265</v>
      </c>
      <c r="I2984" s="9" t="n">
        <v>5.93662764737895</v>
      </c>
      <c r="J2984" s="9" t="n">
        <v>24.3591983596288</v>
      </c>
      <c r="K2984" s="3" t="s">
        <v>1030</v>
      </c>
      <c r="L2984" s="3" t="s">
        <v>1031</v>
      </c>
      <c r="M2984" s="7" t="n">
        <v>2020</v>
      </c>
    </row>
    <row r="2985" customFormat="false" ht="15" hidden="false" customHeight="false" outlineLevel="0" collapsed="false">
      <c r="A2985" s="3" t="n">
        <v>4068</v>
      </c>
      <c r="B2985" s="3" t="s">
        <v>1029</v>
      </c>
      <c r="C2985" s="4" t="s">
        <v>21</v>
      </c>
      <c r="D2985" s="5" t="n">
        <v>4342</v>
      </c>
      <c r="E2985" s="6" t="n">
        <v>59.9</v>
      </c>
      <c r="F2985" s="7" t="n">
        <v>76</v>
      </c>
      <c r="G2985" s="6" t="n">
        <v>151.050322399337</v>
      </c>
      <c r="H2985" s="8" t="n">
        <v>245061.8947188</v>
      </c>
      <c r="I2985" s="9" t="n">
        <v>7.62761878485166</v>
      </c>
      <c r="J2985" s="9" t="n">
        <v>31.1422159511153</v>
      </c>
      <c r="K2985" s="3" t="s">
        <v>1030</v>
      </c>
      <c r="L2985" s="3" t="s">
        <v>1031</v>
      </c>
      <c r="M2985" s="7" t="n">
        <v>2021</v>
      </c>
    </row>
    <row r="2986" customFormat="false" ht="15" hidden="false" customHeight="false" outlineLevel="0" collapsed="false">
      <c r="A2986" s="3" t="n">
        <v>4069</v>
      </c>
      <c r="B2986" s="3" t="s">
        <v>1029</v>
      </c>
      <c r="C2986" s="4" t="s">
        <v>22</v>
      </c>
      <c r="D2986" s="5" t="n">
        <v>4348</v>
      </c>
      <c r="E2986" s="6" t="n">
        <v>59.9</v>
      </c>
      <c r="F2986" s="7" t="n">
        <v>76</v>
      </c>
      <c r="G2986" s="6" t="n">
        <v>136.779840452444</v>
      </c>
      <c r="H2986" s="8" t="n">
        <v>240269.321963999</v>
      </c>
      <c r="I2986" s="9" t="n">
        <v>8.71779055018124</v>
      </c>
      <c r="J2986" s="9" t="n">
        <v>28.1611400159157</v>
      </c>
      <c r="K2986" s="3" t="s">
        <v>1030</v>
      </c>
      <c r="L2986" s="3" t="s">
        <v>1031</v>
      </c>
      <c r="M2986" s="7" t="n">
        <v>2022</v>
      </c>
    </row>
    <row r="2987" customFormat="false" ht="15" hidden="false" customHeight="false" outlineLevel="0" collapsed="false">
      <c r="A2987" s="3" t="n">
        <v>4070</v>
      </c>
      <c r="B2987" s="3" t="s">
        <v>1029</v>
      </c>
      <c r="C2987" s="4" t="s">
        <v>23</v>
      </c>
      <c r="D2987" s="5" t="n">
        <v>4368</v>
      </c>
      <c r="E2987" s="6" t="n">
        <v>60.1</v>
      </c>
      <c r="F2987" s="7" t="n">
        <v>76</v>
      </c>
      <c r="G2987" s="6" t="n">
        <v>155.7939483824</v>
      </c>
      <c r="H2987" s="8" t="n">
        <v>317397.730893101</v>
      </c>
      <c r="I2987" s="9" t="n">
        <v>8.99224157136215</v>
      </c>
      <c r="J2987" s="9" t="n">
        <v>31.9290229355059</v>
      </c>
      <c r="K2987" s="3" t="s">
        <v>1030</v>
      </c>
      <c r="L2987" s="3" t="s">
        <v>1031</v>
      </c>
      <c r="M2987" s="7" t="n">
        <v>2023</v>
      </c>
    </row>
    <row r="2988" customFormat="false" ht="15" hidden="false" customHeight="false" outlineLevel="0" collapsed="false">
      <c r="A2988" s="3" t="n">
        <v>4071</v>
      </c>
      <c r="B2988" s="3" t="s">
        <v>1029</v>
      </c>
      <c r="C2988" s="4" t="s">
        <v>24</v>
      </c>
      <c r="D2988" s="5" t="n">
        <v>4372</v>
      </c>
      <c r="E2988" s="6" t="n">
        <v>60.1</v>
      </c>
      <c r="F2988" s="7" t="n">
        <v>77</v>
      </c>
      <c r="G2988" s="6" t="n">
        <v>70.318286595648</v>
      </c>
      <c r="H2988" s="8" t="n">
        <v>166525.2411264</v>
      </c>
      <c r="I2988" s="9" t="n">
        <v>6.07245349074003</v>
      </c>
      <c r="J2988" s="9" t="n">
        <v>14.358673504793</v>
      </c>
      <c r="K2988" s="3" t="s">
        <v>1030</v>
      </c>
      <c r="L2988" s="3" t="s">
        <v>1031</v>
      </c>
      <c r="M2988" s="7" t="n">
        <v>2024</v>
      </c>
    </row>
    <row r="2989" customFormat="false" ht="15" hidden="false" customHeight="false" outlineLevel="0" collapsed="false">
      <c r="A2989" s="3" t="n">
        <v>4072</v>
      </c>
      <c r="B2989" s="3" t="s">
        <v>1032</v>
      </c>
      <c r="C2989" s="4" t="s">
        <v>14</v>
      </c>
      <c r="D2989" s="5" t="n">
        <v>27165</v>
      </c>
      <c r="E2989" s="6" t="n">
        <v>335</v>
      </c>
      <c r="F2989" s="7" t="n">
        <v>51</v>
      </c>
      <c r="G2989" s="6" t="n">
        <v>2117.09867353954</v>
      </c>
      <c r="H2989" s="8" t="n">
        <v>2972172.99195351</v>
      </c>
      <c r="I2989" s="9" t="n">
        <v>14.511800482442</v>
      </c>
      <c r="J2989" s="9" t="n">
        <v>69.5756999837657</v>
      </c>
      <c r="K2989" s="3" t="s">
        <v>1033</v>
      </c>
      <c r="L2989" s="3" t="s">
        <v>1034</v>
      </c>
      <c r="M2989" s="7" t="n">
        <v>2016</v>
      </c>
    </row>
    <row r="2990" customFormat="false" ht="15" hidden="false" customHeight="false" outlineLevel="0" collapsed="false">
      <c r="A2990" s="3" t="n">
        <v>4080</v>
      </c>
      <c r="B2990" s="3" t="s">
        <v>1035</v>
      </c>
      <c r="C2990" s="4" t="s">
        <v>17</v>
      </c>
      <c r="D2990" s="5" t="n">
        <v>24164</v>
      </c>
      <c r="E2990" s="6" t="n">
        <v>288.7</v>
      </c>
      <c r="F2990" s="7" t="n">
        <v>51</v>
      </c>
      <c r="G2990" s="6" t="n">
        <v>611.318604333253</v>
      </c>
      <c r="H2990" s="8" t="n">
        <v>866514.535175879</v>
      </c>
      <c r="I2990" s="9" t="n">
        <v>6.32042814146747</v>
      </c>
      <c r="J2990" s="9" t="n">
        <v>22.6473014234001</v>
      </c>
      <c r="K2990" s="3" t="s">
        <v>1033</v>
      </c>
      <c r="L2990" s="3" t="s">
        <v>1034</v>
      </c>
      <c r="M2990" s="7" t="n">
        <v>2017</v>
      </c>
    </row>
    <row r="2991" customFormat="false" ht="15" hidden="false" customHeight="false" outlineLevel="0" collapsed="false">
      <c r="A2991" s="3" t="n">
        <v>4081</v>
      </c>
      <c r="B2991" s="3" t="s">
        <v>1035</v>
      </c>
      <c r="C2991" s="4" t="s">
        <v>18</v>
      </c>
      <c r="D2991" s="5" t="n">
        <v>24176</v>
      </c>
      <c r="E2991" s="6" t="n">
        <v>288.6</v>
      </c>
      <c r="F2991" s="7" t="n">
        <v>58</v>
      </c>
      <c r="G2991" s="6" t="n">
        <v>844.36525029938</v>
      </c>
      <c r="H2991" s="8" t="n">
        <v>1301399.01786117</v>
      </c>
      <c r="I2991" s="9" t="n">
        <v>8.23751835628764</v>
      </c>
      <c r="J2991" s="9" t="n">
        <v>31.2653704763174</v>
      </c>
      <c r="K2991" s="3" t="s">
        <v>1033</v>
      </c>
      <c r="L2991" s="3" t="s">
        <v>1034</v>
      </c>
      <c r="M2991" s="7" t="n">
        <v>2018</v>
      </c>
    </row>
    <row r="2992" customFormat="false" ht="15" hidden="false" customHeight="false" outlineLevel="0" collapsed="false">
      <c r="A2992" s="3" t="n">
        <v>4082</v>
      </c>
      <c r="B2992" s="3" t="s">
        <v>1035</v>
      </c>
      <c r="C2992" s="4" t="s">
        <v>19</v>
      </c>
      <c r="D2992" s="5" t="n">
        <v>24339</v>
      </c>
      <c r="E2992" s="6" t="n">
        <v>287</v>
      </c>
      <c r="F2992" s="7" t="n">
        <v>58</v>
      </c>
      <c r="G2992" s="6" t="n">
        <v>1056.6281605183</v>
      </c>
      <c r="H2992" s="8" t="n">
        <v>1745617.64250452</v>
      </c>
      <c r="I2992" s="9" t="n">
        <v>10.0102069834048</v>
      </c>
      <c r="J2992" s="9" t="n">
        <v>38.863071786502</v>
      </c>
      <c r="K2992" s="3" t="s">
        <v>1033</v>
      </c>
      <c r="L2992" s="3" t="s">
        <v>1034</v>
      </c>
      <c r="M2992" s="7" t="n">
        <v>2019</v>
      </c>
    </row>
    <row r="2993" customFormat="false" ht="15" hidden="false" customHeight="false" outlineLevel="0" collapsed="false">
      <c r="A2993" s="3" t="n">
        <v>4083</v>
      </c>
      <c r="B2993" s="3" t="s">
        <v>1035</v>
      </c>
      <c r="C2993" s="4" t="s">
        <v>20</v>
      </c>
      <c r="D2993" s="5" t="n">
        <v>24353</v>
      </c>
      <c r="E2993" s="6" t="n">
        <v>288.7</v>
      </c>
      <c r="F2993" s="7" t="n">
        <v>58</v>
      </c>
      <c r="G2993" s="6" t="n">
        <v>646.66342656323</v>
      </c>
      <c r="H2993" s="8" t="n">
        <v>1114687.04420707</v>
      </c>
      <c r="I2993" s="9" t="n">
        <v>6.73580106967797</v>
      </c>
      <c r="J2993" s="9" t="n">
        <v>23.7056585202076</v>
      </c>
      <c r="K2993" s="3" t="s">
        <v>1033</v>
      </c>
      <c r="L2993" s="3" t="s">
        <v>1034</v>
      </c>
      <c r="M2993" s="7" t="n">
        <v>2020</v>
      </c>
    </row>
    <row r="2994" customFormat="false" ht="15" hidden="false" customHeight="false" outlineLevel="0" collapsed="false">
      <c r="A2994" s="3" t="n">
        <v>4084</v>
      </c>
      <c r="B2994" s="3" t="s">
        <v>1035</v>
      </c>
      <c r="C2994" s="4" t="s">
        <v>22</v>
      </c>
      <c r="D2994" s="5" t="n">
        <v>24597</v>
      </c>
      <c r="E2994" s="6" t="n">
        <v>290.666450568182</v>
      </c>
      <c r="F2994" s="7" t="n">
        <v>65</v>
      </c>
      <c r="G2994" s="6" t="n">
        <v>683.128816782681</v>
      </c>
      <c r="H2994" s="8" t="n">
        <v>1415724.35588933</v>
      </c>
      <c r="I2994" s="9" t="n">
        <v>7.27020687866145</v>
      </c>
      <c r="J2994" s="9" t="n">
        <v>24.8621189037006</v>
      </c>
      <c r="K2994" s="3" t="s">
        <v>1033</v>
      </c>
      <c r="L2994" s="3" t="s">
        <v>1034</v>
      </c>
      <c r="M2994" s="7" t="n">
        <v>2022</v>
      </c>
    </row>
    <row r="2995" customFormat="false" ht="15" hidden="false" customHeight="false" outlineLevel="0" collapsed="false">
      <c r="A2995" s="3" t="n">
        <v>4085</v>
      </c>
      <c r="B2995" s="3" t="s">
        <v>1035</v>
      </c>
      <c r="C2995" s="4" t="s">
        <v>23</v>
      </c>
      <c r="D2995" s="5" t="n">
        <v>24540</v>
      </c>
      <c r="E2995" s="6" t="n">
        <v>290.6675</v>
      </c>
      <c r="F2995" s="7" t="n">
        <v>65</v>
      </c>
      <c r="G2995" s="6" t="n">
        <v>810.495788035464</v>
      </c>
      <c r="H2995" s="8" t="n">
        <v>1827577.65266835</v>
      </c>
      <c r="I2995" s="9" t="n">
        <v>8.86490398699531</v>
      </c>
      <c r="J2995" s="9" t="n">
        <v>29.5660888958086</v>
      </c>
      <c r="K2995" s="3" t="s">
        <v>1033</v>
      </c>
      <c r="L2995" s="3" t="s">
        <v>1034</v>
      </c>
      <c r="M2995" s="7" t="n">
        <v>2023</v>
      </c>
    </row>
    <row r="2996" customFormat="false" ht="15" hidden="false" customHeight="false" outlineLevel="0" collapsed="false">
      <c r="A2996" s="3" t="n">
        <v>4086</v>
      </c>
      <c r="B2996" s="3" t="s">
        <v>1035</v>
      </c>
      <c r="C2996" s="4" t="s">
        <v>24</v>
      </c>
      <c r="D2996" s="5" t="n">
        <v>24553</v>
      </c>
      <c r="E2996" s="6" t="n">
        <v>290.6675</v>
      </c>
      <c r="F2996" s="7" t="n">
        <v>61</v>
      </c>
      <c r="G2996" s="6" t="n">
        <v>850.511197375254</v>
      </c>
      <c r="H2996" s="8" t="n">
        <v>2153376.83441437</v>
      </c>
      <c r="I2996" s="9" t="n">
        <v>9.12914086212951</v>
      </c>
      <c r="J2996" s="9" t="n">
        <v>30.9244272999504</v>
      </c>
      <c r="K2996" s="3" t="s">
        <v>1033</v>
      </c>
      <c r="L2996" s="3" t="s">
        <v>1034</v>
      </c>
      <c r="M2996" s="7" t="n">
        <v>2024</v>
      </c>
    </row>
    <row r="2997" customFormat="false" ht="15" hidden="false" customHeight="false" outlineLevel="0" collapsed="false">
      <c r="A2997" s="3" t="n">
        <v>4087</v>
      </c>
      <c r="B2997" s="3" t="s">
        <v>1036</v>
      </c>
      <c r="C2997" s="4" t="s">
        <v>14</v>
      </c>
      <c r="D2997" s="5" t="n">
        <v>21375</v>
      </c>
      <c r="E2997" s="6" t="n">
        <v>211.3</v>
      </c>
      <c r="F2997" s="7" t="n">
        <v>59</v>
      </c>
      <c r="G2997" s="6" t="n">
        <v>616.179134162866</v>
      </c>
      <c r="H2997" s="8" t="n">
        <v>474016.584243148</v>
      </c>
      <c r="I2997" s="9" t="n">
        <v>7.17361246695326</v>
      </c>
      <c r="J2997" s="9" t="n">
        <v>25.7351709744265</v>
      </c>
      <c r="K2997" s="3" t="s">
        <v>1037</v>
      </c>
      <c r="L2997" s="3" t="s">
        <v>1022</v>
      </c>
      <c r="M2997" s="7" t="n">
        <v>2016</v>
      </c>
    </row>
    <row r="2998" customFormat="false" ht="15" hidden="false" customHeight="false" outlineLevel="0" collapsed="false">
      <c r="A2998" s="3" t="n">
        <v>4088</v>
      </c>
      <c r="B2998" s="3" t="s">
        <v>1036</v>
      </c>
      <c r="C2998" s="4" t="s">
        <v>17</v>
      </c>
      <c r="D2998" s="5" t="n">
        <v>21375</v>
      </c>
      <c r="E2998" s="6" t="n">
        <v>211.3</v>
      </c>
      <c r="F2998" s="7" t="n">
        <v>59</v>
      </c>
      <c r="G2998" s="6" t="n">
        <v>616.179134162866</v>
      </c>
      <c r="H2998" s="8" t="n">
        <v>474016.584243148</v>
      </c>
      <c r="I2998" s="9" t="n">
        <v>7.17361246695326</v>
      </c>
      <c r="J2998" s="9" t="n">
        <v>25.8058719935871</v>
      </c>
      <c r="K2998" s="3" t="s">
        <v>1037</v>
      </c>
      <c r="L2998" s="3" t="s">
        <v>1022</v>
      </c>
      <c r="M2998" s="7" t="n">
        <v>2017</v>
      </c>
    </row>
    <row r="2999" customFormat="false" ht="15" hidden="false" customHeight="false" outlineLevel="0" collapsed="false">
      <c r="A2999" s="3" t="n">
        <v>4089</v>
      </c>
      <c r="B2999" s="3" t="s">
        <v>1036</v>
      </c>
      <c r="C2999" s="4" t="s">
        <v>18</v>
      </c>
      <c r="D2999" s="5" t="n">
        <v>21417</v>
      </c>
      <c r="E2999" s="6" t="n">
        <v>212.66</v>
      </c>
      <c r="F2999" s="7" t="n">
        <v>59</v>
      </c>
      <c r="G2999" s="6" t="n">
        <v>481.539675893336</v>
      </c>
      <c r="H2999" s="8" t="n">
        <v>426081.687183374</v>
      </c>
      <c r="I2999" s="9" t="n">
        <v>5.57837252200823</v>
      </c>
      <c r="J2999" s="9" t="n">
        <v>20.1275592575785</v>
      </c>
      <c r="K2999" s="3" t="s">
        <v>1037</v>
      </c>
      <c r="L2999" s="3" t="s">
        <v>1022</v>
      </c>
      <c r="M2999" s="7" t="n">
        <v>2018</v>
      </c>
    </row>
    <row r="3000" customFormat="false" ht="15" hidden="false" customHeight="false" outlineLevel="0" collapsed="false">
      <c r="A3000" s="3" t="n">
        <v>4090</v>
      </c>
      <c r="B3000" s="3" t="s">
        <v>1036</v>
      </c>
      <c r="C3000" s="4" t="s">
        <v>19</v>
      </c>
      <c r="D3000" s="5" t="n">
        <v>21466</v>
      </c>
      <c r="E3000" s="6" t="n">
        <v>212.7</v>
      </c>
      <c r="F3000" s="7" t="n">
        <v>60</v>
      </c>
      <c r="G3000" s="6" t="n">
        <v>650.398340186363</v>
      </c>
      <c r="H3000" s="8" t="n">
        <v>661438.38125425</v>
      </c>
      <c r="I3000" s="9" t="n">
        <v>7.05640041340617</v>
      </c>
      <c r="J3000" s="9" t="n">
        <v>27.1235152277697</v>
      </c>
      <c r="K3000" s="3" t="s">
        <v>1037</v>
      </c>
      <c r="L3000" s="3" t="s">
        <v>1022</v>
      </c>
      <c r="M3000" s="7" t="n">
        <v>2019</v>
      </c>
    </row>
    <row r="3001" customFormat="false" ht="15" hidden="false" customHeight="false" outlineLevel="0" collapsed="false">
      <c r="A3001" s="3" t="n">
        <v>4091</v>
      </c>
      <c r="B3001" s="3" t="s">
        <v>1036</v>
      </c>
      <c r="C3001" s="4" t="s">
        <v>22</v>
      </c>
      <c r="D3001" s="5" t="n">
        <v>21883</v>
      </c>
      <c r="E3001" s="6" t="n">
        <v>212.736</v>
      </c>
      <c r="F3001" s="7" t="n">
        <v>60</v>
      </c>
      <c r="G3001" s="6" t="n">
        <v>429.598963854238</v>
      </c>
      <c r="H3001" s="8" t="n">
        <v>471362.457594827</v>
      </c>
      <c r="I3001" s="9" t="n">
        <v>5.39385411406319</v>
      </c>
      <c r="J3001" s="9" t="n">
        <v>17.5741382832259</v>
      </c>
      <c r="K3001" s="3" t="s">
        <v>1037</v>
      </c>
      <c r="L3001" s="3" t="s">
        <v>1022</v>
      </c>
      <c r="M3001" s="7" t="n">
        <v>2022</v>
      </c>
    </row>
    <row r="3002" customFormat="false" ht="15" hidden="false" customHeight="false" outlineLevel="0" collapsed="false">
      <c r="A3002" s="3" t="n">
        <v>4092</v>
      </c>
      <c r="B3002" s="3" t="s">
        <v>1036</v>
      </c>
      <c r="C3002" s="4" t="s">
        <v>23</v>
      </c>
      <c r="D3002" s="5" t="n">
        <v>21418</v>
      </c>
      <c r="E3002" s="6" t="n">
        <v>212.7</v>
      </c>
      <c r="F3002" s="7" t="n">
        <v>60</v>
      </c>
      <c r="G3002" s="6" t="n">
        <v>541.753388387393</v>
      </c>
      <c r="H3002" s="8" t="n">
        <v>624219.40495628</v>
      </c>
      <c r="I3002" s="9" t="n">
        <v>6.57381115164461</v>
      </c>
      <c r="J3002" s="9" t="n">
        <v>22.6433352453134</v>
      </c>
      <c r="K3002" s="3" t="s">
        <v>1037</v>
      </c>
      <c r="L3002" s="3" t="s">
        <v>1022</v>
      </c>
      <c r="M3002" s="7" t="n">
        <v>2023</v>
      </c>
    </row>
    <row r="3003" customFormat="false" ht="15" hidden="false" customHeight="false" outlineLevel="0" collapsed="false">
      <c r="A3003" s="3" t="n">
        <v>4093</v>
      </c>
      <c r="B3003" s="3" t="s">
        <v>1036</v>
      </c>
      <c r="C3003" s="4" t="s">
        <v>24</v>
      </c>
      <c r="D3003" s="5" t="n">
        <v>21415</v>
      </c>
      <c r="E3003" s="6" t="n">
        <v>212.7</v>
      </c>
      <c r="F3003" s="7" t="n">
        <v>60</v>
      </c>
      <c r="G3003" s="6" t="n">
        <v>616.553770343527</v>
      </c>
      <c r="H3003" s="8" t="n">
        <v>820193.121646697</v>
      </c>
      <c r="I3003" s="9" t="n">
        <v>6.98574887573491</v>
      </c>
      <c r="J3003" s="9" t="n">
        <v>25.7027192718212</v>
      </c>
      <c r="K3003" s="3" t="s">
        <v>1037</v>
      </c>
      <c r="L3003" s="3" t="s">
        <v>1022</v>
      </c>
      <c r="M3003" s="7" t="n">
        <v>2024</v>
      </c>
    </row>
    <row r="3004" customFormat="false" ht="15" hidden="false" customHeight="false" outlineLevel="0" collapsed="false">
      <c r="A3004" s="3" t="n">
        <v>4095</v>
      </c>
      <c r="B3004" s="3" t="s">
        <v>1038</v>
      </c>
      <c r="C3004" s="4" t="s">
        <v>14</v>
      </c>
      <c r="D3004" s="5" t="n">
        <v>24245</v>
      </c>
      <c r="E3004" s="6" t="n">
        <v>271.77</v>
      </c>
      <c r="F3004" s="7" t="n">
        <v>75</v>
      </c>
      <c r="G3004" s="6" t="n">
        <v>538.916462425535</v>
      </c>
      <c r="H3004" s="8" t="n">
        <v>108069.957701875</v>
      </c>
      <c r="I3004" s="9" t="n">
        <v>9.91882655349756</v>
      </c>
      <c r="J3004" s="9" t="n">
        <v>19.8438280676793</v>
      </c>
      <c r="K3004" s="3" t="s">
        <v>1039</v>
      </c>
      <c r="L3004" s="3" t="s">
        <v>1040</v>
      </c>
      <c r="M3004" s="7" t="n">
        <v>2016</v>
      </c>
    </row>
    <row r="3005" customFormat="false" ht="15" hidden="false" customHeight="false" outlineLevel="0" collapsed="false">
      <c r="A3005" s="3" t="n">
        <v>4096</v>
      </c>
      <c r="B3005" s="3" t="s">
        <v>1038</v>
      </c>
      <c r="C3005" s="4" t="s">
        <v>17</v>
      </c>
      <c r="D3005" s="5" t="n">
        <v>24656</v>
      </c>
      <c r="E3005" s="6" t="n">
        <v>271</v>
      </c>
      <c r="F3005" s="7" t="n">
        <v>77</v>
      </c>
      <c r="G3005" s="6" t="n">
        <v>475.139188048937</v>
      </c>
      <c r="H3005" s="8" t="n">
        <v>88279.411589975</v>
      </c>
      <c r="I3005" s="9" t="n">
        <v>9.24231616048062</v>
      </c>
      <c r="J3005" s="9" t="n">
        <v>17.251064712525</v>
      </c>
      <c r="K3005" s="3" t="s">
        <v>1039</v>
      </c>
      <c r="L3005" s="3" t="s">
        <v>1040</v>
      </c>
      <c r="M3005" s="7" t="n">
        <v>2017</v>
      </c>
    </row>
    <row r="3006" customFormat="false" ht="15" hidden="false" customHeight="false" outlineLevel="0" collapsed="false">
      <c r="A3006" s="3" t="n">
        <v>4097</v>
      </c>
      <c r="B3006" s="3" t="s">
        <v>1038</v>
      </c>
      <c r="C3006" s="4" t="s">
        <v>18</v>
      </c>
      <c r="D3006" s="5" t="n">
        <v>24671</v>
      </c>
      <c r="E3006" s="6" t="n">
        <v>270.7</v>
      </c>
      <c r="F3006" s="7" t="n">
        <v>68</v>
      </c>
      <c r="G3006" s="6" t="n">
        <v>508.427675413354</v>
      </c>
      <c r="H3006" s="8" t="n">
        <v>83912.6843937499</v>
      </c>
      <c r="I3006" s="9" t="n">
        <v>10.1887275829385</v>
      </c>
      <c r="J3006" s="9" t="n">
        <v>18.4484593582443</v>
      </c>
      <c r="K3006" s="3" t="s">
        <v>1039</v>
      </c>
      <c r="L3006" s="3" t="s">
        <v>1040</v>
      </c>
      <c r="M3006" s="7" t="n">
        <v>2018</v>
      </c>
    </row>
    <row r="3007" customFormat="false" ht="15" hidden="false" customHeight="false" outlineLevel="0" collapsed="false">
      <c r="A3007" s="3" t="n">
        <v>4098</v>
      </c>
      <c r="B3007" s="3" t="s">
        <v>1038</v>
      </c>
      <c r="C3007" s="4" t="s">
        <v>19</v>
      </c>
      <c r="D3007" s="5" t="n">
        <v>24745</v>
      </c>
      <c r="E3007" s="6" t="n">
        <v>270.69</v>
      </c>
      <c r="F3007" s="7" t="n">
        <v>66</v>
      </c>
      <c r="G3007" s="6" t="n">
        <v>489.119889484349</v>
      </c>
      <c r="H3007" s="8" t="n">
        <v>88210.5528991579</v>
      </c>
      <c r="I3007" s="9" t="n">
        <v>9.99601982065792</v>
      </c>
      <c r="J3007" s="9" t="n">
        <v>17.6947951643427</v>
      </c>
      <c r="K3007" s="3" t="s">
        <v>1039</v>
      </c>
      <c r="L3007" s="3" t="s">
        <v>1040</v>
      </c>
      <c r="M3007" s="7" t="n">
        <v>2019</v>
      </c>
    </row>
    <row r="3008" customFormat="false" ht="15" hidden="false" customHeight="false" outlineLevel="0" collapsed="false">
      <c r="A3008" s="3" t="n">
        <v>4099</v>
      </c>
      <c r="B3008" s="3" t="s">
        <v>1038</v>
      </c>
      <c r="C3008" s="4" t="s">
        <v>20</v>
      </c>
      <c r="D3008" s="5" t="n">
        <v>24901</v>
      </c>
      <c r="E3008" s="6" t="n">
        <v>270.23</v>
      </c>
      <c r="F3008" s="7" t="n">
        <v>66</v>
      </c>
      <c r="G3008" s="6" t="n">
        <v>568.572836625061</v>
      </c>
      <c r="H3008" s="8" t="n">
        <v>101396.41556355</v>
      </c>
      <c r="I3008" s="9" t="n">
        <v>11.0584356365086</v>
      </c>
      <c r="J3008" s="9" t="n">
        <v>20.3842864193838</v>
      </c>
      <c r="K3008" s="3" t="s">
        <v>1039</v>
      </c>
      <c r="L3008" s="3" t="s">
        <v>1040</v>
      </c>
      <c r="M3008" s="7" t="n">
        <v>2020</v>
      </c>
    </row>
    <row r="3009" customFormat="false" ht="15" hidden="false" customHeight="false" outlineLevel="0" collapsed="false">
      <c r="A3009" s="3" t="n">
        <v>4100</v>
      </c>
      <c r="B3009" s="3" t="s">
        <v>1038</v>
      </c>
      <c r="C3009" s="4" t="s">
        <v>21</v>
      </c>
      <c r="D3009" s="5" t="n">
        <v>24901</v>
      </c>
      <c r="E3009" s="6" t="n">
        <v>270.23</v>
      </c>
      <c r="F3009" s="7" t="n">
        <v>66</v>
      </c>
      <c r="G3009" s="6" t="n">
        <v>798.785404987274</v>
      </c>
      <c r="H3009" s="8" t="n">
        <v>156915.40153565</v>
      </c>
      <c r="I3009" s="9" t="n">
        <v>14.1316166913818</v>
      </c>
      <c r="J3009" s="9" t="n">
        <v>28.7164669895543</v>
      </c>
      <c r="K3009" s="3" t="s">
        <v>1039</v>
      </c>
      <c r="L3009" s="3" t="s">
        <v>1040</v>
      </c>
      <c r="M3009" s="7" t="n">
        <v>2021</v>
      </c>
    </row>
    <row r="3010" customFormat="false" ht="15" hidden="false" customHeight="false" outlineLevel="0" collapsed="false">
      <c r="A3010" s="3" t="n">
        <v>4101</v>
      </c>
      <c r="B3010" s="3" t="s">
        <v>1038</v>
      </c>
      <c r="C3010" s="4" t="s">
        <v>22</v>
      </c>
      <c r="D3010" s="5" t="n">
        <v>24901</v>
      </c>
      <c r="E3010" s="6" t="n">
        <v>270.28</v>
      </c>
      <c r="F3010" s="7" t="n">
        <v>76</v>
      </c>
      <c r="G3010" s="6" t="n">
        <v>684.37385180154</v>
      </c>
      <c r="H3010" s="8" t="n">
        <v>164619.22310435</v>
      </c>
      <c r="I3010" s="9" t="n">
        <v>11.7883020401677</v>
      </c>
      <c r="J3010" s="9" t="n">
        <v>24.6033527917127</v>
      </c>
      <c r="K3010" s="3" t="s">
        <v>1039</v>
      </c>
      <c r="L3010" s="3" t="s">
        <v>1040</v>
      </c>
      <c r="M3010" s="7" t="n">
        <v>2022</v>
      </c>
    </row>
    <row r="3011" customFormat="false" ht="15" hidden="false" customHeight="false" outlineLevel="0" collapsed="false">
      <c r="A3011" s="3" t="n">
        <v>4102</v>
      </c>
      <c r="B3011" s="3" t="s">
        <v>1038</v>
      </c>
      <c r="C3011" s="4" t="s">
        <v>23</v>
      </c>
      <c r="D3011" s="5" t="n">
        <v>24445</v>
      </c>
      <c r="E3011" s="6" t="n">
        <v>269.95</v>
      </c>
      <c r="F3011" s="7" t="n">
        <v>76</v>
      </c>
      <c r="G3011" s="6" t="n">
        <v>386.355549032012</v>
      </c>
      <c r="H3011" s="8" t="n">
        <v>96628.9263728</v>
      </c>
      <c r="I3011" s="9" t="n">
        <v>7.9557365340556</v>
      </c>
      <c r="J3011" s="9" t="n">
        <v>14.14864295128</v>
      </c>
      <c r="K3011" s="3" t="s">
        <v>1039</v>
      </c>
      <c r="L3011" s="3" t="s">
        <v>1040</v>
      </c>
      <c r="M3011" s="7" t="n">
        <v>2023</v>
      </c>
    </row>
    <row r="3012" customFormat="false" ht="15" hidden="false" customHeight="false" outlineLevel="0" collapsed="false">
      <c r="A3012" s="3" t="n">
        <v>4103</v>
      </c>
      <c r="B3012" s="3" t="s">
        <v>1038</v>
      </c>
      <c r="C3012" s="4" t="s">
        <v>24</v>
      </c>
      <c r="D3012" s="5" t="n">
        <v>24430</v>
      </c>
      <c r="E3012" s="6" t="n">
        <v>269.96</v>
      </c>
      <c r="F3012" s="7" t="n">
        <v>76</v>
      </c>
      <c r="G3012" s="6" t="n">
        <v>372.538203720613</v>
      </c>
      <c r="H3012" s="8" t="n">
        <v>108731.96114175</v>
      </c>
      <c r="I3012" s="9" t="n">
        <v>6.4770035283522</v>
      </c>
      <c r="J3012" s="9" t="n">
        <v>13.6136174611908</v>
      </c>
      <c r="K3012" s="3" t="s">
        <v>1039</v>
      </c>
      <c r="L3012" s="3" t="s">
        <v>1040</v>
      </c>
      <c r="M3012" s="7" t="n">
        <v>2024</v>
      </c>
    </row>
    <row r="3013" customFormat="false" ht="15" hidden="false" customHeight="false" outlineLevel="0" collapsed="false">
      <c r="A3013" s="3" t="n">
        <v>4104</v>
      </c>
      <c r="B3013" s="3" t="s">
        <v>1041</v>
      </c>
      <c r="C3013" s="4" t="s">
        <v>14</v>
      </c>
      <c r="D3013" s="5" t="n">
        <v>14766</v>
      </c>
      <c r="E3013" s="6" t="n">
        <v>178</v>
      </c>
      <c r="F3013" s="7" t="n">
        <v>57</v>
      </c>
      <c r="G3013" s="6" t="n">
        <v>143.838515586328</v>
      </c>
      <c r="H3013" s="8" t="n">
        <v>17616.0367882315</v>
      </c>
      <c r="I3013" s="9" t="n">
        <v>6.38028546459524</v>
      </c>
      <c r="J3013" s="9" t="n">
        <v>8.69638027054388</v>
      </c>
      <c r="K3013" s="3" t="s">
        <v>1042</v>
      </c>
      <c r="L3013" s="3" t="s">
        <v>1043</v>
      </c>
      <c r="M3013" s="7" t="n">
        <v>2016</v>
      </c>
    </row>
    <row r="3014" customFormat="false" ht="15" hidden="false" customHeight="false" outlineLevel="0" collapsed="false">
      <c r="A3014" s="3" t="n">
        <v>4105</v>
      </c>
      <c r="B3014" s="3" t="s">
        <v>1041</v>
      </c>
      <c r="C3014" s="4" t="s">
        <v>17</v>
      </c>
      <c r="D3014" s="5" t="n">
        <v>14821</v>
      </c>
      <c r="E3014" s="6" t="n">
        <v>178</v>
      </c>
      <c r="F3014" s="7" t="n">
        <v>54</v>
      </c>
      <c r="G3014" s="6" t="n">
        <v>110.915612029685</v>
      </c>
      <c r="H3014" s="8" t="n">
        <v>11911.2822310675</v>
      </c>
      <c r="I3014" s="9" t="n">
        <v>3.91390401742692</v>
      </c>
      <c r="J3014" s="9" t="n">
        <v>6.69935277006803</v>
      </c>
      <c r="K3014" s="3" t="s">
        <v>1042</v>
      </c>
      <c r="L3014" s="3" t="s">
        <v>1043</v>
      </c>
      <c r="M3014" s="7" t="n">
        <v>2017</v>
      </c>
    </row>
    <row r="3015" customFormat="false" ht="15" hidden="false" customHeight="false" outlineLevel="0" collapsed="false">
      <c r="A3015" s="3" t="n">
        <v>4106</v>
      </c>
      <c r="B3015" s="3" t="s">
        <v>1041</v>
      </c>
      <c r="C3015" s="4" t="s">
        <v>18</v>
      </c>
      <c r="D3015" s="5" t="n">
        <v>14832</v>
      </c>
      <c r="E3015" s="6" t="n">
        <v>178</v>
      </c>
      <c r="F3015" s="7" t="n">
        <v>60</v>
      </c>
      <c r="G3015" s="6" t="n">
        <v>750.131847541529</v>
      </c>
      <c r="H3015" s="8" t="n">
        <v>89881.8551315066</v>
      </c>
      <c r="I3015" s="9" t="n">
        <v>16.6846972987891</v>
      </c>
      <c r="J3015" s="9" t="n">
        <v>45.2746979824686</v>
      </c>
      <c r="K3015" s="3" t="s">
        <v>1042</v>
      </c>
      <c r="L3015" s="3" t="s">
        <v>1043</v>
      </c>
      <c r="M3015" s="7" t="n">
        <v>2018</v>
      </c>
    </row>
    <row r="3016" customFormat="false" ht="15" hidden="false" customHeight="false" outlineLevel="0" collapsed="false">
      <c r="A3016" s="3" t="n">
        <v>4107</v>
      </c>
      <c r="B3016" s="3" t="s">
        <v>1041</v>
      </c>
      <c r="C3016" s="4" t="s">
        <v>19</v>
      </c>
      <c r="D3016" s="5" t="n">
        <v>14855</v>
      </c>
      <c r="E3016" s="6" t="n">
        <v>178</v>
      </c>
      <c r="F3016" s="7" t="n">
        <v>60</v>
      </c>
      <c r="G3016" s="6" t="n">
        <v>853.075089467005</v>
      </c>
      <c r="H3016" s="8" t="n">
        <v>106318.748400273</v>
      </c>
      <c r="I3016" s="9" t="n">
        <v>16.6706336050686</v>
      </c>
      <c r="J3016" s="9" t="n">
        <v>51.4081859029063</v>
      </c>
      <c r="K3016" s="3" t="s">
        <v>1042</v>
      </c>
      <c r="L3016" s="3" t="s">
        <v>1043</v>
      </c>
      <c r="M3016" s="7" t="n">
        <v>2019</v>
      </c>
    </row>
    <row r="3017" customFormat="false" ht="15" hidden="false" customHeight="false" outlineLevel="0" collapsed="false">
      <c r="A3017" s="3" t="n">
        <v>4108</v>
      </c>
      <c r="B3017" s="3" t="s">
        <v>1041</v>
      </c>
      <c r="C3017" s="4" t="s">
        <v>20</v>
      </c>
      <c r="D3017" s="5" t="n">
        <v>14884</v>
      </c>
      <c r="E3017" s="6" t="n">
        <v>178</v>
      </c>
      <c r="F3017" s="7" t="n">
        <v>58</v>
      </c>
      <c r="G3017" s="6" t="n">
        <v>366.047054086295</v>
      </c>
      <c r="H3017" s="8" t="n">
        <v>47190.7862128051</v>
      </c>
      <c r="I3017" s="9" t="n">
        <v>10.5361804530931</v>
      </c>
      <c r="J3017" s="9" t="n">
        <v>21.9555058886574</v>
      </c>
      <c r="K3017" s="3" t="s">
        <v>1042</v>
      </c>
      <c r="L3017" s="3" t="s">
        <v>1043</v>
      </c>
      <c r="M3017" s="7" t="n">
        <v>2020</v>
      </c>
    </row>
    <row r="3018" customFormat="false" ht="15" hidden="false" customHeight="false" outlineLevel="0" collapsed="false">
      <c r="A3018" s="3" t="n">
        <v>4109</v>
      </c>
      <c r="B3018" s="3" t="s">
        <v>1041</v>
      </c>
      <c r="C3018" s="4" t="s">
        <v>21</v>
      </c>
      <c r="D3018" s="5" t="n">
        <v>14610</v>
      </c>
      <c r="E3018" s="6" t="n">
        <v>178</v>
      </c>
      <c r="F3018" s="7" t="n">
        <v>53</v>
      </c>
      <c r="G3018" s="6" t="n">
        <v>116.529433883249</v>
      </c>
      <c r="H3018" s="8" t="n">
        <v>45287.1176180703</v>
      </c>
      <c r="I3018" s="9" t="n">
        <v>3.88696655132641</v>
      </c>
      <c r="J3018" s="9" t="n">
        <v>7.1400802852725</v>
      </c>
      <c r="K3018" s="3" t="s">
        <v>1042</v>
      </c>
      <c r="L3018" s="3" t="s">
        <v>1043</v>
      </c>
      <c r="M3018" s="7" t="n">
        <v>2021</v>
      </c>
    </row>
    <row r="3019" customFormat="false" ht="15" hidden="false" customHeight="false" outlineLevel="0" collapsed="false">
      <c r="A3019" s="3" t="n">
        <v>4110</v>
      </c>
      <c r="B3019" s="3" t="s">
        <v>1041</v>
      </c>
      <c r="C3019" s="4" t="s">
        <v>22</v>
      </c>
      <c r="D3019" s="5" t="n">
        <v>14610</v>
      </c>
      <c r="E3019" s="6" t="n">
        <v>190</v>
      </c>
      <c r="F3019" s="7" t="n">
        <v>44</v>
      </c>
      <c r="G3019" s="6" t="n">
        <v>146.356032360407</v>
      </c>
      <c r="H3019" s="8" t="n">
        <v>58734.1393465548</v>
      </c>
      <c r="I3019" s="9" t="n">
        <v>4.99968185995031</v>
      </c>
      <c r="J3019" s="9" t="n">
        <v>8.96763835937131</v>
      </c>
      <c r="K3019" s="3" t="s">
        <v>1042</v>
      </c>
      <c r="L3019" s="3" t="s">
        <v>1043</v>
      </c>
      <c r="M3019" s="7" t="n">
        <v>2022</v>
      </c>
    </row>
    <row r="3020" customFormat="false" ht="15" hidden="false" customHeight="false" outlineLevel="0" collapsed="false">
      <c r="A3020" s="3" t="n">
        <v>4111</v>
      </c>
      <c r="B3020" s="3" t="s">
        <v>1041</v>
      </c>
      <c r="C3020" s="4" t="s">
        <v>23</v>
      </c>
      <c r="D3020" s="5" t="n">
        <v>15017</v>
      </c>
      <c r="E3020" s="6" t="n">
        <v>190</v>
      </c>
      <c r="F3020" s="7" t="n">
        <v>52</v>
      </c>
      <c r="G3020" s="6" t="n">
        <v>339.020985571066</v>
      </c>
      <c r="H3020" s="8" t="n">
        <v>148060.635028452</v>
      </c>
      <c r="I3020" s="9" t="n">
        <v>7.9320431765613</v>
      </c>
      <c r="J3020" s="9" t="n">
        <v>20.2097562632894</v>
      </c>
      <c r="K3020" s="3" t="s">
        <v>1042</v>
      </c>
      <c r="L3020" s="3" t="s">
        <v>1043</v>
      </c>
      <c r="M3020" s="7" t="n">
        <v>2023</v>
      </c>
    </row>
    <row r="3021" customFormat="false" ht="15" hidden="false" customHeight="false" outlineLevel="0" collapsed="false">
      <c r="A3021" s="3" t="n">
        <v>4112</v>
      </c>
      <c r="B3021" s="3" t="s">
        <v>1041</v>
      </c>
      <c r="C3021" s="4" t="s">
        <v>24</v>
      </c>
      <c r="D3021" s="5" t="n">
        <v>14605</v>
      </c>
      <c r="E3021" s="6" t="n">
        <v>190</v>
      </c>
      <c r="F3021" s="7" t="n">
        <v>50</v>
      </c>
      <c r="G3021" s="6" t="n">
        <v>299.746948441046</v>
      </c>
      <c r="H3021" s="8" t="n">
        <v>59456.4820767468</v>
      </c>
      <c r="I3021" s="9" t="n">
        <v>7.32165303612249</v>
      </c>
      <c r="J3021" s="9" t="n">
        <v>18.3222752381598</v>
      </c>
      <c r="K3021" s="3" t="s">
        <v>1042</v>
      </c>
      <c r="L3021" s="3" t="s">
        <v>1043</v>
      </c>
      <c r="M3021" s="7" t="n">
        <v>2024</v>
      </c>
    </row>
    <row r="3022" customFormat="false" ht="15" hidden="false" customHeight="false" outlineLevel="0" collapsed="false">
      <c r="A3022" s="3" t="n">
        <v>4113</v>
      </c>
      <c r="B3022" s="3" t="s">
        <v>1044</v>
      </c>
      <c r="C3022" s="4" t="s">
        <v>14</v>
      </c>
      <c r="D3022" s="5" t="n">
        <v>4118</v>
      </c>
      <c r="E3022" s="6" t="n">
        <v>65.1</v>
      </c>
      <c r="F3022" s="7" t="n">
        <v>51</v>
      </c>
      <c r="G3022" s="6" t="n">
        <v>111.263801670512</v>
      </c>
      <c r="H3022" s="8" t="n">
        <v>47608.7978137205</v>
      </c>
      <c r="I3022" s="9" t="n">
        <v>11.976437122227</v>
      </c>
      <c r="J3022" s="9" t="n">
        <v>24.1209132230289</v>
      </c>
      <c r="K3022" s="3" t="s">
        <v>1045</v>
      </c>
      <c r="L3022" s="3" t="s">
        <v>1046</v>
      </c>
      <c r="M3022" s="7" t="n">
        <v>2016</v>
      </c>
    </row>
    <row r="3023" customFormat="false" ht="15" hidden="false" customHeight="false" outlineLevel="0" collapsed="false">
      <c r="A3023" s="3" t="n">
        <v>4114</v>
      </c>
      <c r="B3023" s="3" t="s">
        <v>1044</v>
      </c>
      <c r="C3023" s="4" t="s">
        <v>17</v>
      </c>
      <c r="D3023" s="5" t="n">
        <v>4118</v>
      </c>
      <c r="E3023" s="6" t="n">
        <v>65.1</v>
      </c>
      <c r="F3023" s="7" t="n">
        <v>53</v>
      </c>
      <c r="G3023" s="6" t="n">
        <v>81.3060279619811</v>
      </c>
      <c r="H3023" s="8" t="n">
        <v>37276.5597617089</v>
      </c>
      <c r="I3023" s="9" t="n">
        <v>9.77245302983312</v>
      </c>
      <c r="J3023" s="9" t="n">
        <v>17.6747824596381</v>
      </c>
      <c r="K3023" s="3" t="s">
        <v>1045</v>
      </c>
      <c r="L3023" s="3" t="s">
        <v>1046</v>
      </c>
      <c r="M3023" s="7" t="n">
        <v>2017</v>
      </c>
    </row>
    <row r="3024" customFormat="false" ht="15" hidden="false" customHeight="false" outlineLevel="0" collapsed="false">
      <c r="A3024" s="3" t="n">
        <v>4115</v>
      </c>
      <c r="B3024" s="3" t="s">
        <v>1044</v>
      </c>
      <c r="C3024" s="4" t="s">
        <v>18</v>
      </c>
      <c r="D3024" s="5" t="n">
        <v>4160</v>
      </c>
      <c r="E3024" s="6" t="n">
        <v>65.1</v>
      </c>
      <c r="F3024" s="7" t="n">
        <v>60</v>
      </c>
      <c r="G3024" s="6" t="n">
        <v>83.3311862126092</v>
      </c>
      <c r="H3024" s="8" t="n">
        <v>32692.8689166603</v>
      </c>
      <c r="I3024" s="9" t="n">
        <v>8.74627381518123</v>
      </c>
      <c r="J3024" s="9" t="n">
        <v>17.9321312067869</v>
      </c>
      <c r="K3024" s="3" t="s">
        <v>1045</v>
      </c>
      <c r="L3024" s="3" t="s">
        <v>1046</v>
      </c>
      <c r="M3024" s="7" t="n">
        <v>2018</v>
      </c>
    </row>
    <row r="3025" customFormat="false" ht="15" hidden="false" customHeight="false" outlineLevel="0" collapsed="false">
      <c r="A3025" s="3" t="n">
        <v>4116</v>
      </c>
      <c r="B3025" s="3" t="s">
        <v>1044</v>
      </c>
      <c r="C3025" s="4" t="s">
        <v>19</v>
      </c>
      <c r="D3025" s="5" t="n">
        <v>4255</v>
      </c>
      <c r="E3025" s="6" t="n">
        <v>65.1</v>
      </c>
      <c r="F3025" s="7" t="n">
        <v>60</v>
      </c>
      <c r="G3025" s="6" t="n">
        <v>84.0333688700052</v>
      </c>
      <c r="H3025" s="8" t="n">
        <v>37294.7640953863</v>
      </c>
      <c r="I3025" s="9" t="n">
        <v>9.03836552863013</v>
      </c>
      <c r="J3025" s="9" t="n">
        <v>17.6794961839724</v>
      </c>
      <c r="K3025" s="3" t="s">
        <v>1045</v>
      </c>
      <c r="L3025" s="3" t="s">
        <v>1046</v>
      </c>
      <c r="M3025" s="7" t="n">
        <v>2019</v>
      </c>
    </row>
    <row r="3026" customFormat="false" ht="15" hidden="false" customHeight="false" outlineLevel="0" collapsed="false">
      <c r="A3026" s="3" t="n">
        <v>4117</v>
      </c>
      <c r="B3026" s="3" t="s">
        <v>1044</v>
      </c>
      <c r="C3026" s="4" t="s">
        <v>20</v>
      </c>
      <c r="D3026" s="5" t="n">
        <v>4319</v>
      </c>
      <c r="E3026" s="6" t="n">
        <v>65.3</v>
      </c>
      <c r="F3026" s="7" t="n">
        <v>62</v>
      </c>
      <c r="G3026" s="6" t="n">
        <v>45.1488992999072</v>
      </c>
      <c r="H3026" s="8" t="n">
        <v>20228.7406942461</v>
      </c>
      <c r="I3026" s="9" t="n">
        <v>6.65360120253011</v>
      </c>
      <c r="J3026" s="9" t="n">
        <v>9.33233148577268</v>
      </c>
      <c r="K3026" s="3" t="s">
        <v>1045</v>
      </c>
      <c r="L3026" s="3" t="s">
        <v>1046</v>
      </c>
      <c r="M3026" s="7" t="n">
        <v>2020</v>
      </c>
    </row>
    <row r="3027" customFormat="false" ht="15" hidden="false" customHeight="false" outlineLevel="0" collapsed="false">
      <c r="A3027" s="3" t="n">
        <v>4118</v>
      </c>
      <c r="B3027" s="3" t="s">
        <v>1044</v>
      </c>
      <c r="C3027" s="4" t="s">
        <v>21</v>
      </c>
      <c r="D3027" s="5" t="n">
        <v>4421</v>
      </c>
      <c r="E3027" s="6" t="n">
        <v>65.3</v>
      </c>
      <c r="F3027" s="7" t="n">
        <v>84</v>
      </c>
      <c r="G3027" s="6" t="n">
        <v>12.5377749495041</v>
      </c>
      <c r="H3027" s="8" t="n">
        <v>5769.50740035652</v>
      </c>
      <c r="I3027" s="9" t="n">
        <v>3.1733239230977</v>
      </c>
      <c r="J3027" s="9" t="n">
        <v>2.53873651545127</v>
      </c>
      <c r="K3027" s="3" t="s">
        <v>1045</v>
      </c>
      <c r="L3027" s="3" t="s">
        <v>1046</v>
      </c>
      <c r="M3027" s="7" t="n">
        <v>2021</v>
      </c>
    </row>
    <row r="3028" customFormat="false" ht="15" hidden="false" customHeight="false" outlineLevel="0" collapsed="false">
      <c r="A3028" s="3" t="n">
        <v>4119</v>
      </c>
      <c r="B3028" s="3" t="s">
        <v>1044</v>
      </c>
      <c r="C3028" s="4" t="s">
        <v>22</v>
      </c>
      <c r="D3028" s="5" t="n">
        <v>4550</v>
      </c>
      <c r="E3028" s="6" t="n">
        <v>65.3</v>
      </c>
      <c r="F3028" s="7" t="n">
        <v>85</v>
      </c>
      <c r="G3028" s="6" t="n">
        <v>88.8402376260135</v>
      </c>
      <c r="H3028" s="8" t="n">
        <v>47436.1676596017</v>
      </c>
      <c r="I3028" s="9" t="n">
        <v>10.401121619131</v>
      </c>
      <c r="J3028" s="9" t="n">
        <v>17.4789761325167</v>
      </c>
      <c r="K3028" s="3" t="s">
        <v>1045</v>
      </c>
      <c r="L3028" s="3" t="s">
        <v>1046</v>
      </c>
      <c r="M3028" s="7" t="n">
        <v>2022</v>
      </c>
    </row>
    <row r="3029" customFormat="false" ht="15" hidden="false" customHeight="false" outlineLevel="0" collapsed="false">
      <c r="A3029" s="3" t="n">
        <v>4120</v>
      </c>
      <c r="B3029" s="3" t="s">
        <v>1044</v>
      </c>
      <c r="C3029" s="4" t="s">
        <v>23</v>
      </c>
      <c r="D3029" s="5" t="n">
        <v>4550</v>
      </c>
      <c r="E3029" s="6" t="n">
        <v>65.3</v>
      </c>
      <c r="F3029" s="7" t="n">
        <v>85</v>
      </c>
      <c r="G3029" s="6" t="n">
        <v>84.6609795294767</v>
      </c>
      <c r="H3029" s="8" t="n">
        <v>43698.4138746149</v>
      </c>
      <c r="I3029" s="9" t="n">
        <v>10.2270191569048</v>
      </c>
      <c r="J3029" s="9" t="n">
        <v>16.6567231256246</v>
      </c>
      <c r="K3029" s="3" t="s">
        <v>1045</v>
      </c>
      <c r="L3029" s="3" t="s">
        <v>1046</v>
      </c>
      <c r="M3029" s="7" t="n">
        <v>2023</v>
      </c>
    </row>
    <row r="3030" customFormat="false" ht="15" hidden="false" customHeight="false" outlineLevel="0" collapsed="false">
      <c r="A3030" s="3" t="n">
        <v>4121</v>
      </c>
      <c r="B3030" s="3" t="s">
        <v>1044</v>
      </c>
      <c r="C3030" s="4" t="s">
        <v>24</v>
      </c>
      <c r="D3030" s="5" t="n">
        <v>4550</v>
      </c>
      <c r="E3030" s="6" t="n">
        <v>65.3</v>
      </c>
      <c r="F3030" s="7" t="n">
        <v>85</v>
      </c>
      <c r="G3030" s="6" t="n">
        <v>71.0954831329493</v>
      </c>
      <c r="H3030" s="8" t="n">
        <v>46691.9100023899</v>
      </c>
      <c r="I3030" s="9" t="n">
        <v>8.65586222740504</v>
      </c>
      <c r="J3030" s="9" t="n">
        <v>13.9494410804484</v>
      </c>
      <c r="K3030" s="3" t="s">
        <v>1045</v>
      </c>
      <c r="L3030" s="3" t="s">
        <v>1046</v>
      </c>
      <c r="M3030" s="7" t="n">
        <v>2024</v>
      </c>
    </row>
    <row r="3031" customFormat="false" ht="15" hidden="false" customHeight="false" outlineLevel="0" collapsed="false">
      <c r="A3031" s="3" t="n">
        <v>4122</v>
      </c>
      <c r="B3031" s="3" t="s">
        <v>1047</v>
      </c>
      <c r="C3031" s="4" t="s">
        <v>14</v>
      </c>
      <c r="D3031" s="5" t="n">
        <v>8067</v>
      </c>
      <c r="E3031" s="6" t="n">
        <v>185</v>
      </c>
      <c r="F3031" s="7" t="n">
        <v>49</v>
      </c>
      <c r="G3031" s="6" t="n">
        <v>354.10861469239</v>
      </c>
      <c r="H3031" s="8" t="n">
        <v>67718.7456050931</v>
      </c>
      <c r="I3031" s="9" t="n">
        <v>20.4181864380384</v>
      </c>
      <c r="J3031" s="9" t="n">
        <v>39.1877770949565</v>
      </c>
      <c r="K3031" s="3" t="s">
        <v>1048</v>
      </c>
      <c r="L3031" s="3" t="s">
        <v>1049</v>
      </c>
      <c r="M3031" s="7" t="n">
        <v>2016</v>
      </c>
    </row>
    <row r="3032" customFormat="false" ht="15" hidden="false" customHeight="false" outlineLevel="0" collapsed="false">
      <c r="A3032" s="3" t="n">
        <v>4123</v>
      </c>
      <c r="B3032" s="3" t="s">
        <v>1047</v>
      </c>
      <c r="C3032" s="4" t="s">
        <v>17</v>
      </c>
      <c r="D3032" s="5" t="n">
        <v>8025</v>
      </c>
      <c r="E3032" s="6" t="n">
        <v>185</v>
      </c>
      <c r="F3032" s="7" t="n">
        <v>51</v>
      </c>
      <c r="G3032" s="6" t="n">
        <v>490.619824154234</v>
      </c>
      <c r="H3032" s="8" t="n">
        <v>106886.769495757</v>
      </c>
      <c r="I3032" s="9" t="n">
        <v>24.81049845088</v>
      </c>
      <c r="J3032" s="9" t="n">
        <v>54.7290268462159</v>
      </c>
      <c r="K3032" s="3" t="s">
        <v>1048</v>
      </c>
      <c r="L3032" s="3" t="s">
        <v>1049</v>
      </c>
      <c r="M3032" s="7" t="n">
        <v>2017</v>
      </c>
    </row>
    <row r="3033" customFormat="false" ht="15" hidden="false" customHeight="false" outlineLevel="0" collapsed="false">
      <c r="A3033" s="3" t="n">
        <v>4124</v>
      </c>
      <c r="B3033" s="3" t="s">
        <v>1047</v>
      </c>
      <c r="C3033" s="4" t="s">
        <v>18</v>
      </c>
      <c r="D3033" s="5" t="n">
        <v>7950</v>
      </c>
      <c r="E3033" s="6" t="n">
        <v>185</v>
      </c>
      <c r="F3033" s="7" t="n">
        <v>51</v>
      </c>
      <c r="G3033" s="6" t="n">
        <v>480.081906085343</v>
      </c>
      <c r="H3033" s="8" t="n">
        <v>126368.609958011</v>
      </c>
      <c r="I3033" s="9" t="n">
        <v>24.8165950285247</v>
      </c>
      <c r="J3033" s="9" t="n">
        <v>54.0587356347416</v>
      </c>
      <c r="K3033" s="3" t="s">
        <v>1048</v>
      </c>
      <c r="L3033" s="3" t="s">
        <v>1049</v>
      </c>
      <c r="M3033" s="7" t="n">
        <v>2018</v>
      </c>
    </row>
    <row r="3034" customFormat="false" ht="15" hidden="false" customHeight="false" outlineLevel="0" collapsed="false">
      <c r="A3034" s="3" t="n">
        <v>4125</v>
      </c>
      <c r="B3034" s="3" t="s">
        <v>1047</v>
      </c>
      <c r="C3034" s="4" t="s">
        <v>19</v>
      </c>
      <c r="D3034" s="5" t="n">
        <v>7942</v>
      </c>
      <c r="E3034" s="6" t="n">
        <v>190</v>
      </c>
      <c r="F3034" s="7" t="n">
        <v>50</v>
      </c>
      <c r="G3034" s="6" t="n">
        <v>409.339336010789</v>
      </c>
      <c r="H3034" s="8" t="n">
        <v>124069.431268775</v>
      </c>
      <c r="I3034" s="9" t="n">
        <v>22.8625280146983</v>
      </c>
      <c r="J3034" s="9" t="n">
        <v>46.1393288077752</v>
      </c>
      <c r="K3034" s="3" t="s">
        <v>1048</v>
      </c>
      <c r="L3034" s="3" t="s">
        <v>1049</v>
      </c>
      <c r="M3034" s="7" t="n">
        <v>2019</v>
      </c>
    </row>
    <row r="3035" customFormat="false" ht="15" hidden="false" customHeight="false" outlineLevel="0" collapsed="false">
      <c r="A3035" s="3" t="n">
        <v>4126</v>
      </c>
      <c r="B3035" s="3" t="s">
        <v>1047</v>
      </c>
      <c r="C3035" s="4" t="s">
        <v>49</v>
      </c>
      <c r="D3035" s="5" t="n">
        <v>6469</v>
      </c>
      <c r="E3035" s="6" t="n">
        <v>158.2</v>
      </c>
      <c r="F3035" s="7" t="n">
        <v>52</v>
      </c>
      <c r="G3035" s="6" t="n">
        <v>336.379</v>
      </c>
      <c r="H3035" s="8" t="n">
        <v>132180.12805</v>
      </c>
      <c r="I3035" s="9" t="n">
        <v>24.5952135874163</v>
      </c>
      <c r="J3035" s="9" t="n">
        <v>46.5488974165037</v>
      </c>
      <c r="K3035" s="3" t="s">
        <v>1048</v>
      </c>
      <c r="L3035" s="3" t="s">
        <v>1049</v>
      </c>
      <c r="M3035" s="7" t="n">
        <v>2024</v>
      </c>
    </row>
    <row r="3036" customFormat="false" ht="15" hidden="false" customHeight="false" outlineLevel="0" collapsed="false">
      <c r="A3036" s="3" t="n">
        <v>4127</v>
      </c>
      <c r="B3036" s="3" t="s">
        <v>1050</v>
      </c>
      <c r="C3036" s="4" t="s">
        <v>14</v>
      </c>
      <c r="D3036" s="5" t="n">
        <v>15819</v>
      </c>
      <c r="E3036" s="6" t="n">
        <v>171.1</v>
      </c>
      <c r="F3036" s="7" t="n">
        <v>59</v>
      </c>
      <c r="G3036" s="6" t="n">
        <v>210.006521934695</v>
      </c>
      <c r="H3036" s="8" t="n">
        <v>36521.53035066</v>
      </c>
      <c r="I3036" s="9" t="n">
        <v>9.70794024502038</v>
      </c>
      <c r="J3036" s="9" t="n">
        <v>11.8516809037411</v>
      </c>
      <c r="K3036" s="3" t="s">
        <v>1051</v>
      </c>
      <c r="L3036" s="3" t="s">
        <v>1052</v>
      </c>
      <c r="M3036" s="7" t="n">
        <v>2016</v>
      </c>
    </row>
    <row r="3037" customFormat="false" ht="15" hidden="false" customHeight="false" outlineLevel="0" collapsed="false">
      <c r="A3037" s="3" t="n">
        <v>4128</v>
      </c>
      <c r="B3037" s="3" t="s">
        <v>1050</v>
      </c>
      <c r="C3037" s="4" t="s">
        <v>17</v>
      </c>
      <c r="D3037" s="5" t="n">
        <v>15837</v>
      </c>
      <c r="E3037" s="6" t="n">
        <v>173.1</v>
      </c>
      <c r="F3037" s="7" t="n">
        <v>60</v>
      </c>
      <c r="G3037" s="6" t="n">
        <v>288.110033966853</v>
      </c>
      <c r="H3037" s="8" t="n">
        <v>48619.0540950377</v>
      </c>
      <c r="I3037" s="9" t="n">
        <v>11.2250165976659</v>
      </c>
      <c r="J3037" s="9" t="n">
        <v>16.2855766677514</v>
      </c>
      <c r="K3037" s="3" t="s">
        <v>1051</v>
      </c>
      <c r="L3037" s="3" t="s">
        <v>1052</v>
      </c>
      <c r="M3037" s="7" t="n">
        <v>2017</v>
      </c>
    </row>
    <row r="3038" customFormat="false" ht="15" hidden="false" customHeight="false" outlineLevel="0" collapsed="false">
      <c r="A3038" s="3" t="n">
        <v>4129</v>
      </c>
      <c r="B3038" s="3" t="s">
        <v>1050</v>
      </c>
      <c r="C3038" s="4" t="s">
        <v>18</v>
      </c>
      <c r="D3038" s="5" t="n">
        <v>15935</v>
      </c>
      <c r="E3038" s="6" t="n">
        <v>173.142</v>
      </c>
      <c r="F3038" s="7" t="n">
        <v>60</v>
      </c>
      <c r="G3038" s="6" t="n">
        <v>209.178061913571</v>
      </c>
      <c r="H3038" s="8" t="n">
        <v>39148.876567998</v>
      </c>
      <c r="I3038" s="9" t="n">
        <v>10.0845858762632</v>
      </c>
      <c r="J3038" s="9" t="n">
        <v>11.7511871118933</v>
      </c>
      <c r="K3038" s="3" t="s">
        <v>1051</v>
      </c>
      <c r="L3038" s="3" t="s">
        <v>1052</v>
      </c>
      <c r="M3038" s="7" t="n">
        <v>2018</v>
      </c>
    </row>
    <row r="3039" customFormat="false" ht="15" hidden="false" customHeight="false" outlineLevel="0" collapsed="false">
      <c r="A3039" s="3" t="n">
        <v>4130</v>
      </c>
      <c r="B3039" s="3" t="s">
        <v>1050</v>
      </c>
      <c r="C3039" s="4" t="s">
        <v>19</v>
      </c>
      <c r="D3039" s="5" t="n">
        <v>15993</v>
      </c>
      <c r="E3039" s="6" t="n">
        <v>173.09</v>
      </c>
      <c r="F3039" s="7" t="n">
        <v>60</v>
      </c>
      <c r="G3039" s="6" t="n">
        <v>238.245530342753</v>
      </c>
      <c r="H3039" s="8" t="n">
        <v>48898.4021351546</v>
      </c>
      <c r="I3039" s="9" t="n">
        <v>10.9711376488864</v>
      </c>
      <c r="J3039" s="9" t="n">
        <v>13.3355981132742</v>
      </c>
      <c r="K3039" s="3" t="s">
        <v>1051</v>
      </c>
      <c r="L3039" s="3" t="s">
        <v>1052</v>
      </c>
      <c r="M3039" s="7" t="n">
        <v>2019</v>
      </c>
    </row>
    <row r="3040" customFormat="false" ht="15" hidden="false" customHeight="false" outlineLevel="0" collapsed="false">
      <c r="A3040" s="3" t="n">
        <v>4131</v>
      </c>
      <c r="B3040" s="3" t="s">
        <v>1050</v>
      </c>
      <c r="C3040" s="4" t="s">
        <v>20</v>
      </c>
      <c r="D3040" s="5" t="n">
        <v>16047</v>
      </c>
      <c r="E3040" s="6" t="n">
        <v>173.03</v>
      </c>
      <c r="F3040" s="7" t="n">
        <v>60</v>
      </c>
      <c r="G3040" s="6" t="n">
        <v>161.810075348287</v>
      </c>
      <c r="H3040" s="8" t="n">
        <v>31981.4617217952</v>
      </c>
      <c r="I3040" s="9" t="n">
        <v>9.01631361484712</v>
      </c>
      <c r="J3040" s="9" t="n">
        <v>9.00197704556473</v>
      </c>
      <c r="K3040" s="3" t="s">
        <v>1051</v>
      </c>
      <c r="L3040" s="3" t="s">
        <v>1052</v>
      </c>
      <c r="M3040" s="7" t="n">
        <v>2020</v>
      </c>
    </row>
    <row r="3041" customFormat="false" ht="15" hidden="false" customHeight="false" outlineLevel="0" collapsed="false">
      <c r="A3041" s="3" t="n">
        <v>4132</v>
      </c>
      <c r="B3041" s="3" t="s">
        <v>1050</v>
      </c>
      <c r="C3041" s="4" t="s">
        <v>21</v>
      </c>
      <c r="D3041" s="5" t="n">
        <v>16053</v>
      </c>
      <c r="E3041" s="6" t="n">
        <v>173.86</v>
      </c>
      <c r="F3041" s="7" t="n">
        <v>61</v>
      </c>
      <c r="G3041" s="6" t="n">
        <v>111.998685274101</v>
      </c>
      <c r="H3041" s="8" t="n">
        <v>22790.6858723505</v>
      </c>
      <c r="I3041" s="9" t="n">
        <v>8.42082979282968</v>
      </c>
      <c r="J3041" s="9" t="n">
        <v>6.2456032652914</v>
      </c>
      <c r="K3041" s="3" t="s">
        <v>1051</v>
      </c>
      <c r="L3041" s="3" t="s">
        <v>1052</v>
      </c>
      <c r="M3041" s="7" t="n">
        <v>2021</v>
      </c>
    </row>
    <row r="3042" customFormat="false" ht="15" hidden="false" customHeight="false" outlineLevel="0" collapsed="false">
      <c r="A3042" s="3" t="n">
        <v>4133</v>
      </c>
      <c r="B3042" s="3" t="s">
        <v>1050</v>
      </c>
      <c r="C3042" s="4" t="s">
        <v>22</v>
      </c>
      <c r="D3042" s="5" t="n">
        <v>16078</v>
      </c>
      <c r="E3042" s="6" t="n">
        <v>173.9</v>
      </c>
      <c r="F3042" s="7" t="n">
        <v>77</v>
      </c>
      <c r="G3042" s="6" t="n">
        <v>70.1153992301016</v>
      </c>
      <c r="H3042" s="8" t="n">
        <v>16820.3142604879</v>
      </c>
      <c r="I3042" s="9" t="n">
        <v>8.00880648754394</v>
      </c>
      <c r="J3042" s="9" t="n">
        <v>3.90390338762814</v>
      </c>
      <c r="K3042" s="3" t="s">
        <v>1051</v>
      </c>
      <c r="L3042" s="3" t="s">
        <v>1052</v>
      </c>
      <c r="M3042" s="7" t="n">
        <v>2022</v>
      </c>
    </row>
    <row r="3043" customFormat="false" ht="15" hidden="false" customHeight="false" outlineLevel="0" collapsed="false">
      <c r="A3043" s="3" t="n">
        <v>4134</v>
      </c>
      <c r="B3043" s="3" t="s">
        <v>1050</v>
      </c>
      <c r="C3043" s="4" t="s">
        <v>23</v>
      </c>
      <c r="D3043" s="5" t="n">
        <v>16161</v>
      </c>
      <c r="E3043" s="6" t="n">
        <v>173.86</v>
      </c>
      <c r="F3043" s="7" t="n">
        <v>80</v>
      </c>
      <c r="G3043" s="6" t="n">
        <v>136.443529625849</v>
      </c>
      <c r="H3043" s="8" t="n">
        <v>37067.846566944</v>
      </c>
      <c r="I3043" s="9" t="n">
        <v>8.66951818349481</v>
      </c>
      <c r="J3043" s="9" t="n">
        <v>7.5579217251599</v>
      </c>
      <c r="K3043" s="3" t="s">
        <v>1051</v>
      </c>
      <c r="L3043" s="3" t="s">
        <v>1052</v>
      </c>
      <c r="M3043" s="7" t="n">
        <v>2023</v>
      </c>
    </row>
    <row r="3044" customFormat="false" ht="15" hidden="false" customHeight="false" outlineLevel="0" collapsed="false">
      <c r="A3044" s="3" t="n">
        <v>4135</v>
      </c>
      <c r="B3044" s="3" t="s">
        <v>1050</v>
      </c>
      <c r="C3044" s="4" t="s">
        <v>24</v>
      </c>
      <c r="D3044" s="5" t="n">
        <v>16188</v>
      </c>
      <c r="E3044" s="6" t="n">
        <v>173.73</v>
      </c>
      <c r="F3044" s="7" t="n">
        <v>80</v>
      </c>
      <c r="G3044" s="6" t="n">
        <v>142.931033494418</v>
      </c>
      <c r="H3044" s="8" t="n">
        <v>44231.0634451219</v>
      </c>
      <c r="I3044" s="9" t="n">
        <v>9.37093821963151</v>
      </c>
      <c r="J3044" s="9" t="n">
        <v>7.88241927813764</v>
      </c>
      <c r="K3044" s="3" t="s">
        <v>1051</v>
      </c>
      <c r="L3044" s="3" t="s">
        <v>1052</v>
      </c>
      <c r="M3044" s="7" t="n">
        <v>2024</v>
      </c>
    </row>
    <row r="3045" customFormat="false" ht="15" hidden="false" customHeight="false" outlineLevel="0" collapsed="false">
      <c r="A3045" s="3" t="n">
        <v>4136</v>
      </c>
      <c r="B3045" s="3" t="s">
        <v>1053</v>
      </c>
      <c r="C3045" s="4" t="s">
        <v>14</v>
      </c>
      <c r="D3045" s="5" t="n">
        <v>3396</v>
      </c>
      <c r="E3045" s="6" t="n">
        <v>40</v>
      </c>
      <c r="F3045" s="7" t="n">
        <v>47</v>
      </c>
      <c r="G3045" s="6" t="n">
        <v>203.059392643018</v>
      </c>
      <c r="H3045" s="8" t="n">
        <v>13417.230195955</v>
      </c>
      <c r="I3045" s="9" t="n">
        <v>11.7912873299119</v>
      </c>
      <c r="J3045" s="9" t="n">
        <v>53.3803718735338</v>
      </c>
      <c r="K3045" s="3" t="s">
        <v>1054</v>
      </c>
      <c r="L3045" s="3" t="s">
        <v>1055</v>
      </c>
      <c r="M3045" s="7" t="n">
        <v>2016</v>
      </c>
    </row>
    <row r="3046" customFormat="false" ht="15" hidden="false" customHeight="false" outlineLevel="0" collapsed="false">
      <c r="A3046" s="3" t="n">
        <v>4137</v>
      </c>
      <c r="B3046" s="3" t="s">
        <v>1053</v>
      </c>
      <c r="C3046" s="4" t="s">
        <v>17</v>
      </c>
      <c r="D3046" s="5" t="n">
        <v>3455</v>
      </c>
      <c r="E3046" s="6" t="n">
        <v>40</v>
      </c>
      <c r="F3046" s="7" t="n">
        <v>54</v>
      </c>
      <c r="G3046" s="6" t="n">
        <v>208.612962861639</v>
      </c>
      <c r="H3046" s="8" t="n">
        <v>13784.3214469643</v>
      </c>
      <c r="I3046" s="9" t="n">
        <v>11.0605655277657</v>
      </c>
      <c r="J3046" s="9" t="n">
        <v>54.051893705116</v>
      </c>
      <c r="K3046" s="3" t="s">
        <v>1054</v>
      </c>
      <c r="L3046" s="3" t="s">
        <v>1055</v>
      </c>
      <c r="M3046" s="7" t="n">
        <v>2017</v>
      </c>
    </row>
    <row r="3047" customFormat="false" ht="15" hidden="false" customHeight="false" outlineLevel="0" collapsed="false">
      <c r="A3047" s="3" t="n">
        <v>4138</v>
      </c>
      <c r="B3047" s="3" t="s">
        <v>1053</v>
      </c>
      <c r="C3047" s="4" t="s">
        <v>18</v>
      </c>
      <c r="D3047" s="5" t="n">
        <v>3455</v>
      </c>
      <c r="E3047" s="6" t="n">
        <v>40</v>
      </c>
      <c r="F3047" s="7" t="n">
        <v>54</v>
      </c>
      <c r="G3047" s="6" t="n">
        <v>231.553066709958</v>
      </c>
      <c r="H3047" s="8" t="n">
        <v>13762.4056114975</v>
      </c>
      <c r="I3047" s="9" t="n">
        <v>11.6587752284965</v>
      </c>
      <c r="J3047" s="9" t="n">
        <v>59.9957048556055</v>
      </c>
      <c r="K3047" s="3" t="s">
        <v>1054</v>
      </c>
      <c r="L3047" s="3" t="s">
        <v>1055</v>
      </c>
      <c r="M3047" s="7" t="n">
        <v>2018</v>
      </c>
    </row>
    <row r="3048" customFormat="false" ht="15" hidden="false" customHeight="false" outlineLevel="0" collapsed="false">
      <c r="A3048" s="3" t="n">
        <v>4139</v>
      </c>
      <c r="B3048" s="3" t="s">
        <v>1053</v>
      </c>
      <c r="C3048" s="4" t="s">
        <v>19</v>
      </c>
      <c r="D3048" s="5" t="n">
        <v>3550</v>
      </c>
      <c r="E3048" s="6" t="n">
        <v>40.5</v>
      </c>
      <c r="F3048" s="7" t="n">
        <v>54</v>
      </c>
      <c r="G3048" s="6" t="n">
        <v>325.592380389845</v>
      </c>
      <c r="H3048" s="8" t="n">
        <v>21513.8597832608</v>
      </c>
      <c r="I3048" s="9" t="n">
        <v>15.0853905141915</v>
      </c>
      <c r="J3048" s="9" t="n">
        <v>82.1038560148672</v>
      </c>
      <c r="K3048" s="3" t="s">
        <v>1054</v>
      </c>
      <c r="L3048" s="3" t="s">
        <v>1055</v>
      </c>
      <c r="M3048" s="7" t="n">
        <v>2019</v>
      </c>
    </row>
    <row r="3049" customFormat="false" ht="15" hidden="false" customHeight="false" outlineLevel="0" collapsed="false">
      <c r="A3049" s="3" t="n">
        <v>4140</v>
      </c>
      <c r="B3049" s="3" t="s">
        <v>1053</v>
      </c>
      <c r="C3049" s="4" t="s">
        <v>20</v>
      </c>
      <c r="D3049" s="5" t="n">
        <v>3650</v>
      </c>
      <c r="E3049" s="6" t="n">
        <v>40.5</v>
      </c>
      <c r="F3049" s="7" t="n">
        <v>54</v>
      </c>
      <c r="G3049" s="6" t="n">
        <v>432.456175665983</v>
      </c>
      <c r="H3049" s="8" t="n">
        <v>28574.9977150673</v>
      </c>
      <c r="I3049" s="9" t="n">
        <v>17.7499665688642</v>
      </c>
      <c r="J3049" s="9" t="n">
        <v>105.773148655985</v>
      </c>
      <c r="K3049" s="3" t="s">
        <v>1054</v>
      </c>
      <c r="L3049" s="3" t="s">
        <v>1055</v>
      </c>
      <c r="M3049" s="7" t="n">
        <v>2020</v>
      </c>
    </row>
    <row r="3050" customFormat="false" ht="15" hidden="false" customHeight="false" outlineLevel="0" collapsed="false">
      <c r="A3050" s="3" t="n">
        <v>4141</v>
      </c>
      <c r="B3050" s="3" t="s">
        <v>1053</v>
      </c>
      <c r="C3050" s="4" t="s">
        <v>21</v>
      </c>
      <c r="D3050" s="5" t="n">
        <v>3650</v>
      </c>
      <c r="E3050" s="6" t="n">
        <v>40.5</v>
      </c>
      <c r="F3050" s="7" t="n">
        <v>62</v>
      </c>
      <c r="G3050" s="6" t="n">
        <v>352.620736999284</v>
      </c>
      <c r="H3050" s="8" t="n">
        <v>23299.7869403128</v>
      </c>
      <c r="I3050" s="9" t="n">
        <v>15.3568915689273</v>
      </c>
      <c r="J3050" s="9" t="n">
        <v>86.483380830915</v>
      </c>
      <c r="K3050" s="3" t="s">
        <v>1054</v>
      </c>
      <c r="L3050" s="3" t="s">
        <v>1055</v>
      </c>
      <c r="M3050" s="7" t="n">
        <v>2021</v>
      </c>
    </row>
    <row r="3051" customFormat="false" ht="15" hidden="false" customHeight="false" outlineLevel="0" collapsed="false">
      <c r="A3051" s="3" t="n">
        <v>4142</v>
      </c>
      <c r="B3051" s="3" t="s">
        <v>1053</v>
      </c>
      <c r="C3051" s="4" t="s">
        <v>22</v>
      </c>
      <c r="D3051" s="5" t="n">
        <v>3606</v>
      </c>
      <c r="E3051" s="6" t="n">
        <v>40.5</v>
      </c>
      <c r="F3051" s="7" t="n">
        <v>63</v>
      </c>
      <c r="G3051" s="6" t="n">
        <v>355.651743970421</v>
      </c>
      <c r="H3051" s="8" t="n">
        <v>27312.8270291626</v>
      </c>
      <c r="I3051" s="9" t="n">
        <v>15.0194017328934</v>
      </c>
      <c r="J3051" s="9" t="n">
        <v>88.2910933125085</v>
      </c>
      <c r="K3051" s="3" t="s">
        <v>1054</v>
      </c>
      <c r="L3051" s="3" t="s">
        <v>1055</v>
      </c>
      <c r="M3051" s="7" t="n">
        <v>2022</v>
      </c>
    </row>
    <row r="3052" customFormat="false" ht="15" hidden="false" customHeight="false" outlineLevel="0" collapsed="false">
      <c r="A3052" s="3" t="n">
        <v>4143</v>
      </c>
      <c r="B3052" s="3" t="s">
        <v>1053</v>
      </c>
      <c r="C3052" s="4" t="s">
        <v>23</v>
      </c>
      <c r="D3052" s="5" t="n">
        <v>3607</v>
      </c>
      <c r="E3052" s="6" t="n">
        <v>40.7</v>
      </c>
      <c r="F3052" s="7" t="n">
        <v>67</v>
      </c>
      <c r="G3052" s="6" t="n">
        <v>313.230856101529</v>
      </c>
      <c r="H3052" s="8" t="n">
        <v>28168.331946995</v>
      </c>
      <c r="I3052" s="9" t="n">
        <v>13.6851713122024</v>
      </c>
      <c r="J3052" s="9" t="n">
        <v>77.7384844575256</v>
      </c>
      <c r="K3052" s="3" t="s">
        <v>1054</v>
      </c>
      <c r="L3052" s="3" t="s">
        <v>1055</v>
      </c>
      <c r="M3052" s="7" t="n">
        <v>2023</v>
      </c>
    </row>
    <row r="3053" customFormat="false" ht="15" hidden="false" customHeight="false" outlineLevel="0" collapsed="false">
      <c r="A3053" s="3" t="n">
        <v>4144</v>
      </c>
      <c r="B3053" s="3" t="s">
        <v>1053</v>
      </c>
      <c r="C3053" s="4" t="s">
        <v>24</v>
      </c>
      <c r="D3053" s="5" t="n">
        <v>3607</v>
      </c>
      <c r="E3053" s="6" t="n">
        <v>40.7</v>
      </c>
      <c r="F3053" s="7" t="n">
        <v>67</v>
      </c>
      <c r="G3053" s="6" t="n">
        <v>321.208549893023</v>
      </c>
      <c r="H3053" s="8" t="n">
        <v>28885.7527326965</v>
      </c>
      <c r="I3053" s="9" t="n">
        <v>14.0110272258489</v>
      </c>
      <c r="J3053" s="9" t="n">
        <v>79.5000035632324</v>
      </c>
      <c r="K3053" s="3" t="s">
        <v>1054</v>
      </c>
      <c r="L3053" s="3" t="s">
        <v>1055</v>
      </c>
      <c r="M3053" s="7" t="n">
        <v>2024</v>
      </c>
    </row>
    <row r="3054" customFormat="false" ht="15" hidden="false" customHeight="false" outlineLevel="0" collapsed="false">
      <c r="A3054" s="3" t="n">
        <v>4145</v>
      </c>
      <c r="B3054" s="3" t="s">
        <v>1056</v>
      </c>
      <c r="C3054" s="4" t="s">
        <v>14</v>
      </c>
      <c r="D3054" s="5" t="n">
        <v>29231</v>
      </c>
      <c r="E3054" s="6" t="n">
        <v>558</v>
      </c>
      <c r="F3054" s="7" t="n">
        <v>63</v>
      </c>
      <c r="G3054" s="6" t="n">
        <v>1773.75932397959</v>
      </c>
      <c r="H3054" s="8" t="n">
        <v>464139.60230574</v>
      </c>
      <c r="I3054" s="9" t="n">
        <v>11.4185144713812</v>
      </c>
      <c r="J3054" s="9" t="n">
        <v>54.172292174153</v>
      </c>
      <c r="K3054" s="3" t="s">
        <v>1057</v>
      </c>
      <c r="L3054" s="3" t="s">
        <v>1058</v>
      </c>
      <c r="M3054" s="7" t="n">
        <v>2016</v>
      </c>
    </row>
    <row r="3055" customFormat="false" ht="15" hidden="false" customHeight="false" outlineLevel="0" collapsed="false">
      <c r="A3055" s="3" t="n">
        <v>4146</v>
      </c>
      <c r="B3055" s="3" t="s">
        <v>1056</v>
      </c>
      <c r="C3055" s="4" t="s">
        <v>17</v>
      </c>
      <c r="D3055" s="5" t="n">
        <v>29296</v>
      </c>
      <c r="E3055" s="6" t="n">
        <v>559</v>
      </c>
      <c r="F3055" s="7" t="n">
        <v>67</v>
      </c>
      <c r="G3055" s="6" t="n">
        <v>1971.82742806123</v>
      </c>
      <c r="H3055" s="8" t="n">
        <v>515968.083100781</v>
      </c>
      <c r="I3055" s="9" t="n">
        <v>11.5129952954573</v>
      </c>
      <c r="J3055" s="9" t="n">
        <v>60.2529411116002</v>
      </c>
      <c r="K3055" s="3" t="s">
        <v>1057</v>
      </c>
      <c r="L3055" s="3" t="s">
        <v>1058</v>
      </c>
      <c r="M3055" s="7" t="n">
        <v>2017</v>
      </c>
    </row>
    <row r="3056" customFormat="false" ht="15" hidden="false" customHeight="false" outlineLevel="0" collapsed="false">
      <c r="A3056" s="3" t="n">
        <v>4147</v>
      </c>
      <c r="B3056" s="3" t="s">
        <v>1056</v>
      </c>
      <c r="C3056" s="4" t="s">
        <v>18</v>
      </c>
      <c r="D3056" s="5" t="n">
        <v>29511</v>
      </c>
      <c r="E3056" s="6" t="n">
        <v>559</v>
      </c>
      <c r="F3056" s="7" t="n">
        <v>69</v>
      </c>
      <c r="G3056" s="6" t="n">
        <v>2350.18187433974</v>
      </c>
      <c r="H3056" s="8" t="n">
        <v>552292.740469838</v>
      </c>
      <c r="I3056" s="9" t="n">
        <v>11.8297557718158</v>
      </c>
      <c r="J3056" s="9" t="n">
        <v>71.2910844136233</v>
      </c>
      <c r="K3056" s="3" t="s">
        <v>1057</v>
      </c>
      <c r="L3056" s="3" t="s">
        <v>1058</v>
      </c>
      <c r="M3056" s="7" t="n">
        <v>2018</v>
      </c>
    </row>
    <row r="3057" customFormat="false" ht="15" hidden="false" customHeight="false" outlineLevel="0" collapsed="false">
      <c r="A3057" s="3" t="n">
        <v>4148</v>
      </c>
      <c r="B3057" s="3" t="s">
        <v>1056</v>
      </c>
      <c r="C3057" s="4" t="s">
        <v>19</v>
      </c>
      <c r="D3057" s="5" t="n">
        <v>29748</v>
      </c>
      <c r="E3057" s="6" t="n">
        <v>559</v>
      </c>
      <c r="F3057" s="7" t="n">
        <v>69</v>
      </c>
      <c r="G3057" s="6" t="n">
        <v>2489.72347954182</v>
      </c>
      <c r="H3057" s="8" t="n">
        <v>585085.017692327</v>
      </c>
      <c r="I3057" s="9" t="n">
        <v>12.6949915132172</v>
      </c>
      <c r="J3057" s="9" t="n">
        <v>74.9222854331865</v>
      </c>
      <c r="K3057" s="3" t="s">
        <v>1057</v>
      </c>
      <c r="L3057" s="3" t="s">
        <v>1058</v>
      </c>
      <c r="M3057" s="7" t="n">
        <v>2019</v>
      </c>
    </row>
    <row r="3058" customFormat="false" ht="15" hidden="false" customHeight="false" outlineLevel="0" collapsed="false">
      <c r="A3058" s="3" t="n">
        <v>4149</v>
      </c>
      <c r="B3058" s="3" t="s">
        <v>1056</v>
      </c>
      <c r="C3058" s="4" t="s">
        <v>20</v>
      </c>
      <c r="D3058" s="5" t="n">
        <v>30073</v>
      </c>
      <c r="E3058" s="6" t="n">
        <v>567</v>
      </c>
      <c r="F3058" s="7" t="n">
        <v>72</v>
      </c>
      <c r="G3058" s="6" t="n">
        <v>1711.74891530612</v>
      </c>
      <c r="H3058" s="8" t="n">
        <v>396372.578828285</v>
      </c>
      <c r="I3058" s="9" t="n">
        <v>9.42900472596459</v>
      </c>
      <c r="J3058" s="9" t="n">
        <v>50.8147157716602</v>
      </c>
      <c r="K3058" s="3" t="s">
        <v>1057</v>
      </c>
      <c r="L3058" s="3" t="s">
        <v>1058</v>
      </c>
      <c r="M3058" s="7" t="n">
        <v>2020</v>
      </c>
    </row>
    <row r="3059" customFormat="false" ht="15" hidden="false" customHeight="false" outlineLevel="0" collapsed="false">
      <c r="A3059" s="3" t="n">
        <v>4150</v>
      </c>
      <c r="B3059" s="3" t="s">
        <v>1056</v>
      </c>
      <c r="C3059" s="4" t="s">
        <v>21</v>
      </c>
      <c r="D3059" s="5" t="n">
        <v>30377</v>
      </c>
      <c r="E3059" s="6" t="n">
        <v>564</v>
      </c>
      <c r="F3059" s="7" t="n">
        <v>73</v>
      </c>
      <c r="G3059" s="6" t="n">
        <v>847.1072122449</v>
      </c>
      <c r="H3059" s="8" t="n">
        <v>247194.355605184</v>
      </c>
      <c r="I3059" s="9" t="n">
        <v>6.11538805316279</v>
      </c>
      <c r="J3059" s="9" t="n">
        <v>24.9638274816449</v>
      </c>
      <c r="K3059" s="3" t="s">
        <v>1057</v>
      </c>
      <c r="L3059" s="3" t="s">
        <v>1058</v>
      </c>
      <c r="M3059" s="7" t="n">
        <v>2021</v>
      </c>
    </row>
    <row r="3060" customFormat="false" ht="15" hidden="false" customHeight="false" outlineLevel="0" collapsed="false">
      <c r="A3060" s="3" t="n">
        <v>4151</v>
      </c>
      <c r="B3060" s="3" t="s">
        <v>1056</v>
      </c>
      <c r="C3060" s="4" t="s">
        <v>22</v>
      </c>
      <c r="D3060" s="5" t="n">
        <v>30580</v>
      </c>
      <c r="E3060" s="6" t="n">
        <v>565</v>
      </c>
      <c r="F3060" s="7" t="n">
        <v>74</v>
      </c>
      <c r="G3060" s="6" t="n">
        <v>854.533699285708</v>
      </c>
      <c r="H3060" s="8" t="n">
        <v>291002.905954755</v>
      </c>
      <c r="I3060" s="9" t="n">
        <v>6.58212962226734</v>
      </c>
      <c r="J3060" s="9" t="n">
        <v>25.0155115070134</v>
      </c>
      <c r="K3060" s="3" t="s">
        <v>1057</v>
      </c>
      <c r="L3060" s="3" t="s">
        <v>1058</v>
      </c>
      <c r="M3060" s="7" t="n">
        <v>2022</v>
      </c>
    </row>
    <row r="3061" customFormat="false" ht="15" hidden="false" customHeight="false" outlineLevel="0" collapsed="false">
      <c r="A3061" s="3" t="n">
        <v>4152</v>
      </c>
      <c r="B3061" s="3" t="s">
        <v>1056</v>
      </c>
      <c r="C3061" s="4" t="s">
        <v>23</v>
      </c>
      <c r="D3061" s="5" t="n">
        <v>30663</v>
      </c>
      <c r="E3061" s="6" t="n">
        <v>558</v>
      </c>
      <c r="F3061" s="7" t="n">
        <v>75</v>
      </c>
      <c r="G3061" s="6" t="n">
        <v>901.852163181774</v>
      </c>
      <c r="H3061" s="8" t="n">
        <v>199792.973921283</v>
      </c>
      <c r="I3061" s="9" t="n">
        <v>6.35653135239408</v>
      </c>
      <c r="J3061" s="9" t="n">
        <v>26.3292436086432</v>
      </c>
      <c r="K3061" s="3" t="s">
        <v>1057</v>
      </c>
      <c r="L3061" s="3" t="s">
        <v>1058</v>
      </c>
      <c r="M3061" s="7" t="n">
        <v>2023</v>
      </c>
    </row>
    <row r="3062" customFormat="false" ht="15" hidden="false" customHeight="false" outlineLevel="0" collapsed="false">
      <c r="A3062" s="3" t="n">
        <v>4153</v>
      </c>
      <c r="B3062" s="3" t="s">
        <v>1056</v>
      </c>
      <c r="C3062" s="4" t="s">
        <v>24</v>
      </c>
      <c r="D3062" s="5" t="n">
        <v>31493</v>
      </c>
      <c r="E3062" s="6" t="n">
        <v>555</v>
      </c>
      <c r="F3062" s="7" t="n">
        <v>77</v>
      </c>
      <c r="G3062" s="6" t="n">
        <v>1068.0234464696</v>
      </c>
      <c r="H3062" s="8" t="n">
        <v>150405.748158972</v>
      </c>
      <c r="I3062" s="9" t="n">
        <v>6.16556829479732</v>
      </c>
      <c r="J3062" s="9" t="n">
        <v>30.2756131547881</v>
      </c>
      <c r="K3062" s="3" t="s">
        <v>1057</v>
      </c>
      <c r="L3062" s="3" t="s">
        <v>1058</v>
      </c>
      <c r="M3062" s="7" t="n">
        <v>2024</v>
      </c>
    </row>
    <row r="3063" customFormat="false" ht="15" hidden="false" customHeight="false" outlineLevel="0" collapsed="false">
      <c r="A3063" s="3" t="n">
        <v>4154</v>
      </c>
      <c r="B3063" s="3" t="s">
        <v>1059</v>
      </c>
      <c r="C3063" s="4" t="s">
        <v>14</v>
      </c>
      <c r="D3063" s="5" t="n">
        <v>3717</v>
      </c>
      <c r="E3063" s="6" t="n">
        <v>79.4</v>
      </c>
      <c r="F3063" s="7" t="n">
        <v>63</v>
      </c>
      <c r="G3063" s="6" t="n">
        <v>106.554441919192</v>
      </c>
      <c r="H3063" s="8" t="n">
        <v>24697.1885480303</v>
      </c>
      <c r="I3063" s="9" t="n">
        <v>8.8866969302285</v>
      </c>
      <c r="J3063" s="9" t="n">
        <v>25.592056824299</v>
      </c>
      <c r="K3063" s="3" t="s">
        <v>1060</v>
      </c>
      <c r="L3063" s="3" t="s">
        <v>1061</v>
      </c>
      <c r="M3063" s="7" t="n">
        <v>2016</v>
      </c>
    </row>
    <row r="3064" customFormat="false" ht="15" hidden="false" customHeight="false" outlineLevel="0" collapsed="false">
      <c r="A3064" s="3" t="n">
        <v>4155</v>
      </c>
      <c r="B3064" s="3" t="s">
        <v>1059</v>
      </c>
      <c r="C3064" s="4" t="s">
        <v>17</v>
      </c>
      <c r="D3064" s="5" t="n">
        <v>3752</v>
      </c>
      <c r="E3064" s="6" t="n">
        <v>79.4</v>
      </c>
      <c r="F3064" s="7" t="n">
        <v>67</v>
      </c>
      <c r="G3064" s="6" t="n">
        <v>107.571069949495</v>
      </c>
      <c r="H3064" s="8" t="n">
        <v>15048.1169752349</v>
      </c>
      <c r="I3064" s="9" t="n">
        <v>8.52606974848512</v>
      </c>
      <c r="J3064" s="9" t="n">
        <v>25.6655356806867</v>
      </c>
      <c r="K3064" s="3" t="s">
        <v>1060</v>
      </c>
      <c r="L3064" s="3" t="s">
        <v>1061</v>
      </c>
      <c r="M3064" s="7" t="n">
        <v>2017</v>
      </c>
    </row>
    <row r="3065" customFormat="false" ht="15" hidden="false" customHeight="false" outlineLevel="0" collapsed="false">
      <c r="A3065" s="3" t="n">
        <v>4156</v>
      </c>
      <c r="B3065" s="3" t="s">
        <v>1059</v>
      </c>
      <c r="C3065" s="4" t="s">
        <v>18</v>
      </c>
      <c r="D3065" s="5" t="n">
        <v>3752</v>
      </c>
      <c r="E3065" s="6" t="n">
        <v>79.4</v>
      </c>
      <c r="F3065" s="7" t="n">
        <v>67</v>
      </c>
      <c r="G3065" s="6" t="n">
        <v>87.3719558333338</v>
      </c>
      <c r="H3065" s="8" t="n">
        <v>9142.60145840005</v>
      </c>
      <c r="I3065" s="9" t="n">
        <v>10.0685978712204</v>
      </c>
      <c r="J3065" s="9" t="n">
        <v>20.8462001073769</v>
      </c>
      <c r="K3065" s="3" t="s">
        <v>1060</v>
      </c>
      <c r="L3065" s="3" t="s">
        <v>1061</v>
      </c>
      <c r="M3065" s="7" t="n">
        <v>2018</v>
      </c>
    </row>
    <row r="3066" customFormat="false" ht="15" hidden="false" customHeight="false" outlineLevel="0" collapsed="false">
      <c r="A3066" s="3" t="n">
        <v>4157</v>
      </c>
      <c r="B3066" s="3" t="s">
        <v>1059</v>
      </c>
      <c r="C3066" s="4" t="s">
        <v>19</v>
      </c>
      <c r="D3066" s="5" t="n">
        <v>4119</v>
      </c>
      <c r="E3066" s="6" t="n">
        <v>79.4</v>
      </c>
      <c r="F3066" s="7" t="n">
        <v>67</v>
      </c>
      <c r="G3066" s="6" t="n">
        <v>170.872501767677</v>
      </c>
      <c r="H3066" s="8" t="n">
        <v>20068.9753326136</v>
      </c>
      <c r="I3066" s="9" t="n">
        <v>12.1572274373856</v>
      </c>
      <c r="J3066" s="9" t="n">
        <v>37.1362511795374</v>
      </c>
      <c r="K3066" s="3" t="s">
        <v>1060</v>
      </c>
      <c r="L3066" s="3" t="s">
        <v>1061</v>
      </c>
      <c r="M3066" s="7" t="n">
        <v>2019</v>
      </c>
    </row>
    <row r="3067" customFormat="false" ht="15" hidden="false" customHeight="false" outlineLevel="0" collapsed="false">
      <c r="A3067" s="3" t="n">
        <v>4158</v>
      </c>
      <c r="B3067" s="3" t="s">
        <v>1059</v>
      </c>
      <c r="C3067" s="4" t="s">
        <v>20</v>
      </c>
      <c r="D3067" s="5" t="n">
        <v>4166</v>
      </c>
      <c r="E3067" s="6" t="n">
        <v>79.4</v>
      </c>
      <c r="F3067" s="7" t="n">
        <v>67</v>
      </c>
      <c r="G3067" s="6" t="n">
        <v>134.65756540404</v>
      </c>
      <c r="H3067" s="8" t="n">
        <v>19257.3784284318</v>
      </c>
      <c r="I3067" s="9" t="n">
        <v>9.12493244460458</v>
      </c>
      <c r="J3067" s="9" t="n">
        <v>28.8561034496293</v>
      </c>
      <c r="K3067" s="3" t="s">
        <v>1060</v>
      </c>
      <c r="L3067" s="3" t="s">
        <v>1061</v>
      </c>
      <c r="M3067" s="7" t="n">
        <v>2020</v>
      </c>
    </row>
    <row r="3068" customFormat="false" ht="15" hidden="false" customHeight="false" outlineLevel="0" collapsed="false">
      <c r="A3068" s="3" t="n">
        <v>4159</v>
      </c>
      <c r="B3068" s="3" t="s">
        <v>1059</v>
      </c>
      <c r="C3068" s="4" t="s">
        <v>21</v>
      </c>
      <c r="D3068" s="5" t="n">
        <v>4135</v>
      </c>
      <c r="E3068" s="6" t="n">
        <v>82.32</v>
      </c>
      <c r="F3068" s="7" t="n">
        <v>67</v>
      </c>
      <c r="G3068" s="6" t="n">
        <v>91.2815247474746</v>
      </c>
      <c r="H3068" s="8" t="n">
        <v>12302.9239054646</v>
      </c>
      <c r="I3068" s="9" t="n">
        <v>7.4924277148001</v>
      </c>
      <c r="J3068" s="9" t="n">
        <v>19.7617338722573</v>
      </c>
      <c r="K3068" s="3" t="s">
        <v>1060</v>
      </c>
      <c r="L3068" s="3" t="s">
        <v>1061</v>
      </c>
      <c r="M3068" s="7" t="n">
        <v>2021</v>
      </c>
    </row>
    <row r="3069" customFormat="false" ht="15" hidden="false" customHeight="false" outlineLevel="0" collapsed="false">
      <c r="A3069" s="3" t="n">
        <v>4160</v>
      </c>
      <c r="B3069" s="3" t="s">
        <v>1059</v>
      </c>
      <c r="C3069" s="4" t="s">
        <v>22</v>
      </c>
      <c r="D3069" s="5" t="n">
        <v>4636</v>
      </c>
      <c r="E3069" s="6" t="n">
        <v>82.1</v>
      </c>
      <c r="F3069" s="7" t="n">
        <v>79</v>
      </c>
      <c r="G3069" s="6" t="n">
        <v>80.4637</v>
      </c>
      <c r="H3069" s="8" t="n">
        <v>12782.463382</v>
      </c>
      <c r="I3069" s="9" t="n">
        <v>6.40890277895093</v>
      </c>
      <c r="J3069" s="9" t="n">
        <v>15.537253309444</v>
      </c>
      <c r="K3069" s="3" t="s">
        <v>1060</v>
      </c>
      <c r="L3069" s="3" t="s">
        <v>1061</v>
      </c>
      <c r="M3069" s="7" t="n">
        <v>2022</v>
      </c>
    </row>
    <row r="3070" customFormat="false" ht="15" hidden="false" customHeight="false" outlineLevel="0" collapsed="false">
      <c r="A3070" s="3" t="n">
        <v>4161</v>
      </c>
      <c r="B3070" s="3" t="s">
        <v>1059</v>
      </c>
      <c r="C3070" s="4" t="s">
        <v>23</v>
      </c>
      <c r="D3070" s="5" t="n">
        <v>4644</v>
      </c>
      <c r="E3070" s="6" t="n">
        <v>82.1</v>
      </c>
      <c r="F3070" s="7" t="n">
        <v>79</v>
      </c>
      <c r="G3070" s="6" t="n">
        <v>130.386004646511</v>
      </c>
      <c r="H3070" s="8" t="n">
        <v>22552.867223707</v>
      </c>
      <c r="I3070" s="9" t="n">
        <v>9.24897442038967</v>
      </c>
      <c r="J3070" s="9" t="n">
        <v>25.1337008168819</v>
      </c>
      <c r="K3070" s="3" t="s">
        <v>1060</v>
      </c>
      <c r="L3070" s="3" t="s">
        <v>1061</v>
      </c>
      <c r="M3070" s="7" t="n">
        <v>2023</v>
      </c>
    </row>
    <row r="3071" customFormat="false" ht="15" hidden="false" customHeight="false" outlineLevel="0" collapsed="false">
      <c r="A3071" s="3" t="n">
        <v>4162</v>
      </c>
      <c r="B3071" s="3" t="s">
        <v>1059</v>
      </c>
      <c r="C3071" s="4" t="s">
        <v>24</v>
      </c>
      <c r="D3071" s="5" t="n">
        <v>4738</v>
      </c>
      <c r="E3071" s="6" t="n">
        <v>82.1</v>
      </c>
      <c r="F3071" s="7" t="n">
        <v>81</v>
      </c>
      <c r="G3071" s="6" t="n">
        <v>67.5921154765524</v>
      </c>
      <c r="H3071" s="8" t="n">
        <v>10054.3271771372</v>
      </c>
      <c r="I3071" s="9" t="n">
        <v>5.75968162190239</v>
      </c>
      <c r="J3071" s="9" t="n">
        <v>12.7358277408247</v>
      </c>
      <c r="K3071" s="3" t="s">
        <v>1060</v>
      </c>
      <c r="L3071" s="3" t="s">
        <v>1061</v>
      </c>
      <c r="M3071" s="7" t="n">
        <v>2024</v>
      </c>
    </row>
    <row r="3072" customFormat="false" ht="15" hidden="false" customHeight="false" outlineLevel="0" collapsed="false">
      <c r="A3072" s="3" t="n">
        <v>4171</v>
      </c>
      <c r="B3072" s="3" t="s">
        <v>1062</v>
      </c>
      <c r="C3072" s="4" t="s">
        <v>14</v>
      </c>
      <c r="D3072" s="5" t="n">
        <v>3049</v>
      </c>
      <c r="E3072" s="6" t="n">
        <v>85.9482954545455</v>
      </c>
      <c r="F3072" s="7" t="n">
        <v>55</v>
      </c>
      <c r="G3072" s="6" t="n">
        <v>181.727824607293</v>
      </c>
      <c r="H3072" s="8" t="n">
        <v>25648.3053534057</v>
      </c>
      <c r="I3072" s="9" t="n">
        <v>12.5582923654378</v>
      </c>
      <c r="J3072" s="9" t="n">
        <v>53.2096248723912</v>
      </c>
      <c r="K3072" s="3" t="s">
        <v>1063</v>
      </c>
      <c r="L3072" s="3" t="s">
        <v>1064</v>
      </c>
      <c r="M3072" s="7" t="n">
        <v>2016</v>
      </c>
    </row>
    <row r="3073" customFormat="false" ht="15" hidden="false" customHeight="false" outlineLevel="0" collapsed="false">
      <c r="A3073" s="3" t="n">
        <v>4172</v>
      </c>
      <c r="B3073" s="3" t="s">
        <v>1062</v>
      </c>
      <c r="C3073" s="4" t="s">
        <v>17</v>
      </c>
      <c r="D3073" s="5" t="n">
        <v>3044</v>
      </c>
      <c r="E3073" s="6" t="n">
        <v>93.19</v>
      </c>
      <c r="F3073" s="7" t="n">
        <v>48</v>
      </c>
      <c r="G3073" s="6" t="n">
        <v>263.292820742974</v>
      </c>
      <c r="H3073" s="8" t="n">
        <v>35200.5080350639</v>
      </c>
      <c r="I3073" s="9" t="n">
        <v>16.667065580607</v>
      </c>
      <c r="J3073" s="9" t="n">
        <v>77.4304964295812</v>
      </c>
      <c r="K3073" s="3" t="s">
        <v>1063</v>
      </c>
      <c r="L3073" s="3" t="s">
        <v>1064</v>
      </c>
      <c r="M3073" s="7" t="n">
        <v>2017</v>
      </c>
    </row>
    <row r="3074" customFormat="false" ht="15" hidden="false" customHeight="false" outlineLevel="0" collapsed="false">
      <c r="A3074" s="3" t="n">
        <v>4173</v>
      </c>
      <c r="B3074" s="3" t="s">
        <v>1062</v>
      </c>
      <c r="C3074" s="4" t="s">
        <v>18</v>
      </c>
      <c r="D3074" s="5" t="n">
        <v>3049</v>
      </c>
      <c r="E3074" s="6" t="n">
        <v>93.19</v>
      </c>
      <c r="F3074" s="7" t="n">
        <v>49</v>
      </c>
      <c r="G3074" s="6" t="n">
        <v>257.839111557808</v>
      </c>
      <c r="H3074" s="8" t="n">
        <v>35559.3335406388</v>
      </c>
      <c r="I3074" s="9" t="n">
        <v>16.8233647020169</v>
      </c>
      <c r="J3074" s="9" t="n">
        <v>75.7022950600118</v>
      </c>
      <c r="K3074" s="3" t="s">
        <v>1063</v>
      </c>
      <c r="L3074" s="3" t="s">
        <v>1064</v>
      </c>
      <c r="M3074" s="7" t="n">
        <v>2018</v>
      </c>
    </row>
    <row r="3075" customFormat="false" ht="15" hidden="false" customHeight="false" outlineLevel="0" collapsed="false">
      <c r="A3075" s="3" t="n">
        <v>4174</v>
      </c>
      <c r="B3075" s="3" t="s">
        <v>1062</v>
      </c>
      <c r="C3075" s="4" t="s">
        <v>19</v>
      </c>
      <c r="D3075" s="5" t="n">
        <v>3055</v>
      </c>
      <c r="E3075" s="6" t="n">
        <v>93.19</v>
      </c>
      <c r="F3075" s="7" t="n">
        <v>50</v>
      </c>
      <c r="G3075" s="6" t="n">
        <v>188.846112374057</v>
      </c>
      <c r="H3075" s="8" t="n">
        <v>28391.9311490377</v>
      </c>
      <c r="I3075" s="9" t="n">
        <v>13.9909675214812</v>
      </c>
      <c r="J3075" s="9" t="n">
        <v>55.3368595557624</v>
      </c>
      <c r="K3075" s="3" t="s">
        <v>1063</v>
      </c>
      <c r="L3075" s="3" t="s">
        <v>1064</v>
      </c>
      <c r="M3075" s="7" t="n">
        <v>2019</v>
      </c>
    </row>
    <row r="3076" customFormat="false" ht="15" hidden="false" customHeight="false" outlineLevel="0" collapsed="false">
      <c r="A3076" s="3" t="n">
        <v>4175</v>
      </c>
      <c r="B3076" s="3" t="s">
        <v>1062</v>
      </c>
      <c r="C3076" s="4" t="s">
        <v>20</v>
      </c>
      <c r="D3076" s="5" t="n">
        <v>3268</v>
      </c>
      <c r="E3076" s="6" t="n">
        <v>93.19</v>
      </c>
      <c r="F3076" s="7" t="n">
        <v>57</v>
      </c>
      <c r="G3076" s="6" t="n">
        <v>156.526985276498</v>
      </c>
      <c r="H3076" s="8" t="n">
        <v>20950.5943569018</v>
      </c>
      <c r="I3076" s="9" t="n">
        <v>11.5574043167415</v>
      </c>
      <c r="J3076" s="9" t="n">
        <v>42.7595736819739</v>
      </c>
      <c r="K3076" s="3" t="s">
        <v>1063</v>
      </c>
      <c r="L3076" s="3" t="s">
        <v>1064</v>
      </c>
      <c r="M3076" s="7" t="n">
        <v>2020</v>
      </c>
    </row>
    <row r="3077" customFormat="false" ht="15" hidden="false" customHeight="false" outlineLevel="0" collapsed="false">
      <c r="A3077" s="3" t="n">
        <v>4176</v>
      </c>
      <c r="B3077" s="3" t="s">
        <v>1062</v>
      </c>
      <c r="C3077" s="4" t="s">
        <v>21</v>
      </c>
      <c r="D3077" s="5" t="n">
        <v>3268</v>
      </c>
      <c r="E3077" s="6" t="n">
        <v>93.19</v>
      </c>
      <c r="F3077" s="7" t="n">
        <v>57</v>
      </c>
      <c r="G3077" s="6" t="n">
        <v>203.531401816424</v>
      </c>
      <c r="H3077" s="8" t="n">
        <v>27633.2658688819</v>
      </c>
      <c r="I3077" s="9" t="n">
        <v>12.8963389001677</v>
      </c>
      <c r="J3077" s="9" t="n">
        <v>55.7528471334448</v>
      </c>
      <c r="K3077" s="3" t="s">
        <v>1063</v>
      </c>
      <c r="L3077" s="3" t="s">
        <v>1064</v>
      </c>
      <c r="M3077" s="7" t="n">
        <v>2021</v>
      </c>
    </row>
    <row r="3078" customFormat="false" ht="15" hidden="false" customHeight="false" outlineLevel="0" collapsed="false">
      <c r="A3078" s="3" t="n">
        <v>4177</v>
      </c>
      <c r="B3078" s="3" t="s">
        <v>1062</v>
      </c>
      <c r="C3078" s="4" t="s">
        <v>22</v>
      </c>
      <c r="D3078" s="5" t="n">
        <v>3027</v>
      </c>
      <c r="E3078" s="6" t="n">
        <v>93.2</v>
      </c>
      <c r="F3078" s="7" t="n">
        <v>56</v>
      </c>
      <c r="G3078" s="6" t="n">
        <v>290.357530238559</v>
      </c>
      <c r="H3078" s="8" t="n">
        <v>41993.1559965875</v>
      </c>
      <c r="I3078" s="9" t="n">
        <v>18.9650264555664</v>
      </c>
      <c r="J3078" s="9" t="n">
        <v>85.869383956266</v>
      </c>
      <c r="K3078" s="3" t="s">
        <v>1063</v>
      </c>
      <c r="L3078" s="3" t="s">
        <v>1064</v>
      </c>
      <c r="M3078" s="7" t="n">
        <v>2022</v>
      </c>
    </row>
    <row r="3079" customFormat="false" ht="15" hidden="false" customHeight="false" outlineLevel="0" collapsed="false">
      <c r="A3079" s="3" t="n">
        <v>4178</v>
      </c>
      <c r="B3079" s="3" t="s">
        <v>1062</v>
      </c>
      <c r="C3079" s="4" t="s">
        <v>23</v>
      </c>
      <c r="D3079" s="5" t="n">
        <v>3061</v>
      </c>
      <c r="E3079" s="6" t="n">
        <v>93.2</v>
      </c>
      <c r="F3079" s="7" t="n">
        <v>56</v>
      </c>
      <c r="G3079" s="6" t="n">
        <v>455.084794361703</v>
      </c>
      <c r="H3079" s="8" t="n">
        <v>65407.6691323406</v>
      </c>
      <c r="I3079" s="9" t="n">
        <v>26.2207451358176</v>
      </c>
      <c r="J3079" s="9" t="n">
        <v>133.090381409109</v>
      </c>
      <c r="K3079" s="3" t="s">
        <v>1063</v>
      </c>
      <c r="L3079" s="3" t="s">
        <v>1064</v>
      </c>
      <c r="M3079" s="7" t="n">
        <v>2023</v>
      </c>
    </row>
    <row r="3080" customFormat="false" ht="15" hidden="false" customHeight="false" outlineLevel="0" collapsed="false">
      <c r="A3080" s="3" t="n">
        <v>4179</v>
      </c>
      <c r="B3080" s="3" t="s">
        <v>1062</v>
      </c>
      <c r="C3080" s="4" t="s">
        <v>24</v>
      </c>
      <c r="D3080" s="5" t="n">
        <v>3168</v>
      </c>
      <c r="E3080" s="6" t="n">
        <v>93.2</v>
      </c>
      <c r="F3080" s="7" t="n">
        <v>59</v>
      </c>
      <c r="G3080" s="6" t="n">
        <v>545.544276440962</v>
      </c>
      <c r="H3080" s="8" t="n">
        <v>90858.0400328868</v>
      </c>
      <c r="I3080" s="9" t="n">
        <v>25.7570275749797</v>
      </c>
      <c r="J3080" s="9" t="n">
        <v>153.734388424107</v>
      </c>
      <c r="K3080" s="3" t="s">
        <v>1063</v>
      </c>
      <c r="L3080" s="3" t="s">
        <v>1064</v>
      </c>
      <c r="M3080" s="7" t="n">
        <v>2024</v>
      </c>
    </row>
    <row r="3081" customFormat="false" ht="15" hidden="false" customHeight="false" outlineLevel="0" collapsed="false">
      <c r="A3081" s="3" t="n">
        <v>4180</v>
      </c>
      <c r="B3081" s="3" t="s">
        <v>1065</v>
      </c>
      <c r="C3081" s="4" t="s">
        <v>14</v>
      </c>
      <c r="D3081" s="5" t="n">
        <v>9830</v>
      </c>
      <c r="E3081" s="6" t="n">
        <v>114.6</v>
      </c>
      <c r="F3081" s="7" t="n">
        <v>66</v>
      </c>
      <c r="G3081" s="6" t="n">
        <v>451.742673100871</v>
      </c>
      <c r="H3081" s="8" t="n">
        <v>114803.056345166</v>
      </c>
      <c r="I3081" s="9" t="n">
        <v>16.1252057466827</v>
      </c>
      <c r="J3081" s="9" t="n">
        <v>41.0264362024532</v>
      </c>
      <c r="K3081" s="3" t="s">
        <v>1066</v>
      </c>
      <c r="L3081" s="3" t="s">
        <v>1067</v>
      </c>
      <c r="M3081" s="7" t="n">
        <v>2016</v>
      </c>
    </row>
    <row r="3082" customFormat="false" ht="15" hidden="false" customHeight="false" outlineLevel="0" collapsed="false">
      <c r="A3082" s="3" t="n">
        <v>4181</v>
      </c>
      <c r="B3082" s="3" t="s">
        <v>1065</v>
      </c>
      <c r="C3082" s="4" t="s">
        <v>17</v>
      </c>
      <c r="D3082" s="5" t="n">
        <v>9830</v>
      </c>
      <c r="E3082" s="6" t="n">
        <v>114.6</v>
      </c>
      <c r="F3082" s="7" t="n">
        <v>65</v>
      </c>
      <c r="G3082" s="6" t="n">
        <v>631.379904592536</v>
      </c>
      <c r="H3082" s="8" t="n">
        <v>132288.079101034</v>
      </c>
      <c r="I3082" s="9" t="n">
        <v>17.6922714292069</v>
      </c>
      <c r="J3082" s="9" t="n">
        <v>57.4982877296967</v>
      </c>
      <c r="K3082" s="3" t="s">
        <v>1066</v>
      </c>
      <c r="L3082" s="3" t="s">
        <v>1067</v>
      </c>
      <c r="M3082" s="7" t="n">
        <v>2017</v>
      </c>
    </row>
    <row r="3083" customFormat="false" ht="15" hidden="false" customHeight="false" outlineLevel="0" collapsed="false">
      <c r="A3083" s="3" t="n">
        <v>4182</v>
      </c>
      <c r="B3083" s="3" t="s">
        <v>1065</v>
      </c>
      <c r="C3083" s="4" t="s">
        <v>18</v>
      </c>
      <c r="D3083" s="5" t="n">
        <v>9629</v>
      </c>
      <c r="E3083" s="6" t="n">
        <v>114.6</v>
      </c>
      <c r="F3083" s="7" t="n">
        <v>66</v>
      </c>
      <c r="G3083" s="6" t="n">
        <v>430.541535251349</v>
      </c>
      <c r="H3083" s="8" t="n">
        <v>98625.5327908769</v>
      </c>
      <c r="I3083" s="9" t="n">
        <v>12.6754515941064</v>
      </c>
      <c r="J3083" s="9" t="n">
        <v>40.0268619073071</v>
      </c>
      <c r="K3083" s="3" t="s">
        <v>1066</v>
      </c>
      <c r="L3083" s="3" t="s">
        <v>1067</v>
      </c>
      <c r="M3083" s="7" t="n">
        <v>2018</v>
      </c>
    </row>
    <row r="3084" customFormat="false" ht="15" hidden="false" customHeight="false" outlineLevel="0" collapsed="false">
      <c r="A3084" s="3" t="n">
        <v>4183</v>
      </c>
      <c r="B3084" s="3" t="s">
        <v>1065</v>
      </c>
      <c r="C3084" s="4" t="s">
        <v>19</v>
      </c>
      <c r="D3084" s="5" t="n">
        <v>9739</v>
      </c>
      <c r="E3084" s="6" t="n">
        <v>160</v>
      </c>
      <c r="F3084" s="7" t="n">
        <v>66</v>
      </c>
      <c r="G3084" s="6" t="n">
        <v>92.9904738929415</v>
      </c>
      <c r="H3084" s="8" t="n">
        <v>24149.0147574006</v>
      </c>
      <c r="I3084" s="9" t="n">
        <v>3.59295230918717</v>
      </c>
      <c r="J3084" s="9" t="n">
        <v>8.54755235506299</v>
      </c>
      <c r="K3084" s="3" t="s">
        <v>1066</v>
      </c>
      <c r="L3084" s="3" t="s">
        <v>1067</v>
      </c>
      <c r="M3084" s="7" t="n">
        <v>2019</v>
      </c>
    </row>
    <row r="3085" customFormat="false" ht="15" hidden="false" customHeight="false" outlineLevel="0" collapsed="false">
      <c r="A3085" s="3" t="n">
        <v>4184</v>
      </c>
      <c r="B3085" s="3" t="s">
        <v>1065</v>
      </c>
      <c r="C3085" s="4" t="s">
        <v>20</v>
      </c>
      <c r="D3085" s="5" t="n">
        <v>9814</v>
      </c>
      <c r="E3085" s="6" t="n">
        <v>160</v>
      </c>
      <c r="F3085" s="7" t="n">
        <v>61</v>
      </c>
      <c r="G3085" s="6" t="n">
        <v>106.665733146603</v>
      </c>
      <c r="H3085" s="8" t="n">
        <v>29405.5744702501</v>
      </c>
      <c r="I3085" s="9" t="n">
        <v>3.4783343416485</v>
      </c>
      <c r="J3085" s="9" t="n">
        <v>9.70297835955728</v>
      </c>
      <c r="K3085" s="3" t="s">
        <v>1066</v>
      </c>
      <c r="L3085" s="3" t="s">
        <v>1067</v>
      </c>
      <c r="M3085" s="7" t="n">
        <v>2020</v>
      </c>
    </row>
    <row r="3086" customFormat="false" ht="15" hidden="false" customHeight="false" outlineLevel="0" collapsed="false">
      <c r="A3086" s="3" t="n">
        <v>4185</v>
      </c>
      <c r="B3086" s="3" t="s">
        <v>1065</v>
      </c>
      <c r="C3086" s="4" t="s">
        <v>21</v>
      </c>
      <c r="D3086" s="5" t="n">
        <v>10054</v>
      </c>
      <c r="E3086" s="6" t="n">
        <v>160</v>
      </c>
      <c r="F3086" s="7" t="n">
        <v>71</v>
      </c>
      <c r="G3086" s="6" t="n">
        <v>244.619838501687</v>
      </c>
      <c r="H3086" s="8" t="n">
        <v>88866.6444910199</v>
      </c>
      <c r="I3086" s="9" t="n">
        <v>7.1810716473546</v>
      </c>
      <c r="J3086" s="9" t="n">
        <v>21.7806315663585</v>
      </c>
      <c r="K3086" s="3" t="s">
        <v>1066</v>
      </c>
      <c r="L3086" s="3" t="s">
        <v>1067</v>
      </c>
      <c r="M3086" s="7" t="n">
        <v>2021</v>
      </c>
    </row>
    <row r="3087" customFormat="false" ht="15" hidden="false" customHeight="false" outlineLevel="0" collapsed="false">
      <c r="A3087" s="3" t="n">
        <v>4186</v>
      </c>
      <c r="B3087" s="3" t="s">
        <v>1065</v>
      </c>
      <c r="C3087" s="4" t="s">
        <v>22</v>
      </c>
      <c r="D3087" s="5" t="n">
        <v>9762</v>
      </c>
      <c r="E3087" s="6" t="n">
        <v>160</v>
      </c>
      <c r="F3087" s="7" t="n">
        <v>77</v>
      </c>
      <c r="G3087" s="6" t="n">
        <v>461.816374265666</v>
      </c>
      <c r="H3087" s="8" t="n">
        <v>280055.442613641</v>
      </c>
      <c r="I3087" s="9" t="n">
        <v>13.0183657626792</v>
      </c>
      <c r="J3087" s="9" t="n">
        <v>42.3494913476008</v>
      </c>
      <c r="K3087" s="3" t="s">
        <v>1066</v>
      </c>
      <c r="L3087" s="3" t="s">
        <v>1067</v>
      </c>
      <c r="M3087" s="7" t="n">
        <v>2022</v>
      </c>
    </row>
    <row r="3088" customFormat="false" ht="15" hidden="false" customHeight="false" outlineLevel="0" collapsed="false">
      <c r="A3088" s="3" t="n">
        <v>4187</v>
      </c>
      <c r="B3088" s="3" t="s">
        <v>1065</v>
      </c>
      <c r="C3088" s="4" t="s">
        <v>23</v>
      </c>
      <c r="D3088" s="5" t="n">
        <v>9638</v>
      </c>
      <c r="E3088" s="6" t="n">
        <v>160</v>
      </c>
      <c r="F3088" s="7" t="n">
        <v>77</v>
      </c>
      <c r="G3088" s="6" t="n">
        <v>619.212141429463</v>
      </c>
      <c r="H3088" s="8" t="n">
        <v>324591.559618292</v>
      </c>
      <c r="I3088" s="9" t="n">
        <v>17.6301261829653</v>
      </c>
      <c r="J3088" s="9" t="n">
        <v>57.513555402531</v>
      </c>
      <c r="K3088" s="3" t="s">
        <v>1066</v>
      </c>
      <c r="L3088" s="3" t="s">
        <v>1067</v>
      </c>
      <c r="M3088" s="7" t="n">
        <v>2023</v>
      </c>
    </row>
    <row r="3089" customFormat="false" ht="15" hidden="false" customHeight="false" outlineLevel="0" collapsed="false">
      <c r="A3089" s="3" t="n">
        <v>4188</v>
      </c>
      <c r="B3089" s="3" t="s">
        <v>1065</v>
      </c>
      <c r="C3089" s="4" t="s">
        <v>24</v>
      </c>
      <c r="D3089" s="5" t="n">
        <v>9685</v>
      </c>
      <c r="E3089" s="6" t="n">
        <v>160</v>
      </c>
      <c r="F3089" s="7" t="n">
        <v>77</v>
      </c>
      <c r="G3089" s="6" t="n">
        <v>369.415550607631</v>
      </c>
      <c r="H3089" s="8" t="n">
        <v>154152.667476473</v>
      </c>
      <c r="I3089" s="9" t="n">
        <v>11.3250140754444</v>
      </c>
      <c r="J3089" s="9" t="n">
        <v>34.051930773063</v>
      </c>
      <c r="K3089" s="3" t="s">
        <v>1066</v>
      </c>
      <c r="L3089" s="3" t="s">
        <v>1067</v>
      </c>
      <c r="M3089" s="7" t="n">
        <v>2024</v>
      </c>
    </row>
    <row r="3090" customFormat="false" ht="15" hidden="false" customHeight="false" outlineLevel="0" collapsed="false">
      <c r="A3090" s="3" t="n">
        <v>4191</v>
      </c>
      <c r="B3090" s="3" t="s">
        <v>1068</v>
      </c>
      <c r="C3090" s="4" t="s">
        <v>18</v>
      </c>
      <c r="D3090" s="5" t="n">
        <v>3010</v>
      </c>
      <c r="E3090" s="6" t="n">
        <v>34.9</v>
      </c>
      <c r="F3090" s="7" t="n">
        <v>62</v>
      </c>
      <c r="G3090" s="6" t="n">
        <v>195.213764081633</v>
      </c>
      <c r="H3090" s="8" t="n">
        <v>27980.7028250993</v>
      </c>
      <c r="I3090" s="9" t="n">
        <v>18.4770710725922</v>
      </c>
      <c r="J3090" s="9" t="n">
        <v>58.0579389578367</v>
      </c>
      <c r="K3090" s="3" t="s">
        <v>1069</v>
      </c>
      <c r="L3090" s="3" t="s">
        <v>1070</v>
      </c>
      <c r="M3090" s="7" t="n">
        <v>2018</v>
      </c>
    </row>
    <row r="3091" customFormat="false" ht="15" hidden="false" customHeight="false" outlineLevel="0" collapsed="false">
      <c r="A3091" s="3" t="n">
        <v>4193</v>
      </c>
      <c r="B3091" s="3" t="s">
        <v>1068</v>
      </c>
      <c r="C3091" s="4" t="s">
        <v>20</v>
      </c>
      <c r="D3091" s="5" t="n">
        <v>3092.58333333333</v>
      </c>
      <c r="E3091" s="6" t="n">
        <v>36.3194444</v>
      </c>
      <c r="F3091" s="7" t="n">
        <v>60</v>
      </c>
      <c r="G3091" s="6" t="n">
        <v>186.241936024298</v>
      </c>
      <c r="H3091" s="8" t="n">
        <v>28813.4899223191</v>
      </c>
      <c r="I3091" s="9" t="n">
        <v>19.6304078124609</v>
      </c>
      <c r="J3091" s="9" t="n">
        <v>53.7628471966879</v>
      </c>
      <c r="K3091" s="3" t="s">
        <v>1069</v>
      </c>
      <c r="L3091" s="3" t="s">
        <v>1070</v>
      </c>
      <c r="M3091" s="7" t="n">
        <v>2020</v>
      </c>
    </row>
    <row r="3092" customFormat="false" ht="15" hidden="false" customHeight="false" outlineLevel="0" collapsed="false">
      <c r="A3092" s="3" t="n">
        <v>4194</v>
      </c>
      <c r="B3092" s="3" t="s">
        <v>1068</v>
      </c>
      <c r="C3092" s="4" t="s">
        <v>21</v>
      </c>
      <c r="D3092" s="5" t="n">
        <v>3138.91666666666</v>
      </c>
      <c r="E3092" s="6" t="n">
        <v>36.3194444</v>
      </c>
      <c r="F3092" s="7" t="n">
        <v>60</v>
      </c>
      <c r="G3092" s="6" t="n">
        <v>200.400705290872</v>
      </c>
      <c r="H3092" s="8" t="n">
        <v>31806.9837206644</v>
      </c>
      <c r="I3092" s="9" t="n">
        <v>20.3126148196208</v>
      </c>
      <c r="J3092" s="9" t="n">
        <v>57.1527502749538</v>
      </c>
      <c r="K3092" s="3" t="s">
        <v>1069</v>
      </c>
      <c r="L3092" s="3" t="s">
        <v>1070</v>
      </c>
      <c r="M3092" s="7" t="n">
        <v>2021</v>
      </c>
    </row>
    <row r="3093" customFormat="false" ht="15" hidden="false" customHeight="false" outlineLevel="0" collapsed="false">
      <c r="A3093" s="3" t="n">
        <v>4195</v>
      </c>
      <c r="B3093" s="3" t="s">
        <v>1068</v>
      </c>
      <c r="C3093" s="4" t="s">
        <v>22</v>
      </c>
      <c r="D3093" s="5" t="n">
        <v>3143.75</v>
      </c>
      <c r="E3093" s="6" t="n">
        <v>37.07160846</v>
      </c>
      <c r="F3093" s="7" t="n">
        <v>65</v>
      </c>
      <c r="G3093" s="6" t="n">
        <v>220.834351121057</v>
      </c>
      <c r="H3093" s="8" t="n">
        <v>46735.1737277493</v>
      </c>
      <c r="I3093" s="9" t="n">
        <v>22.550976612506</v>
      </c>
      <c r="J3093" s="9" t="n">
        <v>62.8834414586307</v>
      </c>
      <c r="K3093" s="3" t="s">
        <v>1069</v>
      </c>
      <c r="L3093" s="3" t="s">
        <v>1070</v>
      </c>
      <c r="M3093" s="7" t="n">
        <v>2022</v>
      </c>
    </row>
    <row r="3094" customFormat="false" ht="15" hidden="false" customHeight="false" outlineLevel="0" collapsed="false">
      <c r="A3094" s="3" t="n">
        <v>4196</v>
      </c>
      <c r="B3094" s="3" t="s">
        <v>1068</v>
      </c>
      <c r="C3094" s="4" t="s">
        <v>23</v>
      </c>
      <c r="D3094" s="5" t="n">
        <v>3138.91666666667</v>
      </c>
      <c r="E3094" s="6" t="n">
        <v>37.07159187</v>
      </c>
      <c r="F3094" s="7" t="n">
        <v>69</v>
      </c>
      <c r="G3094" s="6" t="n">
        <v>311.766819613013</v>
      </c>
      <c r="H3094" s="8" t="n">
        <v>67996.343357598</v>
      </c>
      <c r="I3094" s="9" t="n">
        <v>29.9506361133396</v>
      </c>
      <c r="J3094" s="9" t="n">
        <v>88.913515346648</v>
      </c>
      <c r="K3094" s="3" t="s">
        <v>1069</v>
      </c>
      <c r="L3094" s="3" t="s">
        <v>1070</v>
      </c>
      <c r="M3094" s="7" t="n">
        <v>2023</v>
      </c>
    </row>
    <row r="3095" customFormat="false" ht="15" hidden="false" customHeight="false" outlineLevel="0" collapsed="false">
      <c r="A3095" s="3" t="n">
        <v>4197</v>
      </c>
      <c r="B3095" s="3" t="s">
        <v>1068</v>
      </c>
      <c r="C3095" s="4" t="s">
        <v>24</v>
      </c>
      <c r="D3095" s="5" t="n">
        <v>3149.41666666667</v>
      </c>
      <c r="E3095" s="6" t="n">
        <v>37.0785910140429</v>
      </c>
      <c r="F3095" s="7" t="n">
        <v>68</v>
      </c>
      <c r="G3095" s="6" t="n">
        <v>331.6778125869</v>
      </c>
      <c r="H3095" s="8" t="n">
        <v>74860.5888187731</v>
      </c>
      <c r="I3095" s="9" t="n">
        <v>30.0482623503388</v>
      </c>
      <c r="J3095" s="9" t="n">
        <v>94.0183213540701</v>
      </c>
      <c r="K3095" s="3" t="s">
        <v>1069</v>
      </c>
      <c r="L3095" s="3" t="s">
        <v>1070</v>
      </c>
      <c r="M3095" s="7" t="n">
        <v>2024</v>
      </c>
    </row>
    <row r="3096" customFormat="false" ht="15" hidden="false" customHeight="false" outlineLevel="0" collapsed="false">
      <c r="A3096" s="3" t="n">
        <v>4198</v>
      </c>
      <c r="B3096" s="3" t="s">
        <v>1071</v>
      </c>
      <c r="C3096" s="4" t="s">
        <v>14</v>
      </c>
      <c r="D3096" s="5" t="n">
        <v>31076</v>
      </c>
      <c r="E3096" s="6" t="n">
        <v>368</v>
      </c>
      <c r="F3096" s="7" t="n">
        <v>51</v>
      </c>
      <c r="G3096" s="6" t="n">
        <v>1367.46530180047</v>
      </c>
      <c r="H3096" s="8" t="n">
        <v>138132.856030612</v>
      </c>
      <c r="I3096" s="9" t="n">
        <v>10.3225007888621</v>
      </c>
      <c r="J3096" s="9" t="n">
        <v>39.2841532166818</v>
      </c>
      <c r="K3096" s="3" t="s">
        <v>1072</v>
      </c>
      <c r="L3096" s="3" t="s">
        <v>1073</v>
      </c>
      <c r="M3096" s="7" t="n">
        <v>2016</v>
      </c>
    </row>
    <row r="3097" customFormat="false" ht="15" hidden="false" customHeight="false" outlineLevel="0" collapsed="false">
      <c r="A3097" s="3" t="n">
        <v>4199</v>
      </c>
      <c r="B3097" s="3" t="s">
        <v>1071</v>
      </c>
      <c r="C3097" s="4" t="s">
        <v>17</v>
      </c>
      <c r="D3097" s="5" t="n">
        <v>30698</v>
      </c>
      <c r="E3097" s="6" t="n">
        <v>373</v>
      </c>
      <c r="F3097" s="7" t="n">
        <v>64</v>
      </c>
      <c r="G3097" s="6" t="n">
        <v>3549.98582603209</v>
      </c>
      <c r="H3097" s="8" t="n">
        <v>461767.642032784</v>
      </c>
      <c r="I3097" s="9" t="n">
        <v>21.0435376665253</v>
      </c>
      <c r="J3097" s="9" t="n">
        <v>103.522371378883</v>
      </c>
      <c r="K3097" s="3" t="s">
        <v>1072</v>
      </c>
      <c r="L3097" s="3" t="s">
        <v>1073</v>
      </c>
      <c r="M3097" s="7" t="n">
        <v>2017</v>
      </c>
    </row>
    <row r="3098" customFormat="false" ht="15" hidden="false" customHeight="false" outlineLevel="0" collapsed="false">
      <c r="A3098" s="3" t="n">
        <v>4200</v>
      </c>
      <c r="B3098" s="3" t="s">
        <v>1071</v>
      </c>
      <c r="C3098" s="4" t="s">
        <v>18</v>
      </c>
      <c r="D3098" s="5" t="n">
        <v>30930</v>
      </c>
      <c r="E3098" s="6" t="n">
        <v>371</v>
      </c>
      <c r="F3098" s="7" t="n">
        <v>62</v>
      </c>
      <c r="G3098" s="6" t="n">
        <v>2732.11645974724</v>
      </c>
      <c r="H3098" s="8" t="n">
        <v>298238.012840816</v>
      </c>
      <c r="I3098" s="9" t="n">
        <v>16.8725756532694</v>
      </c>
      <c r="J3098" s="9" t="n">
        <v>79.0745924442198</v>
      </c>
      <c r="K3098" s="3" t="s">
        <v>1072</v>
      </c>
      <c r="L3098" s="3" t="s">
        <v>1073</v>
      </c>
      <c r="M3098" s="7" t="n">
        <v>2018</v>
      </c>
    </row>
    <row r="3099" customFormat="false" ht="15" hidden="false" customHeight="false" outlineLevel="0" collapsed="false">
      <c r="A3099" s="3" t="n">
        <v>4201</v>
      </c>
      <c r="B3099" s="3" t="s">
        <v>1071</v>
      </c>
      <c r="C3099" s="4" t="s">
        <v>19</v>
      </c>
      <c r="D3099" s="5" t="n">
        <v>30930</v>
      </c>
      <c r="E3099" s="6" t="n">
        <v>372</v>
      </c>
      <c r="F3099" s="7" t="n">
        <v>62</v>
      </c>
      <c r="G3099" s="6" t="n">
        <v>1404.24914845963</v>
      </c>
      <c r="H3099" s="8" t="n">
        <v>146424.290971428</v>
      </c>
      <c r="I3099" s="9" t="n">
        <v>9.95709387651676</v>
      </c>
      <c r="J3099" s="9" t="n">
        <v>40.6426412418967</v>
      </c>
      <c r="K3099" s="3" t="s">
        <v>1072</v>
      </c>
      <c r="L3099" s="3" t="s">
        <v>1073</v>
      </c>
      <c r="M3099" s="7" t="n">
        <v>2019</v>
      </c>
    </row>
    <row r="3100" customFormat="false" ht="15" hidden="false" customHeight="false" outlineLevel="0" collapsed="false">
      <c r="A3100" s="3" t="n">
        <v>4202</v>
      </c>
      <c r="B3100" s="3" t="s">
        <v>1071</v>
      </c>
      <c r="C3100" s="4" t="s">
        <v>20</v>
      </c>
      <c r="D3100" s="5" t="n">
        <v>32301</v>
      </c>
      <c r="E3100" s="6" t="n">
        <v>375</v>
      </c>
      <c r="F3100" s="7" t="n">
        <v>72</v>
      </c>
      <c r="G3100" s="6" t="n">
        <v>1025.8696452128</v>
      </c>
      <c r="H3100" s="8" t="n">
        <v>154454.347222423</v>
      </c>
      <c r="I3100" s="9" t="n">
        <v>7.53057590835267</v>
      </c>
      <c r="J3100" s="9" t="n">
        <v>28.3532211575142</v>
      </c>
      <c r="K3100" s="3" t="s">
        <v>1072</v>
      </c>
      <c r="L3100" s="3" t="s">
        <v>1073</v>
      </c>
      <c r="M3100" s="7" t="n">
        <v>2020</v>
      </c>
    </row>
    <row r="3101" customFormat="false" ht="15" hidden="false" customHeight="false" outlineLevel="0" collapsed="false">
      <c r="A3101" s="3" t="n">
        <v>4203</v>
      </c>
      <c r="B3101" s="3" t="s">
        <v>1071</v>
      </c>
      <c r="C3101" s="4" t="s">
        <v>21</v>
      </c>
      <c r="D3101" s="5" t="n">
        <v>32269</v>
      </c>
      <c r="E3101" s="6" t="n">
        <v>378</v>
      </c>
      <c r="F3101" s="7" t="n">
        <v>64</v>
      </c>
      <c r="G3101" s="6" t="n">
        <v>1190.26329876927</v>
      </c>
      <c r="H3101" s="8" t="n">
        <v>136332.597540306</v>
      </c>
      <c r="I3101" s="9" t="n">
        <v>8.4330098548108</v>
      </c>
      <c r="J3101" s="9" t="n">
        <v>33.0198586612798</v>
      </c>
      <c r="K3101" s="3" t="s">
        <v>1072</v>
      </c>
      <c r="L3101" s="3" t="s">
        <v>1073</v>
      </c>
      <c r="M3101" s="7" t="n">
        <v>2021</v>
      </c>
    </row>
    <row r="3102" customFormat="false" ht="15" hidden="false" customHeight="false" outlineLevel="0" collapsed="false">
      <c r="A3102" s="3" t="n">
        <v>4204</v>
      </c>
      <c r="B3102" s="3" t="s">
        <v>1071</v>
      </c>
      <c r="C3102" s="4" t="s">
        <v>22</v>
      </c>
      <c r="D3102" s="5" t="n">
        <v>32542</v>
      </c>
      <c r="E3102" s="6" t="n">
        <v>390</v>
      </c>
      <c r="F3102" s="7" t="n">
        <v>69</v>
      </c>
      <c r="G3102" s="6" t="n">
        <v>1293.39568623754</v>
      </c>
      <c r="H3102" s="8" t="n">
        <v>179134.894902857</v>
      </c>
      <c r="I3102" s="9" t="n">
        <v>9.07188140026326</v>
      </c>
      <c r="J3102" s="9" t="n">
        <v>35.5799097291842</v>
      </c>
      <c r="K3102" s="3" t="s">
        <v>1072</v>
      </c>
      <c r="L3102" s="3" t="s">
        <v>1073</v>
      </c>
      <c r="M3102" s="7" t="n">
        <v>2022</v>
      </c>
    </row>
    <row r="3103" customFormat="false" ht="15" hidden="false" customHeight="false" outlineLevel="0" collapsed="false">
      <c r="A3103" s="3" t="n">
        <v>4205</v>
      </c>
      <c r="B3103" s="3" t="s">
        <v>1071</v>
      </c>
      <c r="C3103" s="4" t="s">
        <v>23</v>
      </c>
      <c r="D3103" s="5" t="n">
        <v>32916</v>
      </c>
      <c r="E3103" s="6" t="n">
        <v>423.75</v>
      </c>
      <c r="F3103" s="7" t="n">
        <v>79</v>
      </c>
      <c r="G3103" s="6" t="n">
        <v>1628.92248482329</v>
      </c>
      <c r="H3103" s="8" t="n">
        <v>316008.709984106</v>
      </c>
      <c r="I3103" s="9" t="n">
        <v>11.8555668346631</v>
      </c>
      <c r="J3103" s="9" t="n">
        <v>44.3007459382252</v>
      </c>
      <c r="K3103" s="3" t="s">
        <v>1072</v>
      </c>
      <c r="L3103" s="3" t="s">
        <v>1073</v>
      </c>
      <c r="M3103" s="7" t="n">
        <v>2023</v>
      </c>
    </row>
    <row r="3104" customFormat="false" ht="15" hidden="false" customHeight="false" outlineLevel="0" collapsed="false">
      <c r="A3104" s="3" t="n">
        <v>4206</v>
      </c>
      <c r="B3104" s="3" t="s">
        <v>1071</v>
      </c>
      <c r="C3104" s="4" t="s">
        <v>24</v>
      </c>
      <c r="D3104" s="5" t="n">
        <v>33224</v>
      </c>
      <c r="E3104" s="6" t="n">
        <v>419.04</v>
      </c>
      <c r="F3104" s="7" t="n">
        <v>78</v>
      </c>
      <c r="G3104" s="6" t="n">
        <v>1167.99892225425</v>
      </c>
      <c r="H3104" s="8" t="n">
        <v>247876.773364321</v>
      </c>
      <c r="I3104" s="9" t="n">
        <v>17.4586311297906</v>
      </c>
      <c r="J3104" s="9" t="n">
        <v>31.3846086518963</v>
      </c>
      <c r="K3104" s="3" t="s">
        <v>1072</v>
      </c>
      <c r="L3104" s="3" t="s">
        <v>1073</v>
      </c>
      <c r="M3104" s="7" t="n">
        <v>2024</v>
      </c>
    </row>
    <row r="3105" customFormat="false" ht="15" hidden="false" customHeight="false" outlineLevel="0" collapsed="false">
      <c r="A3105" s="3" t="n">
        <v>4207</v>
      </c>
      <c r="B3105" s="3" t="s">
        <v>1074</v>
      </c>
      <c r="C3105" s="4" t="s">
        <v>14</v>
      </c>
      <c r="D3105" s="5" t="n">
        <v>4630</v>
      </c>
      <c r="E3105" s="6" t="n">
        <v>46</v>
      </c>
      <c r="F3105" s="7" t="n">
        <v>58</v>
      </c>
      <c r="G3105" s="6" t="n">
        <v>116.828334993916</v>
      </c>
      <c r="H3105" s="8" t="n">
        <v>19277.2043403449</v>
      </c>
      <c r="I3105" s="9" t="n">
        <v>7.61726323099627</v>
      </c>
      <c r="J3105" s="9" t="n">
        <v>22.5264829054721</v>
      </c>
      <c r="K3105" s="3" t="s">
        <v>1075</v>
      </c>
      <c r="L3105" s="3" t="s">
        <v>1076</v>
      </c>
      <c r="M3105" s="7" t="n">
        <v>2016</v>
      </c>
    </row>
    <row r="3106" customFormat="false" ht="15" hidden="false" customHeight="false" outlineLevel="0" collapsed="false">
      <c r="A3106" s="3" t="n">
        <v>4208</v>
      </c>
      <c r="B3106" s="3" t="s">
        <v>1074</v>
      </c>
      <c r="C3106" s="4" t="s">
        <v>17</v>
      </c>
      <c r="D3106" s="5" t="n">
        <v>4782</v>
      </c>
      <c r="E3106" s="6" t="n">
        <v>46</v>
      </c>
      <c r="F3106" s="7" t="n">
        <v>58</v>
      </c>
      <c r="G3106" s="6" t="n">
        <v>118.306062849058</v>
      </c>
      <c r="H3106" s="8" t="n">
        <v>18750.3297033902</v>
      </c>
      <c r="I3106" s="9" t="n">
        <v>7.48912575216443</v>
      </c>
      <c r="J3106" s="9" t="n">
        <v>22.1470101280836</v>
      </c>
      <c r="K3106" s="3" t="s">
        <v>1075</v>
      </c>
      <c r="L3106" s="3" t="s">
        <v>1076</v>
      </c>
      <c r="M3106" s="7" t="n">
        <v>2017</v>
      </c>
    </row>
    <row r="3107" customFormat="false" ht="15" hidden="false" customHeight="false" outlineLevel="0" collapsed="false">
      <c r="A3107" s="3" t="n">
        <v>4209</v>
      </c>
      <c r="B3107" s="3" t="s">
        <v>1074</v>
      </c>
      <c r="C3107" s="4" t="s">
        <v>18</v>
      </c>
      <c r="D3107" s="5" t="n">
        <v>5135</v>
      </c>
      <c r="E3107" s="6" t="n">
        <v>63.05</v>
      </c>
      <c r="F3107" s="7" t="n">
        <v>55</v>
      </c>
      <c r="G3107" s="6" t="n">
        <v>37.7308118077399</v>
      </c>
      <c r="H3107" s="8" t="n">
        <v>5560.48806289435</v>
      </c>
      <c r="I3107" s="9" t="n">
        <v>4.00405287561523</v>
      </c>
      <c r="J3107" s="9" t="n">
        <v>6.57768961038973</v>
      </c>
      <c r="K3107" s="3" t="s">
        <v>1075</v>
      </c>
      <c r="L3107" s="3" t="s">
        <v>1076</v>
      </c>
      <c r="M3107" s="7" t="n">
        <v>2018</v>
      </c>
    </row>
    <row r="3108" customFormat="false" ht="15" hidden="false" customHeight="false" outlineLevel="0" collapsed="false">
      <c r="A3108" s="3" t="n">
        <v>4210</v>
      </c>
      <c r="B3108" s="3" t="s">
        <v>1074</v>
      </c>
      <c r="C3108" s="4" t="s">
        <v>19</v>
      </c>
      <c r="D3108" s="5" t="n">
        <v>5389</v>
      </c>
      <c r="E3108" s="6" t="n">
        <v>63.05</v>
      </c>
      <c r="F3108" s="7" t="n">
        <v>55</v>
      </c>
      <c r="G3108" s="6" t="n">
        <v>30.2024680321739</v>
      </c>
      <c r="H3108" s="8" t="n">
        <v>4365.10010328023</v>
      </c>
      <c r="I3108" s="9" t="n">
        <v>3.62611776030248</v>
      </c>
      <c r="J3108" s="9" t="n">
        <v>5.01709037475194</v>
      </c>
      <c r="K3108" s="3" t="s">
        <v>1075</v>
      </c>
      <c r="L3108" s="3" t="s">
        <v>1076</v>
      </c>
      <c r="M3108" s="7" t="n">
        <v>2019</v>
      </c>
    </row>
    <row r="3109" customFormat="false" ht="15" hidden="false" customHeight="false" outlineLevel="0" collapsed="false">
      <c r="A3109" s="3" t="n">
        <v>4211</v>
      </c>
      <c r="B3109" s="3" t="s">
        <v>1074</v>
      </c>
      <c r="C3109" s="4" t="s">
        <v>20</v>
      </c>
      <c r="D3109" s="5" t="n">
        <v>5389</v>
      </c>
      <c r="E3109" s="6" t="n">
        <v>63.05</v>
      </c>
      <c r="F3109" s="7" t="n">
        <v>56</v>
      </c>
      <c r="G3109" s="6" t="n">
        <v>39.1364932602266</v>
      </c>
      <c r="H3109" s="8" t="n">
        <v>5649.42981356597</v>
      </c>
      <c r="I3109" s="9" t="n">
        <v>3.9002539681695</v>
      </c>
      <c r="J3109" s="9" t="n">
        <v>6.48335674412265</v>
      </c>
      <c r="K3109" s="3" t="s">
        <v>1075</v>
      </c>
      <c r="L3109" s="3" t="s">
        <v>1076</v>
      </c>
      <c r="M3109" s="7" t="n">
        <v>2020</v>
      </c>
    </row>
    <row r="3110" customFormat="false" ht="15" hidden="false" customHeight="false" outlineLevel="0" collapsed="false">
      <c r="A3110" s="3" t="n">
        <v>4212</v>
      </c>
      <c r="B3110" s="3" t="s">
        <v>1074</v>
      </c>
      <c r="C3110" s="4" t="s">
        <v>21</v>
      </c>
      <c r="D3110" s="5" t="n">
        <v>5560</v>
      </c>
      <c r="E3110" s="6" t="n">
        <v>63.1</v>
      </c>
      <c r="F3110" s="7" t="n">
        <v>56</v>
      </c>
      <c r="G3110" s="6" t="n">
        <v>37.2157676036966</v>
      </c>
      <c r="H3110" s="8" t="n">
        <v>6060.48605445892</v>
      </c>
      <c r="I3110" s="9" t="n">
        <v>3.79212270433061</v>
      </c>
      <c r="J3110" s="9" t="n">
        <v>5.99197322388733</v>
      </c>
      <c r="K3110" s="3" t="s">
        <v>1075</v>
      </c>
      <c r="L3110" s="3" t="s">
        <v>1076</v>
      </c>
      <c r="M3110" s="7" t="n">
        <v>2021</v>
      </c>
    </row>
    <row r="3111" customFormat="false" ht="15" hidden="false" customHeight="false" outlineLevel="0" collapsed="false">
      <c r="A3111" s="3" t="n">
        <v>4213</v>
      </c>
      <c r="B3111" s="3" t="s">
        <v>1074</v>
      </c>
      <c r="C3111" s="4" t="s">
        <v>22</v>
      </c>
      <c r="D3111" s="5" t="n">
        <v>5621</v>
      </c>
      <c r="E3111" s="6" t="n">
        <v>63.1</v>
      </c>
      <c r="F3111" s="7" t="n">
        <v>71</v>
      </c>
      <c r="G3111" s="6" t="n">
        <v>38.9188524073377</v>
      </c>
      <c r="H3111" s="8" t="n">
        <v>8196.71890745654</v>
      </c>
      <c r="I3111" s="9" t="n">
        <v>3.89202407065536</v>
      </c>
      <c r="J3111" s="9" t="n">
        <v>6.1981790107072</v>
      </c>
      <c r="K3111" s="3" t="s">
        <v>1075</v>
      </c>
      <c r="L3111" s="3" t="s">
        <v>1076</v>
      </c>
      <c r="M3111" s="7" t="n">
        <v>2022</v>
      </c>
    </row>
    <row r="3112" customFormat="false" ht="15" hidden="false" customHeight="false" outlineLevel="0" collapsed="false">
      <c r="A3112" s="3" t="n">
        <v>4214</v>
      </c>
      <c r="B3112" s="3" t="s">
        <v>1074</v>
      </c>
      <c r="C3112" s="4" t="s">
        <v>23</v>
      </c>
      <c r="D3112" s="5" t="n">
        <v>5646</v>
      </c>
      <c r="E3112" s="6" t="n">
        <v>63.1</v>
      </c>
      <c r="F3112" s="7" t="n">
        <v>71</v>
      </c>
      <c r="G3112" s="6" t="n">
        <v>34.8327076834287</v>
      </c>
      <c r="H3112" s="8" t="n">
        <v>5930.62991587272</v>
      </c>
      <c r="I3112" s="9" t="n">
        <v>3.85904110195114</v>
      </c>
      <c r="J3112" s="9" t="n">
        <v>5.52286001922635</v>
      </c>
      <c r="K3112" s="3" t="s">
        <v>1075</v>
      </c>
      <c r="L3112" s="3" t="s">
        <v>1076</v>
      </c>
      <c r="M3112" s="7" t="n">
        <v>2023</v>
      </c>
    </row>
    <row r="3113" customFormat="false" ht="15" hidden="false" customHeight="false" outlineLevel="0" collapsed="false">
      <c r="A3113" s="3" t="n">
        <v>4215</v>
      </c>
      <c r="B3113" s="3" t="s">
        <v>1074</v>
      </c>
      <c r="C3113" s="4" t="s">
        <v>24</v>
      </c>
      <c r="D3113" s="5" t="n">
        <v>5748</v>
      </c>
      <c r="E3113" s="6" t="n">
        <v>63.1</v>
      </c>
      <c r="F3113" s="7" t="n">
        <v>71</v>
      </c>
      <c r="G3113" s="6" t="n">
        <v>7.71491938279591</v>
      </c>
      <c r="H3113" s="8" t="n">
        <v>844.800717819833</v>
      </c>
      <c r="I3113" s="9" t="n">
        <v>2.56198381366789</v>
      </c>
      <c r="J3113" s="9" t="n">
        <v>1.19823175937476</v>
      </c>
      <c r="K3113" s="3" t="s">
        <v>1075</v>
      </c>
      <c r="L3113" s="3" t="s">
        <v>1076</v>
      </c>
      <c r="M3113" s="7" t="n">
        <v>2024</v>
      </c>
    </row>
    <row r="3114" customFormat="false" ht="15" hidden="false" customHeight="false" outlineLevel="0" collapsed="false">
      <c r="A3114" s="3" t="n">
        <v>4216</v>
      </c>
      <c r="B3114" s="3" t="s">
        <v>1077</v>
      </c>
      <c r="C3114" s="4" t="s">
        <v>14</v>
      </c>
      <c r="D3114" s="5" t="n">
        <v>8436</v>
      </c>
      <c r="E3114" s="6" t="n">
        <v>95.8</v>
      </c>
      <c r="F3114" s="7" t="n">
        <v>57</v>
      </c>
      <c r="G3114" s="6" t="n">
        <v>452.010228936287</v>
      </c>
      <c r="H3114" s="8" t="n">
        <v>46572.0257005447</v>
      </c>
      <c r="I3114" s="9" t="n">
        <v>17.7073872793521</v>
      </c>
      <c r="J3114" s="9" t="n">
        <v>47.8341306693161</v>
      </c>
      <c r="K3114" s="3" t="s">
        <v>1078</v>
      </c>
      <c r="L3114" s="3" t="s">
        <v>1079</v>
      </c>
      <c r="M3114" s="7" t="n">
        <v>2016</v>
      </c>
    </row>
    <row r="3115" customFormat="false" ht="15" hidden="false" customHeight="false" outlineLevel="0" collapsed="false">
      <c r="A3115" s="3" t="n">
        <v>4217</v>
      </c>
      <c r="B3115" s="3" t="s">
        <v>1077</v>
      </c>
      <c r="C3115" s="4" t="s">
        <v>17</v>
      </c>
      <c r="D3115" s="5" t="n">
        <v>8436</v>
      </c>
      <c r="E3115" s="6" t="n">
        <v>95.8</v>
      </c>
      <c r="F3115" s="7" t="n">
        <v>56</v>
      </c>
      <c r="G3115" s="6" t="n">
        <v>510.449064331589</v>
      </c>
      <c r="H3115" s="8" t="n">
        <v>54068.8106084472</v>
      </c>
      <c r="I3115" s="9" t="n">
        <v>18.5909641043807</v>
      </c>
      <c r="J3115" s="9" t="n">
        <v>54.1668418908213</v>
      </c>
      <c r="K3115" s="3" t="s">
        <v>1078</v>
      </c>
      <c r="L3115" s="3" t="s">
        <v>1079</v>
      </c>
      <c r="M3115" s="7" t="n">
        <v>2017</v>
      </c>
    </row>
    <row r="3116" customFormat="false" ht="15" hidden="false" customHeight="false" outlineLevel="0" collapsed="false">
      <c r="A3116" s="3" t="n">
        <v>4218</v>
      </c>
      <c r="B3116" s="3" t="s">
        <v>1077</v>
      </c>
      <c r="C3116" s="4" t="s">
        <v>18</v>
      </c>
      <c r="D3116" s="5" t="n">
        <v>8553</v>
      </c>
      <c r="E3116" s="6" t="n">
        <v>95.8</v>
      </c>
      <c r="F3116" s="7" t="n">
        <v>53</v>
      </c>
      <c r="G3116" s="6" t="n">
        <v>379.512658303064</v>
      </c>
      <c r="H3116" s="8" t="n">
        <v>43906.9427567798</v>
      </c>
      <c r="I3116" s="9" t="n">
        <v>14.64392083284</v>
      </c>
      <c r="J3116" s="9" t="n">
        <v>39.7214842747522</v>
      </c>
      <c r="K3116" s="3" t="s">
        <v>1078</v>
      </c>
      <c r="L3116" s="3" t="s">
        <v>1079</v>
      </c>
      <c r="M3116" s="7" t="n">
        <v>2018</v>
      </c>
    </row>
    <row r="3117" customFormat="false" ht="15" hidden="false" customHeight="false" outlineLevel="0" collapsed="false">
      <c r="A3117" s="3" t="n">
        <v>4219</v>
      </c>
      <c r="B3117" s="3" t="s">
        <v>1077</v>
      </c>
      <c r="C3117" s="4" t="s">
        <v>19</v>
      </c>
      <c r="D3117" s="5" t="n">
        <v>8553</v>
      </c>
      <c r="E3117" s="6" t="n">
        <v>95.8</v>
      </c>
      <c r="F3117" s="7" t="n">
        <v>62</v>
      </c>
      <c r="G3117" s="6" t="n">
        <v>398.531137997558</v>
      </c>
      <c r="H3117" s="8" t="n">
        <v>49383.685454852</v>
      </c>
      <c r="I3117" s="9" t="n">
        <v>13.2660068854552</v>
      </c>
      <c r="J3117" s="9" t="n">
        <v>41.7120430231544</v>
      </c>
      <c r="K3117" s="3" t="s">
        <v>1078</v>
      </c>
      <c r="L3117" s="3" t="s">
        <v>1079</v>
      </c>
      <c r="M3117" s="7" t="n">
        <v>2019</v>
      </c>
    </row>
    <row r="3118" customFormat="false" ht="15" hidden="false" customHeight="false" outlineLevel="0" collapsed="false">
      <c r="A3118" s="3" t="n">
        <v>4220</v>
      </c>
      <c r="B3118" s="3" t="s">
        <v>1077</v>
      </c>
      <c r="C3118" s="4" t="s">
        <v>20</v>
      </c>
      <c r="D3118" s="5" t="n">
        <v>8553</v>
      </c>
      <c r="E3118" s="6" t="n">
        <v>95.8</v>
      </c>
      <c r="F3118" s="7" t="n">
        <v>58</v>
      </c>
      <c r="G3118" s="6" t="n">
        <v>192.917757479766</v>
      </c>
      <c r="H3118" s="8" t="n">
        <v>27953.700769497</v>
      </c>
      <c r="I3118" s="9" t="n">
        <v>8.17086334543984</v>
      </c>
      <c r="J3118" s="9" t="n">
        <v>20.1363117619674</v>
      </c>
      <c r="K3118" s="3" t="s">
        <v>1078</v>
      </c>
      <c r="L3118" s="3" t="s">
        <v>1079</v>
      </c>
      <c r="M3118" s="7" t="n">
        <v>2020</v>
      </c>
    </row>
    <row r="3119" customFormat="false" ht="15" hidden="false" customHeight="false" outlineLevel="0" collapsed="false">
      <c r="A3119" s="3" t="n">
        <v>4221</v>
      </c>
      <c r="B3119" s="3" t="s">
        <v>1077</v>
      </c>
      <c r="C3119" s="4" t="s">
        <v>21</v>
      </c>
      <c r="D3119" s="5" t="n">
        <v>8553</v>
      </c>
      <c r="E3119" s="6" t="n">
        <v>95.8</v>
      </c>
      <c r="F3119" s="7" t="n">
        <v>55</v>
      </c>
      <c r="G3119" s="6" t="n">
        <v>458.572147573485</v>
      </c>
      <c r="H3119" s="8" t="n">
        <v>55497.6164018223</v>
      </c>
      <c r="I3119" s="9" t="n">
        <v>15.0175407417204</v>
      </c>
      <c r="J3119" s="9" t="n">
        <v>47.996202366809</v>
      </c>
      <c r="K3119" s="3" t="s">
        <v>1078</v>
      </c>
      <c r="L3119" s="3" t="s">
        <v>1079</v>
      </c>
      <c r="M3119" s="7" t="n">
        <v>2021</v>
      </c>
    </row>
    <row r="3120" customFormat="false" ht="15" hidden="false" customHeight="false" outlineLevel="0" collapsed="false">
      <c r="A3120" s="3" t="n">
        <v>4222</v>
      </c>
      <c r="B3120" s="3" t="s">
        <v>1077</v>
      </c>
      <c r="C3120" s="4" t="s">
        <v>22</v>
      </c>
      <c r="D3120" s="5" t="n">
        <v>8553</v>
      </c>
      <c r="E3120" s="6" t="n">
        <v>95.8</v>
      </c>
      <c r="F3120" s="7" t="n">
        <v>52</v>
      </c>
      <c r="G3120" s="6" t="n">
        <v>324.418430360127</v>
      </c>
      <c r="H3120" s="8" t="n">
        <v>57616.0454795163</v>
      </c>
      <c r="I3120" s="9" t="n">
        <v>11.9949653970886</v>
      </c>
      <c r="J3120" s="9" t="n">
        <v>33.9550771181366</v>
      </c>
      <c r="K3120" s="3" t="s">
        <v>1078</v>
      </c>
      <c r="L3120" s="3" t="s">
        <v>1079</v>
      </c>
      <c r="M3120" s="7" t="n">
        <v>2022</v>
      </c>
    </row>
    <row r="3121" customFormat="false" ht="15" hidden="false" customHeight="false" outlineLevel="0" collapsed="false">
      <c r="A3121" s="3" t="n">
        <v>4223</v>
      </c>
      <c r="B3121" s="3" t="s">
        <v>1077</v>
      </c>
      <c r="C3121" s="4" t="s">
        <v>23</v>
      </c>
      <c r="D3121" s="5" t="n">
        <v>8553</v>
      </c>
      <c r="E3121" s="6" t="n">
        <v>95.8</v>
      </c>
      <c r="F3121" s="7" t="n">
        <v>52</v>
      </c>
      <c r="G3121" s="6" t="n">
        <v>102.663049666208</v>
      </c>
      <c r="H3121" s="8" t="n">
        <v>21743.2679140876</v>
      </c>
      <c r="I3121" s="9" t="n">
        <v>6.1384338682515</v>
      </c>
      <c r="J3121" s="9" t="n">
        <v>10.7451717978216</v>
      </c>
      <c r="K3121" s="3" t="s">
        <v>1078</v>
      </c>
      <c r="L3121" s="3" t="s">
        <v>1079</v>
      </c>
      <c r="M3121" s="7" t="n">
        <v>2023</v>
      </c>
    </row>
    <row r="3122" customFormat="false" ht="15" hidden="false" customHeight="false" outlineLevel="0" collapsed="false">
      <c r="A3122" s="3" t="n">
        <v>4224</v>
      </c>
      <c r="B3122" s="3" t="s">
        <v>1077</v>
      </c>
      <c r="C3122" s="4" t="s">
        <v>24</v>
      </c>
      <c r="D3122" s="5" t="n">
        <v>8768</v>
      </c>
      <c r="E3122" s="6" t="n">
        <v>95.8</v>
      </c>
      <c r="F3122" s="7" t="n">
        <v>52</v>
      </c>
      <c r="G3122" s="6" t="n">
        <v>507.03741231194</v>
      </c>
      <c r="H3122" s="8" t="n">
        <v>122007.280620771</v>
      </c>
      <c r="I3122" s="9" t="n">
        <v>17.2647710132715</v>
      </c>
      <c r="J3122" s="9" t="n">
        <v>51.6256648832798</v>
      </c>
      <c r="K3122" s="3" t="s">
        <v>1078</v>
      </c>
      <c r="L3122" s="3" t="s">
        <v>1079</v>
      </c>
      <c r="M3122" s="7" t="n">
        <v>2024</v>
      </c>
    </row>
    <row r="3123" customFormat="false" ht="15" hidden="false" customHeight="false" outlineLevel="0" collapsed="false">
      <c r="A3123" s="3" t="n">
        <v>4225</v>
      </c>
      <c r="B3123" s="3" t="s">
        <v>1080</v>
      </c>
      <c r="C3123" s="4" t="s">
        <v>14</v>
      </c>
      <c r="D3123" s="5" t="n">
        <v>40649</v>
      </c>
      <c r="E3123" s="6" t="n">
        <v>483</v>
      </c>
      <c r="F3123" s="7" t="n">
        <v>50</v>
      </c>
      <c r="G3123" s="6" t="n">
        <v>2678.30852706186</v>
      </c>
      <c r="H3123" s="8" t="n">
        <v>607976.035643041</v>
      </c>
      <c r="I3123" s="9" t="n">
        <v>21.2299313086418</v>
      </c>
      <c r="J3123" s="9" t="n">
        <v>58.8216132868614</v>
      </c>
      <c r="K3123" s="3" t="s">
        <v>1081</v>
      </c>
      <c r="L3123" s="3" t="s">
        <v>1082</v>
      </c>
      <c r="M3123" s="7" t="n">
        <v>2016</v>
      </c>
    </row>
    <row r="3124" customFormat="false" ht="15" hidden="false" customHeight="false" outlineLevel="0" collapsed="false">
      <c r="A3124" s="3" t="n">
        <v>4226</v>
      </c>
      <c r="B3124" s="3" t="s">
        <v>1080</v>
      </c>
      <c r="C3124" s="4" t="s">
        <v>17</v>
      </c>
      <c r="D3124" s="5" t="n">
        <v>40392</v>
      </c>
      <c r="E3124" s="6" t="n">
        <v>483.5</v>
      </c>
      <c r="F3124" s="7" t="n">
        <v>55</v>
      </c>
      <c r="G3124" s="6" t="n">
        <v>2409.09845319149</v>
      </c>
      <c r="H3124" s="8" t="n">
        <v>524886.589157452</v>
      </c>
      <c r="I3124" s="9" t="n">
        <v>21.3025436729942</v>
      </c>
      <c r="J3124" s="9" t="n">
        <v>53.3920831395525</v>
      </c>
      <c r="K3124" s="3" t="s">
        <v>1081</v>
      </c>
      <c r="L3124" s="3" t="s">
        <v>1082</v>
      </c>
      <c r="M3124" s="7" t="n">
        <v>2017</v>
      </c>
    </row>
    <row r="3125" customFormat="false" ht="15" hidden="false" customHeight="false" outlineLevel="0" collapsed="false">
      <c r="A3125" s="3" t="n">
        <v>4227</v>
      </c>
      <c r="B3125" s="3" t="s">
        <v>1080</v>
      </c>
      <c r="C3125" s="4" t="s">
        <v>18</v>
      </c>
      <c r="D3125" s="5" t="n">
        <v>40897</v>
      </c>
      <c r="E3125" s="6" t="n">
        <v>483.5</v>
      </c>
      <c r="F3125" s="7" t="n">
        <v>54</v>
      </c>
      <c r="G3125" s="6" t="n">
        <v>2827.55368558511</v>
      </c>
      <c r="H3125" s="8" t="n">
        <v>667981.282682626</v>
      </c>
      <c r="I3125" s="9" t="n">
        <v>23.5848051955235</v>
      </c>
      <c r="J3125" s="9" t="n">
        <v>61.8923656240667</v>
      </c>
      <c r="K3125" s="3" t="s">
        <v>1081</v>
      </c>
      <c r="L3125" s="3" t="s">
        <v>1082</v>
      </c>
      <c r="M3125" s="7" t="n">
        <v>2018</v>
      </c>
    </row>
    <row r="3126" customFormat="false" ht="15" hidden="false" customHeight="false" outlineLevel="0" collapsed="false">
      <c r="A3126" s="3" t="n">
        <v>4228</v>
      </c>
      <c r="B3126" s="3" t="s">
        <v>1080</v>
      </c>
      <c r="C3126" s="4" t="s">
        <v>19</v>
      </c>
      <c r="D3126" s="5" t="n">
        <v>40909</v>
      </c>
      <c r="E3126" s="6" t="n">
        <v>483.5</v>
      </c>
      <c r="F3126" s="7" t="n">
        <v>57</v>
      </c>
      <c r="G3126" s="6" t="n">
        <v>2649.96053319149</v>
      </c>
      <c r="H3126" s="8" t="n">
        <v>600331.37591992</v>
      </c>
      <c r="I3126" s="9" t="n">
        <v>26.256946195332</v>
      </c>
      <c r="J3126" s="9" t="n">
        <v>57.988011565</v>
      </c>
      <c r="K3126" s="3" t="s">
        <v>1081</v>
      </c>
      <c r="L3126" s="3" t="s">
        <v>1082</v>
      </c>
      <c r="M3126" s="7" t="n">
        <v>2019</v>
      </c>
    </row>
    <row r="3127" customFormat="false" ht="15" hidden="false" customHeight="false" outlineLevel="0" collapsed="false">
      <c r="A3127" s="3" t="n">
        <v>4229</v>
      </c>
      <c r="B3127" s="3" t="s">
        <v>1080</v>
      </c>
      <c r="C3127" s="4" t="s">
        <v>20</v>
      </c>
      <c r="D3127" s="5" t="n">
        <v>40910</v>
      </c>
      <c r="E3127" s="6" t="n">
        <v>483.5</v>
      </c>
      <c r="F3127" s="7" t="n">
        <v>59</v>
      </c>
      <c r="G3127" s="6" t="n">
        <v>2163.66729505319</v>
      </c>
      <c r="H3127" s="8" t="n">
        <v>502468.455930202</v>
      </c>
      <c r="I3127" s="9" t="n">
        <v>19.0147009902504</v>
      </c>
      <c r="J3127" s="9" t="n">
        <v>47.215782841746</v>
      </c>
      <c r="K3127" s="3" t="s">
        <v>1081</v>
      </c>
      <c r="L3127" s="3" t="s">
        <v>1082</v>
      </c>
      <c r="M3127" s="7" t="n">
        <v>2020</v>
      </c>
    </row>
    <row r="3128" customFormat="false" ht="15" hidden="false" customHeight="false" outlineLevel="0" collapsed="false">
      <c r="A3128" s="3" t="n">
        <v>4230</v>
      </c>
      <c r="B3128" s="3" t="s">
        <v>1080</v>
      </c>
      <c r="C3128" s="4" t="s">
        <v>21</v>
      </c>
      <c r="D3128" s="5" t="n">
        <v>38347</v>
      </c>
      <c r="E3128" s="6" t="n">
        <v>473.9</v>
      </c>
      <c r="F3128" s="7" t="n">
        <v>65</v>
      </c>
      <c r="G3128" s="6" t="n">
        <v>4069.67391038382</v>
      </c>
      <c r="H3128" s="8" t="n">
        <v>890485.348331083</v>
      </c>
      <c r="I3128" s="9" t="n">
        <v>28.2410615274422</v>
      </c>
      <c r="J3128" s="9" t="n">
        <v>95.0048754743396</v>
      </c>
      <c r="K3128" s="3" t="s">
        <v>1081</v>
      </c>
      <c r="L3128" s="3" t="s">
        <v>1082</v>
      </c>
      <c r="M3128" s="7" t="n">
        <v>2021</v>
      </c>
    </row>
    <row r="3129" customFormat="false" ht="15" hidden="false" customHeight="false" outlineLevel="0" collapsed="false">
      <c r="A3129" s="3" t="n">
        <v>4231</v>
      </c>
      <c r="B3129" s="3" t="s">
        <v>1080</v>
      </c>
      <c r="C3129" s="4" t="s">
        <v>22</v>
      </c>
      <c r="D3129" s="5" t="n">
        <v>38374</v>
      </c>
      <c r="E3129" s="6" t="n">
        <v>459.948579545455</v>
      </c>
      <c r="F3129" s="7" t="n">
        <v>74</v>
      </c>
      <c r="G3129" s="6" t="n">
        <v>2423.51510170939</v>
      </c>
      <c r="H3129" s="8" t="n">
        <v>678564.462249757</v>
      </c>
      <c r="I3129" s="9" t="n">
        <v>21.37952889819</v>
      </c>
      <c r="J3129" s="9" t="n">
        <v>56.5361634084252</v>
      </c>
      <c r="K3129" s="3" t="s">
        <v>1081</v>
      </c>
      <c r="L3129" s="3" t="s">
        <v>1082</v>
      </c>
      <c r="M3129" s="7" t="n">
        <v>2022</v>
      </c>
    </row>
    <row r="3130" customFormat="false" ht="15" hidden="false" customHeight="false" outlineLevel="0" collapsed="false">
      <c r="A3130" s="3" t="n">
        <v>4232</v>
      </c>
      <c r="B3130" s="3" t="s">
        <v>1080</v>
      </c>
      <c r="C3130" s="4" t="s">
        <v>23</v>
      </c>
      <c r="D3130" s="5" t="n">
        <v>39162</v>
      </c>
      <c r="E3130" s="6" t="n">
        <v>460.743712121212</v>
      </c>
      <c r="F3130" s="7" t="n">
        <v>74</v>
      </c>
      <c r="G3130" s="6" t="n">
        <v>1895.4044767589</v>
      </c>
      <c r="H3130" s="8" t="n">
        <v>604425.427933825</v>
      </c>
      <c r="I3130" s="9" t="n">
        <v>15.0288033505189</v>
      </c>
      <c r="J3130" s="9" t="n">
        <v>43.3266103548156</v>
      </c>
      <c r="K3130" s="3" t="s">
        <v>1081</v>
      </c>
      <c r="L3130" s="3" t="s">
        <v>1082</v>
      </c>
      <c r="M3130" s="7" t="n">
        <v>2023</v>
      </c>
    </row>
    <row r="3131" customFormat="false" ht="15" hidden="false" customHeight="false" outlineLevel="0" collapsed="false">
      <c r="A3131" s="3" t="n">
        <v>4233</v>
      </c>
      <c r="B3131" s="3" t="s">
        <v>1080</v>
      </c>
      <c r="C3131" s="4" t="s">
        <v>24</v>
      </c>
      <c r="D3131" s="5" t="n">
        <v>39156</v>
      </c>
      <c r="E3131" s="6" t="n">
        <v>458.086672530026</v>
      </c>
      <c r="F3131" s="7" t="n">
        <v>76</v>
      </c>
      <c r="G3131" s="6" t="n">
        <v>2462.7197299043</v>
      </c>
      <c r="H3131" s="8" t="n">
        <v>845574.671447436</v>
      </c>
      <c r="I3131" s="9" t="n">
        <v>22.0050878341574</v>
      </c>
      <c r="J3131" s="9" t="n">
        <v>56.1491082882412</v>
      </c>
      <c r="K3131" s="3" t="s">
        <v>1081</v>
      </c>
      <c r="L3131" s="3" t="s">
        <v>1082</v>
      </c>
      <c r="M3131" s="7" t="n">
        <v>2024</v>
      </c>
    </row>
    <row r="3132" customFormat="false" ht="15" hidden="false" customHeight="false" outlineLevel="0" collapsed="false">
      <c r="A3132" s="3" t="n">
        <v>4234</v>
      </c>
      <c r="B3132" s="3" t="s">
        <v>1083</v>
      </c>
      <c r="C3132" s="4" t="s">
        <v>14</v>
      </c>
      <c r="D3132" s="5" t="n">
        <v>28266</v>
      </c>
      <c r="E3132" s="6" t="n">
        <v>358.1</v>
      </c>
      <c r="F3132" s="7" t="n">
        <v>57</v>
      </c>
      <c r="G3132" s="6" t="n">
        <v>711.728884343435</v>
      </c>
      <c r="H3132" s="8" t="n">
        <v>555362.048453183</v>
      </c>
      <c r="I3132" s="9" t="n">
        <v>6.90827510114013</v>
      </c>
      <c r="J3132" s="9" t="n">
        <v>22.4789711723163</v>
      </c>
      <c r="K3132" s="3" t="s">
        <v>1084</v>
      </c>
      <c r="L3132" s="3" t="s">
        <v>1085</v>
      </c>
      <c r="M3132" s="7" t="n">
        <v>2016</v>
      </c>
    </row>
    <row r="3133" customFormat="false" ht="15" hidden="false" customHeight="false" outlineLevel="0" collapsed="false">
      <c r="A3133" s="3" t="n">
        <v>4235</v>
      </c>
      <c r="B3133" s="3" t="s">
        <v>1083</v>
      </c>
      <c r="C3133" s="4" t="s">
        <v>17</v>
      </c>
      <c r="D3133" s="5" t="n">
        <v>28218</v>
      </c>
      <c r="E3133" s="6" t="n">
        <v>358.1</v>
      </c>
      <c r="F3133" s="7" t="n">
        <v>57</v>
      </c>
      <c r="G3133" s="6" t="n">
        <v>1157.21512626262</v>
      </c>
      <c r="H3133" s="8" t="n">
        <v>841818.458029999</v>
      </c>
      <c r="I3133" s="9" t="n">
        <v>9.09032424086464</v>
      </c>
      <c r="J3133" s="9" t="n">
        <v>36.7117888772385</v>
      </c>
      <c r="K3133" s="3" t="s">
        <v>1084</v>
      </c>
      <c r="L3133" s="3" t="s">
        <v>1085</v>
      </c>
      <c r="M3133" s="7" t="n">
        <v>2017</v>
      </c>
    </row>
    <row r="3134" customFormat="false" ht="15" hidden="false" customHeight="false" outlineLevel="0" collapsed="false">
      <c r="A3134" s="3" t="n">
        <v>4236</v>
      </c>
      <c r="B3134" s="3" t="s">
        <v>1083</v>
      </c>
      <c r="C3134" s="4" t="s">
        <v>18</v>
      </c>
      <c r="D3134" s="5" t="n">
        <v>28280</v>
      </c>
      <c r="E3134" s="6" t="n">
        <v>362</v>
      </c>
      <c r="F3134" s="7" t="n">
        <v>58</v>
      </c>
      <c r="G3134" s="6" t="n">
        <v>821.2373989899</v>
      </c>
      <c r="H3134" s="8" t="n">
        <v>452345.771737627</v>
      </c>
      <c r="I3134" s="9" t="n">
        <v>6.88410231305838</v>
      </c>
      <c r="J3134" s="9" t="n">
        <v>25.9960275287022</v>
      </c>
      <c r="K3134" s="3" t="s">
        <v>1084</v>
      </c>
      <c r="L3134" s="3" t="s">
        <v>1085</v>
      </c>
      <c r="M3134" s="7" t="n">
        <v>2018</v>
      </c>
    </row>
    <row r="3135" customFormat="false" ht="15" hidden="false" customHeight="false" outlineLevel="0" collapsed="false">
      <c r="A3135" s="3" t="n">
        <v>4237</v>
      </c>
      <c r="B3135" s="3" t="s">
        <v>1083</v>
      </c>
      <c r="C3135" s="4" t="s">
        <v>19</v>
      </c>
      <c r="D3135" s="5" t="n">
        <v>29081</v>
      </c>
      <c r="E3135" s="6" t="n">
        <v>344</v>
      </c>
      <c r="F3135" s="7" t="n">
        <v>62</v>
      </c>
      <c r="G3135" s="6" t="n">
        <v>1053.52893939394</v>
      </c>
      <c r="H3135" s="8" t="n">
        <v>655863.905930303</v>
      </c>
      <c r="I3135" s="9" t="n">
        <v>8.0910086385205</v>
      </c>
      <c r="J3135" s="9" t="n">
        <v>32.4305868707047</v>
      </c>
      <c r="K3135" s="3" t="s">
        <v>1084</v>
      </c>
      <c r="L3135" s="3" t="s">
        <v>1085</v>
      </c>
      <c r="M3135" s="7" t="n">
        <v>2019</v>
      </c>
    </row>
    <row r="3136" customFormat="false" ht="15" hidden="false" customHeight="false" outlineLevel="0" collapsed="false">
      <c r="A3136" s="3" t="n">
        <v>4238</v>
      </c>
      <c r="B3136" s="3" t="s">
        <v>1083</v>
      </c>
      <c r="C3136" s="4" t="s">
        <v>20</v>
      </c>
      <c r="D3136" s="5" t="n">
        <v>29170</v>
      </c>
      <c r="E3136" s="6" t="n">
        <v>349.9</v>
      </c>
      <c r="F3136" s="7" t="n">
        <v>63</v>
      </c>
      <c r="G3136" s="6" t="n">
        <v>1010.7786928934</v>
      </c>
      <c r="H3136" s="8" t="n">
        <v>619577.015382867</v>
      </c>
      <c r="I3136" s="9" t="n">
        <v>7.65824860610036</v>
      </c>
      <c r="J3136" s="9" t="n">
        <v>30.934695324809</v>
      </c>
      <c r="K3136" s="3" t="s">
        <v>1084</v>
      </c>
      <c r="L3136" s="3" t="s">
        <v>1085</v>
      </c>
      <c r="M3136" s="7" t="n">
        <v>2020</v>
      </c>
    </row>
    <row r="3137" customFormat="false" ht="15" hidden="false" customHeight="false" outlineLevel="0" collapsed="false">
      <c r="A3137" s="3" t="n">
        <v>4239</v>
      </c>
      <c r="B3137" s="3" t="s">
        <v>1083</v>
      </c>
      <c r="C3137" s="4" t="s">
        <v>21</v>
      </c>
      <c r="D3137" s="5" t="n">
        <v>29929</v>
      </c>
      <c r="E3137" s="6" t="n">
        <v>350</v>
      </c>
      <c r="F3137" s="7" t="n">
        <v>71</v>
      </c>
      <c r="G3137" s="6" t="n">
        <v>520.453898489848</v>
      </c>
      <c r="H3137" s="8" t="n">
        <v>321349.055083572</v>
      </c>
      <c r="I3137" s="9" t="n">
        <v>5.09195818963617</v>
      </c>
      <c r="J3137" s="9" t="n">
        <v>15.5671006801092</v>
      </c>
      <c r="K3137" s="3" t="s">
        <v>1084</v>
      </c>
      <c r="L3137" s="3" t="s">
        <v>1085</v>
      </c>
      <c r="M3137" s="7" t="n">
        <v>2021</v>
      </c>
    </row>
    <row r="3138" customFormat="false" ht="15" hidden="false" customHeight="false" outlineLevel="0" collapsed="false">
      <c r="A3138" s="3" t="n">
        <v>4240</v>
      </c>
      <c r="B3138" s="3" t="s">
        <v>1083</v>
      </c>
      <c r="C3138" s="4" t="s">
        <v>22</v>
      </c>
      <c r="D3138" s="5" t="n">
        <v>30004</v>
      </c>
      <c r="E3138" s="6" t="n">
        <v>350</v>
      </c>
      <c r="F3138" s="7" t="n">
        <v>70</v>
      </c>
      <c r="G3138" s="6" t="n">
        <v>1264.49723350254</v>
      </c>
      <c r="H3138" s="8" t="n">
        <v>843418.702509384</v>
      </c>
      <c r="I3138" s="9" t="n">
        <v>9.65069802467706</v>
      </c>
      <c r="J3138" s="9" t="n">
        <v>37.7273586996126</v>
      </c>
      <c r="K3138" s="3" t="s">
        <v>1084</v>
      </c>
      <c r="L3138" s="3" t="s">
        <v>1085</v>
      </c>
      <c r="M3138" s="7" t="n">
        <v>2022</v>
      </c>
    </row>
    <row r="3139" customFormat="false" ht="15" hidden="false" customHeight="false" outlineLevel="0" collapsed="false">
      <c r="A3139" s="3" t="n">
        <v>4241</v>
      </c>
      <c r="B3139" s="3" t="s">
        <v>1083</v>
      </c>
      <c r="C3139" s="4" t="s">
        <v>23</v>
      </c>
      <c r="D3139" s="5" t="n">
        <v>30935</v>
      </c>
      <c r="E3139" s="6" t="n">
        <v>350</v>
      </c>
      <c r="F3139" s="7" t="n">
        <v>72</v>
      </c>
      <c r="G3139" s="6" t="n">
        <v>756.355507614212</v>
      </c>
      <c r="H3139" s="8" t="n">
        <v>586013.519118147</v>
      </c>
      <c r="I3139" s="9" t="n">
        <v>8.84955752212389</v>
      </c>
      <c r="J3139" s="9" t="n">
        <v>21.8873673895814</v>
      </c>
      <c r="K3139" s="3" t="s">
        <v>1084</v>
      </c>
      <c r="L3139" s="3" t="s">
        <v>1085</v>
      </c>
      <c r="M3139" s="7" t="n">
        <v>2023</v>
      </c>
    </row>
    <row r="3140" customFormat="false" ht="15" hidden="false" customHeight="false" outlineLevel="0" collapsed="false">
      <c r="A3140" s="3" t="n">
        <v>4242</v>
      </c>
      <c r="B3140" s="3" t="s">
        <v>1083</v>
      </c>
      <c r="C3140" s="4" t="s">
        <v>24</v>
      </c>
      <c r="D3140" s="5" t="n">
        <v>31168</v>
      </c>
      <c r="E3140" s="6" t="n">
        <v>350</v>
      </c>
      <c r="F3140" s="7" t="n">
        <v>69</v>
      </c>
      <c r="G3140" s="6" t="n">
        <v>653.160786802029</v>
      </c>
      <c r="H3140" s="8" t="n">
        <v>531189.541474618</v>
      </c>
      <c r="I3140" s="9" t="n">
        <v>6.33038348082596</v>
      </c>
      <c r="J3140" s="9" t="n">
        <v>18.7084308054123</v>
      </c>
      <c r="K3140" s="3" t="s">
        <v>1084</v>
      </c>
      <c r="L3140" s="3" t="s">
        <v>1085</v>
      </c>
      <c r="M3140" s="7" t="n">
        <v>2024</v>
      </c>
    </row>
    <row r="3141" customFormat="false" ht="15" hidden="false" customHeight="false" outlineLevel="0" collapsed="false">
      <c r="A3141" s="3" t="n">
        <v>4243</v>
      </c>
      <c r="B3141" s="3" t="s">
        <v>1086</v>
      </c>
      <c r="C3141" s="4" t="s">
        <v>21</v>
      </c>
      <c r="D3141" s="5" t="n">
        <v>3282</v>
      </c>
      <c r="E3141" s="6" t="n">
        <v>47</v>
      </c>
      <c r="F3141" s="7" t="n">
        <v>54</v>
      </c>
      <c r="G3141" s="6" t="n">
        <v>158.458327534074</v>
      </c>
      <c r="H3141" s="8" t="n">
        <v>42857.5992449862</v>
      </c>
      <c r="I3141" s="9" t="n">
        <v>9.84721021267895</v>
      </c>
      <c r="J3141" s="9" t="n">
        <v>43.2209357779911</v>
      </c>
      <c r="K3141" s="3" t="s">
        <v>1087</v>
      </c>
      <c r="L3141" s="3" t="s">
        <v>1088</v>
      </c>
      <c r="M3141" s="7" t="n">
        <v>2021</v>
      </c>
    </row>
    <row r="3142" customFormat="false" ht="15" hidden="false" customHeight="false" outlineLevel="0" collapsed="false">
      <c r="A3142" s="3" t="n">
        <v>4244</v>
      </c>
      <c r="B3142" s="3" t="s">
        <v>1086</v>
      </c>
      <c r="C3142" s="4" t="s">
        <v>22</v>
      </c>
      <c r="D3142" s="5" t="n">
        <v>3404</v>
      </c>
      <c r="E3142" s="6" t="n">
        <v>47</v>
      </c>
      <c r="F3142" s="7" t="n">
        <v>72</v>
      </c>
      <c r="G3142" s="6" t="n">
        <v>199.084266301557</v>
      </c>
      <c r="H3142" s="8" t="n">
        <v>54453.3854938776</v>
      </c>
      <c r="I3142" s="9" t="n">
        <v>11.7824773413897</v>
      </c>
      <c r="J3142" s="9" t="n">
        <v>52.3558315835835</v>
      </c>
      <c r="K3142" s="3" t="s">
        <v>1087</v>
      </c>
      <c r="L3142" s="3" t="s">
        <v>1088</v>
      </c>
      <c r="M3142" s="7" t="n">
        <v>2022</v>
      </c>
    </row>
    <row r="3143" customFormat="false" ht="15" hidden="false" customHeight="false" outlineLevel="0" collapsed="false">
      <c r="A3143" s="3" t="n">
        <v>4245</v>
      </c>
      <c r="B3143" s="3" t="s">
        <v>1086</v>
      </c>
      <c r="C3143" s="4" t="s">
        <v>23</v>
      </c>
      <c r="D3143" s="5" t="n">
        <v>3800</v>
      </c>
      <c r="E3143" s="6" t="n">
        <v>47</v>
      </c>
      <c r="F3143" s="7" t="n">
        <v>62</v>
      </c>
      <c r="G3143" s="6" t="n">
        <v>221.15514326072</v>
      </c>
      <c r="H3143" s="8" t="n">
        <v>46902.6018631602</v>
      </c>
      <c r="I3143" s="9" t="n">
        <v>12.5788715847648</v>
      </c>
      <c r="J3143" s="9" t="n">
        <v>52.0992080585952</v>
      </c>
      <c r="K3143" s="3" t="s">
        <v>1087</v>
      </c>
      <c r="L3143" s="3" t="s">
        <v>1088</v>
      </c>
      <c r="M3143" s="7" t="n">
        <v>2023</v>
      </c>
    </row>
    <row r="3144" customFormat="false" ht="15" hidden="false" customHeight="false" outlineLevel="0" collapsed="false">
      <c r="A3144" s="3" t="n">
        <v>4246</v>
      </c>
      <c r="B3144" s="3" t="s">
        <v>1086</v>
      </c>
      <c r="C3144" s="4" t="s">
        <v>24</v>
      </c>
      <c r="D3144" s="5" t="n">
        <v>4055</v>
      </c>
      <c r="E3144" s="6" t="n">
        <v>50.03</v>
      </c>
      <c r="F3144" s="7" t="n">
        <v>73</v>
      </c>
      <c r="G3144" s="6" t="n">
        <v>249.668234452214</v>
      </c>
      <c r="H3144" s="8" t="n">
        <v>55007.9328330179</v>
      </c>
      <c r="I3144" s="9" t="n">
        <v>12.5079274988587</v>
      </c>
      <c r="J3144" s="9" t="n">
        <v>54.9665684944941</v>
      </c>
      <c r="K3144" s="3" t="s">
        <v>1087</v>
      </c>
      <c r="L3144" s="3" t="s">
        <v>1088</v>
      </c>
      <c r="M3144" s="7" t="n">
        <v>2024</v>
      </c>
    </row>
    <row r="3145" customFormat="false" ht="15" hidden="false" customHeight="false" outlineLevel="0" collapsed="false">
      <c r="A3145" s="3" t="n">
        <v>4279</v>
      </c>
      <c r="B3145" s="3" t="s">
        <v>1089</v>
      </c>
      <c r="C3145" s="4" t="s">
        <v>14</v>
      </c>
      <c r="D3145" s="5" t="n">
        <v>3305</v>
      </c>
      <c r="E3145" s="6" t="n">
        <v>32.3</v>
      </c>
      <c r="F3145" s="7" t="n">
        <v>53</v>
      </c>
      <c r="G3145" s="6" t="n">
        <v>86.408729454277</v>
      </c>
      <c r="H3145" s="8" t="n">
        <v>16893.8195876288</v>
      </c>
      <c r="I3145" s="9" t="n">
        <v>11.6618075801749</v>
      </c>
      <c r="J3145" s="9" t="n">
        <v>23.3406179109325</v>
      </c>
      <c r="K3145" s="3" t="s">
        <v>1090</v>
      </c>
      <c r="L3145" s="3" t="s">
        <v>1091</v>
      </c>
      <c r="M3145" s="7" t="n">
        <v>2016</v>
      </c>
    </row>
    <row r="3146" customFormat="false" ht="15" hidden="false" customHeight="false" outlineLevel="0" collapsed="false">
      <c r="A3146" s="3" t="n">
        <v>4280</v>
      </c>
      <c r="B3146" s="3" t="s">
        <v>1089</v>
      </c>
      <c r="C3146" s="4" t="s">
        <v>17</v>
      </c>
      <c r="D3146" s="5" t="n">
        <v>3309</v>
      </c>
      <c r="E3146" s="6" t="n">
        <v>32.3</v>
      </c>
      <c r="F3146" s="7" t="n">
        <v>51</v>
      </c>
      <c r="G3146" s="6" t="n">
        <v>115.587871207591</v>
      </c>
      <c r="H3146" s="8" t="n">
        <v>25988.4476173469</v>
      </c>
      <c r="I3146" s="9" t="n">
        <v>13.1550313593858</v>
      </c>
      <c r="J3146" s="9" t="n">
        <v>31.2703809962712</v>
      </c>
      <c r="K3146" s="3" t="s">
        <v>1090</v>
      </c>
      <c r="L3146" s="3" t="s">
        <v>1091</v>
      </c>
      <c r="M3146" s="7" t="n">
        <v>2017</v>
      </c>
    </row>
    <row r="3147" customFormat="false" ht="15" hidden="false" customHeight="false" outlineLevel="0" collapsed="false">
      <c r="A3147" s="3" t="n">
        <v>4281</v>
      </c>
      <c r="B3147" s="3" t="s">
        <v>1089</v>
      </c>
      <c r="C3147" s="4" t="s">
        <v>18</v>
      </c>
      <c r="D3147" s="5" t="n">
        <v>3329</v>
      </c>
      <c r="E3147" s="6" t="n">
        <v>32.3</v>
      </c>
      <c r="F3147" s="7" t="n">
        <v>54</v>
      </c>
      <c r="G3147" s="6" t="n">
        <v>141.73658535225</v>
      </c>
      <c r="H3147" s="8" t="n">
        <v>33114.645</v>
      </c>
      <c r="I3147" s="9" t="n">
        <v>13.3501259445844</v>
      </c>
      <c r="J3147" s="9" t="n">
        <v>38.1141154437164</v>
      </c>
      <c r="K3147" s="3" t="s">
        <v>1090</v>
      </c>
      <c r="L3147" s="3" t="s">
        <v>1091</v>
      </c>
      <c r="M3147" s="7" t="n">
        <v>2018</v>
      </c>
    </row>
    <row r="3148" customFormat="false" ht="15" hidden="false" customHeight="false" outlineLevel="0" collapsed="false">
      <c r="A3148" s="3" t="n">
        <v>4282</v>
      </c>
      <c r="B3148" s="3" t="s">
        <v>1089</v>
      </c>
      <c r="C3148" s="4" t="s">
        <v>19</v>
      </c>
      <c r="D3148" s="5" t="n">
        <v>3329</v>
      </c>
      <c r="E3148" s="6" t="n">
        <v>32.3</v>
      </c>
      <c r="F3148" s="7" t="n">
        <v>54</v>
      </c>
      <c r="G3148" s="6" t="n">
        <v>141.897701964375</v>
      </c>
      <c r="H3148" s="8" t="n">
        <v>34678.125</v>
      </c>
      <c r="I3148" s="9" t="n">
        <v>13.4517766497462</v>
      </c>
      <c r="J3148" s="9" t="n">
        <v>38.1574410052796</v>
      </c>
      <c r="K3148" s="3" t="s">
        <v>1090</v>
      </c>
      <c r="L3148" s="3" t="s">
        <v>1091</v>
      </c>
      <c r="M3148" s="7" t="n">
        <v>2019</v>
      </c>
    </row>
    <row r="3149" customFormat="false" ht="15" hidden="false" customHeight="false" outlineLevel="0" collapsed="false">
      <c r="A3149" s="3" t="n">
        <v>4283</v>
      </c>
      <c r="B3149" s="3" t="s">
        <v>1089</v>
      </c>
      <c r="C3149" s="4" t="s">
        <v>20</v>
      </c>
      <c r="D3149" s="5" t="n">
        <v>3329</v>
      </c>
      <c r="E3149" s="6" t="n">
        <v>32.3</v>
      </c>
      <c r="F3149" s="7" t="n">
        <v>58</v>
      </c>
      <c r="G3149" s="6" t="n">
        <v>98.0391122445614</v>
      </c>
      <c r="H3149" s="8" t="n">
        <v>26068.0479384615</v>
      </c>
      <c r="I3149" s="9" t="n">
        <v>11.631624541134</v>
      </c>
      <c r="J3149" s="9" t="n">
        <v>26.2912823086472</v>
      </c>
      <c r="K3149" s="3" t="s">
        <v>1090</v>
      </c>
      <c r="L3149" s="3" t="s">
        <v>1091</v>
      </c>
      <c r="M3149" s="7" t="n">
        <v>2020</v>
      </c>
    </row>
    <row r="3150" customFormat="false" ht="15" hidden="false" customHeight="false" outlineLevel="0" collapsed="false">
      <c r="A3150" s="3" t="n">
        <v>4284</v>
      </c>
      <c r="B3150" s="3" t="s">
        <v>1092</v>
      </c>
      <c r="C3150" s="4" t="s">
        <v>14</v>
      </c>
      <c r="D3150" s="5" t="n">
        <v>3800</v>
      </c>
      <c r="E3150" s="6" t="n">
        <v>65</v>
      </c>
      <c r="F3150" s="7" t="n">
        <v>58</v>
      </c>
      <c r="G3150" s="6" t="n">
        <v>128.572397959184</v>
      </c>
      <c r="H3150" s="8" t="n">
        <v>38571.7193877551</v>
      </c>
      <c r="I3150" s="9" t="n">
        <v>21.4605067064084</v>
      </c>
      <c r="J3150" s="9" t="n">
        <v>30.205799889977</v>
      </c>
      <c r="K3150" s="3" t="s">
        <v>1093</v>
      </c>
      <c r="L3150" s="3" t="s">
        <v>1094</v>
      </c>
      <c r="M3150" s="7" t="n">
        <v>2016</v>
      </c>
    </row>
    <row r="3151" customFormat="false" ht="15" hidden="false" customHeight="false" outlineLevel="0" collapsed="false">
      <c r="A3151" s="3" t="n">
        <v>4285</v>
      </c>
      <c r="B3151" s="3" t="s">
        <v>1092</v>
      </c>
      <c r="C3151" s="4" t="s">
        <v>17</v>
      </c>
      <c r="D3151" s="5" t="n">
        <v>3800</v>
      </c>
      <c r="E3151" s="6" t="n">
        <v>65</v>
      </c>
      <c r="F3151" s="7" t="n">
        <v>58</v>
      </c>
      <c r="G3151" s="6" t="n">
        <v>154.636152035194</v>
      </c>
      <c r="H3151" s="8" t="n">
        <v>46390.8456105583</v>
      </c>
      <c r="I3151" s="9" t="n">
        <v>23.8124237173305</v>
      </c>
      <c r="J3151" s="9" t="n">
        <v>36.4288206888519</v>
      </c>
      <c r="K3151" s="3" t="s">
        <v>1093</v>
      </c>
      <c r="L3151" s="3" t="s">
        <v>1094</v>
      </c>
      <c r="M3151" s="7" t="n">
        <v>2017</v>
      </c>
    </row>
    <row r="3152" customFormat="false" ht="15" hidden="false" customHeight="false" outlineLevel="0" collapsed="false">
      <c r="A3152" s="3" t="n">
        <v>4289</v>
      </c>
      <c r="B3152" s="3" t="s">
        <v>1092</v>
      </c>
      <c r="C3152" s="4" t="s">
        <v>21</v>
      </c>
      <c r="D3152" s="5" t="n">
        <v>3500</v>
      </c>
      <c r="E3152" s="6" t="n">
        <v>46</v>
      </c>
      <c r="F3152" s="7" t="n">
        <v>59</v>
      </c>
      <c r="G3152" s="6" t="n">
        <v>130.38981377551</v>
      </c>
      <c r="H3152" s="8" t="n">
        <v>22502.6740613776</v>
      </c>
      <c r="I3152" s="9" t="n">
        <v>26.8372242978247</v>
      </c>
      <c r="J3152" s="9" t="n">
        <v>33.3498047162981</v>
      </c>
      <c r="K3152" s="3" t="s">
        <v>1093</v>
      </c>
      <c r="L3152" s="3" t="s">
        <v>1094</v>
      </c>
      <c r="M3152" s="7" t="n">
        <v>2021</v>
      </c>
    </row>
    <row r="3153" customFormat="false" ht="15" hidden="false" customHeight="false" outlineLevel="0" collapsed="false">
      <c r="A3153" s="3" t="n">
        <v>4293</v>
      </c>
      <c r="B3153" s="3" t="s">
        <v>1095</v>
      </c>
      <c r="C3153" s="4" t="s">
        <v>14</v>
      </c>
      <c r="D3153" s="5" t="n">
        <v>4680</v>
      </c>
      <c r="E3153" s="6" t="n">
        <v>49</v>
      </c>
      <c r="F3153" s="7" t="n">
        <v>59</v>
      </c>
      <c r="G3153" s="6" t="n">
        <v>67.8920759051087</v>
      </c>
      <c r="H3153" s="8" t="n">
        <v>8841.50112022245</v>
      </c>
      <c r="I3153" s="9" t="n">
        <v>4.86492467130132</v>
      </c>
      <c r="J3153" s="9" t="n">
        <v>12.9508844548388</v>
      </c>
      <c r="K3153" s="3" t="s">
        <v>1096</v>
      </c>
      <c r="L3153" s="3" t="s">
        <v>1097</v>
      </c>
      <c r="M3153" s="7" t="n">
        <v>2016</v>
      </c>
    </row>
    <row r="3154" customFormat="false" ht="15" hidden="false" customHeight="false" outlineLevel="0" collapsed="false">
      <c r="A3154" s="3" t="n">
        <v>4294</v>
      </c>
      <c r="B3154" s="3" t="s">
        <v>1095</v>
      </c>
      <c r="C3154" s="4" t="s">
        <v>17</v>
      </c>
      <c r="D3154" s="5" t="n">
        <v>4713</v>
      </c>
      <c r="E3154" s="6" t="n">
        <v>64.7891666666667</v>
      </c>
      <c r="F3154" s="7" t="n">
        <v>49</v>
      </c>
      <c r="G3154" s="6" t="n">
        <v>55.9384495889394</v>
      </c>
      <c r="H3154" s="8" t="n">
        <v>10109.3737914743</v>
      </c>
      <c r="I3154" s="9" t="n">
        <v>4.93150460190638</v>
      </c>
      <c r="J3154" s="9" t="n">
        <v>10.625042107641</v>
      </c>
      <c r="K3154" s="3" t="s">
        <v>1096</v>
      </c>
      <c r="L3154" s="3" t="s">
        <v>1097</v>
      </c>
      <c r="M3154" s="7" t="n">
        <v>2017</v>
      </c>
    </row>
    <row r="3155" customFormat="false" ht="15" hidden="false" customHeight="false" outlineLevel="0" collapsed="false">
      <c r="A3155" s="3" t="n">
        <v>4295</v>
      </c>
      <c r="B3155" s="3" t="s">
        <v>1095</v>
      </c>
      <c r="C3155" s="4" t="s">
        <v>18</v>
      </c>
      <c r="D3155" s="5" t="n">
        <v>4725</v>
      </c>
      <c r="E3155" s="6" t="n">
        <v>64.7891666666667</v>
      </c>
      <c r="F3155" s="7" t="n">
        <v>60</v>
      </c>
      <c r="G3155" s="6" t="n">
        <v>39.9188520013214</v>
      </c>
      <c r="H3155" s="8" t="n">
        <v>5829.7441823924</v>
      </c>
      <c r="I3155" s="9" t="n">
        <v>5.03323836657169</v>
      </c>
      <c r="J3155" s="9" t="n">
        <v>7.56299659485004</v>
      </c>
      <c r="K3155" s="3" t="s">
        <v>1096</v>
      </c>
      <c r="L3155" s="3" t="s">
        <v>1097</v>
      </c>
      <c r="M3155" s="7" t="n">
        <v>2018</v>
      </c>
    </row>
    <row r="3156" customFormat="false" ht="15" hidden="false" customHeight="false" outlineLevel="0" collapsed="false">
      <c r="A3156" s="3" t="n">
        <v>4296</v>
      </c>
      <c r="B3156" s="3" t="s">
        <v>1095</v>
      </c>
      <c r="C3156" s="4" t="s">
        <v>19</v>
      </c>
      <c r="D3156" s="5" t="n">
        <v>4842</v>
      </c>
      <c r="E3156" s="6" t="n">
        <v>64.7891666666667</v>
      </c>
      <c r="F3156" s="7" t="n">
        <v>63</v>
      </c>
      <c r="G3156" s="6" t="n">
        <v>87.3392746380495</v>
      </c>
      <c r="H3156" s="8" t="n">
        <v>13229.722685449</v>
      </c>
      <c r="I3156" s="9" t="n">
        <v>6.17875769026576</v>
      </c>
      <c r="J3156" s="9" t="n">
        <v>16.1473950347935</v>
      </c>
      <c r="K3156" s="3" t="s">
        <v>1096</v>
      </c>
      <c r="L3156" s="3" t="s">
        <v>1097</v>
      </c>
      <c r="M3156" s="7" t="n">
        <v>2019</v>
      </c>
    </row>
    <row r="3157" customFormat="false" ht="15" hidden="false" customHeight="false" outlineLevel="0" collapsed="false">
      <c r="A3157" s="3" t="n">
        <v>4297</v>
      </c>
      <c r="B3157" s="3" t="s">
        <v>1095</v>
      </c>
      <c r="C3157" s="4" t="s">
        <v>20</v>
      </c>
      <c r="D3157" s="5" t="n">
        <v>4538</v>
      </c>
      <c r="E3157" s="6" t="n">
        <v>69</v>
      </c>
      <c r="F3157" s="7" t="n">
        <v>61</v>
      </c>
      <c r="G3157" s="6" t="n">
        <v>68.03251320737</v>
      </c>
      <c r="H3157" s="8" t="n">
        <v>10478.3653197778</v>
      </c>
      <c r="I3157" s="9" t="n">
        <v>5.05245971033774</v>
      </c>
      <c r="J3157" s="9" t="n">
        <v>13.3837623605443</v>
      </c>
      <c r="K3157" s="3" t="s">
        <v>1096</v>
      </c>
      <c r="L3157" s="3" t="s">
        <v>1097</v>
      </c>
      <c r="M3157" s="7" t="n">
        <v>2020</v>
      </c>
    </row>
    <row r="3158" customFormat="false" ht="15" hidden="false" customHeight="false" outlineLevel="0" collapsed="false">
      <c r="A3158" s="3" t="n">
        <v>4298</v>
      </c>
      <c r="B3158" s="3" t="s">
        <v>1095</v>
      </c>
      <c r="C3158" s="4" t="s">
        <v>21</v>
      </c>
      <c r="D3158" s="5" t="n">
        <v>4928</v>
      </c>
      <c r="E3158" s="6" t="n">
        <v>67.6</v>
      </c>
      <c r="F3158" s="7" t="n">
        <v>60</v>
      </c>
      <c r="G3158" s="6" t="n">
        <v>86.0099179332351</v>
      </c>
      <c r="H3158" s="8" t="n">
        <v>14069.8197885735</v>
      </c>
      <c r="I3158" s="9" t="n">
        <v>7.52719785564518</v>
      </c>
      <c r="J3158" s="9" t="n">
        <v>15.6241179403535</v>
      </c>
      <c r="K3158" s="3" t="s">
        <v>1096</v>
      </c>
      <c r="L3158" s="3" t="s">
        <v>1097</v>
      </c>
      <c r="M3158" s="7" t="n">
        <v>2021</v>
      </c>
    </row>
    <row r="3159" customFormat="false" ht="15" hidden="false" customHeight="false" outlineLevel="0" collapsed="false">
      <c r="A3159" s="3" t="n">
        <v>4299</v>
      </c>
      <c r="B3159" s="3" t="s">
        <v>1095</v>
      </c>
      <c r="C3159" s="4" t="s">
        <v>22</v>
      </c>
      <c r="D3159" s="5" t="n">
        <v>4991</v>
      </c>
      <c r="E3159" s="6" t="n">
        <v>66.34</v>
      </c>
      <c r="F3159" s="7" t="n">
        <v>78</v>
      </c>
      <c r="G3159" s="6" t="n">
        <v>41.4290715549006</v>
      </c>
      <c r="H3159" s="8" t="n">
        <v>8126.45106444494</v>
      </c>
      <c r="I3159" s="9" t="n">
        <v>4.5972989918615</v>
      </c>
      <c r="J3159" s="9" t="n">
        <v>7.43079542915485</v>
      </c>
      <c r="K3159" s="3" t="s">
        <v>1096</v>
      </c>
      <c r="L3159" s="3" t="s">
        <v>1097</v>
      </c>
      <c r="M3159" s="7" t="n">
        <v>2022</v>
      </c>
    </row>
    <row r="3160" customFormat="false" ht="15" hidden="false" customHeight="false" outlineLevel="0" collapsed="false">
      <c r="A3160" s="3" t="n">
        <v>4300</v>
      </c>
      <c r="B3160" s="3" t="s">
        <v>1095</v>
      </c>
      <c r="C3160" s="4" t="s">
        <v>23</v>
      </c>
      <c r="D3160" s="5" t="n">
        <v>5010</v>
      </c>
      <c r="E3160" s="6" t="n">
        <v>65.55</v>
      </c>
      <c r="F3160" s="7" t="n">
        <v>67</v>
      </c>
      <c r="G3160" s="6" t="n">
        <v>59.3688793647849</v>
      </c>
      <c r="H3160" s="8" t="n">
        <v>10406.681105737</v>
      </c>
      <c r="I3160" s="9" t="n">
        <v>5.95747035573125</v>
      </c>
      <c r="J3160" s="9" t="n">
        <v>10.6081291866238</v>
      </c>
      <c r="K3160" s="3" t="s">
        <v>1096</v>
      </c>
      <c r="L3160" s="3" t="s">
        <v>1097</v>
      </c>
      <c r="M3160" s="7" t="n">
        <v>2023</v>
      </c>
    </row>
    <row r="3161" customFormat="false" ht="15" hidden="false" customHeight="false" outlineLevel="0" collapsed="false">
      <c r="A3161" s="3" t="n">
        <v>4301</v>
      </c>
      <c r="B3161" s="3" t="s">
        <v>1095</v>
      </c>
      <c r="C3161" s="4" t="s">
        <v>24</v>
      </c>
      <c r="D3161" s="5" t="n">
        <v>5057</v>
      </c>
      <c r="E3161" s="6" t="n">
        <v>66.4521193181818</v>
      </c>
      <c r="F3161" s="7" t="n">
        <v>67</v>
      </c>
      <c r="G3161" s="6" t="n">
        <v>53.2253069676051</v>
      </c>
      <c r="H3161" s="8" t="n">
        <v>9926.98320491928</v>
      </c>
      <c r="I3161" s="9" t="n">
        <v>5.51008364179446</v>
      </c>
      <c r="J3161" s="9" t="n">
        <v>9.39618188308141</v>
      </c>
      <c r="K3161" s="3" t="s">
        <v>1096</v>
      </c>
      <c r="L3161" s="3" t="s">
        <v>1097</v>
      </c>
      <c r="M3161" s="7" t="n">
        <v>2024</v>
      </c>
    </row>
    <row r="3162" customFormat="false" ht="15" hidden="false" customHeight="false" outlineLevel="0" collapsed="false">
      <c r="A3162" s="3" t="n">
        <v>4302</v>
      </c>
      <c r="B3162" s="3" t="s">
        <v>1098</v>
      </c>
      <c r="C3162" s="4" t="s">
        <v>14</v>
      </c>
      <c r="D3162" s="5" t="n">
        <v>19966</v>
      </c>
      <c r="E3162" s="6" t="n">
        <v>249.764</v>
      </c>
      <c r="F3162" s="7" t="n">
        <v>60</v>
      </c>
      <c r="G3162" s="6" t="n">
        <v>636.602366578952</v>
      </c>
      <c r="H3162" s="8" t="n">
        <v>547372.702717597</v>
      </c>
      <c r="I3162" s="9" t="n">
        <v>9.79805897225599</v>
      </c>
      <c r="J3162" s="9" t="n">
        <v>28.4644879517259</v>
      </c>
      <c r="K3162" s="3" t="s">
        <v>1099</v>
      </c>
      <c r="L3162" s="3" t="s">
        <v>1100</v>
      </c>
      <c r="M3162" s="7" t="n">
        <v>2016</v>
      </c>
    </row>
    <row r="3163" customFormat="false" ht="15" hidden="false" customHeight="false" outlineLevel="0" collapsed="false">
      <c r="A3163" s="3" t="n">
        <v>4303</v>
      </c>
      <c r="B3163" s="3" t="s">
        <v>1098</v>
      </c>
      <c r="C3163" s="4" t="s">
        <v>17</v>
      </c>
      <c r="D3163" s="5" t="n">
        <v>19982</v>
      </c>
      <c r="E3163" s="6" t="n">
        <v>242.81</v>
      </c>
      <c r="F3163" s="7" t="n">
        <v>61</v>
      </c>
      <c r="G3163" s="6" t="n">
        <v>338.359609626468</v>
      </c>
      <c r="H3163" s="8" t="n">
        <v>346220.02147014</v>
      </c>
      <c r="I3163" s="9" t="n">
        <v>5.91293635439153</v>
      </c>
      <c r="J3163" s="9" t="n">
        <v>15.158535148171</v>
      </c>
      <c r="K3163" s="3" t="s">
        <v>1099</v>
      </c>
      <c r="L3163" s="3" t="s">
        <v>1100</v>
      </c>
      <c r="M3163" s="7" t="n">
        <v>2017</v>
      </c>
    </row>
    <row r="3164" customFormat="false" ht="15" hidden="false" customHeight="false" outlineLevel="0" collapsed="false">
      <c r="A3164" s="3" t="n">
        <v>4304</v>
      </c>
      <c r="B3164" s="3" t="s">
        <v>1098</v>
      </c>
      <c r="C3164" s="4" t="s">
        <v>18</v>
      </c>
      <c r="D3164" s="5" t="n">
        <v>20570</v>
      </c>
      <c r="E3164" s="6" t="n">
        <v>243.8</v>
      </c>
      <c r="F3164" s="7" t="n">
        <v>64</v>
      </c>
      <c r="G3164" s="6" t="n">
        <v>634.92970320165</v>
      </c>
      <c r="H3164" s="8" t="n">
        <v>817581.003077719</v>
      </c>
      <c r="I3164" s="9" t="n">
        <v>10.3758404321842</v>
      </c>
      <c r="J3164" s="9" t="n">
        <v>27.6317904979994</v>
      </c>
      <c r="K3164" s="3" t="s">
        <v>1099</v>
      </c>
      <c r="L3164" s="3" t="s">
        <v>1100</v>
      </c>
      <c r="M3164" s="7" t="n">
        <v>2018</v>
      </c>
    </row>
    <row r="3165" customFormat="false" ht="15" hidden="false" customHeight="false" outlineLevel="0" collapsed="false">
      <c r="A3165" s="3" t="n">
        <v>4305</v>
      </c>
      <c r="B3165" s="3" t="s">
        <v>1098</v>
      </c>
      <c r="C3165" s="4" t="s">
        <v>19</v>
      </c>
      <c r="D3165" s="5" t="n">
        <v>20159</v>
      </c>
      <c r="E3165" s="6" t="n">
        <v>238.79</v>
      </c>
      <c r="F3165" s="7" t="n">
        <v>66</v>
      </c>
      <c r="G3165" s="6" t="n">
        <v>117.701458206244</v>
      </c>
      <c r="H3165" s="8" t="n">
        <v>153689.817751993</v>
      </c>
      <c r="I3165" s="9" t="n">
        <v>4.23277976603726</v>
      </c>
      <c r="J3165" s="9" t="n">
        <v>5.2267356191305</v>
      </c>
      <c r="K3165" s="3" t="s">
        <v>1099</v>
      </c>
      <c r="L3165" s="3" t="s">
        <v>1100</v>
      </c>
      <c r="M3165" s="7" t="n">
        <v>2019</v>
      </c>
    </row>
    <row r="3166" customFormat="false" ht="15" hidden="false" customHeight="false" outlineLevel="0" collapsed="false">
      <c r="A3166" s="3" t="n">
        <v>4306</v>
      </c>
      <c r="B3166" s="3" t="s">
        <v>1098</v>
      </c>
      <c r="C3166" s="4" t="s">
        <v>20</v>
      </c>
      <c r="D3166" s="5" t="n">
        <v>20199</v>
      </c>
      <c r="E3166" s="6" t="n">
        <v>225.28</v>
      </c>
      <c r="F3166" s="7" t="n">
        <v>66</v>
      </c>
      <c r="G3166" s="6" t="n">
        <v>460.302146656566</v>
      </c>
      <c r="H3166" s="8" t="n">
        <v>608051.966050956</v>
      </c>
      <c r="I3166" s="9" t="n">
        <v>8.05750312615256</v>
      </c>
      <c r="J3166" s="9" t="n">
        <v>20.3441394820425</v>
      </c>
      <c r="K3166" s="3" t="s">
        <v>1099</v>
      </c>
      <c r="L3166" s="3" t="s">
        <v>1100</v>
      </c>
      <c r="M3166" s="7" t="n">
        <v>2020</v>
      </c>
    </row>
    <row r="3167" customFormat="false" ht="15" hidden="false" customHeight="false" outlineLevel="0" collapsed="false">
      <c r="A3167" s="3" t="n">
        <v>4307</v>
      </c>
      <c r="B3167" s="3" t="s">
        <v>1098</v>
      </c>
      <c r="C3167" s="4" t="s">
        <v>21</v>
      </c>
      <c r="D3167" s="5" t="n">
        <v>20840</v>
      </c>
      <c r="E3167" s="6" t="n">
        <v>241.46</v>
      </c>
      <c r="F3167" s="7" t="n">
        <v>66</v>
      </c>
      <c r="G3167" s="6" t="n">
        <v>521.136628552127</v>
      </c>
      <c r="H3167" s="8" t="n">
        <v>537239.764748104</v>
      </c>
      <c r="I3167" s="9" t="n">
        <v>9.51174767017862</v>
      </c>
      <c r="J3167" s="9" t="n">
        <v>22.3857453373609</v>
      </c>
      <c r="K3167" s="3" t="s">
        <v>1099</v>
      </c>
      <c r="L3167" s="3" t="s">
        <v>1100</v>
      </c>
      <c r="M3167" s="7" t="n">
        <v>2021</v>
      </c>
    </row>
    <row r="3168" customFormat="false" ht="15" hidden="false" customHeight="false" outlineLevel="0" collapsed="false">
      <c r="A3168" s="3" t="n">
        <v>4308</v>
      </c>
      <c r="B3168" s="3" t="s">
        <v>1098</v>
      </c>
      <c r="C3168" s="4" t="s">
        <v>22</v>
      </c>
      <c r="D3168" s="5" t="n">
        <v>21012</v>
      </c>
      <c r="E3168" s="6" t="n">
        <v>241.74</v>
      </c>
      <c r="F3168" s="7" t="n">
        <v>58</v>
      </c>
      <c r="G3168" s="6" t="n">
        <v>398.166081600679</v>
      </c>
      <c r="H3168" s="8" t="n">
        <v>599992.952183218</v>
      </c>
      <c r="I3168" s="9" t="n">
        <v>8.44010795396139</v>
      </c>
      <c r="J3168" s="9" t="n">
        <v>16.9634640822281</v>
      </c>
      <c r="K3168" s="3" t="s">
        <v>1099</v>
      </c>
      <c r="L3168" s="3" t="s">
        <v>1100</v>
      </c>
      <c r="M3168" s="7" t="n">
        <v>2022</v>
      </c>
    </row>
    <row r="3169" customFormat="false" ht="15" hidden="false" customHeight="false" outlineLevel="0" collapsed="false">
      <c r="A3169" s="3" t="n">
        <v>4309</v>
      </c>
      <c r="B3169" s="3" t="s">
        <v>1098</v>
      </c>
      <c r="C3169" s="4" t="s">
        <v>23</v>
      </c>
      <c r="D3169" s="5" t="n">
        <v>21014</v>
      </c>
      <c r="E3169" s="6" t="n">
        <v>238.58</v>
      </c>
      <c r="F3169" s="7" t="n">
        <v>58</v>
      </c>
      <c r="G3169" s="6" t="n">
        <v>416.098879385889</v>
      </c>
      <c r="H3169" s="8" t="n">
        <v>712212.679128491</v>
      </c>
      <c r="I3169" s="9" t="n">
        <v>8.44681555606178</v>
      </c>
      <c r="J3169" s="9" t="n">
        <v>17.7257856283633</v>
      </c>
      <c r="K3169" s="3" t="s">
        <v>1099</v>
      </c>
      <c r="L3169" s="3" t="s">
        <v>1100</v>
      </c>
      <c r="M3169" s="7" t="n">
        <v>2023</v>
      </c>
    </row>
    <row r="3170" customFormat="false" ht="15" hidden="false" customHeight="false" outlineLevel="0" collapsed="false">
      <c r="A3170" s="3" t="n">
        <v>4310</v>
      </c>
      <c r="B3170" s="3" t="s">
        <v>1098</v>
      </c>
      <c r="C3170" s="4" t="s">
        <v>24</v>
      </c>
      <c r="D3170" s="5" t="n">
        <v>21123</v>
      </c>
      <c r="E3170" s="6" t="n">
        <v>241.77</v>
      </c>
      <c r="F3170" s="7" t="n">
        <v>59</v>
      </c>
      <c r="G3170" s="6" t="n">
        <v>468.530427468808</v>
      </c>
      <c r="H3170" s="8" t="n">
        <v>841208.499531022</v>
      </c>
      <c r="I3170" s="9" t="n">
        <v>8.7664791334285</v>
      </c>
      <c r="J3170" s="9" t="n">
        <v>19.8019698479861</v>
      </c>
      <c r="K3170" s="3" t="s">
        <v>1099</v>
      </c>
      <c r="L3170" s="3" t="s">
        <v>1100</v>
      </c>
      <c r="M3170" s="7" t="n">
        <v>2024</v>
      </c>
    </row>
    <row r="3171" customFormat="false" ht="15" hidden="false" customHeight="false" outlineLevel="0" collapsed="false">
      <c r="A3171" s="3" t="n">
        <v>4311</v>
      </c>
      <c r="B3171" s="3" t="s">
        <v>1101</v>
      </c>
      <c r="C3171" s="4" t="s">
        <v>14</v>
      </c>
      <c r="D3171" s="5" t="n">
        <v>54125</v>
      </c>
      <c r="E3171" s="6" t="n">
        <v>643</v>
      </c>
      <c r="F3171" s="7" t="n">
        <v>64</v>
      </c>
      <c r="G3171" s="6" t="n">
        <v>967.896266234069</v>
      </c>
      <c r="H3171" s="8" t="n">
        <v>762805.192922375</v>
      </c>
      <c r="I3171" s="9" t="n">
        <v>6.83989946748193</v>
      </c>
      <c r="J3171" s="9" t="n">
        <v>15.9645653452441</v>
      </c>
      <c r="K3171" s="3" t="s">
        <v>1102</v>
      </c>
      <c r="L3171" s="3" t="s">
        <v>1103</v>
      </c>
      <c r="M3171" s="7" t="n">
        <v>2016</v>
      </c>
    </row>
    <row r="3172" customFormat="false" ht="15" hidden="false" customHeight="false" outlineLevel="0" collapsed="false">
      <c r="A3172" s="3" t="n">
        <v>4312</v>
      </c>
      <c r="B3172" s="3" t="s">
        <v>1101</v>
      </c>
      <c r="C3172" s="4" t="s">
        <v>17</v>
      </c>
      <c r="D3172" s="5" t="n">
        <v>54327</v>
      </c>
      <c r="E3172" s="6" t="n">
        <v>644</v>
      </c>
      <c r="F3172" s="7" t="n">
        <v>66</v>
      </c>
      <c r="G3172" s="6" t="n">
        <v>974.106702957293</v>
      </c>
      <c r="H3172" s="8" t="n">
        <v>805281.446329061</v>
      </c>
      <c r="I3172" s="9" t="n">
        <v>7.09351064441078</v>
      </c>
      <c r="J3172" s="9" t="n">
        <v>16.0512360976347</v>
      </c>
      <c r="K3172" s="3" t="s">
        <v>1102</v>
      </c>
      <c r="L3172" s="3" t="s">
        <v>1103</v>
      </c>
      <c r="M3172" s="7" t="n">
        <v>2017</v>
      </c>
    </row>
    <row r="3173" customFormat="false" ht="15" hidden="false" customHeight="false" outlineLevel="0" collapsed="false">
      <c r="A3173" s="3" t="n">
        <v>4313</v>
      </c>
      <c r="B3173" s="3" t="s">
        <v>1101</v>
      </c>
      <c r="C3173" s="4" t="s">
        <v>18</v>
      </c>
      <c r="D3173" s="5" t="n">
        <v>54713</v>
      </c>
      <c r="E3173" s="6" t="n">
        <v>646</v>
      </c>
      <c r="F3173" s="7" t="n">
        <v>71</v>
      </c>
      <c r="G3173" s="6" t="n">
        <v>1034.70336107199</v>
      </c>
      <c r="H3173" s="8" t="n">
        <v>972687.047369499</v>
      </c>
      <c r="I3173" s="9" t="n">
        <v>7.50668101758265</v>
      </c>
      <c r="J3173" s="9" t="n">
        <v>16.92945611037</v>
      </c>
      <c r="K3173" s="3" t="s">
        <v>1102</v>
      </c>
      <c r="L3173" s="3" t="s">
        <v>1103</v>
      </c>
      <c r="M3173" s="7" t="n">
        <v>2018</v>
      </c>
    </row>
    <row r="3174" customFormat="false" ht="15" hidden="false" customHeight="false" outlineLevel="0" collapsed="false">
      <c r="A3174" s="3" t="n">
        <v>4314</v>
      </c>
      <c r="B3174" s="3" t="s">
        <v>1101</v>
      </c>
      <c r="C3174" s="4" t="s">
        <v>19</v>
      </c>
      <c r="D3174" s="5" t="n">
        <v>55035</v>
      </c>
      <c r="E3174" s="6" t="n">
        <v>646</v>
      </c>
      <c r="F3174" s="7" t="n">
        <v>70</v>
      </c>
      <c r="G3174" s="6" t="n">
        <v>1057.86537760742</v>
      </c>
      <c r="H3174" s="8" t="n">
        <v>1015422.41588947</v>
      </c>
      <c r="I3174" s="9" t="n">
        <v>7.33948411878898</v>
      </c>
      <c r="J3174" s="9" t="n">
        <v>17.2071564428408</v>
      </c>
      <c r="K3174" s="3" t="s">
        <v>1102</v>
      </c>
      <c r="L3174" s="3" t="s">
        <v>1103</v>
      </c>
      <c r="M3174" s="7" t="n">
        <v>2019</v>
      </c>
    </row>
    <row r="3175" customFormat="false" ht="15" hidden="false" customHeight="false" outlineLevel="0" collapsed="false">
      <c r="A3175" s="3" t="n">
        <v>4315</v>
      </c>
      <c r="B3175" s="3" t="s">
        <v>1101</v>
      </c>
      <c r="C3175" s="4" t="s">
        <v>20</v>
      </c>
      <c r="D3175" s="5" t="n">
        <v>55433</v>
      </c>
      <c r="E3175" s="6" t="n">
        <v>647</v>
      </c>
      <c r="F3175" s="7" t="n">
        <v>70</v>
      </c>
      <c r="G3175" s="6" t="n">
        <v>1134.90077792275</v>
      </c>
      <c r="H3175" s="8" t="n">
        <v>1123674.18729284</v>
      </c>
      <c r="I3175" s="9" t="n">
        <v>7.18384647053074</v>
      </c>
      <c r="J3175" s="9" t="n">
        <v>18.2774542036014</v>
      </c>
      <c r="K3175" s="3" t="s">
        <v>1102</v>
      </c>
      <c r="L3175" s="3" t="s">
        <v>1103</v>
      </c>
      <c r="M3175" s="7" t="n">
        <v>2020</v>
      </c>
    </row>
    <row r="3176" customFormat="false" ht="15" hidden="false" customHeight="false" outlineLevel="0" collapsed="false">
      <c r="A3176" s="3" t="n">
        <v>4316</v>
      </c>
      <c r="B3176" s="3" t="s">
        <v>1101</v>
      </c>
      <c r="C3176" s="4" t="s">
        <v>21</v>
      </c>
      <c r="D3176" s="5" t="n">
        <v>55456</v>
      </c>
      <c r="E3176" s="6" t="n">
        <v>649</v>
      </c>
      <c r="F3176" s="7" t="n">
        <v>70</v>
      </c>
      <c r="G3176" s="6" t="n">
        <v>862.105820310426</v>
      </c>
      <c r="H3176" s="8" t="n">
        <v>1163736.50256863</v>
      </c>
      <c r="I3176" s="9" t="n">
        <v>6.33576329524735</v>
      </c>
      <c r="J3176" s="9" t="n">
        <v>13.9164899592694</v>
      </c>
      <c r="K3176" s="3" t="s">
        <v>1102</v>
      </c>
      <c r="L3176" s="3" t="s">
        <v>1103</v>
      </c>
      <c r="M3176" s="7" t="n">
        <v>2021</v>
      </c>
    </row>
    <row r="3177" customFormat="false" ht="15" hidden="false" customHeight="false" outlineLevel="0" collapsed="false">
      <c r="A3177" s="3" t="n">
        <v>4317</v>
      </c>
      <c r="B3177" s="3" t="s">
        <v>1101</v>
      </c>
      <c r="C3177" s="4" t="s">
        <v>22</v>
      </c>
      <c r="D3177" s="5" t="n">
        <v>55862</v>
      </c>
      <c r="E3177" s="6" t="n">
        <v>649</v>
      </c>
      <c r="F3177" s="7" t="n">
        <v>61</v>
      </c>
      <c r="G3177" s="6" t="n">
        <v>459.293763196566</v>
      </c>
      <c r="H3177" s="8" t="n">
        <v>608560.284989898</v>
      </c>
      <c r="I3177" s="9" t="n">
        <v>4.25593282744242</v>
      </c>
      <c r="J3177" s="9" t="n">
        <v>7.36023603846391</v>
      </c>
      <c r="K3177" s="3" t="s">
        <v>1102</v>
      </c>
      <c r="L3177" s="3" t="s">
        <v>1103</v>
      </c>
      <c r="M3177" s="7" t="n">
        <v>2022</v>
      </c>
    </row>
    <row r="3178" customFormat="false" ht="15" hidden="false" customHeight="false" outlineLevel="0" collapsed="false">
      <c r="A3178" s="3" t="n">
        <v>4318</v>
      </c>
      <c r="B3178" s="3" t="s">
        <v>1101</v>
      </c>
      <c r="C3178" s="4" t="s">
        <v>23</v>
      </c>
      <c r="D3178" s="5" t="n">
        <v>56160</v>
      </c>
      <c r="E3178" s="6" t="n">
        <v>651</v>
      </c>
      <c r="F3178" s="7" t="n">
        <v>62</v>
      </c>
      <c r="G3178" s="6" t="n">
        <v>918.085147171672</v>
      </c>
      <c r="H3178" s="8" t="n">
        <v>1308150.11964233</v>
      </c>
      <c r="I3178" s="9" t="n">
        <v>6.94453339200105</v>
      </c>
      <c r="J3178" s="9" t="n">
        <v>14.6343533434221</v>
      </c>
      <c r="K3178" s="3" t="s">
        <v>1102</v>
      </c>
      <c r="L3178" s="3" t="s">
        <v>1103</v>
      </c>
      <c r="M3178" s="7" t="n">
        <v>2023</v>
      </c>
    </row>
    <row r="3179" customFormat="false" ht="15" hidden="false" customHeight="false" outlineLevel="0" collapsed="false">
      <c r="A3179" s="3" t="n">
        <v>4319</v>
      </c>
      <c r="B3179" s="3" t="s">
        <v>1101</v>
      </c>
      <c r="C3179" s="4" t="s">
        <v>24</v>
      </c>
      <c r="D3179" s="5" t="n">
        <v>53681</v>
      </c>
      <c r="E3179" s="6" t="n">
        <v>652</v>
      </c>
      <c r="F3179" s="7" t="n">
        <v>62</v>
      </c>
      <c r="G3179" s="6" t="n">
        <v>567.203112704442</v>
      </c>
      <c r="H3179" s="8" t="n">
        <v>850887.511645777</v>
      </c>
      <c r="I3179" s="9" t="n">
        <v>5.35082670550117</v>
      </c>
      <c r="J3179" s="9" t="n">
        <v>9.4328776553861</v>
      </c>
      <c r="K3179" s="3" t="s">
        <v>1102</v>
      </c>
      <c r="L3179" s="3" t="s">
        <v>1103</v>
      </c>
      <c r="M3179" s="7" t="n">
        <v>2024</v>
      </c>
    </row>
    <row r="3180" customFormat="false" ht="15" hidden="false" customHeight="false" outlineLevel="0" collapsed="false">
      <c r="A3180" s="3" t="n">
        <v>4320</v>
      </c>
      <c r="B3180" s="3" t="s">
        <v>1104</v>
      </c>
      <c r="C3180" s="4" t="s">
        <v>14</v>
      </c>
      <c r="D3180" s="5" t="n">
        <v>4387</v>
      </c>
      <c r="E3180" s="6" t="n">
        <v>54.25</v>
      </c>
      <c r="F3180" s="7" t="n">
        <v>67</v>
      </c>
      <c r="G3180" s="6" t="n">
        <v>79.436113712121</v>
      </c>
      <c r="H3180" s="8" t="n">
        <v>62485.2414070915</v>
      </c>
      <c r="I3180" s="9" t="n">
        <v>6.04342710630777</v>
      </c>
      <c r="J3180" s="9" t="n">
        <v>16.1650312343807</v>
      </c>
      <c r="K3180" s="3" t="s">
        <v>1105</v>
      </c>
      <c r="L3180" s="3" t="s">
        <v>1106</v>
      </c>
      <c r="M3180" s="7" t="n">
        <v>2016</v>
      </c>
    </row>
    <row r="3181" customFormat="false" ht="15" hidden="false" customHeight="false" outlineLevel="0" collapsed="false">
      <c r="A3181" s="3" t="n">
        <v>4321</v>
      </c>
      <c r="B3181" s="3" t="s">
        <v>1104</v>
      </c>
      <c r="C3181" s="4" t="s">
        <v>17</v>
      </c>
      <c r="D3181" s="5" t="n">
        <v>4401</v>
      </c>
      <c r="E3181" s="6" t="n">
        <v>54.3</v>
      </c>
      <c r="F3181" s="7" t="n">
        <v>67</v>
      </c>
      <c r="G3181" s="6" t="n">
        <v>88.2410488184475</v>
      </c>
      <c r="H3181" s="8" t="n">
        <v>65508.389821839</v>
      </c>
      <c r="I3181" s="9" t="n">
        <v>7.08593397232744</v>
      </c>
      <c r="J3181" s="9" t="n">
        <v>17.9488640185047</v>
      </c>
      <c r="K3181" s="3" t="s">
        <v>1105</v>
      </c>
      <c r="L3181" s="3" t="s">
        <v>1106</v>
      </c>
      <c r="M3181" s="7" t="n">
        <v>2017</v>
      </c>
    </row>
    <row r="3182" customFormat="false" ht="15" hidden="false" customHeight="false" outlineLevel="0" collapsed="false">
      <c r="A3182" s="3" t="n">
        <v>4322</v>
      </c>
      <c r="B3182" s="3" t="s">
        <v>1104</v>
      </c>
      <c r="C3182" s="4" t="s">
        <v>18</v>
      </c>
      <c r="D3182" s="5" t="n">
        <v>4426</v>
      </c>
      <c r="E3182" s="6" t="n">
        <v>54.3</v>
      </c>
      <c r="F3182" s="7" t="n">
        <v>67</v>
      </c>
      <c r="G3182" s="6" t="n">
        <v>169.190423474795</v>
      </c>
      <c r="H3182" s="8" t="n">
        <v>181157.613710309</v>
      </c>
      <c r="I3182" s="9" t="n">
        <v>9.79012545943724</v>
      </c>
      <c r="J3182" s="9" t="n">
        <v>34.2201605148433</v>
      </c>
      <c r="K3182" s="3" t="s">
        <v>1105</v>
      </c>
      <c r="L3182" s="3" t="s">
        <v>1106</v>
      </c>
      <c r="M3182" s="7" t="n">
        <v>2018</v>
      </c>
    </row>
    <row r="3183" customFormat="false" ht="15" hidden="false" customHeight="false" outlineLevel="0" collapsed="false">
      <c r="A3183" s="3" t="n">
        <v>4323</v>
      </c>
      <c r="B3183" s="3" t="s">
        <v>1104</v>
      </c>
      <c r="C3183" s="4" t="s">
        <v>19</v>
      </c>
      <c r="D3183" s="5" t="n">
        <v>4414</v>
      </c>
      <c r="E3183" s="6" t="n">
        <v>54.3</v>
      </c>
      <c r="F3183" s="7" t="n">
        <v>67</v>
      </c>
      <c r="G3183" s="6" t="n">
        <v>236.19527319097</v>
      </c>
      <c r="H3183" s="8"/>
      <c r="I3183" s="9" t="n">
        <v>13.9886756293221</v>
      </c>
      <c r="J3183" s="9" t="n">
        <v>47.9023200185665</v>
      </c>
      <c r="K3183" s="3" t="s">
        <v>1105</v>
      </c>
      <c r="L3183" s="3" t="s">
        <v>1106</v>
      </c>
      <c r="M3183" s="7" t="n">
        <v>2019</v>
      </c>
    </row>
    <row r="3184" customFormat="false" ht="15" hidden="false" customHeight="false" outlineLevel="0" collapsed="false">
      <c r="A3184" s="3" t="n">
        <v>4324</v>
      </c>
      <c r="B3184" s="3" t="s">
        <v>1104</v>
      </c>
      <c r="C3184" s="4" t="s">
        <v>20</v>
      </c>
      <c r="D3184" s="5" t="n">
        <v>4505</v>
      </c>
      <c r="E3184" s="6" t="n">
        <v>54.3</v>
      </c>
      <c r="F3184" s="7" t="n">
        <v>68</v>
      </c>
      <c r="G3184" s="6" t="n">
        <v>105.173208960922</v>
      </c>
      <c r="H3184" s="8" t="n">
        <v>106642.478690106</v>
      </c>
      <c r="I3184" s="9" t="n">
        <v>6.50480318048803</v>
      </c>
      <c r="J3184" s="9" t="n">
        <v>20.8418623527134</v>
      </c>
      <c r="K3184" s="3" t="s">
        <v>1105</v>
      </c>
      <c r="L3184" s="3" t="s">
        <v>1106</v>
      </c>
      <c r="M3184" s="7" t="n">
        <v>2020</v>
      </c>
    </row>
    <row r="3185" customFormat="false" ht="15" hidden="false" customHeight="false" outlineLevel="0" collapsed="false">
      <c r="A3185" s="3" t="n">
        <v>4325</v>
      </c>
      <c r="B3185" s="3" t="s">
        <v>1104</v>
      </c>
      <c r="C3185" s="4" t="s">
        <v>21</v>
      </c>
      <c r="D3185" s="5" t="n">
        <v>4514</v>
      </c>
      <c r="E3185" s="6" t="n">
        <v>54.3</v>
      </c>
      <c r="F3185" s="7" t="n">
        <v>74</v>
      </c>
      <c r="G3185" s="6" t="n">
        <v>93.746866040404</v>
      </c>
      <c r="H3185" s="8" t="n">
        <v>109396.030388529</v>
      </c>
      <c r="I3185" s="9" t="n">
        <v>7.64771271237185</v>
      </c>
      <c r="J3185" s="9" t="n">
        <v>18.5914335170506</v>
      </c>
      <c r="K3185" s="3" t="s">
        <v>1105</v>
      </c>
      <c r="L3185" s="3" t="s">
        <v>1106</v>
      </c>
      <c r="M3185" s="7" t="n">
        <v>2021</v>
      </c>
    </row>
    <row r="3186" customFormat="false" ht="15" hidden="false" customHeight="false" outlineLevel="0" collapsed="false">
      <c r="A3186" s="3" t="n">
        <v>4326</v>
      </c>
      <c r="B3186" s="3" t="s">
        <v>1104</v>
      </c>
      <c r="C3186" s="4" t="s">
        <v>22</v>
      </c>
      <c r="D3186" s="5" t="n">
        <v>4522</v>
      </c>
      <c r="E3186" s="6" t="n">
        <v>54.3</v>
      </c>
      <c r="F3186" s="7" t="n">
        <v>69</v>
      </c>
      <c r="G3186" s="6" t="n">
        <v>135.235637333333</v>
      </c>
      <c r="H3186" s="8" t="n">
        <v>164814.567599003</v>
      </c>
      <c r="I3186" s="9" t="n">
        <v>8.90052084817185</v>
      </c>
      <c r="J3186" s="9" t="n">
        <v>26.7718429440828</v>
      </c>
      <c r="K3186" s="3" t="s">
        <v>1105</v>
      </c>
      <c r="L3186" s="3" t="s">
        <v>1106</v>
      </c>
      <c r="M3186" s="7" t="n">
        <v>2022</v>
      </c>
    </row>
    <row r="3187" customFormat="false" ht="15" hidden="false" customHeight="false" outlineLevel="0" collapsed="false">
      <c r="A3187" s="3" t="n">
        <v>4327</v>
      </c>
      <c r="B3187" s="3" t="s">
        <v>1104</v>
      </c>
      <c r="C3187" s="4" t="s">
        <v>23</v>
      </c>
      <c r="D3187" s="5" t="n">
        <v>4510</v>
      </c>
      <c r="E3187" s="6" t="n">
        <v>54.3</v>
      </c>
      <c r="F3187" s="7" t="n">
        <v>65</v>
      </c>
      <c r="G3187" s="6" t="n">
        <v>142.898310373737</v>
      </c>
      <c r="H3187" s="8" t="n">
        <v>178429.975248167</v>
      </c>
      <c r="I3187" s="9" t="n">
        <v>9.63118087514592</v>
      </c>
      <c r="J3187" s="9" t="n">
        <v>28.3640489593288</v>
      </c>
      <c r="K3187" s="3" t="s">
        <v>1105</v>
      </c>
      <c r="L3187" s="3" t="s">
        <v>1106</v>
      </c>
      <c r="M3187" s="7" t="n">
        <v>2023</v>
      </c>
    </row>
    <row r="3188" customFormat="false" ht="15" hidden="false" customHeight="false" outlineLevel="0" collapsed="false">
      <c r="A3188" s="3" t="n">
        <v>4328</v>
      </c>
      <c r="B3188" s="3" t="s">
        <v>1104</v>
      </c>
      <c r="C3188" s="4" t="s">
        <v>24</v>
      </c>
      <c r="D3188" s="5" t="n">
        <v>4520</v>
      </c>
      <c r="E3188" s="6" t="n">
        <v>54.3</v>
      </c>
      <c r="F3188" s="7" t="n">
        <v>68</v>
      </c>
      <c r="G3188" s="6" t="n">
        <v>121.064989813131</v>
      </c>
      <c r="H3188" s="8" t="n">
        <v>175216.149106647</v>
      </c>
      <c r="I3188" s="9" t="n">
        <v>7.93325449540694</v>
      </c>
      <c r="J3188" s="9" t="n">
        <v>23.9114729031389</v>
      </c>
      <c r="K3188" s="3" t="s">
        <v>1105</v>
      </c>
      <c r="L3188" s="3" t="s">
        <v>1106</v>
      </c>
      <c r="M3188" s="7" t="n">
        <v>2024</v>
      </c>
    </row>
    <row r="3189" customFormat="false" ht="15" hidden="false" customHeight="false" outlineLevel="0" collapsed="false">
      <c r="A3189" s="3" t="n">
        <v>4329</v>
      </c>
      <c r="B3189" s="3" t="s">
        <v>1107</v>
      </c>
      <c r="C3189" s="4" t="s">
        <v>14</v>
      </c>
      <c r="D3189" s="5" t="n">
        <v>7093</v>
      </c>
      <c r="E3189" s="6" t="n">
        <v>92</v>
      </c>
      <c r="F3189" s="7" t="n">
        <v>76</v>
      </c>
      <c r="G3189" s="6" t="n">
        <v>210.098796295918</v>
      </c>
      <c r="H3189" s="8" t="n">
        <v>343574.561582715</v>
      </c>
      <c r="I3189" s="9" t="n">
        <v>12.9095355435986</v>
      </c>
      <c r="J3189" s="9" t="n">
        <v>26.4435524400175</v>
      </c>
      <c r="K3189" s="3" t="s">
        <v>1108</v>
      </c>
      <c r="L3189" s="3" t="s">
        <v>1109</v>
      </c>
      <c r="M3189" s="7" t="n">
        <v>2016</v>
      </c>
    </row>
    <row r="3190" customFormat="false" ht="15" hidden="false" customHeight="false" outlineLevel="0" collapsed="false">
      <c r="A3190" s="3" t="n">
        <v>4330</v>
      </c>
      <c r="B3190" s="3" t="s">
        <v>1107</v>
      </c>
      <c r="C3190" s="4" t="s">
        <v>17</v>
      </c>
      <c r="D3190" s="5" t="n">
        <v>7093</v>
      </c>
      <c r="E3190" s="6" t="n">
        <v>92</v>
      </c>
      <c r="F3190" s="7" t="n">
        <v>82</v>
      </c>
      <c r="G3190" s="6" t="n">
        <v>322.943303265306</v>
      </c>
      <c r="H3190" s="8" t="n">
        <v>484532.750165056</v>
      </c>
      <c r="I3190" s="9" t="n">
        <v>15.2022008009094</v>
      </c>
      <c r="J3190" s="9" t="n">
        <v>40.7581063175981</v>
      </c>
      <c r="K3190" s="3" t="s">
        <v>1108</v>
      </c>
      <c r="L3190" s="3" t="s">
        <v>1109</v>
      </c>
      <c r="M3190" s="7" t="n">
        <v>2017</v>
      </c>
    </row>
    <row r="3191" customFormat="false" ht="15" hidden="false" customHeight="false" outlineLevel="0" collapsed="false">
      <c r="A3191" s="3" t="n">
        <v>4331</v>
      </c>
      <c r="B3191" s="3" t="s">
        <v>1107</v>
      </c>
      <c r="C3191" s="4" t="s">
        <v>18</v>
      </c>
      <c r="D3191" s="5" t="n">
        <v>7138</v>
      </c>
      <c r="E3191" s="6" t="n">
        <v>93.5</v>
      </c>
      <c r="F3191" s="7" t="n">
        <v>81</v>
      </c>
      <c r="G3191" s="6" t="n">
        <v>159.730099593354</v>
      </c>
      <c r="H3191" s="8" t="n">
        <v>270442.237392771</v>
      </c>
      <c r="I3191" s="9" t="n">
        <v>9.61078394928092</v>
      </c>
      <c r="J3191" s="9" t="n">
        <v>20.0321652118033</v>
      </c>
      <c r="K3191" s="3" t="s">
        <v>1108</v>
      </c>
      <c r="L3191" s="3" t="s">
        <v>1109</v>
      </c>
      <c r="M3191" s="7" t="n">
        <v>2018</v>
      </c>
    </row>
    <row r="3192" customFormat="false" ht="15" hidden="false" customHeight="false" outlineLevel="0" collapsed="false">
      <c r="A3192" s="3" t="n">
        <v>4332</v>
      </c>
      <c r="B3192" s="3" t="s">
        <v>1107</v>
      </c>
      <c r="C3192" s="4" t="s">
        <v>19</v>
      </c>
      <c r="D3192" s="5" t="n">
        <v>7226</v>
      </c>
      <c r="E3192" s="6" t="n">
        <v>93.5</v>
      </c>
      <c r="F3192" s="7" t="n">
        <v>75</v>
      </c>
      <c r="G3192" s="6" t="n">
        <v>92.0030229591839</v>
      </c>
      <c r="H3192" s="8" t="n">
        <v>162780.028491454</v>
      </c>
      <c r="I3192" s="9" t="n">
        <v>7.29551214255782</v>
      </c>
      <c r="J3192" s="9" t="n">
        <v>11.3978205359892</v>
      </c>
      <c r="K3192" s="3" t="s">
        <v>1108</v>
      </c>
      <c r="L3192" s="3" t="s">
        <v>1109</v>
      </c>
      <c r="M3192" s="7" t="n">
        <v>2019</v>
      </c>
    </row>
    <row r="3193" customFormat="false" ht="15" hidden="false" customHeight="false" outlineLevel="0" collapsed="false">
      <c r="A3193" s="3" t="n">
        <v>4333</v>
      </c>
      <c r="B3193" s="3" t="s">
        <v>1107</v>
      </c>
      <c r="C3193" s="4" t="s">
        <v>44</v>
      </c>
      <c r="D3193" s="5" t="n">
        <v>7226</v>
      </c>
      <c r="E3193" s="6" t="n">
        <v>93.5</v>
      </c>
      <c r="F3193" s="7" t="n">
        <v>62</v>
      </c>
      <c r="G3193" s="6" t="n">
        <v>90.0980232626265</v>
      </c>
      <c r="H3193" s="8" t="n">
        <v>87011.2649856489</v>
      </c>
      <c r="I3193" s="9" t="n">
        <v>5.17329542262916</v>
      </c>
      <c r="J3193" s="9" t="n">
        <v>11.1312387831423</v>
      </c>
      <c r="K3193" s="3" t="s">
        <v>1108</v>
      </c>
      <c r="L3193" s="3" t="s">
        <v>1109</v>
      </c>
      <c r="M3193" s="7" t="n">
        <v>2019</v>
      </c>
    </row>
    <row r="3194" customFormat="false" ht="15" hidden="false" customHeight="false" outlineLevel="0" collapsed="false">
      <c r="A3194" s="3" t="n">
        <v>4334</v>
      </c>
      <c r="B3194" s="3" t="s">
        <v>1107</v>
      </c>
      <c r="C3194" s="4" t="s">
        <v>45</v>
      </c>
      <c r="D3194" s="5" t="n">
        <v>7184</v>
      </c>
      <c r="E3194" s="6" t="n">
        <v>93.5</v>
      </c>
      <c r="F3194" s="7" t="n">
        <v>56</v>
      </c>
      <c r="G3194" s="6" t="n">
        <v>232.790950419598</v>
      </c>
      <c r="H3194" s="8" t="n">
        <v>208436.361186699</v>
      </c>
      <c r="I3194" s="9" t="n">
        <v>9.50522246442993</v>
      </c>
      <c r="J3194" s="9" t="n">
        <v>29.0079771229933</v>
      </c>
      <c r="K3194" s="3" t="s">
        <v>1108</v>
      </c>
      <c r="L3194" s="3" t="s">
        <v>1109</v>
      </c>
      <c r="M3194" s="7" t="n">
        <v>2020</v>
      </c>
    </row>
    <row r="3195" customFormat="false" ht="15" hidden="false" customHeight="false" outlineLevel="0" collapsed="false">
      <c r="A3195" s="3" t="n">
        <v>4335</v>
      </c>
      <c r="B3195" s="3" t="s">
        <v>1107</v>
      </c>
      <c r="C3195" s="4" t="s">
        <v>46</v>
      </c>
      <c r="D3195" s="5" t="n">
        <v>7167</v>
      </c>
      <c r="E3195" s="6" t="n">
        <v>93.5</v>
      </c>
      <c r="F3195" s="7" t="n">
        <v>62</v>
      </c>
      <c r="G3195" s="6" t="n">
        <v>104.692862997337</v>
      </c>
      <c r="H3195" s="8" t="n">
        <v>101687.130900683</v>
      </c>
      <c r="I3195" s="9" t="n">
        <v>5.95975918534877</v>
      </c>
      <c r="J3195" s="9" t="n">
        <v>13.0766754908966</v>
      </c>
      <c r="K3195" s="3" t="s">
        <v>1108</v>
      </c>
      <c r="L3195" s="3" t="s">
        <v>1109</v>
      </c>
      <c r="M3195" s="7" t="n">
        <v>2021</v>
      </c>
    </row>
    <row r="3196" customFormat="false" ht="15" hidden="false" customHeight="false" outlineLevel="0" collapsed="false">
      <c r="A3196" s="3" t="n">
        <v>4336</v>
      </c>
      <c r="B3196" s="3" t="s">
        <v>1107</v>
      </c>
      <c r="C3196" s="4" t="s">
        <v>47</v>
      </c>
      <c r="D3196" s="5" t="n">
        <v>7178</v>
      </c>
      <c r="E3196" s="6" t="n">
        <v>93.7</v>
      </c>
      <c r="F3196" s="7" t="n">
        <v>71</v>
      </c>
      <c r="G3196" s="6" t="n">
        <v>202.412819381031</v>
      </c>
      <c r="H3196" s="8" t="n">
        <v>198392.900788124</v>
      </c>
      <c r="I3196" s="9" t="n">
        <v>11.1713585784355</v>
      </c>
      <c r="J3196" s="9" t="n">
        <v>25.2436549132607</v>
      </c>
      <c r="K3196" s="3" t="s">
        <v>1108</v>
      </c>
      <c r="L3196" s="3" t="s">
        <v>1109</v>
      </c>
      <c r="M3196" s="7" t="n">
        <v>2022</v>
      </c>
    </row>
    <row r="3197" customFormat="false" ht="15" hidden="false" customHeight="false" outlineLevel="0" collapsed="false">
      <c r="A3197" s="3" t="n">
        <v>4337</v>
      </c>
      <c r="B3197" s="3" t="s">
        <v>1107</v>
      </c>
      <c r="C3197" s="4" t="s">
        <v>48</v>
      </c>
      <c r="D3197" s="5" t="n">
        <v>7187</v>
      </c>
      <c r="E3197" s="6" t="n">
        <v>93.7</v>
      </c>
      <c r="F3197" s="7" t="n">
        <v>67</v>
      </c>
      <c r="G3197" s="6" t="n">
        <v>73.7853801697489</v>
      </c>
      <c r="H3197" s="8" t="n">
        <v>82897.1367669113</v>
      </c>
      <c r="I3197" s="9" t="n">
        <v>4.39276595813131</v>
      </c>
      <c r="J3197" s="9" t="n">
        <v>9.16534607336795</v>
      </c>
      <c r="K3197" s="3" t="s">
        <v>1108</v>
      </c>
      <c r="L3197" s="3" t="s">
        <v>1109</v>
      </c>
      <c r="M3197" s="7" t="n">
        <v>2023</v>
      </c>
    </row>
    <row r="3198" customFormat="false" ht="15" hidden="false" customHeight="false" outlineLevel="0" collapsed="false">
      <c r="A3198" s="3" t="n">
        <v>4338</v>
      </c>
      <c r="B3198" s="3" t="s">
        <v>1107</v>
      </c>
      <c r="C3198" s="4" t="s">
        <v>49</v>
      </c>
      <c r="D3198" s="5" t="n">
        <v>7181</v>
      </c>
      <c r="E3198" s="6" t="n">
        <v>93.68</v>
      </c>
      <c r="F3198" s="7" t="n">
        <v>68</v>
      </c>
      <c r="G3198" s="6" t="n">
        <v>74.6744590000003</v>
      </c>
      <c r="H3198" s="8" t="n">
        <v>90978.8803780604</v>
      </c>
      <c r="I3198" s="9" t="n">
        <v>5.26997996120991</v>
      </c>
      <c r="J3198" s="9" t="n">
        <v>9.30903863354652</v>
      </c>
      <c r="K3198" s="3" t="s">
        <v>1108</v>
      </c>
      <c r="L3198" s="3" t="s">
        <v>1109</v>
      </c>
      <c r="M3198" s="7" t="n">
        <v>2024</v>
      </c>
    </row>
    <row r="3199" customFormat="false" ht="15" hidden="false" customHeight="false" outlineLevel="0" collapsed="false">
      <c r="A3199" s="3" t="n">
        <v>4339</v>
      </c>
      <c r="B3199" s="3" t="s">
        <v>1110</v>
      </c>
      <c r="C3199" s="4" t="s">
        <v>14</v>
      </c>
      <c r="D3199" s="5" t="n">
        <v>8994</v>
      </c>
      <c r="E3199" s="6" t="n">
        <v>115</v>
      </c>
      <c r="F3199" s="7" t="n">
        <v>52</v>
      </c>
      <c r="G3199" s="6" t="n">
        <v>323.463770864685</v>
      </c>
      <c r="H3199" s="8" t="n">
        <v>75256.295989241</v>
      </c>
      <c r="I3199" s="9" t="n">
        <v>10.2668709532836</v>
      </c>
      <c r="J3199" s="9" t="n">
        <v>32.1069428934445</v>
      </c>
      <c r="K3199" s="3" t="s">
        <v>1111</v>
      </c>
      <c r="L3199" s="3" t="s">
        <v>1112</v>
      </c>
      <c r="M3199" s="7" t="n">
        <v>2016</v>
      </c>
    </row>
    <row r="3200" customFormat="false" ht="15" hidden="false" customHeight="false" outlineLevel="0" collapsed="false">
      <c r="A3200" s="3" t="n">
        <v>4340</v>
      </c>
      <c r="B3200" s="3" t="s">
        <v>1110</v>
      </c>
      <c r="C3200" s="4" t="s">
        <v>17</v>
      </c>
      <c r="D3200" s="5" t="n">
        <v>9093</v>
      </c>
      <c r="E3200" s="6" t="n">
        <v>115</v>
      </c>
      <c r="F3200" s="7" t="n">
        <v>64</v>
      </c>
      <c r="G3200" s="6" t="n">
        <v>30.2461388024736</v>
      </c>
      <c r="H3200" s="8" t="n">
        <v>16983.0046213225</v>
      </c>
      <c r="I3200" s="9" t="n">
        <v>4.2694094646579</v>
      </c>
      <c r="J3200" s="9" t="n">
        <v>2.97769645740197</v>
      </c>
      <c r="K3200" s="3" t="s">
        <v>1111</v>
      </c>
      <c r="L3200" s="3" t="s">
        <v>1112</v>
      </c>
      <c r="M3200" s="7" t="n">
        <v>2017</v>
      </c>
    </row>
    <row r="3201" customFormat="false" ht="15" hidden="false" customHeight="false" outlineLevel="0" collapsed="false">
      <c r="A3201" s="3" t="n">
        <v>4341</v>
      </c>
      <c r="B3201" s="3" t="s">
        <v>1110</v>
      </c>
      <c r="C3201" s="4" t="s">
        <v>42</v>
      </c>
      <c r="D3201" s="5" t="n">
        <v>9093</v>
      </c>
      <c r="E3201" s="6" t="n">
        <v>118.4</v>
      </c>
      <c r="F3201" s="7" t="n">
        <v>64</v>
      </c>
      <c r="G3201" s="6" t="n">
        <v>156.401277846801</v>
      </c>
      <c r="H3201" s="8" t="n">
        <v>41280.438141755</v>
      </c>
      <c r="I3201" s="9" t="n">
        <v>7.15674833100528</v>
      </c>
      <c r="J3201" s="9" t="n">
        <v>15.3975201270806</v>
      </c>
      <c r="K3201" s="3" t="s">
        <v>1111</v>
      </c>
      <c r="L3201" s="3" t="s">
        <v>1112</v>
      </c>
      <c r="M3201" s="7" t="n">
        <v>2017</v>
      </c>
    </row>
    <row r="3202" customFormat="false" ht="15" hidden="false" customHeight="false" outlineLevel="0" collapsed="false">
      <c r="A3202" s="3" t="n">
        <v>4342</v>
      </c>
      <c r="B3202" s="3" t="s">
        <v>1110</v>
      </c>
      <c r="C3202" s="4" t="s">
        <v>18</v>
      </c>
      <c r="D3202" s="5" t="n">
        <v>9764</v>
      </c>
      <c r="E3202" s="6" t="n">
        <v>115</v>
      </c>
      <c r="F3202" s="7" t="n">
        <v>63</v>
      </c>
      <c r="G3202" s="6" t="n">
        <v>269.46059089003</v>
      </c>
      <c r="H3202" s="8" t="n">
        <v>702431.901224491</v>
      </c>
      <c r="I3202" s="9" t="n">
        <v>8.37286538485683</v>
      </c>
      <c r="J3202" s="9" t="n">
        <v>24.7050172539254</v>
      </c>
      <c r="K3202" s="3" t="s">
        <v>1111</v>
      </c>
      <c r="L3202" s="3" t="s">
        <v>1112</v>
      </c>
      <c r="M3202" s="7" t="n">
        <v>2018</v>
      </c>
    </row>
    <row r="3203" customFormat="false" ht="15" hidden="false" customHeight="false" outlineLevel="0" collapsed="false">
      <c r="A3203" s="3" t="n">
        <v>4343</v>
      </c>
      <c r="B3203" s="3" t="s">
        <v>1110</v>
      </c>
      <c r="C3203" s="4" t="s">
        <v>19</v>
      </c>
      <c r="D3203" s="5" t="n">
        <v>9814</v>
      </c>
      <c r="E3203" s="6" t="n">
        <v>117</v>
      </c>
      <c r="F3203" s="7" t="n">
        <v>60</v>
      </c>
      <c r="G3203" s="6" t="n">
        <v>138.086253953843</v>
      </c>
      <c r="H3203" s="8" t="n">
        <v>82167.4047821031</v>
      </c>
      <c r="I3203" s="9" t="n">
        <v>6.57547948421403</v>
      </c>
      <c r="J3203" s="9" t="n">
        <v>12.5956930604613</v>
      </c>
      <c r="K3203" s="3" t="s">
        <v>1111</v>
      </c>
      <c r="L3203" s="3" t="s">
        <v>1112</v>
      </c>
      <c r="M3203" s="7" t="n">
        <v>2019</v>
      </c>
    </row>
    <row r="3204" customFormat="false" ht="15" hidden="false" customHeight="false" outlineLevel="0" collapsed="false">
      <c r="A3204" s="3" t="n">
        <v>4344</v>
      </c>
      <c r="B3204" s="3" t="s">
        <v>1110</v>
      </c>
      <c r="C3204" s="4" t="s">
        <v>20</v>
      </c>
      <c r="D3204" s="5" t="n">
        <v>9673</v>
      </c>
      <c r="E3204" s="6" t="n">
        <v>117</v>
      </c>
      <c r="F3204" s="7" t="n">
        <v>65</v>
      </c>
      <c r="G3204" s="6" t="n">
        <v>50.5126841489388</v>
      </c>
      <c r="H3204" s="8" t="n">
        <v>31818.0639049138</v>
      </c>
      <c r="I3204" s="9" t="n">
        <v>3.75150867433233</v>
      </c>
      <c r="J3204" s="9" t="n">
        <v>4.66192682714231</v>
      </c>
      <c r="K3204" s="3" t="s">
        <v>1111</v>
      </c>
      <c r="L3204" s="3" t="s">
        <v>1112</v>
      </c>
      <c r="M3204" s="7" t="n">
        <v>2020</v>
      </c>
    </row>
    <row r="3205" customFormat="false" ht="15" hidden="false" customHeight="false" outlineLevel="0" collapsed="false">
      <c r="A3205" s="3" t="n">
        <v>4345</v>
      </c>
      <c r="B3205" s="3" t="s">
        <v>1110</v>
      </c>
      <c r="C3205" s="4" t="s">
        <v>21</v>
      </c>
      <c r="D3205" s="5" t="n">
        <v>10459</v>
      </c>
      <c r="E3205" s="6" t="n">
        <v>117</v>
      </c>
      <c r="F3205" s="7" t="n">
        <v>70</v>
      </c>
      <c r="G3205" s="6" t="n">
        <v>116.673913307482</v>
      </c>
      <c r="H3205" s="8" t="n">
        <v>66792.0575327977</v>
      </c>
      <c r="I3205" s="9" t="n">
        <v>5.2472008898043</v>
      </c>
      <c r="J3205" s="9" t="n">
        <v>9.98622337068036</v>
      </c>
      <c r="K3205" s="3" t="s">
        <v>1111</v>
      </c>
      <c r="L3205" s="3" t="s">
        <v>1112</v>
      </c>
      <c r="M3205" s="7" t="n">
        <v>2021</v>
      </c>
    </row>
    <row r="3206" customFormat="false" ht="15" hidden="false" customHeight="false" outlineLevel="0" collapsed="false">
      <c r="A3206" s="3" t="n">
        <v>4346</v>
      </c>
      <c r="B3206" s="3" t="s">
        <v>1110</v>
      </c>
      <c r="C3206" s="4" t="s">
        <v>22</v>
      </c>
      <c r="D3206" s="5" t="n">
        <v>10411</v>
      </c>
      <c r="E3206" s="6" t="n">
        <v>121.3</v>
      </c>
      <c r="F3206" s="7" t="n">
        <v>56</v>
      </c>
      <c r="G3206" s="6" t="n">
        <v>54.0626266851625</v>
      </c>
      <c r="H3206" s="8" t="n">
        <v>30900.6772085779</v>
      </c>
      <c r="I3206" s="9" t="n">
        <v>3.89593857670798</v>
      </c>
      <c r="J3206" s="9" t="n">
        <v>4.64860206184786</v>
      </c>
      <c r="K3206" s="3" t="s">
        <v>1111</v>
      </c>
      <c r="L3206" s="3" t="s">
        <v>1112</v>
      </c>
      <c r="M3206" s="7" t="n">
        <v>2022</v>
      </c>
    </row>
    <row r="3207" customFormat="false" ht="15" hidden="false" customHeight="false" outlineLevel="0" collapsed="false">
      <c r="A3207" s="3" t="n">
        <v>4347</v>
      </c>
      <c r="B3207" s="3" t="s">
        <v>1110</v>
      </c>
      <c r="C3207" s="4" t="s">
        <v>23</v>
      </c>
      <c r="D3207" s="5" t="n">
        <v>10301</v>
      </c>
      <c r="E3207" s="6" t="n">
        <v>120</v>
      </c>
      <c r="F3207" s="7" t="n">
        <v>68</v>
      </c>
      <c r="G3207" s="6" t="n">
        <v>8.72138590980803</v>
      </c>
      <c r="H3207" s="8" t="n">
        <v>5504.44995328398</v>
      </c>
      <c r="I3207" s="9" t="n">
        <v>1.32477816108745</v>
      </c>
      <c r="J3207" s="9" t="n">
        <v>0.757920739610487</v>
      </c>
      <c r="K3207" s="3" t="s">
        <v>1111</v>
      </c>
      <c r="L3207" s="3" t="s">
        <v>1112</v>
      </c>
      <c r="M3207" s="7" t="n">
        <v>2023</v>
      </c>
    </row>
    <row r="3208" customFormat="false" ht="15" hidden="false" customHeight="false" outlineLevel="0" collapsed="false">
      <c r="A3208" s="3" t="n">
        <v>4348</v>
      </c>
      <c r="B3208" s="3" t="s">
        <v>1110</v>
      </c>
      <c r="C3208" s="4" t="s">
        <v>24</v>
      </c>
      <c r="D3208" s="5" t="n">
        <v>10227</v>
      </c>
      <c r="E3208" s="6" t="n">
        <v>120</v>
      </c>
      <c r="F3208" s="7" t="n">
        <v>62</v>
      </c>
      <c r="G3208" s="6" t="n">
        <v>278.281241480857</v>
      </c>
      <c r="H3208" s="8" t="n">
        <v>222996.74843515</v>
      </c>
      <c r="I3208" s="9" t="n">
        <v>7.00142623246452</v>
      </c>
      <c r="J3208" s="9" t="n">
        <v>24.2919215500679</v>
      </c>
      <c r="K3208" s="3" t="s">
        <v>1111</v>
      </c>
      <c r="L3208" s="3" t="s">
        <v>1112</v>
      </c>
      <c r="M3208" s="7" t="n">
        <v>2024</v>
      </c>
    </row>
    <row r="3209" customFormat="false" ht="15" hidden="false" customHeight="false" outlineLevel="0" collapsed="false">
      <c r="A3209" s="3" t="n">
        <v>4349</v>
      </c>
      <c r="B3209" s="3" t="s">
        <v>1113</v>
      </c>
      <c r="C3209" s="4" t="s">
        <v>41</v>
      </c>
      <c r="D3209" s="5" t="n">
        <v>5515</v>
      </c>
      <c r="E3209" s="6" t="n">
        <v>138.5</v>
      </c>
      <c r="F3209" s="7" t="n">
        <v>63</v>
      </c>
      <c r="G3209" s="6" t="n">
        <v>112.246896143227</v>
      </c>
      <c r="H3209" s="8" t="n">
        <v>42578.6151140104</v>
      </c>
      <c r="I3209" s="9" t="n">
        <v>4.39977047555443</v>
      </c>
      <c r="J3209" s="9" t="n">
        <v>18.21992137087</v>
      </c>
      <c r="K3209" s="3" t="s">
        <v>1114</v>
      </c>
      <c r="L3209" s="3" t="s">
        <v>1115</v>
      </c>
      <c r="M3209" s="7" t="n">
        <v>2016</v>
      </c>
    </row>
    <row r="3210" customFormat="false" ht="15" hidden="false" customHeight="false" outlineLevel="0" collapsed="false">
      <c r="A3210" s="3" t="n">
        <v>4350</v>
      </c>
      <c r="B3210" s="3" t="s">
        <v>1113</v>
      </c>
      <c r="C3210" s="4" t="s">
        <v>42</v>
      </c>
      <c r="D3210" s="5" t="n">
        <v>5510</v>
      </c>
      <c r="E3210" s="6" t="n">
        <v>140.65</v>
      </c>
      <c r="F3210" s="7" t="n">
        <v>64</v>
      </c>
      <c r="G3210" s="6" t="n">
        <v>221.133103422344</v>
      </c>
      <c r="H3210" s="8" t="n">
        <v>96400.7651059364</v>
      </c>
      <c r="I3210" s="9" t="n">
        <v>6.81036790302391</v>
      </c>
      <c r="J3210" s="9" t="n">
        <v>35.9269075623114</v>
      </c>
      <c r="K3210" s="3" t="s">
        <v>1114</v>
      </c>
      <c r="L3210" s="3" t="s">
        <v>1115</v>
      </c>
      <c r="M3210" s="7" t="n">
        <v>2017</v>
      </c>
    </row>
    <row r="3211" customFormat="false" ht="15" hidden="false" customHeight="false" outlineLevel="0" collapsed="false">
      <c r="A3211" s="3" t="n">
        <v>4351</v>
      </c>
      <c r="B3211" s="3" t="s">
        <v>1113</v>
      </c>
      <c r="C3211" s="4" t="s">
        <v>43</v>
      </c>
      <c r="D3211" s="5" t="n">
        <v>5547</v>
      </c>
      <c r="E3211" s="6" t="n">
        <v>138.018247215654</v>
      </c>
      <c r="F3211" s="7" t="n">
        <v>64</v>
      </c>
      <c r="G3211" s="6" t="n">
        <v>190.322820965511</v>
      </c>
      <c r="H3211" s="8" t="n">
        <v>89392.725779291</v>
      </c>
      <c r="I3211" s="9" t="n">
        <v>6.07211313338089</v>
      </c>
      <c r="J3211" s="9" t="n">
        <v>30.7149897550962</v>
      </c>
      <c r="K3211" s="3" t="s">
        <v>1114</v>
      </c>
      <c r="L3211" s="3" t="s">
        <v>1115</v>
      </c>
      <c r="M3211" s="7" t="n">
        <v>2018</v>
      </c>
    </row>
    <row r="3212" customFormat="false" ht="15" hidden="false" customHeight="false" outlineLevel="0" collapsed="false">
      <c r="A3212" s="3" t="n">
        <v>4352</v>
      </c>
      <c r="B3212" s="3" t="s">
        <v>1113</v>
      </c>
      <c r="C3212" s="4" t="s">
        <v>44</v>
      </c>
      <c r="D3212" s="5" t="n">
        <v>5577</v>
      </c>
      <c r="E3212" s="6" t="n">
        <v>145.7</v>
      </c>
      <c r="F3212" s="7" t="n">
        <v>67</v>
      </c>
      <c r="G3212" s="6" t="n">
        <v>203.787</v>
      </c>
      <c r="H3212" s="8" t="n">
        <v>88264.22544</v>
      </c>
      <c r="I3212" s="9" t="n">
        <v>6.70838205716504</v>
      </c>
      <c r="J3212" s="9" t="n">
        <v>32.6213571577001</v>
      </c>
      <c r="K3212" s="3" t="s">
        <v>1114</v>
      </c>
      <c r="L3212" s="3" t="s">
        <v>1115</v>
      </c>
      <c r="M3212" s="7" t="n">
        <v>2019</v>
      </c>
    </row>
    <row r="3213" customFormat="false" ht="15" hidden="false" customHeight="false" outlineLevel="0" collapsed="false">
      <c r="A3213" s="3" t="n">
        <v>4353</v>
      </c>
      <c r="B3213" s="3" t="s">
        <v>1113</v>
      </c>
      <c r="C3213" s="4" t="s">
        <v>45</v>
      </c>
      <c r="D3213" s="5" t="n">
        <v>9320</v>
      </c>
      <c r="E3213" s="6" t="n">
        <v>145.67</v>
      </c>
      <c r="F3213" s="7" t="n">
        <v>63</v>
      </c>
      <c r="G3213" s="6" t="n">
        <v>99.3259999999998</v>
      </c>
      <c r="H3213" s="8" t="n">
        <v>52611.9889399999</v>
      </c>
      <c r="I3213" s="9" t="n">
        <v>3.36658020249352</v>
      </c>
      <c r="J3213" s="9" t="n">
        <v>9.54035880123094</v>
      </c>
      <c r="K3213" s="3" t="s">
        <v>1114</v>
      </c>
      <c r="L3213" s="3" t="s">
        <v>1115</v>
      </c>
      <c r="M3213" s="7" t="n">
        <v>2020</v>
      </c>
    </row>
    <row r="3214" customFormat="false" ht="15" hidden="false" customHeight="false" outlineLevel="0" collapsed="false">
      <c r="A3214" s="3" t="n">
        <v>4354</v>
      </c>
      <c r="B3214" s="3" t="s">
        <v>1113</v>
      </c>
      <c r="C3214" s="4" t="s">
        <v>46</v>
      </c>
      <c r="D3214" s="5" t="n">
        <v>9311</v>
      </c>
      <c r="E3214" s="6" t="n">
        <v>145.7</v>
      </c>
      <c r="F3214" s="7" t="n">
        <v>68</v>
      </c>
      <c r="G3214" s="6" t="n">
        <v>30.6744962311562</v>
      </c>
      <c r="H3214" s="8" t="n">
        <v>7807.27278075389</v>
      </c>
      <c r="I3214" s="9" t="n">
        <v>2.05289629452221</v>
      </c>
      <c r="J3214" s="9" t="n">
        <v>2.94916306938694</v>
      </c>
      <c r="K3214" s="3" t="s">
        <v>1114</v>
      </c>
      <c r="L3214" s="3" t="s">
        <v>1115</v>
      </c>
      <c r="M3214" s="7" t="n">
        <v>2021</v>
      </c>
    </row>
    <row r="3215" customFormat="false" ht="15" hidden="false" customHeight="false" outlineLevel="0" collapsed="false">
      <c r="A3215" s="3" t="n">
        <v>4355</v>
      </c>
      <c r="B3215" s="3" t="s">
        <v>1113</v>
      </c>
      <c r="C3215" s="4" t="s">
        <v>47</v>
      </c>
      <c r="D3215" s="5" t="n">
        <v>9402</v>
      </c>
      <c r="E3215" s="6" t="n">
        <v>145.7</v>
      </c>
      <c r="F3215" s="7" t="n">
        <v>67</v>
      </c>
      <c r="G3215" s="6" t="n">
        <v>100.116560301508</v>
      </c>
      <c r="H3215" s="8" t="n">
        <v>45409.8682559548</v>
      </c>
      <c r="I3215" s="9" t="n">
        <v>4.62674961119751</v>
      </c>
      <c r="J3215" s="9" t="n">
        <v>9.53242392044441</v>
      </c>
      <c r="K3215" s="3" t="s">
        <v>1114</v>
      </c>
      <c r="L3215" s="3" t="s">
        <v>1115</v>
      </c>
      <c r="M3215" s="7" t="n">
        <v>2022</v>
      </c>
    </row>
    <row r="3216" customFormat="false" ht="15" hidden="false" customHeight="false" outlineLevel="0" collapsed="false">
      <c r="A3216" s="3" t="n">
        <v>4356</v>
      </c>
      <c r="B3216" s="3" t="s">
        <v>1113</v>
      </c>
      <c r="C3216" s="4" t="s">
        <v>48</v>
      </c>
      <c r="D3216" s="5" t="n">
        <v>9397</v>
      </c>
      <c r="E3216" s="6" t="n">
        <v>145.7</v>
      </c>
      <c r="F3216" s="7" t="n">
        <v>61</v>
      </c>
      <c r="G3216" s="6" t="n">
        <v>114.718972361808</v>
      </c>
      <c r="H3216" s="8" t="n">
        <v>53750.4273104017</v>
      </c>
      <c r="I3216" s="9" t="n">
        <v>5.10058661717426</v>
      </c>
      <c r="J3216" s="9" t="n">
        <v>10.8986376774481</v>
      </c>
      <c r="K3216" s="3" t="s">
        <v>1114</v>
      </c>
      <c r="L3216" s="3" t="s">
        <v>1115</v>
      </c>
      <c r="M3216" s="7" t="n">
        <v>2023</v>
      </c>
    </row>
    <row r="3217" customFormat="false" ht="15" hidden="false" customHeight="false" outlineLevel="0" collapsed="false">
      <c r="A3217" s="3" t="n">
        <v>4373</v>
      </c>
      <c r="B3217" s="3" t="s">
        <v>1116</v>
      </c>
      <c r="C3217" s="4" t="s">
        <v>21</v>
      </c>
      <c r="D3217" s="5" t="n">
        <v>3100</v>
      </c>
      <c r="E3217" s="6" t="n">
        <v>35.0297319486116</v>
      </c>
      <c r="F3217" s="7" t="n">
        <v>59</v>
      </c>
      <c r="G3217" s="6" t="n">
        <v>84.8634217300402</v>
      </c>
      <c r="H3217" s="8" t="n">
        <v>51360.7646439501</v>
      </c>
      <c r="I3217" s="9" t="n">
        <v>13.4570704600757</v>
      </c>
      <c r="J3217" s="9" t="n">
        <v>24.5062307994996</v>
      </c>
      <c r="K3217" s="3" t="s">
        <v>692</v>
      </c>
      <c r="L3217" s="3" t="s">
        <v>1117</v>
      </c>
      <c r="M3217" s="7" t="n">
        <v>2021</v>
      </c>
    </row>
    <row r="3218" customFormat="false" ht="15" hidden="false" customHeight="false" outlineLevel="0" collapsed="false">
      <c r="A3218" s="3" t="n">
        <v>4394</v>
      </c>
      <c r="B3218" s="3" t="s">
        <v>1118</v>
      </c>
      <c r="C3218" s="4" t="s">
        <v>41</v>
      </c>
      <c r="D3218" s="5" t="n">
        <v>72015</v>
      </c>
      <c r="E3218" s="6" t="n">
        <v>868</v>
      </c>
      <c r="F3218" s="7" t="n">
        <v>61</v>
      </c>
      <c r="G3218" s="6" t="n">
        <v>6525.5650635204</v>
      </c>
      <c r="H3218" s="8" t="n">
        <v>1829833.69946176</v>
      </c>
      <c r="I3218" s="9" t="n">
        <v>16.6081348129715</v>
      </c>
      <c r="J3218" s="9" t="n">
        <v>81.1171780266011</v>
      </c>
      <c r="K3218" s="3" t="s">
        <v>1119</v>
      </c>
      <c r="L3218" s="3" t="s">
        <v>1120</v>
      </c>
      <c r="M3218" s="7" t="n">
        <v>2016</v>
      </c>
    </row>
    <row r="3219" customFormat="false" ht="15" hidden="false" customHeight="false" outlineLevel="0" collapsed="false">
      <c r="A3219" s="3" t="n">
        <v>4395</v>
      </c>
      <c r="B3219" s="3" t="s">
        <v>1121</v>
      </c>
      <c r="C3219" s="4" t="s">
        <v>42</v>
      </c>
      <c r="D3219" s="5" t="n">
        <v>73539</v>
      </c>
      <c r="E3219" s="6" t="n">
        <v>886.79</v>
      </c>
      <c r="F3219" s="7" t="n">
        <v>65</v>
      </c>
      <c r="G3219" s="6" t="n">
        <v>1001.417112786</v>
      </c>
      <c r="H3219" s="8" t="n">
        <v>217216.318726231</v>
      </c>
      <c r="I3219" s="9" t="n">
        <v>7.41854637522256</v>
      </c>
      <c r="J3219" s="9" t="n">
        <v>12.1903159861214</v>
      </c>
      <c r="K3219" s="3" t="s">
        <v>1119</v>
      </c>
      <c r="L3219" s="3" t="s">
        <v>1122</v>
      </c>
      <c r="M3219" s="7" t="n">
        <v>2017</v>
      </c>
    </row>
    <row r="3220" customFormat="false" ht="15" hidden="false" customHeight="false" outlineLevel="0" collapsed="false">
      <c r="A3220" s="3" t="n">
        <v>4396</v>
      </c>
      <c r="B3220" s="3" t="s">
        <v>1121</v>
      </c>
      <c r="C3220" s="4" t="s">
        <v>43</v>
      </c>
      <c r="D3220" s="5" t="n">
        <v>73705</v>
      </c>
      <c r="E3220" s="6" t="n">
        <v>891.4</v>
      </c>
      <c r="F3220" s="7" t="n">
        <v>65</v>
      </c>
      <c r="G3220" s="6" t="n">
        <v>1342.19443982852</v>
      </c>
      <c r="H3220" s="8" t="n">
        <v>423403.80210784</v>
      </c>
      <c r="I3220" s="9" t="n">
        <v>8.43189545467225</v>
      </c>
      <c r="J3220" s="9" t="n">
        <v>16.3018224721422</v>
      </c>
      <c r="K3220" s="3" t="s">
        <v>1119</v>
      </c>
      <c r="L3220" s="3" t="s">
        <v>1122</v>
      </c>
      <c r="M3220" s="7" t="n">
        <v>2018</v>
      </c>
    </row>
    <row r="3221" customFormat="false" ht="15" hidden="false" customHeight="false" outlineLevel="0" collapsed="false">
      <c r="A3221" s="3" t="n">
        <v>4397</v>
      </c>
      <c r="B3221" s="3" t="s">
        <v>1121</v>
      </c>
      <c r="C3221" s="4" t="s">
        <v>44</v>
      </c>
      <c r="D3221" s="5" t="n">
        <v>73928</v>
      </c>
      <c r="E3221" s="6" t="n">
        <v>894.87</v>
      </c>
      <c r="F3221" s="7" t="n">
        <v>66</v>
      </c>
      <c r="G3221" s="6" t="n">
        <v>2732.53090239926</v>
      </c>
      <c r="H3221" s="8" t="n">
        <v>885557.77931592</v>
      </c>
      <c r="I3221" s="9" t="n">
        <v>10.6057405732703</v>
      </c>
      <c r="J3221" s="9" t="n">
        <v>32.9975973319357</v>
      </c>
      <c r="K3221" s="3" t="s">
        <v>1119</v>
      </c>
      <c r="L3221" s="3" t="s">
        <v>1122</v>
      </c>
      <c r="M3221" s="7" t="n">
        <v>2019</v>
      </c>
    </row>
    <row r="3222" customFormat="false" ht="15" hidden="false" customHeight="false" outlineLevel="0" collapsed="false">
      <c r="A3222" s="3" t="n">
        <v>4398</v>
      </c>
      <c r="B3222" s="3" t="s">
        <v>1121</v>
      </c>
      <c r="C3222" s="4" t="s">
        <v>45</v>
      </c>
      <c r="D3222" s="5" t="n">
        <v>74323</v>
      </c>
      <c r="E3222" s="6" t="n">
        <v>898.32</v>
      </c>
      <c r="F3222" s="7" t="n">
        <v>65</v>
      </c>
      <c r="G3222" s="6" t="n">
        <v>2310.41771288711</v>
      </c>
      <c r="H3222" s="8" t="n">
        <v>471124.903203461</v>
      </c>
      <c r="I3222" s="9" t="n">
        <v>7.99470861928682</v>
      </c>
      <c r="J3222" s="9" t="n">
        <v>27.8281892743028</v>
      </c>
      <c r="K3222" s="3" t="s">
        <v>1119</v>
      </c>
      <c r="L3222" s="3" t="s">
        <v>1122</v>
      </c>
      <c r="M3222" s="7" t="n">
        <v>2020</v>
      </c>
    </row>
    <row r="3223" customFormat="false" ht="15" hidden="false" customHeight="false" outlineLevel="0" collapsed="false">
      <c r="A3223" s="3" t="n">
        <v>4399</v>
      </c>
      <c r="B3223" s="3" t="s">
        <v>1121</v>
      </c>
      <c r="C3223" s="4" t="s">
        <v>46</v>
      </c>
      <c r="D3223" s="5" t="n">
        <v>74643</v>
      </c>
      <c r="E3223" s="6" t="n">
        <v>900.42</v>
      </c>
      <c r="F3223" s="7" t="n">
        <v>66</v>
      </c>
      <c r="G3223" s="6" t="n">
        <v>1320.27497137701</v>
      </c>
      <c r="H3223" s="8" t="n">
        <v>146723.234991718</v>
      </c>
      <c r="I3223" s="9" t="n">
        <v>7.09665225575454</v>
      </c>
      <c r="J3223" s="9" t="n">
        <v>15.8340852530636</v>
      </c>
      <c r="K3223" s="3" t="s">
        <v>1119</v>
      </c>
      <c r="L3223" s="3" t="s">
        <v>1122</v>
      </c>
      <c r="M3223" s="7" t="n">
        <v>2021</v>
      </c>
    </row>
    <row r="3224" customFormat="false" ht="15" hidden="false" customHeight="false" outlineLevel="0" collapsed="false">
      <c r="A3224" s="3" t="n">
        <v>4400</v>
      </c>
      <c r="B3224" s="3" t="s">
        <v>1121</v>
      </c>
      <c r="C3224" s="4" t="s">
        <v>47</v>
      </c>
      <c r="D3224" s="5" t="n">
        <v>74887</v>
      </c>
      <c r="E3224" s="6" t="n">
        <v>952.37</v>
      </c>
      <c r="F3224" s="7" t="n">
        <v>72</v>
      </c>
      <c r="G3224" s="6" t="n">
        <v>1993.68966445664</v>
      </c>
      <c r="H3224" s="8" t="n">
        <v>222096.990396354</v>
      </c>
      <c r="I3224" s="9" t="n">
        <v>8.90570345145952</v>
      </c>
      <c r="J3224" s="9" t="n">
        <v>23.8324559498531</v>
      </c>
      <c r="K3224" s="3" t="s">
        <v>1119</v>
      </c>
      <c r="L3224" s="3" t="s">
        <v>1122</v>
      </c>
      <c r="M3224" s="7" t="n">
        <v>2022</v>
      </c>
    </row>
    <row r="3225" customFormat="false" ht="15" hidden="false" customHeight="false" outlineLevel="0" collapsed="false">
      <c r="A3225" s="3" t="n">
        <v>4401</v>
      </c>
      <c r="B3225" s="3" t="s">
        <v>1121</v>
      </c>
      <c r="C3225" s="4" t="s">
        <v>48</v>
      </c>
      <c r="D3225" s="5" t="n">
        <v>75205</v>
      </c>
      <c r="E3225" s="6" t="n">
        <v>962.81</v>
      </c>
      <c r="F3225" s="7" t="n">
        <v>74</v>
      </c>
      <c r="G3225" s="6" t="n">
        <v>1739.14511833007</v>
      </c>
      <c r="H3225" s="8" t="n">
        <v>183351.694411624</v>
      </c>
      <c r="I3225" s="9" t="n">
        <v>8.59324765735169</v>
      </c>
      <c r="J3225" s="9" t="n">
        <v>20.6450196295595</v>
      </c>
      <c r="K3225" s="3" t="s">
        <v>1119</v>
      </c>
      <c r="L3225" s="3" t="s">
        <v>1122</v>
      </c>
      <c r="M3225" s="7" t="n">
        <v>2023</v>
      </c>
    </row>
    <row r="3226" customFormat="false" ht="15" hidden="false" customHeight="false" outlineLevel="0" collapsed="false">
      <c r="A3226" s="3" t="n">
        <v>4402</v>
      </c>
      <c r="B3226" s="3" t="s">
        <v>1121</v>
      </c>
      <c r="C3226" s="4" t="s">
        <v>49</v>
      </c>
      <c r="D3226" s="5" t="n">
        <v>75123</v>
      </c>
      <c r="E3226" s="6" t="n">
        <v>960.69</v>
      </c>
      <c r="F3226" s="7" t="n">
        <v>72</v>
      </c>
      <c r="G3226" s="6" t="n">
        <v>1027.46213947511</v>
      </c>
      <c r="H3226" s="8" t="n">
        <v>124607.652840834</v>
      </c>
      <c r="I3226" s="9" t="n">
        <v>5.75666831829069</v>
      </c>
      <c r="J3226" s="9" t="n">
        <v>12.2436407811374</v>
      </c>
      <c r="K3226" s="3" t="s">
        <v>1119</v>
      </c>
      <c r="L3226" s="3" t="s">
        <v>1122</v>
      </c>
      <c r="M3226" s="7" t="n">
        <v>2024</v>
      </c>
    </row>
    <row r="3227" customFormat="false" ht="15" hidden="false" customHeight="false" outlineLevel="0" collapsed="false">
      <c r="A3227" s="3" t="n">
        <v>4403</v>
      </c>
      <c r="B3227" s="3" t="s">
        <v>1123</v>
      </c>
      <c r="C3227" s="4" t="s">
        <v>14</v>
      </c>
      <c r="D3227" s="5" t="n">
        <v>3313</v>
      </c>
      <c r="E3227" s="6" t="n">
        <v>28</v>
      </c>
      <c r="F3227" s="7" t="n">
        <v>54</v>
      </c>
      <c r="G3227" s="6" t="n">
        <v>155.939523867462</v>
      </c>
      <c r="H3227" s="8" t="n">
        <v>19900.9274720454</v>
      </c>
      <c r="I3227" s="9" t="n">
        <v>16.8454852802692</v>
      </c>
      <c r="J3227" s="9" t="n">
        <v>42.02047541378</v>
      </c>
      <c r="K3227" s="3" t="s">
        <v>1124</v>
      </c>
      <c r="L3227" s="3" t="s">
        <v>1125</v>
      </c>
      <c r="M3227" s="7" t="n">
        <v>2016</v>
      </c>
    </row>
    <row r="3228" customFormat="false" ht="15" hidden="false" customHeight="false" outlineLevel="0" collapsed="false">
      <c r="A3228" s="3" t="n">
        <v>4404</v>
      </c>
      <c r="B3228" s="3" t="s">
        <v>1123</v>
      </c>
      <c r="C3228" s="4" t="s">
        <v>17</v>
      </c>
      <c r="D3228" s="5" t="n">
        <v>3423</v>
      </c>
      <c r="E3228" s="6" t="n">
        <v>28</v>
      </c>
      <c r="F3228" s="7" t="n">
        <v>53</v>
      </c>
      <c r="G3228" s="6" t="n">
        <v>250.237428021072</v>
      </c>
      <c r="H3228" s="8" t="n">
        <v>33669.7321767195</v>
      </c>
      <c r="I3228" s="9" t="n">
        <v>19.6605903834875</v>
      </c>
      <c r="J3228" s="9" t="n">
        <v>65.4429763735416</v>
      </c>
      <c r="K3228" s="3" t="s">
        <v>1124</v>
      </c>
      <c r="L3228" s="3" t="s">
        <v>1125</v>
      </c>
      <c r="M3228" s="7" t="n">
        <v>2017</v>
      </c>
    </row>
    <row r="3229" customFormat="false" ht="15" hidden="false" customHeight="false" outlineLevel="0" collapsed="false">
      <c r="A3229" s="3" t="n">
        <v>4405</v>
      </c>
      <c r="B3229" s="3" t="s">
        <v>1123</v>
      </c>
      <c r="C3229" s="4" t="s">
        <v>18</v>
      </c>
      <c r="D3229" s="5" t="n">
        <v>3513</v>
      </c>
      <c r="E3229" s="6" t="n">
        <v>28</v>
      </c>
      <c r="F3229" s="7" t="n">
        <v>54</v>
      </c>
      <c r="G3229" s="6" t="n">
        <v>242.621179144666</v>
      </c>
      <c r="H3229" s="8" t="n">
        <v>30313.3393158826</v>
      </c>
      <c r="I3229" s="9" t="n">
        <v>18.6064781242446</v>
      </c>
      <c r="J3229" s="9" t="n">
        <v>61.8255849118256</v>
      </c>
      <c r="K3229" s="3" t="s">
        <v>1124</v>
      </c>
      <c r="L3229" s="3" t="s">
        <v>1125</v>
      </c>
      <c r="M3229" s="7" t="n">
        <v>2018</v>
      </c>
    </row>
    <row r="3230" customFormat="false" ht="15" hidden="false" customHeight="false" outlineLevel="0" collapsed="false">
      <c r="A3230" s="3" t="n">
        <v>4406</v>
      </c>
      <c r="B3230" s="3" t="s">
        <v>1123</v>
      </c>
      <c r="C3230" s="4" t="s">
        <v>19</v>
      </c>
      <c r="D3230" s="5" t="n">
        <v>3543</v>
      </c>
      <c r="E3230" s="6" t="n">
        <v>28</v>
      </c>
      <c r="F3230" s="7" t="n">
        <v>54</v>
      </c>
      <c r="G3230" s="6" t="n">
        <v>213.174719431486</v>
      </c>
      <c r="H3230" s="8" t="n">
        <v>92386.0338669192</v>
      </c>
      <c r="I3230" s="9" t="n">
        <v>18.1906916585327</v>
      </c>
      <c r="J3230" s="9" t="n">
        <v>53.8619685787089</v>
      </c>
      <c r="K3230" s="3" t="s">
        <v>1124</v>
      </c>
      <c r="L3230" s="3" t="s">
        <v>1125</v>
      </c>
      <c r="M3230" s="7" t="n">
        <v>2019</v>
      </c>
    </row>
    <row r="3231" customFormat="false" ht="15" hidden="false" customHeight="false" outlineLevel="0" collapsed="false">
      <c r="A3231" s="3" t="n">
        <v>4407</v>
      </c>
      <c r="B3231" s="3" t="s">
        <v>1123</v>
      </c>
      <c r="C3231" s="4" t="s">
        <v>20</v>
      </c>
      <c r="D3231" s="5" t="n">
        <v>3543</v>
      </c>
      <c r="E3231" s="6" t="n">
        <v>28</v>
      </c>
      <c r="F3231" s="7" t="n">
        <v>64</v>
      </c>
      <c r="G3231" s="6" t="n">
        <v>59.0335655490624</v>
      </c>
      <c r="H3231" s="8" t="n">
        <v>32509.0816785356</v>
      </c>
      <c r="I3231" s="9" t="n">
        <v>10.387285083266</v>
      </c>
      <c r="J3231" s="9" t="n">
        <v>14.8749000481192</v>
      </c>
      <c r="K3231" s="3" t="s">
        <v>1124</v>
      </c>
      <c r="L3231" s="3" t="s">
        <v>1125</v>
      </c>
      <c r="M3231" s="7" t="n">
        <v>2020</v>
      </c>
    </row>
    <row r="3232" customFormat="false" ht="15" hidden="false" customHeight="false" outlineLevel="0" collapsed="false">
      <c r="A3232" s="3" t="n">
        <v>4408</v>
      </c>
      <c r="B3232" s="3" t="s">
        <v>1123</v>
      </c>
      <c r="C3232" s="4" t="s">
        <v>21</v>
      </c>
      <c r="D3232" s="5" t="n">
        <v>3490</v>
      </c>
      <c r="E3232" s="6" t="n">
        <v>28</v>
      </c>
      <c r="F3232" s="7" t="n">
        <v>68</v>
      </c>
      <c r="G3232" s="6" t="n">
        <v>151.492661354421</v>
      </c>
      <c r="H3232" s="8" t="n">
        <v>101689.894725253</v>
      </c>
      <c r="I3232" s="9" t="n">
        <v>16.0908942635734</v>
      </c>
      <c r="J3232" s="9" t="n">
        <v>38.8583040988377</v>
      </c>
      <c r="K3232" s="3" t="s">
        <v>1124</v>
      </c>
      <c r="L3232" s="3" t="s">
        <v>1125</v>
      </c>
      <c r="M3232" s="7" t="n">
        <v>2021</v>
      </c>
    </row>
    <row r="3233" customFormat="false" ht="15" hidden="false" customHeight="false" outlineLevel="0" collapsed="false">
      <c r="A3233" s="3" t="n">
        <v>4409</v>
      </c>
      <c r="B3233" s="3" t="s">
        <v>1123</v>
      </c>
      <c r="C3233" s="4" t="s">
        <v>22</v>
      </c>
      <c r="D3233" s="5" t="n">
        <v>3551</v>
      </c>
      <c r="E3233" s="6" t="n">
        <v>29.3</v>
      </c>
      <c r="F3233" s="7" t="n">
        <v>72</v>
      </c>
      <c r="G3233" s="6" t="n">
        <v>0.594792313800888</v>
      </c>
      <c r="H3233" s="8" t="n">
        <v>84.0375927273019</v>
      </c>
      <c r="I3233" s="9" t="n">
        <v>9.53892737718901</v>
      </c>
      <c r="J3233" s="9" t="n">
        <v>0.149945124763132</v>
      </c>
      <c r="K3233" s="3" t="s">
        <v>1124</v>
      </c>
      <c r="L3233" s="3" t="s">
        <v>1125</v>
      </c>
      <c r="M3233" s="7" t="n">
        <v>2022</v>
      </c>
    </row>
    <row r="3234" customFormat="false" ht="15" hidden="false" customHeight="false" outlineLevel="0" collapsed="false">
      <c r="A3234" s="3" t="n">
        <v>4410</v>
      </c>
      <c r="B3234" s="3" t="s">
        <v>1123</v>
      </c>
      <c r="C3234" s="4" t="s">
        <v>23</v>
      </c>
      <c r="D3234" s="5" t="n">
        <v>3616</v>
      </c>
      <c r="E3234" s="6" t="n">
        <v>29.3</v>
      </c>
      <c r="F3234" s="7" t="n">
        <v>72</v>
      </c>
      <c r="G3234" s="6" t="n">
        <v>150.680564501837</v>
      </c>
      <c r="H3234" s="8" t="n">
        <v>26835.2792782829</v>
      </c>
      <c r="I3234" s="9" t="n">
        <v>17.3688398086638</v>
      </c>
      <c r="J3234" s="9" t="n">
        <v>37.3032345736653</v>
      </c>
      <c r="K3234" s="3" t="s">
        <v>1124</v>
      </c>
      <c r="L3234" s="3" t="s">
        <v>1125</v>
      </c>
      <c r="M3234" s="7" t="n">
        <v>2023</v>
      </c>
    </row>
    <row r="3235" customFormat="false" ht="15" hidden="false" customHeight="false" outlineLevel="0" collapsed="false">
      <c r="A3235" s="3" t="n">
        <v>4411</v>
      </c>
      <c r="B3235" s="3" t="s">
        <v>1123</v>
      </c>
      <c r="C3235" s="4" t="s">
        <v>24</v>
      </c>
      <c r="D3235" s="5" t="n">
        <v>3572</v>
      </c>
      <c r="E3235" s="6" t="n">
        <v>29.67</v>
      </c>
      <c r="F3235" s="7" t="n">
        <v>58</v>
      </c>
      <c r="G3235" s="6" t="n">
        <v>157.952531403746</v>
      </c>
      <c r="H3235" s="8" t="n">
        <v>40409.3266085657</v>
      </c>
      <c r="I3235" s="9" t="n">
        <v>15.4819820475648</v>
      </c>
      <c r="J3235" s="9" t="n">
        <v>39.4767447809002</v>
      </c>
      <c r="K3235" s="3" t="s">
        <v>1124</v>
      </c>
      <c r="L3235" s="3" t="s">
        <v>1125</v>
      </c>
      <c r="M3235" s="7" t="n">
        <v>2024</v>
      </c>
    </row>
    <row r="3236" customFormat="false" ht="15" hidden="false" customHeight="false" outlineLevel="0" collapsed="false">
      <c r="A3236" s="3" t="n">
        <v>4412</v>
      </c>
      <c r="B3236" s="3" t="s">
        <v>1126</v>
      </c>
      <c r="C3236" s="4" t="s">
        <v>14</v>
      </c>
      <c r="D3236" s="5" t="n">
        <v>7749</v>
      </c>
      <c r="E3236" s="6" t="n">
        <v>75</v>
      </c>
      <c r="F3236" s="7" t="n">
        <v>41</v>
      </c>
      <c r="G3236" s="6" t="n">
        <v>184.767587544195</v>
      </c>
      <c r="H3236" s="8" t="n">
        <v>35193.2201181882</v>
      </c>
      <c r="I3236" s="9" t="n">
        <v>5.24650811908996</v>
      </c>
      <c r="J3236" s="9" t="n">
        <v>21.2866010705274</v>
      </c>
      <c r="K3236" s="3" t="s">
        <v>1127</v>
      </c>
      <c r="L3236" s="3" t="s">
        <v>1128</v>
      </c>
      <c r="M3236" s="7" t="n">
        <v>2016</v>
      </c>
    </row>
    <row r="3237" customFormat="false" ht="15" hidden="false" customHeight="false" outlineLevel="0" collapsed="false">
      <c r="A3237" s="3" t="n">
        <v>4413</v>
      </c>
      <c r="B3237" s="3" t="s">
        <v>1126</v>
      </c>
      <c r="C3237" s="4" t="s">
        <v>17</v>
      </c>
      <c r="D3237" s="5" t="n">
        <v>8297</v>
      </c>
      <c r="E3237" s="6" t="n">
        <v>75</v>
      </c>
      <c r="F3237" s="7" t="n">
        <v>58</v>
      </c>
      <c r="G3237" s="6" t="n">
        <v>326.179824202535</v>
      </c>
      <c r="H3237" s="8" t="n">
        <v>28979.8805409439</v>
      </c>
      <c r="I3237" s="9" t="n">
        <v>12.7555151709606</v>
      </c>
      <c r="J3237" s="9" t="n">
        <v>35.1927884354534</v>
      </c>
      <c r="K3237" s="3" t="s">
        <v>1127</v>
      </c>
      <c r="L3237" s="3" t="s">
        <v>1128</v>
      </c>
      <c r="M3237" s="7" t="n">
        <v>2017</v>
      </c>
    </row>
    <row r="3238" customFormat="false" ht="15" hidden="false" customHeight="false" outlineLevel="0" collapsed="false">
      <c r="A3238" s="3" t="n">
        <v>4414</v>
      </c>
      <c r="B3238" s="3" t="s">
        <v>1126</v>
      </c>
      <c r="C3238" s="4" t="s">
        <v>18</v>
      </c>
      <c r="D3238" s="5" t="n">
        <v>8297</v>
      </c>
      <c r="E3238" s="6" t="n">
        <v>75</v>
      </c>
      <c r="F3238" s="7" t="n">
        <v>74</v>
      </c>
      <c r="G3238" s="6" t="n">
        <v>433.670408982874</v>
      </c>
      <c r="H3238" s="8" t="n">
        <v>39470.8859829878</v>
      </c>
      <c r="I3238" s="9" t="n">
        <v>15.9844078779941</v>
      </c>
      <c r="J3238" s="9" t="n">
        <v>46.7903586353463</v>
      </c>
      <c r="K3238" s="3" t="s">
        <v>1127</v>
      </c>
      <c r="L3238" s="3" t="s">
        <v>1128</v>
      </c>
      <c r="M3238" s="7" t="n">
        <v>2018</v>
      </c>
    </row>
    <row r="3239" customFormat="false" ht="15" hidden="false" customHeight="false" outlineLevel="0" collapsed="false">
      <c r="A3239" s="3" t="n">
        <v>4415</v>
      </c>
      <c r="B3239" s="3" t="s">
        <v>1126</v>
      </c>
      <c r="C3239" s="4" t="s">
        <v>19</v>
      </c>
      <c r="D3239" s="5" t="n">
        <v>8297</v>
      </c>
      <c r="E3239" s="6" t="n">
        <v>75</v>
      </c>
      <c r="F3239" s="7" t="n">
        <v>67</v>
      </c>
      <c r="G3239" s="6" t="n">
        <v>-286.575157734571</v>
      </c>
      <c r="H3239" s="8" t="n">
        <v>-25771.229154427</v>
      </c>
      <c r="I3239" s="9" t="n">
        <v>0.622833846132747</v>
      </c>
      <c r="J3239" s="9" t="n">
        <v>-30.9196895352642</v>
      </c>
      <c r="K3239" s="3" t="s">
        <v>1127</v>
      </c>
      <c r="L3239" s="3" t="s">
        <v>1128</v>
      </c>
      <c r="M3239" s="7" t="n">
        <v>2019</v>
      </c>
    </row>
    <row r="3240" customFormat="false" ht="15" hidden="false" customHeight="false" outlineLevel="0" collapsed="false">
      <c r="A3240" s="3" t="n">
        <v>4416</v>
      </c>
      <c r="B3240" s="3" t="s">
        <v>1126</v>
      </c>
      <c r="C3240" s="4" t="s">
        <v>20</v>
      </c>
      <c r="D3240" s="5" t="n">
        <v>8297</v>
      </c>
      <c r="E3240" s="6" t="n">
        <v>75</v>
      </c>
      <c r="F3240" s="7" t="n">
        <v>59</v>
      </c>
      <c r="G3240" s="6" t="n">
        <v>232.465246972413</v>
      </c>
      <c r="H3240" s="8" t="n">
        <v>21674.8097348771</v>
      </c>
      <c r="I3240" s="9" t="n">
        <v>10.2601216572662</v>
      </c>
      <c r="J3240" s="9" t="n">
        <v>25.012847750287</v>
      </c>
      <c r="K3240" s="3" t="s">
        <v>1127</v>
      </c>
      <c r="L3240" s="3" t="s">
        <v>1128</v>
      </c>
      <c r="M3240" s="7" t="n">
        <v>2020</v>
      </c>
    </row>
    <row r="3241" customFormat="false" ht="15" hidden="false" customHeight="false" outlineLevel="0" collapsed="false">
      <c r="A3241" s="3" t="n">
        <v>4417</v>
      </c>
      <c r="B3241" s="3" t="s">
        <v>1126</v>
      </c>
      <c r="C3241" s="4" t="s">
        <v>21</v>
      </c>
      <c r="D3241" s="5" t="n">
        <v>8297</v>
      </c>
      <c r="E3241" s="6" t="n">
        <v>75</v>
      </c>
      <c r="F3241" s="7" t="n">
        <v>67</v>
      </c>
      <c r="G3241" s="6" t="n">
        <v>253.997970546616</v>
      </c>
      <c r="H3241" s="8" t="n">
        <v>27662.7057895894</v>
      </c>
      <c r="I3241" s="9" t="n">
        <v>11.3745115028912</v>
      </c>
      <c r="J3241" s="9" t="n">
        <v>27.4048122453188</v>
      </c>
      <c r="K3241" s="3" t="s">
        <v>1127</v>
      </c>
      <c r="L3241" s="3" t="s">
        <v>1128</v>
      </c>
      <c r="M3241" s="7" t="n">
        <v>2021</v>
      </c>
    </row>
    <row r="3242" customFormat="false" ht="15" hidden="false" customHeight="false" outlineLevel="0" collapsed="false">
      <c r="A3242" s="3" t="n">
        <v>4418</v>
      </c>
      <c r="B3242" s="3" t="s">
        <v>1126</v>
      </c>
      <c r="C3242" s="4" t="s">
        <v>22</v>
      </c>
      <c r="D3242" s="5" t="n">
        <v>8291</v>
      </c>
      <c r="E3242" s="6" t="n">
        <v>75</v>
      </c>
      <c r="F3242" s="7" t="n">
        <v>56</v>
      </c>
      <c r="G3242" s="6" t="n">
        <v>239.531309412166</v>
      </c>
      <c r="H3242" s="8" t="n">
        <v>31558.564231867</v>
      </c>
      <c r="I3242" s="9" t="n">
        <v>10.3638055031856</v>
      </c>
      <c r="J3242" s="9" t="n">
        <v>25.8626515125178</v>
      </c>
      <c r="K3242" s="3" t="s">
        <v>1127</v>
      </c>
      <c r="L3242" s="3" t="s">
        <v>1128</v>
      </c>
      <c r="M3242" s="7" t="n">
        <v>2022</v>
      </c>
    </row>
    <row r="3243" customFormat="false" ht="15" hidden="false" customHeight="false" outlineLevel="0" collapsed="false">
      <c r="A3243" s="3" t="n">
        <v>4419</v>
      </c>
      <c r="B3243" s="3" t="s">
        <v>1126</v>
      </c>
      <c r="C3243" s="4" t="s">
        <v>23</v>
      </c>
      <c r="D3243" s="5" t="n">
        <v>8318</v>
      </c>
      <c r="E3243" s="6" t="n">
        <v>75</v>
      </c>
      <c r="F3243" s="7" t="n">
        <v>64</v>
      </c>
      <c r="G3243" s="6" t="n">
        <v>344.040637000912</v>
      </c>
      <c r="H3243" s="8" t="n">
        <v>31425.5443919515</v>
      </c>
      <c r="I3243" s="9" t="n">
        <v>12.5173621181689</v>
      </c>
      <c r="J3243" s="9" t="n">
        <v>37.0261453406303</v>
      </c>
      <c r="K3243" s="3" t="s">
        <v>1127</v>
      </c>
      <c r="L3243" s="3" t="s">
        <v>1128</v>
      </c>
      <c r="M3243" s="7" t="n">
        <v>2023</v>
      </c>
    </row>
    <row r="3244" customFormat="false" ht="15" hidden="false" customHeight="false" outlineLevel="0" collapsed="false">
      <c r="A3244" s="3" t="n">
        <v>4420</v>
      </c>
      <c r="B3244" s="3" t="s">
        <v>1126</v>
      </c>
      <c r="C3244" s="4" t="s">
        <v>24</v>
      </c>
      <c r="D3244" s="5" t="n">
        <v>8320</v>
      </c>
      <c r="E3244" s="6" t="n">
        <v>77</v>
      </c>
      <c r="F3244" s="7" t="n">
        <v>64</v>
      </c>
      <c r="G3244" s="6" t="n">
        <v>324.681445186765</v>
      </c>
      <c r="H3244" s="8" t="n">
        <v>55639.0394076212</v>
      </c>
      <c r="I3244" s="9" t="n">
        <v>12.6649716777493</v>
      </c>
      <c r="J3244" s="9" t="n">
        <v>34.8385713894733</v>
      </c>
      <c r="K3244" s="3" t="s">
        <v>1127</v>
      </c>
      <c r="L3244" s="3" t="s">
        <v>1128</v>
      </c>
      <c r="M3244" s="7" t="n">
        <v>2024</v>
      </c>
    </row>
    <row r="3245" customFormat="false" ht="15" hidden="false" customHeight="false" outlineLevel="0" collapsed="false">
      <c r="A3245" s="3" t="n">
        <v>4421</v>
      </c>
      <c r="B3245" s="3" t="s">
        <v>1129</v>
      </c>
      <c r="C3245" s="4" t="s">
        <v>14</v>
      </c>
      <c r="D3245" s="5" t="n">
        <v>6389</v>
      </c>
      <c r="E3245" s="6" t="n">
        <v>49</v>
      </c>
      <c r="F3245" s="7" t="n">
        <v>61</v>
      </c>
      <c r="G3245" s="6" t="n">
        <v>412.043648142953</v>
      </c>
      <c r="H3245" s="8" t="n">
        <v>16564.1517597615</v>
      </c>
      <c r="I3245" s="9" t="n">
        <v>14.175565626668</v>
      </c>
      <c r="J3245" s="9" t="n">
        <v>57.5753423761428</v>
      </c>
      <c r="K3245" s="3" t="s">
        <v>1130</v>
      </c>
      <c r="L3245" s="3" t="s">
        <v>1131</v>
      </c>
      <c r="M3245" s="7" t="n">
        <v>2016</v>
      </c>
    </row>
    <row r="3246" customFormat="false" ht="15" hidden="false" customHeight="false" outlineLevel="0" collapsed="false">
      <c r="A3246" s="3" t="n">
        <v>4422</v>
      </c>
      <c r="B3246" s="3" t="s">
        <v>1129</v>
      </c>
      <c r="C3246" s="4" t="s">
        <v>17</v>
      </c>
      <c r="D3246" s="5" t="n">
        <v>6543</v>
      </c>
      <c r="E3246" s="6" t="n">
        <v>49</v>
      </c>
      <c r="F3246" s="7" t="n">
        <v>61</v>
      </c>
      <c r="G3246" s="6" t="n">
        <v>606.176146573024</v>
      </c>
      <c r="H3246" s="8" t="n">
        <v>60047.8662068971</v>
      </c>
      <c r="I3246" s="9" t="n">
        <v>18.8995179717243</v>
      </c>
      <c r="J3246" s="9" t="n">
        <v>82.9353337670518</v>
      </c>
      <c r="K3246" s="3" t="s">
        <v>1130</v>
      </c>
      <c r="L3246" s="3" t="s">
        <v>1131</v>
      </c>
      <c r="M3246" s="7" t="n">
        <v>2017</v>
      </c>
    </row>
    <row r="3247" customFormat="false" ht="15" hidden="false" customHeight="false" outlineLevel="0" collapsed="false">
      <c r="A3247" s="3" t="n">
        <v>4423</v>
      </c>
      <c r="B3247" s="3" t="s">
        <v>1129</v>
      </c>
      <c r="C3247" s="4" t="s">
        <v>18</v>
      </c>
      <c r="D3247" s="5" t="n">
        <v>6591</v>
      </c>
      <c r="E3247" s="6" t="n">
        <v>49</v>
      </c>
      <c r="F3247" s="7" t="n">
        <v>58</v>
      </c>
      <c r="G3247" s="6" t="n">
        <v>500.297048569304</v>
      </c>
      <c r="H3247" s="8" t="n">
        <v>47790.0556044476</v>
      </c>
      <c r="I3247" s="9" t="n">
        <v>15.6857855361596</v>
      </c>
      <c r="J3247" s="9" t="n">
        <v>67.9507576821191</v>
      </c>
      <c r="K3247" s="3" t="s">
        <v>1130</v>
      </c>
      <c r="L3247" s="3" t="s">
        <v>1131</v>
      </c>
      <c r="M3247" s="7" t="n">
        <v>2018</v>
      </c>
    </row>
    <row r="3248" customFormat="false" ht="15" hidden="false" customHeight="false" outlineLevel="0" collapsed="false">
      <c r="A3248" s="3" t="n">
        <v>4424</v>
      </c>
      <c r="B3248" s="3" t="s">
        <v>1129</v>
      </c>
      <c r="C3248" s="4" t="s">
        <v>19</v>
      </c>
      <c r="D3248" s="5" t="n">
        <v>6588</v>
      </c>
      <c r="E3248" s="6" t="n">
        <v>53.8806818181818</v>
      </c>
      <c r="F3248" s="7" t="n">
        <v>58</v>
      </c>
      <c r="G3248" s="6" t="n">
        <v>592.311748987825</v>
      </c>
      <c r="H3248" s="8" t="n">
        <v>56579.5160014664</v>
      </c>
      <c r="I3248" s="9" t="n">
        <v>18.4566225507341</v>
      </c>
      <c r="J3248" s="9" t="n">
        <v>80.4849041711836</v>
      </c>
      <c r="K3248" s="3" t="s">
        <v>1130</v>
      </c>
      <c r="L3248" s="3" t="s">
        <v>1131</v>
      </c>
      <c r="M3248" s="7" t="n">
        <v>2019</v>
      </c>
    </row>
    <row r="3249" customFormat="false" ht="15" hidden="false" customHeight="false" outlineLevel="0" collapsed="false">
      <c r="A3249" s="3" t="n">
        <v>4425</v>
      </c>
      <c r="B3249" s="3" t="s">
        <v>1129</v>
      </c>
      <c r="C3249" s="4" t="s">
        <v>20</v>
      </c>
      <c r="D3249" s="5" t="n">
        <v>6755</v>
      </c>
      <c r="E3249" s="6" t="n">
        <v>61.8806818181818</v>
      </c>
      <c r="F3249" s="7" t="n">
        <v>61</v>
      </c>
      <c r="G3249" s="6" t="n">
        <v>228.28301185929</v>
      </c>
      <c r="H3249" s="8" t="n">
        <v>21806.3247005102</v>
      </c>
      <c r="I3249" s="9" t="n">
        <v>9.50406633710732</v>
      </c>
      <c r="J3249" s="9" t="n">
        <v>30.169939140915</v>
      </c>
      <c r="K3249" s="3" t="s">
        <v>1130</v>
      </c>
      <c r="L3249" s="3" t="s">
        <v>1131</v>
      </c>
      <c r="M3249" s="7" t="n">
        <v>2020</v>
      </c>
    </row>
    <row r="3250" customFormat="false" ht="15" hidden="false" customHeight="false" outlineLevel="0" collapsed="false">
      <c r="A3250" s="3" t="n">
        <v>4426</v>
      </c>
      <c r="B3250" s="3" t="s">
        <v>1129</v>
      </c>
      <c r="C3250" s="4" t="s">
        <v>21</v>
      </c>
      <c r="D3250" s="5" t="n">
        <v>6888</v>
      </c>
      <c r="E3250" s="6" t="n">
        <v>61.8806818181818</v>
      </c>
      <c r="F3250" s="7" t="n">
        <v>58</v>
      </c>
      <c r="G3250" s="6" t="n">
        <v>732.153655777321</v>
      </c>
      <c r="H3250" s="8" t="n">
        <v>74203.3474948979</v>
      </c>
      <c r="I3250" s="9" t="n">
        <v>21.4285714285714</v>
      </c>
      <c r="J3250" s="9" t="n">
        <v>95.1539390406216</v>
      </c>
      <c r="K3250" s="3" t="s">
        <v>1130</v>
      </c>
      <c r="L3250" s="3" t="s">
        <v>1131</v>
      </c>
      <c r="M3250" s="7" t="n">
        <v>2021</v>
      </c>
    </row>
    <row r="3251" customFormat="false" ht="15" hidden="false" customHeight="false" outlineLevel="0" collapsed="false">
      <c r="A3251" s="3" t="n">
        <v>4427</v>
      </c>
      <c r="B3251" s="3" t="s">
        <v>1129</v>
      </c>
      <c r="C3251" s="4" t="s">
        <v>22</v>
      </c>
      <c r="D3251" s="5" t="n">
        <v>7259</v>
      </c>
      <c r="E3251" s="6" t="n">
        <v>61.9</v>
      </c>
      <c r="F3251" s="7" t="n">
        <v>50</v>
      </c>
      <c r="G3251" s="6" t="n">
        <v>486.038517462225</v>
      </c>
      <c r="H3251" s="8" t="n">
        <v>42273.2209416655</v>
      </c>
      <c r="I3251" s="9" t="n">
        <v>14.7133923261333</v>
      </c>
      <c r="J3251" s="9" t="n">
        <v>59.9392860373343</v>
      </c>
      <c r="K3251" s="3" t="s">
        <v>1130</v>
      </c>
      <c r="L3251" s="3" t="s">
        <v>1131</v>
      </c>
      <c r="M3251" s="7" t="n">
        <v>2022</v>
      </c>
    </row>
    <row r="3252" customFormat="false" ht="15" hidden="false" customHeight="false" outlineLevel="0" collapsed="false">
      <c r="A3252" s="3" t="n">
        <v>4428</v>
      </c>
      <c r="B3252" s="3" t="s">
        <v>1129</v>
      </c>
      <c r="C3252" s="4" t="s">
        <v>23</v>
      </c>
      <c r="D3252" s="5" t="n">
        <v>7109</v>
      </c>
      <c r="E3252" s="6" t="n">
        <v>61.9</v>
      </c>
      <c r="F3252" s="7" t="n">
        <v>53</v>
      </c>
      <c r="G3252" s="6" t="n">
        <v>636.292871979774</v>
      </c>
      <c r="H3252" s="8" t="n">
        <v>68284.2465089817</v>
      </c>
      <c r="I3252" s="9" t="n">
        <v>18.6265500606117</v>
      </c>
      <c r="J3252" s="9" t="n">
        <v>80.1246634538023</v>
      </c>
      <c r="K3252" s="3" t="s">
        <v>1130</v>
      </c>
      <c r="L3252" s="3" t="s">
        <v>1131</v>
      </c>
      <c r="M3252" s="7" t="n">
        <v>2023</v>
      </c>
    </row>
    <row r="3253" customFormat="false" ht="15" hidden="false" customHeight="false" outlineLevel="0" collapsed="false">
      <c r="A3253" s="3" t="n">
        <v>4429</v>
      </c>
      <c r="B3253" s="3" t="s">
        <v>1129</v>
      </c>
      <c r="C3253" s="4" t="s">
        <v>24</v>
      </c>
      <c r="D3253" s="5" t="n">
        <v>7367</v>
      </c>
      <c r="E3253" s="6" t="n">
        <v>106.9</v>
      </c>
      <c r="F3253" s="7" t="n">
        <v>54</v>
      </c>
      <c r="G3253" s="6" t="n">
        <v>361.896941271856</v>
      </c>
      <c r="H3253" s="8" t="n">
        <v>40002.3351841414</v>
      </c>
      <c r="I3253" s="9" t="n">
        <v>10.8775209268106</v>
      </c>
      <c r="J3253" s="9" t="n">
        <v>43.8551333921079</v>
      </c>
      <c r="K3253" s="3" t="s">
        <v>1130</v>
      </c>
      <c r="L3253" s="3" t="s">
        <v>1131</v>
      </c>
      <c r="M3253" s="7" t="n">
        <v>2024</v>
      </c>
    </row>
    <row r="3254" customFormat="false" ht="15" hidden="false" customHeight="false" outlineLevel="0" collapsed="false">
      <c r="A3254" s="3" t="n">
        <v>4430</v>
      </c>
      <c r="B3254" s="3" t="s">
        <v>1132</v>
      </c>
      <c r="C3254" s="4" t="s">
        <v>14</v>
      </c>
      <c r="D3254" s="5" t="n">
        <v>6886</v>
      </c>
      <c r="E3254" s="6" t="n">
        <v>66</v>
      </c>
      <c r="F3254" s="7" t="n">
        <v>62</v>
      </c>
      <c r="G3254" s="6" t="n">
        <v>218.709179557951</v>
      </c>
      <c r="H3254" s="8" t="n">
        <v>19790.732712257</v>
      </c>
      <c r="I3254" s="9" t="n">
        <v>6.33337102873623</v>
      </c>
      <c r="J3254" s="9" t="n">
        <v>28.3547737788954</v>
      </c>
      <c r="K3254" s="3" t="s">
        <v>1133</v>
      </c>
      <c r="L3254" s="3" t="s">
        <v>1134</v>
      </c>
      <c r="M3254" s="7" t="n">
        <v>2016</v>
      </c>
    </row>
    <row r="3255" customFormat="false" ht="15" hidden="false" customHeight="false" outlineLevel="0" collapsed="false">
      <c r="A3255" s="3" t="n">
        <v>4431</v>
      </c>
      <c r="B3255" s="3" t="s">
        <v>1132</v>
      </c>
      <c r="C3255" s="4" t="s">
        <v>17</v>
      </c>
      <c r="D3255" s="5" t="n">
        <v>7568</v>
      </c>
      <c r="E3255" s="6" t="n">
        <v>66</v>
      </c>
      <c r="F3255" s="7" t="n">
        <v>56</v>
      </c>
      <c r="G3255" s="6" t="n">
        <v>40.9676506243782</v>
      </c>
      <c r="H3255" s="8" t="n">
        <v>3094.94353134234</v>
      </c>
      <c r="I3255" s="9" t="n">
        <v>1.51426643205714</v>
      </c>
      <c r="J3255" s="9" t="n">
        <v>4.84593528695297</v>
      </c>
      <c r="K3255" s="3" t="s">
        <v>1133</v>
      </c>
      <c r="L3255" s="3" t="s">
        <v>1134</v>
      </c>
      <c r="M3255" s="7" t="n">
        <v>2017</v>
      </c>
    </row>
    <row r="3256" customFormat="false" ht="15" hidden="false" customHeight="false" outlineLevel="0" collapsed="false">
      <c r="A3256" s="3" t="n">
        <v>4432</v>
      </c>
      <c r="B3256" s="3" t="s">
        <v>1132</v>
      </c>
      <c r="C3256" s="4" t="s">
        <v>18</v>
      </c>
      <c r="D3256" s="5" t="n">
        <v>7516</v>
      </c>
      <c r="E3256" s="6" t="n">
        <v>66</v>
      </c>
      <c r="F3256" s="7" t="n">
        <v>63</v>
      </c>
      <c r="G3256" s="6" t="n">
        <v>216.118429314513</v>
      </c>
      <c r="H3256" s="8" t="n">
        <v>17789.40094834</v>
      </c>
      <c r="I3256" s="9" t="n">
        <v>5.30918155047059</v>
      </c>
      <c r="J3256" s="9" t="n">
        <v>25.7408394365147</v>
      </c>
      <c r="K3256" s="3" t="s">
        <v>1133</v>
      </c>
      <c r="L3256" s="3" t="s">
        <v>1134</v>
      </c>
      <c r="M3256" s="7" t="n">
        <v>2018</v>
      </c>
    </row>
    <row r="3257" customFormat="false" ht="15" hidden="false" customHeight="false" outlineLevel="0" collapsed="false">
      <c r="A3257" s="3" t="n">
        <v>4433</v>
      </c>
      <c r="B3257" s="3" t="s">
        <v>1132</v>
      </c>
      <c r="C3257" s="4" t="s">
        <v>19</v>
      </c>
      <c r="D3257" s="5" t="n">
        <v>6836</v>
      </c>
      <c r="E3257" s="6" t="n">
        <v>66</v>
      </c>
      <c r="F3257" s="7" t="n">
        <v>62</v>
      </c>
      <c r="G3257" s="6" t="n">
        <v>43.4167762508366</v>
      </c>
      <c r="H3257" s="8" t="n">
        <v>3466.11238382496</v>
      </c>
      <c r="I3257" s="9" t="n">
        <v>1.52916457522019</v>
      </c>
      <c r="J3257" s="9" t="n">
        <v>5.68555930389187</v>
      </c>
      <c r="K3257" s="3" t="s">
        <v>1133</v>
      </c>
      <c r="L3257" s="3" t="s">
        <v>1134</v>
      </c>
      <c r="M3257" s="7" t="n">
        <v>2019</v>
      </c>
    </row>
    <row r="3258" customFormat="false" ht="15" hidden="false" customHeight="false" outlineLevel="0" collapsed="false">
      <c r="A3258" s="3" t="n">
        <v>4434</v>
      </c>
      <c r="B3258" s="3" t="s">
        <v>1132</v>
      </c>
      <c r="C3258" s="4" t="s">
        <v>20</v>
      </c>
      <c r="D3258" s="5" t="n">
        <v>6853</v>
      </c>
      <c r="E3258" s="6" t="n">
        <v>68</v>
      </c>
      <c r="F3258" s="7" t="n">
        <v>72</v>
      </c>
      <c r="G3258" s="6" t="n">
        <v>432.222569360215</v>
      </c>
      <c r="H3258" s="8" t="n">
        <v>41623.8925605307</v>
      </c>
      <c r="I3258" s="9" t="n">
        <v>12.2521968782647</v>
      </c>
      <c r="J3258" s="9" t="n">
        <v>56.3057700751377</v>
      </c>
      <c r="K3258" s="3" t="s">
        <v>1133</v>
      </c>
      <c r="L3258" s="3" t="s">
        <v>1134</v>
      </c>
      <c r="M3258" s="7" t="n">
        <v>2020</v>
      </c>
    </row>
    <row r="3259" customFormat="false" ht="15" hidden="false" customHeight="false" outlineLevel="0" collapsed="false">
      <c r="A3259" s="3" t="n">
        <v>4435</v>
      </c>
      <c r="B3259" s="3" t="s">
        <v>1132</v>
      </c>
      <c r="C3259" s="4" t="s">
        <v>21</v>
      </c>
      <c r="D3259" s="5" t="n">
        <v>6965</v>
      </c>
      <c r="E3259" s="6" t="n">
        <v>68.5</v>
      </c>
      <c r="F3259" s="7" t="n">
        <v>65</v>
      </c>
      <c r="G3259" s="6" t="n">
        <v>571.496598362983</v>
      </c>
      <c r="H3259" s="8" t="n">
        <v>47468.1676369257</v>
      </c>
      <c r="I3259" s="9" t="n">
        <v>14.43849913185</v>
      </c>
      <c r="J3259" s="9" t="n">
        <v>73.4531125301454</v>
      </c>
      <c r="K3259" s="3" t="s">
        <v>1133</v>
      </c>
      <c r="L3259" s="3" t="s">
        <v>1134</v>
      </c>
      <c r="M3259" s="7" t="n">
        <v>2021</v>
      </c>
    </row>
    <row r="3260" customFormat="false" ht="15" hidden="false" customHeight="false" outlineLevel="0" collapsed="false">
      <c r="A3260" s="3" t="n">
        <v>4436</v>
      </c>
      <c r="B3260" s="3" t="s">
        <v>1132</v>
      </c>
      <c r="C3260" s="4" t="s">
        <v>22</v>
      </c>
      <c r="D3260" s="5" t="n">
        <v>7096</v>
      </c>
      <c r="E3260" s="6" t="n">
        <v>68.5</v>
      </c>
      <c r="F3260" s="7" t="n">
        <v>52</v>
      </c>
      <c r="G3260" s="6" t="n">
        <v>546.682617669191</v>
      </c>
      <c r="H3260" s="8" t="n">
        <v>54348.3627997407</v>
      </c>
      <c r="I3260" s="9" t="n">
        <v>13.9703954712819</v>
      </c>
      <c r="J3260" s="9" t="n">
        <v>68.9666820690358</v>
      </c>
      <c r="K3260" s="3" t="s">
        <v>1133</v>
      </c>
      <c r="L3260" s="3" t="s">
        <v>1134</v>
      </c>
      <c r="M3260" s="7" t="n">
        <v>2022</v>
      </c>
    </row>
    <row r="3261" customFormat="false" ht="15" hidden="false" customHeight="false" outlineLevel="0" collapsed="false">
      <c r="A3261" s="3" t="n">
        <v>4437</v>
      </c>
      <c r="B3261" s="3" t="s">
        <v>1132</v>
      </c>
      <c r="C3261" s="4" t="s">
        <v>23</v>
      </c>
      <c r="D3261" s="5" t="n">
        <v>7193</v>
      </c>
      <c r="E3261" s="6" t="n">
        <v>71.76</v>
      </c>
      <c r="F3261" s="7" t="n">
        <v>52</v>
      </c>
      <c r="G3261" s="6" t="n">
        <v>166.621012538683</v>
      </c>
      <c r="H3261" s="8" t="n">
        <v>19751.589543976</v>
      </c>
      <c r="I3261" s="9" t="n">
        <v>5.88861182196664</v>
      </c>
      <c r="J3261" s="9" t="n">
        <v>20.7365920303861</v>
      </c>
      <c r="K3261" s="3" t="s">
        <v>1133</v>
      </c>
      <c r="L3261" s="3" t="s">
        <v>1134</v>
      </c>
      <c r="M3261" s="7" t="n">
        <v>2023</v>
      </c>
    </row>
    <row r="3262" customFormat="false" ht="15" hidden="false" customHeight="false" outlineLevel="0" collapsed="false">
      <c r="A3262" s="3" t="n">
        <v>4438</v>
      </c>
      <c r="B3262" s="3" t="s">
        <v>1132</v>
      </c>
      <c r="C3262" s="4" t="s">
        <v>24</v>
      </c>
      <c r="D3262" s="5" t="n">
        <v>7553</v>
      </c>
      <c r="E3262" s="6" t="n">
        <v>70</v>
      </c>
      <c r="F3262" s="7" t="n">
        <v>52</v>
      </c>
      <c r="G3262" s="6" t="n">
        <v>625.298946239181</v>
      </c>
      <c r="H3262" s="8" t="n">
        <v>58186.287318411</v>
      </c>
      <c r="I3262" s="9" t="n">
        <v>17.3702559947728</v>
      </c>
      <c r="J3262" s="9" t="n">
        <v>73.9085029920011</v>
      </c>
      <c r="K3262" s="3" t="s">
        <v>1133</v>
      </c>
      <c r="L3262" s="3" t="s">
        <v>1134</v>
      </c>
      <c r="M3262" s="7" t="n">
        <v>2024</v>
      </c>
    </row>
    <row r="3263" customFormat="false" ht="15" hidden="false" customHeight="false" outlineLevel="0" collapsed="false">
      <c r="A3263" s="3" t="n">
        <v>4439</v>
      </c>
      <c r="B3263" s="3" t="s">
        <v>1135</v>
      </c>
      <c r="C3263" s="4" t="s">
        <v>14</v>
      </c>
      <c r="D3263" s="5" t="n">
        <v>18365</v>
      </c>
      <c r="E3263" s="6" t="n">
        <v>305.018939393939</v>
      </c>
      <c r="F3263" s="7" t="n">
        <v>53</v>
      </c>
      <c r="G3263" s="6" t="n">
        <v>1794.75900549723</v>
      </c>
      <c r="H3263" s="8" t="n">
        <v>103604.174848148</v>
      </c>
      <c r="I3263" s="9" t="n">
        <v>14.4197589803175</v>
      </c>
      <c r="J3263" s="9" t="n">
        <v>87.2451717942152</v>
      </c>
      <c r="K3263" s="3" t="s">
        <v>1136</v>
      </c>
      <c r="L3263" s="3" t="s">
        <v>1137</v>
      </c>
      <c r="M3263" s="7" t="n">
        <v>2016</v>
      </c>
    </row>
    <row r="3264" customFormat="false" ht="15" hidden="false" customHeight="false" outlineLevel="0" collapsed="false">
      <c r="A3264" s="3" t="n">
        <v>4440</v>
      </c>
      <c r="B3264" s="3" t="s">
        <v>1135</v>
      </c>
      <c r="C3264" s="4" t="s">
        <v>17</v>
      </c>
      <c r="D3264" s="5" t="n">
        <v>19468</v>
      </c>
      <c r="E3264" s="6" t="n">
        <v>305</v>
      </c>
      <c r="F3264" s="7" t="n">
        <v>57</v>
      </c>
      <c r="G3264" s="6" t="n">
        <v>1274.50485708676</v>
      </c>
      <c r="H3264" s="8" t="n">
        <v>72491.8791777666</v>
      </c>
      <c r="I3264" s="9" t="n">
        <v>11.7491811266875</v>
      </c>
      <c r="J3264" s="9" t="n">
        <v>58.6054266266448</v>
      </c>
      <c r="K3264" s="3" t="s">
        <v>1136</v>
      </c>
      <c r="L3264" s="3" t="s">
        <v>1137</v>
      </c>
      <c r="M3264" s="7" t="n">
        <v>2017</v>
      </c>
    </row>
    <row r="3265" customFormat="false" ht="15" hidden="false" customHeight="false" outlineLevel="0" collapsed="false">
      <c r="A3265" s="3" t="n">
        <v>4441</v>
      </c>
      <c r="B3265" s="3" t="s">
        <v>1135</v>
      </c>
      <c r="C3265" s="4" t="s">
        <v>18</v>
      </c>
      <c r="D3265" s="5" t="n">
        <v>19468</v>
      </c>
      <c r="E3265" s="6" t="n">
        <v>305</v>
      </c>
      <c r="F3265" s="7" t="n">
        <v>53</v>
      </c>
      <c r="G3265" s="6" t="n">
        <v>656.038588995427</v>
      </c>
      <c r="H3265" s="8" t="n">
        <v>37487.3783002118</v>
      </c>
      <c r="I3265" s="9" t="n">
        <v>9.04768760483874</v>
      </c>
      <c r="J3265" s="9" t="n">
        <v>30.1665554099978</v>
      </c>
      <c r="K3265" s="3" t="s">
        <v>1136</v>
      </c>
      <c r="L3265" s="3" t="s">
        <v>1137</v>
      </c>
      <c r="M3265" s="7" t="n">
        <v>2018</v>
      </c>
    </row>
    <row r="3266" customFormat="false" ht="15" hidden="false" customHeight="false" outlineLevel="0" collapsed="false">
      <c r="A3266" s="3" t="n">
        <v>4442</v>
      </c>
      <c r="B3266" s="3" t="s">
        <v>1135</v>
      </c>
      <c r="C3266" s="4" t="s">
        <v>19</v>
      </c>
      <c r="D3266" s="5" t="n">
        <v>19468</v>
      </c>
      <c r="E3266" s="6" t="n">
        <v>305</v>
      </c>
      <c r="F3266" s="7" t="n">
        <v>50</v>
      </c>
      <c r="G3266" s="6" t="n">
        <v>919.516521480289</v>
      </c>
      <c r="H3266" s="8" t="n">
        <v>54600.7230956169</v>
      </c>
      <c r="I3266" s="9" t="n">
        <v>7.67563323435103</v>
      </c>
      <c r="J3266" s="9" t="n">
        <v>42.2820342597819</v>
      </c>
      <c r="K3266" s="3" t="s">
        <v>1136</v>
      </c>
      <c r="L3266" s="3" t="s">
        <v>1137</v>
      </c>
      <c r="M3266" s="7" t="n">
        <v>2019</v>
      </c>
    </row>
    <row r="3267" customFormat="false" ht="15" hidden="false" customHeight="false" outlineLevel="0" collapsed="false">
      <c r="A3267" s="3" t="n">
        <v>4443</v>
      </c>
      <c r="B3267" s="3" t="s">
        <v>1135</v>
      </c>
      <c r="C3267" s="4" t="s">
        <v>20</v>
      </c>
      <c r="D3267" s="5" t="n">
        <v>19468</v>
      </c>
      <c r="E3267" s="6" t="n">
        <v>305</v>
      </c>
      <c r="F3267" s="7" t="n">
        <v>50</v>
      </c>
      <c r="G3267" s="6" t="n">
        <v>892.071011745973</v>
      </c>
      <c r="H3267" s="8" t="n">
        <v>58171.3179484888</v>
      </c>
      <c r="I3267" s="9" t="n">
        <v>10.5191338096895</v>
      </c>
      <c r="J3267" s="9" t="n">
        <v>40.9076266002287</v>
      </c>
      <c r="K3267" s="3" t="s">
        <v>1136</v>
      </c>
      <c r="L3267" s="3" t="s">
        <v>1137</v>
      </c>
      <c r="M3267" s="7" t="n">
        <v>2020</v>
      </c>
    </row>
    <row r="3268" customFormat="false" ht="15" hidden="false" customHeight="false" outlineLevel="0" collapsed="false">
      <c r="A3268" s="3" t="n">
        <v>4444</v>
      </c>
      <c r="B3268" s="3" t="s">
        <v>1135</v>
      </c>
      <c r="C3268" s="4" t="s">
        <v>21</v>
      </c>
      <c r="D3268" s="5" t="n">
        <v>19635</v>
      </c>
      <c r="E3268" s="6" t="n">
        <v>305</v>
      </c>
      <c r="F3268" s="7" t="n">
        <v>50</v>
      </c>
      <c r="G3268" s="6" t="n">
        <v>686.2048246758</v>
      </c>
      <c r="H3268" s="8" t="n">
        <v>42483.5388371156</v>
      </c>
      <c r="I3268" s="9" t="n">
        <v>6.22280159122887</v>
      </c>
      <c r="J3268" s="9" t="n">
        <v>31.2853152905126</v>
      </c>
      <c r="K3268" s="3" t="s">
        <v>1136</v>
      </c>
      <c r="L3268" s="3" t="s">
        <v>1137</v>
      </c>
      <c r="M3268" s="7" t="n">
        <v>2021</v>
      </c>
    </row>
    <row r="3269" customFormat="false" ht="15" hidden="false" customHeight="false" outlineLevel="0" collapsed="false">
      <c r="A3269" s="3" t="n">
        <v>4445</v>
      </c>
      <c r="B3269" s="3" t="s">
        <v>1135</v>
      </c>
      <c r="C3269" s="4" t="s">
        <v>22</v>
      </c>
      <c r="D3269" s="5" t="n">
        <v>19604</v>
      </c>
      <c r="E3269" s="6" t="n">
        <v>305</v>
      </c>
      <c r="F3269" s="7" t="n">
        <v>47</v>
      </c>
      <c r="G3269" s="6" t="n">
        <v>1334.069188226</v>
      </c>
      <c r="H3269" s="8" t="n">
        <v>84902.7614848878</v>
      </c>
      <c r="I3269" s="9" t="n">
        <v>11.4561636018831</v>
      </c>
      <c r="J3269" s="9" t="n">
        <v>60.918799237629</v>
      </c>
      <c r="K3269" s="3" t="s">
        <v>1136</v>
      </c>
      <c r="L3269" s="3" t="s">
        <v>1137</v>
      </c>
      <c r="M3269" s="7" t="n">
        <v>2022</v>
      </c>
    </row>
    <row r="3270" customFormat="false" ht="15" hidden="false" customHeight="false" outlineLevel="0" collapsed="false">
      <c r="A3270" s="3" t="n">
        <v>4446</v>
      </c>
      <c r="B3270" s="3" t="s">
        <v>1135</v>
      </c>
      <c r="C3270" s="4" t="s">
        <v>23</v>
      </c>
      <c r="D3270" s="5" t="n">
        <v>19908</v>
      </c>
      <c r="E3270" s="6" t="n">
        <v>308</v>
      </c>
      <c r="F3270" s="7" t="n">
        <v>47</v>
      </c>
      <c r="G3270" s="6" t="n">
        <v>1854.19859955616</v>
      </c>
      <c r="H3270" s="8" t="n">
        <v>162606.290450969</v>
      </c>
      <c r="I3270" s="9" t="n">
        <v>14.4126456398324</v>
      </c>
      <c r="J3270" s="9" t="n">
        <v>83.3770050838216</v>
      </c>
      <c r="K3270" s="3" t="s">
        <v>1136</v>
      </c>
      <c r="L3270" s="3" t="s">
        <v>1137</v>
      </c>
      <c r="M3270" s="7" t="n">
        <v>2023</v>
      </c>
    </row>
    <row r="3271" customFormat="false" ht="15" hidden="false" customHeight="false" outlineLevel="0" collapsed="false">
      <c r="A3271" s="3" t="n">
        <v>4447</v>
      </c>
      <c r="B3271" s="3" t="s">
        <v>1135</v>
      </c>
      <c r="C3271" s="4" t="s">
        <v>24</v>
      </c>
      <c r="D3271" s="5" t="n">
        <v>20053</v>
      </c>
      <c r="E3271" s="6" t="n">
        <v>310</v>
      </c>
      <c r="F3271" s="7" t="n">
        <v>48</v>
      </c>
      <c r="G3271" s="6" t="n">
        <v>2802.707329659</v>
      </c>
      <c r="H3271" s="8" t="n">
        <v>144597.219968436</v>
      </c>
      <c r="I3271" s="9" t="n">
        <v>18.0665097474566</v>
      </c>
      <c r="J3271" s="9" t="n">
        <v>124.77414113923</v>
      </c>
      <c r="K3271" s="3" t="s">
        <v>1136</v>
      </c>
      <c r="L3271" s="3" t="s">
        <v>1137</v>
      </c>
      <c r="M3271" s="7" t="n">
        <v>2024</v>
      </c>
    </row>
    <row r="3272" customFormat="false" ht="15" hidden="false" customHeight="false" outlineLevel="0" collapsed="false">
      <c r="A3272" s="3" t="n">
        <v>4456</v>
      </c>
      <c r="B3272" s="3" t="s">
        <v>1138</v>
      </c>
      <c r="C3272" s="4" t="s">
        <v>14</v>
      </c>
      <c r="D3272" s="5" t="n">
        <v>11663</v>
      </c>
      <c r="E3272" s="6" t="n">
        <v>154</v>
      </c>
      <c r="F3272" s="7" t="n">
        <v>59</v>
      </c>
      <c r="G3272" s="6" t="n">
        <v>145.64294535693</v>
      </c>
      <c r="H3272" s="8" t="n">
        <v>11889.6254551211</v>
      </c>
      <c r="I3272" s="9" t="n">
        <v>5.64589677165235</v>
      </c>
      <c r="J3272" s="9" t="n">
        <v>11.148215909932</v>
      </c>
      <c r="K3272" s="3" t="s">
        <v>1139</v>
      </c>
      <c r="L3272" s="3" t="s">
        <v>1140</v>
      </c>
      <c r="M3272" s="7" t="n">
        <v>2016</v>
      </c>
    </row>
    <row r="3273" customFormat="false" ht="15" hidden="false" customHeight="false" outlineLevel="0" collapsed="false">
      <c r="A3273" s="3" t="n">
        <v>4457</v>
      </c>
      <c r="B3273" s="3" t="s">
        <v>1138</v>
      </c>
      <c r="C3273" s="4" t="s">
        <v>17</v>
      </c>
      <c r="D3273" s="5" t="n">
        <v>12731</v>
      </c>
      <c r="E3273" s="6" t="n">
        <v>154</v>
      </c>
      <c r="F3273" s="7" t="n">
        <v>66</v>
      </c>
      <c r="G3273" s="6" t="n">
        <v>195.170856174804</v>
      </c>
      <c r="H3273" s="8" t="n">
        <v>11528.7930145015</v>
      </c>
      <c r="I3273" s="9" t="n">
        <v>6.16361825472787</v>
      </c>
      <c r="J3273" s="9" t="n">
        <v>13.7236654871634</v>
      </c>
      <c r="K3273" s="3" t="s">
        <v>1139</v>
      </c>
      <c r="L3273" s="3" t="s">
        <v>1140</v>
      </c>
      <c r="M3273" s="7" t="n">
        <v>2017</v>
      </c>
    </row>
    <row r="3274" customFormat="false" ht="15" hidden="false" customHeight="false" outlineLevel="0" collapsed="false">
      <c r="A3274" s="3" t="n">
        <v>4458</v>
      </c>
      <c r="B3274" s="3" t="s">
        <v>1138</v>
      </c>
      <c r="C3274" s="4" t="s">
        <v>18</v>
      </c>
      <c r="D3274" s="5" t="n">
        <v>12686</v>
      </c>
      <c r="E3274" s="6" t="n">
        <v>154</v>
      </c>
      <c r="F3274" s="7" t="n">
        <v>64</v>
      </c>
      <c r="G3274" s="6" t="n">
        <v>265.188857936121</v>
      </c>
      <c r="H3274" s="8" t="n">
        <v>15448.7444113736</v>
      </c>
      <c r="I3274" s="9" t="n">
        <v>7.18802952572271</v>
      </c>
      <c r="J3274" s="9" t="n">
        <v>18.7132078078939</v>
      </c>
      <c r="K3274" s="3" t="s">
        <v>1139</v>
      </c>
      <c r="L3274" s="3" t="s">
        <v>1140</v>
      </c>
      <c r="M3274" s="7" t="n">
        <v>2018</v>
      </c>
    </row>
    <row r="3275" customFormat="false" ht="15" hidden="false" customHeight="false" outlineLevel="0" collapsed="false">
      <c r="A3275" s="3" t="n">
        <v>4459</v>
      </c>
      <c r="B3275" s="3" t="s">
        <v>1138</v>
      </c>
      <c r="C3275" s="4" t="s">
        <v>19</v>
      </c>
      <c r="D3275" s="5" t="n">
        <v>12686</v>
      </c>
      <c r="E3275" s="6" t="n">
        <v>154</v>
      </c>
      <c r="F3275" s="7" t="n">
        <v>64</v>
      </c>
      <c r="G3275" s="6" t="n">
        <v>11.3023417904802</v>
      </c>
      <c r="H3275" s="8" t="n">
        <v>658.425059521823</v>
      </c>
      <c r="I3275" s="9" t="n">
        <v>3.40060055950783</v>
      </c>
      <c r="J3275" s="9" t="n">
        <v>0.797556399190976</v>
      </c>
      <c r="K3275" s="3" t="s">
        <v>1139</v>
      </c>
      <c r="L3275" s="3" t="s">
        <v>1140</v>
      </c>
      <c r="M3275" s="7" t="n">
        <v>2019</v>
      </c>
    </row>
    <row r="3276" customFormat="false" ht="15" hidden="false" customHeight="false" outlineLevel="0" collapsed="false">
      <c r="A3276" s="3" t="n">
        <v>4460</v>
      </c>
      <c r="B3276" s="3" t="s">
        <v>1138</v>
      </c>
      <c r="C3276" s="4" t="s">
        <v>20</v>
      </c>
      <c r="D3276" s="5" t="n">
        <v>11783</v>
      </c>
      <c r="E3276" s="6" t="n">
        <v>155</v>
      </c>
      <c r="F3276" s="7" t="n">
        <v>66</v>
      </c>
      <c r="G3276" s="6" t="n">
        <v>178.040288865748</v>
      </c>
      <c r="H3276" s="8" t="n">
        <v>13076.4899441795</v>
      </c>
      <c r="I3276" s="9" t="n">
        <v>5.84651401497261</v>
      </c>
      <c r="J3276" s="9" t="n">
        <v>13.4892749287499</v>
      </c>
      <c r="K3276" s="3" t="s">
        <v>1139</v>
      </c>
      <c r="L3276" s="3" t="s">
        <v>1140</v>
      </c>
      <c r="M3276" s="7" t="n">
        <v>2020</v>
      </c>
    </row>
    <row r="3277" customFormat="false" ht="15" hidden="false" customHeight="false" outlineLevel="0" collapsed="false">
      <c r="A3277" s="3" t="n">
        <v>4461</v>
      </c>
      <c r="B3277" s="3" t="s">
        <v>1138</v>
      </c>
      <c r="C3277" s="4" t="s">
        <v>21</v>
      </c>
      <c r="D3277" s="5" t="n">
        <v>11789</v>
      </c>
      <c r="E3277" s="6" t="n">
        <v>154</v>
      </c>
      <c r="F3277" s="7" t="n">
        <v>66</v>
      </c>
      <c r="G3277" s="6" t="n">
        <v>176.35216605374</v>
      </c>
      <c r="H3277" s="8" t="n">
        <v>12737.01077275</v>
      </c>
      <c r="I3277" s="9" t="n">
        <v>5.8178251519176</v>
      </c>
      <c r="J3277" s="9" t="n">
        <v>13.3912619374126</v>
      </c>
      <c r="K3277" s="3" t="s">
        <v>1139</v>
      </c>
      <c r="L3277" s="3" t="s">
        <v>1140</v>
      </c>
      <c r="M3277" s="7" t="n">
        <v>2021</v>
      </c>
    </row>
    <row r="3278" customFormat="false" ht="15" hidden="false" customHeight="false" outlineLevel="0" collapsed="false">
      <c r="A3278" s="3" t="n">
        <v>4462</v>
      </c>
      <c r="B3278" s="3" t="s">
        <v>1138</v>
      </c>
      <c r="C3278" s="4" t="s">
        <v>22</v>
      </c>
      <c r="D3278" s="5" t="n">
        <v>11847</v>
      </c>
      <c r="E3278" s="6" t="n">
        <v>154</v>
      </c>
      <c r="F3278" s="7" t="n">
        <v>72</v>
      </c>
      <c r="G3278" s="6" t="n">
        <v>402.666475586165</v>
      </c>
      <c r="H3278" s="8" t="n">
        <v>32815.433624953</v>
      </c>
      <c r="I3278" s="9" t="n">
        <v>8.31708614808692</v>
      </c>
      <c r="J3278" s="9" t="n">
        <v>30.4266934866961</v>
      </c>
      <c r="K3278" s="3" t="s">
        <v>1139</v>
      </c>
      <c r="L3278" s="3" t="s">
        <v>1140</v>
      </c>
      <c r="M3278" s="7" t="n">
        <v>2022</v>
      </c>
    </row>
    <row r="3279" customFormat="false" ht="15" hidden="false" customHeight="false" outlineLevel="0" collapsed="false">
      <c r="A3279" s="3" t="n">
        <v>4463</v>
      </c>
      <c r="B3279" s="3" t="s">
        <v>1138</v>
      </c>
      <c r="C3279" s="4" t="s">
        <v>23</v>
      </c>
      <c r="D3279" s="5" t="n">
        <v>11925</v>
      </c>
      <c r="E3279" s="6" t="n">
        <v>167.3</v>
      </c>
      <c r="F3279" s="7" t="n">
        <v>69</v>
      </c>
      <c r="G3279" s="6" t="n">
        <v>532.015022530949</v>
      </c>
      <c r="H3279" s="8" t="n">
        <v>58523.7911043974</v>
      </c>
      <c r="I3279" s="9" t="n">
        <v>10.4426625904088</v>
      </c>
      <c r="J3279" s="9" t="n">
        <v>39.9377121447537</v>
      </c>
      <c r="K3279" s="3" t="s">
        <v>1139</v>
      </c>
      <c r="L3279" s="3" t="s">
        <v>1140</v>
      </c>
      <c r="M3279" s="7" t="n">
        <v>2023</v>
      </c>
    </row>
    <row r="3280" customFormat="false" ht="15" hidden="false" customHeight="false" outlineLevel="0" collapsed="false">
      <c r="A3280" s="3" t="n">
        <v>4509</v>
      </c>
      <c r="B3280" s="3" t="s">
        <v>1141</v>
      </c>
      <c r="C3280" s="4" t="s">
        <v>14</v>
      </c>
      <c r="D3280" s="5" t="n">
        <v>18693</v>
      </c>
      <c r="E3280" s="6" t="n">
        <v>299.26</v>
      </c>
      <c r="F3280" s="7" t="n">
        <v>62</v>
      </c>
      <c r="G3280" s="6" t="n">
        <v>774.013986478049</v>
      </c>
      <c r="H3280" s="8" t="n">
        <v>84030.1391229847</v>
      </c>
      <c r="I3280" s="9" t="n">
        <v>7.11181790041046</v>
      </c>
      <c r="J3280" s="9" t="n">
        <v>36.965449891192</v>
      </c>
      <c r="K3280" s="3" t="s">
        <v>1142</v>
      </c>
      <c r="L3280" s="3" t="s">
        <v>1142</v>
      </c>
      <c r="M3280" s="7" t="n">
        <v>2016</v>
      </c>
    </row>
    <row r="3281" customFormat="false" ht="15" hidden="false" customHeight="false" outlineLevel="0" collapsed="false">
      <c r="A3281" s="3" t="n">
        <v>4510</v>
      </c>
      <c r="B3281" s="3" t="s">
        <v>1141</v>
      </c>
      <c r="C3281" s="4" t="s">
        <v>17</v>
      </c>
      <c r="D3281" s="5" t="n">
        <v>18640</v>
      </c>
      <c r="E3281" s="6" t="n">
        <v>299.26</v>
      </c>
      <c r="F3281" s="7" t="n">
        <v>67</v>
      </c>
      <c r="G3281" s="6" t="n">
        <v>749.710365025303</v>
      </c>
      <c r="H3281" s="8" t="n">
        <v>60517.5307206649</v>
      </c>
      <c r="I3281" s="9" t="n">
        <v>6.57685981340946</v>
      </c>
      <c r="J3281" s="9" t="n">
        <v>36.0052044748768</v>
      </c>
      <c r="K3281" s="3" t="s">
        <v>1142</v>
      </c>
      <c r="L3281" s="3" t="s">
        <v>1142</v>
      </c>
      <c r="M3281" s="7" t="n">
        <v>2017</v>
      </c>
    </row>
    <row r="3282" customFormat="false" ht="15" hidden="false" customHeight="false" outlineLevel="0" collapsed="false">
      <c r="A3282" s="3" t="n">
        <v>4511</v>
      </c>
      <c r="B3282" s="3" t="s">
        <v>1141</v>
      </c>
      <c r="C3282" s="4" t="s">
        <v>18</v>
      </c>
      <c r="D3282" s="5" t="n">
        <v>19108</v>
      </c>
      <c r="E3282" s="6" t="n">
        <v>299.26</v>
      </c>
      <c r="F3282" s="7" t="n">
        <v>74</v>
      </c>
      <c r="G3282" s="6" t="n">
        <v>730.527150353942</v>
      </c>
      <c r="H3282" s="8" t="n">
        <v>62511.6705514443</v>
      </c>
      <c r="I3282" s="9" t="n">
        <v>6.35069921678993</v>
      </c>
      <c r="J3282" s="9" t="n">
        <v>34.2246332687854</v>
      </c>
      <c r="K3282" s="3" t="s">
        <v>1142</v>
      </c>
      <c r="L3282" s="3" t="s">
        <v>1142</v>
      </c>
      <c r="M3282" s="7" t="n">
        <v>2018</v>
      </c>
    </row>
    <row r="3283" customFormat="false" ht="15" hidden="false" customHeight="false" outlineLevel="0" collapsed="false">
      <c r="A3283" s="3" t="n">
        <v>4512</v>
      </c>
      <c r="B3283" s="3" t="s">
        <v>1141</v>
      </c>
      <c r="C3283" s="4" t="s">
        <v>19</v>
      </c>
      <c r="D3283" s="5" t="n">
        <v>18758</v>
      </c>
      <c r="E3283" s="6" t="n">
        <v>299.26</v>
      </c>
      <c r="F3283" s="7" t="n">
        <v>63</v>
      </c>
      <c r="G3283" s="6" t="n">
        <v>691.500051671078</v>
      </c>
      <c r="H3283" s="8" t="n">
        <v>62931.6322763751</v>
      </c>
      <c r="I3283" s="9" t="n">
        <v>6.40767136525399</v>
      </c>
      <c r="J3283" s="9" t="n">
        <v>33.0007157879411</v>
      </c>
      <c r="K3283" s="3" t="s">
        <v>1142</v>
      </c>
      <c r="L3283" s="3" t="s">
        <v>1142</v>
      </c>
      <c r="M3283" s="7" t="n">
        <v>2019</v>
      </c>
    </row>
    <row r="3284" customFormat="false" ht="15" hidden="false" customHeight="false" outlineLevel="0" collapsed="false">
      <c r="A3284" s="3" t="n">
        <v>4513</v>
      </c>
      <c r="B3284" s="3" t="s">
        <v>1141</v>
      </c>
      <c r="C3284" s="4" t="s">
        <v>20</v>
      </c>
      <c r="D3284" s="5" t="n">
        <v>18834</v>
      </c>
      <c r="E3284" s="6" t="n">
        <v>299.3</v>
      </c>
      <c r="F3284" s="7" t="n">
        <v>66</v>
      </c>
      <c r="G3284" s="6" t="n">
        <v>1032.57447345358</v>
      </c>
      <c r="H3284" s="8" t="n">
        <v>97292.3252128082</v>
      </c>
      <c r="I3284" s="9" t="n">
        <v>8.46637571694438</v>
      </c>
      <c r="J3284" s="9" t="n">
        <v>48.9446257568755</v>
      </c>
      <c r="K3284" s="3" t="s">
        <v>1142</v>
      </c>
      <c r="L3284" s="3" t="s">
        <v>1142</v>
      </c>
      <c r="M3284" s="7" t="n">
        <v>2020</v>
      </c>
    </row>
    <row r="3285" customFormat="false" ht="15" hidden="false" customHeight="false" outlineLevel="0" collapsed="false">
      <c r="A3285" s="3" t="n">
        <v>4514</v>
      </c>
      <c r="B3285" s="3" t="s">
        <v>1141</v>
      </c>
      <c r="C3285" s="4" t="s">
        <v>21</v>
      </c>
      <c r="D3285" s="5" t="n">
        <v>18862</v>
      </c>
      <c r="E3285" s="6" t="n">
        <v>298.52</v>
      </c>
      <c r="F3285" s="7" t="n">
        <v>66</v>
      </c>
      <c r="G3285" s="6" t="n">
        <v>1448.46121558983</v>
      </c>
      <c r="H3285" s="8" t="n">
        <v>156032.679155037</v>
      </c>
      <c r="I3285" s="9" t="n">
        <v>11.26488846677</v>
      </c>
      <c r="J3285" s="9" t="n">
        <v>68.7443175419213</v>
      </c>
      <c r="K3285" s="3" t="s">
        <v>1142</v>
      </c>
      <c r="L3285" s="3" t="s">
        <v>1142</v>
      </c>
      <c r="M3285" s="7" t="n">
        <v>2021</v>
      </c>
    </row>
    <row r="3286" customFormat="false" ht="15" hidden="false" customHeight="false" outlineLevel="0" collapsed="false">
      <c r="A3286" s="3" t="n">
        <v>4515</v>
      </c>
      <c r="B3286" s="3" t="s">
        <v>1141</v>
      </c>
      <c r="C3286" s="4" t="s">
        <v>22</v>
      </c>
      <c r="D3286" s="5" t="n">
        <v>18924</v>
      </c>
      <c r="E3286" s="6" t="n">
        <v>281.2</v>
      </c>
      <c r="F3286" s="7" t="n">
        <v>74</v>
      </c>
      <c r="G3286" s="6" t="n">
        <v>2029.5079953843</v>
      </c>
      <c r="H3286" s="8" t="n">
        <v>223095.321727997</v>
      </c>
      <c r="I3286" s="9" t="n">
        <v>15.7367187134724</v>
      </c>
      <c r="J3286" s="9" t="n">
        <v>96.0053646924264</v>
      </c>
      <c r="K3286" s="3" t="s">
        <v>1142</v>
      </c>
      <c r="L3286" s="3" t="s">
        <v>1142</v>
      </c>
      <c r="M3286" s="7" t="n">
        <v>2022</v>
      </c>
    </row>
    <row r="3287" customFormat="false" ht="15" hidden="false" customHeight="false" outlineLevel="0" collapsed="false">
      <c r="A3287" s="3" t="n">
        <v>4516</v>
      </c>
      <c r="B3287" s="3" t="s">
        <v>1141</v>
      </c>
      <c r="C3287" s="4" t="s">
        <v>23</v>
      </c>
      <c r="D3287" s="5" t="n">
        <v>19395</v>
      </c>
      <c r="E3287" s="6" t="n">
        <v>298</v>
      </c>
      <c r="F3287" s="7" t="n">
        <v>69</v>
      </c>
      <c r="G3287" s="6" t="n">
        <v>1777.98691685997</v>
      </c>
      <c r="H3287" s="8" t="n">
        <v>259373.102477186</v>
      </c>
      <c r="I3287" s="9" t="n">
        <v>15.5604535137692</v>
      </c>
      <c r="J3287" s="9" t="n">
        <v>82.0647123346249</v>
      </c>
      <c r="K3287" s="3" t="s">
        <v>1142</v>
      </c>
      <c r="L3287" s="3" t="s">
        <v>1142</v>
      </c>
      <c r="M3287" s="7" t="n">
        <v>2023</v>
      </c>
    </row>
    <row r="3288" customFormat="false" ht="15" hidden="false" customHeight="false" outlineLevel="0" collapsed="false">
      <c r="A3288" s="3" t="n">
        <v>4517</v>
      </c>
      <c r="B3288" s="3" t="s">
        <v>1141</v>
      </c>
      <c r="C3288" s="4" t="s">
        <v>24</v>
      </c>
      <c r="D3288" s="5" t="n">
        <v>19523</v>
      </c>
      <c r="E3288" s="6" t="n">
        <v>301.4</v>
      </c>
      <c r="F3288" s="7" t="n">
        <v>78</v>
      </c>
      <c r="G3288" s="6" t="n">
        <v>874.035983507425</v>
      </c>
      <c r="H3288" s="8" t="n">
        <v>128022.897593479</v>
      </c>
      <c r="I3288" s="9" t="n">
        <v>14.3983160081232</v>
      </c>
      <c r="J3288" s="9" t="n">
        <v>39.9676811490877</v>
      </c>
      <c r="K3288" s="3" t="s">
        <v>1142</v>
      </c>
      <c r="L3288" s="3" t="s">
        <v>1142</v>
      </c>
      <c r="M3288" s="7" t="n">
        <v>2024</v>
      </c>
    </row>
    <row r="3289" customFormat="false" ht="15" hidden="false" customHeight="false" outlineLevel="0" collapsed="false">
      <c r="A3289" s="3" t="n">
        <v>4518</v>
      </c>
      <c r="B3289" s="3" t="s">
        <v>1143</v>
      </c>
      <c r="C3289" s="4" t="s">
        <v>14</v>
      </c>
      <c r="D3289" s="5" t="n">
        <v>4865</v>
      </c>
      <c r="E3289" s="6" t="n">
        <v>81</v>
      </c>
      <c r="F3289" s="7" t="n">
        <v>62</v>
      </c>
      <c r="G3289" s="6" t="n">
        <v>153.651090319082</v>
      </c>
      <c r="H3289" s="8"/>
      <c r="I3289" s="9" t="n">
        <v>9.54689910521446</v>
      </c>
      <c r="J3289" s="9" t="n">
        <v>28.1954477363123</v>
      </c>
      <c r="K3289" s="3" t="s">
        <v>1144</v>
      </c>
      <c r="L3289" s="3" t="s">
        <v>1145</v>
      </c>
      <c r="M3289" s="7" t="n">
        <v>2016</v>
      </c>
    </row>
    <row r="3290" customFormat="false" ht="15" hidden="false" customHeight="false" outlineLevel="0" collapsed="false">
      <c r="A3290" s="3" t="n">
        <v>4519</v>
      </c>
      <c r="B3290" s="3" t="s">
        <v>1143</v>
      </c>
      <c r="C3290" s="4" t="s">
        <v>17</v>
      </c>
      <c r="D3290" s="5" t="n">
        <v>4870</v>
      </c>
      <c r="E3290" s="6" t="n">
        <v>81</v>
      </c>
      <c r="F3290" s="7" t="n">
        <v>49</v>
      </c>
      <c r="G3290" s="6" t="n">
        <v>182.878975672954</v>
      </c>
      <c r="H3290" s="8"/>
      <c r="I3290" s="9" t="n">
        <v>9.31767093309603</v>
      </c>
      <c r="J3290" s="9" t="n">
        <v>33.6164999334385</v>
      </c>
      <c r="K3290" s="3" t="s">
        <v>1144</v>
      </c>
      <c r="L3290" s="3" t="s">
        <v>1145</v>
      </c>
      <c r="M3290" s="7" t="n">
        <v>2017</v>
      </c>
    </row>
    <row r="3291" customFormat="false" ht="15" hidden="false" customHeight="false" outlineLevel="0" collapsed="false">
      <c r="A3291" s="3" t="n">
        <v>4520</v>
      </c>
      <c r="B3291" s="3" t="s">
        <v>1143</v>
      </c>
      <c r="C3291" s="4" t="s">
        <v>18</v>
      </c>
      <c r="D3291" s="5" t="n">
        <v>4870</v>
      </c>
      <c r="E3291" s="6" t="n">
        <v>81</v>
      </c>
      <c r="F3291" s="7" t="n">
        <v>49</v>
      </c>
      <c r="G3291" s="6" t="n">
        <v>196.382327455651</v>
      </c>
      <c r="H3291" s="8"/>
      <c r="I3291" s="9" t="n">
        <v>9.67681349387128</v>
      </c>
      <c r="J3291" s="9" t="n">
        <v>36.0986629192812</v>
      </c>
      <c r="K3291" s="3" t="s">
        <v>1144</v>
      </c>
      <c r="L3291" s="3" t="s">
        <v>1145</v>
      </c>
      <c r="M3291" s="7" t="n">
        <v>2018</v>
      </c>
    </row>
    <row r="3292" customFormat="false" ht="15" hidden="false" customHeight="false" outlineLevel="0" collapsed="false">
      <c r="A3292" s="3" t="n">
        <v>4521</v>
      </c>
      <c r="B3292" s="3" t="s">
        <v>1143</v>
      </c>
      <c r="C3292" s="4" t="s">
        <v>19</v>
      </c>
      <c r="D3292" s="5" t="n">
        <v>4870</v>
      </c>
      <c r="E3292" s="6" t="n">
        <v>81</v>
      </c>
      <c r="F3292" s="7" t="n">
        <v>54</v>
      </c>
      <c r="G3292" s="6" t="n">
        <v>293.447904602004</v>
      </c>
      <c r="H3292" s="8"/>
      <c r="I3292" s="9" t="n">
        <v>11.6035983637467</v>
      </c>
      <c r="J3292" s="9" t="n">
        <v>53.9410909822797</v>
      </c>
      <c r="K3292" s="3" t="s">
        <v>1144</v>
      </c>
      <c r="L3292" s="3" t="s">
        <v>1145</v>
      </c>
      <c r="M3292" s="7" t="n">
        <v>2019</v>
      </c>
    </row>
    <row r="3293" customFormat="false" ht="15" hidden="false" customHeight="false" outlineLevel="0" collapsed="false">
      <c r="A3293" s="3" t="n">
        <v>4522</v>
      </c>
      <c r="B3293" s="3" t="s">
        <v>1143</v>
      </c>
      <c r="C3293" s="4" t="s">
        <v>20</v>
      </c>
      <c r="D3293" s="5" t="n">
        <v>4870</v>
      </c>
      <c r="E3293" s="6" t="n">
        <v>81</v>
      </c>
      <c r="F3293" s="7" t="n">
        <v>54</v>
      </c>
      <c r="G3293" s="6" t="n">
        <v>364.417499721681</v>
      </c>
      <c r="H3293" s="8"/>
      <c r="I3293" s="9" t="n">
        <v>12.6360815973145</v>
      </c>
      <c r="J3293" s="9" t="n">
        <v>66.8030754138052</v>
      </c>
      <c r="K3293" s="3" t="s">
        <v>1144</v>
      </c>
      <c r="L3293" s="3" t="s">
        <v>1145</v>
      </c>
      <c r="M3293" s="7" t="n">
        <v>2020</v>
      </c>
    </row>
    <row r="3294" customFormat="false" ht="15" hidden="false" customHeight="false" outlineLevel="0" collapsed="false">
      <c r="A3294" s="3" t="n">
        <v>4523</v>
      </c>
      <c r="B3294" s="3" t="s">
        <v>1143</v>
      </c>
      <c r="C3294" s="4" t="s">
        <v>21</v>
      </c>
      <c r="D3294" s="5" t="n">
        <v>4870</v>
      </c>
      <c r="E3294" s="6" t="n">
        <v>81</v>
      </c>
      <c r="F3294" s="7" t="n">
        <v>54</v>
      </c>
      <c r="G3294" s="6" t="n">
        <v>263.916405240472</v>
      </c>
      <c r="H3294" s="8"/>
      <c r="I3294" s="9" t="n">
        <v>11.4234720227363</v>
      </c>
      <c r="J3294" s="9" t="n">
        <v>48.5126613737466</v>
      </c>
      <c r="K3294" s="3" t="s">
        <v>1144</v>
      </c>
      <c r="L3294" s="3" t="s">
        <v>1145</v>
      </c>
      <c r="M3294" s="7" t="n">
        <v>2021</v>
      </c>
    </row>
    <row r="3295" customFormat="false" ht="15" hidden="false" customHeight="false" outlineLevel="0" collapsed="false">
      <c r="A3295" s="3" t="n">
        <v>4524</v>
      </c>
      <c r="B3295" s="3" t="s">
        <v>1143</v>
      </c>
      <c r="C3295" s="4" t="s">
        <v>22</v>
      </c>
      <c r="D3295" s="5" t="n">
        <v>4870</v>
      </c>
      <c r="E3295" s="6" t="n">
        <v>81</v>
      </c>
      <c r="F3295" s="7" t="n">
        <v>48</v>
      </c>
      <c r="G3295" s="6" t="n">
        <v>264.767348838204</v>
      </c>
      <c r="H3295" s="8" t="n">
        <v>34436.5426350686</v>
      </c>
      <c r="I3295" s="9" t="n">
        <v>11.2960508878876</v>
      </c>
      <c r="J3295" s="9" t="n">
        <v>48.6690803677356</v>
      </c>
      <c r="K3295" s="3" t="s">
        <v>1144</v>
      </c>
      <c r="L3295" s="3" t="s">
        <v>1145</v>
      </c>
      <c r="M3295" s="7" t="n">
        <v>2022</v>
      </c>
    </row>
    <row r="3296" customFormat="false" ht="15" hidden="false" customHeight="false" outlineLevel="0" collapsed="false">
      <c r="A3296" s="3" t="n">
        <v>4525</v>
      </c>
      <c r="B3296" s="3" t="s">
        <v>1143</v>
      </c>
      <c r="C3296" s="4" t="s">
        <v>23</v>
      </c>
      <c r="D3296" s="5" t="n">
        <v>4921</v>
      </c>
      <c r="E3296" s="6" t="n">
        <v>81</v>
      </c>
      <c r="F3296" s="7" t="n">
        <v>50</v>
      </c>
      <c r="G3296" s="6" t="n">
        <v>218.400746128946</v>
      </c>
      <c r="H3296" s="8" t="n">
        <v>35555.2897684035</v>
      </c>
      <c r="I3296" s="9" t="n">
        <v>11.0233504333982</v>
      </c>
      <c r="J3296" s="9" t="n">
        <v>39.7299873869016</v>
      </c>
      <c r="K3296" s="3" t="s">
        <v>1144</v>
      </c>
      <c r="L3296" s="3" t="s">
        <v>1145</v>
      </c>
      <c r="M3296" s="7" t="n">
        <v>2023</v>
      </c>
    </row>
    <row r="3297" customFormat="false" ht="15" hidden="false" customHeight="false" outlineLevel="0" collapsed="false">
      <c r="A3297" s="3" t="n">
        <v>4526</v>
      </c>
      <c r="B3297" s="3" t="s">
        <v>1143</v>
      </c>
      <c r="C3297" s="4" t="s">
        <v>24</v>
      </c>
      <c r="D3297" s="5" t="n">
        <v>4921</v>
      </c>
      <c r="E3297" s="6" t="n">
        <v>81</v>
      </c>
      <c r="F3297" s="7" t="n">
        <v>51</v>
      </c>
      <c r="G3297" s="6" t="n">
        <v>158.161900144414</v>
      </c>
      <c r="H3297" s="8" t="n">
        <v>28544.9113537943</v>
      </c>
      <c r="I3297" s="9" t="n">
        <v>9.43082501963534</v>
      </c>
      <c r="J3297" s="9" t="n">
        <v>28.6929170337678</v>
      </c>
      <c r="K3297" s="3" t="s">
        <v>1144</v>
      </c>
      <c r="L3297" s="3" t="s">
        <v>1145</v>
      </c>
      <c r="M3297" s="7" t="n">
        <v>2024</v>
      </c>
    </row>
    <row r="3298" customFormat="false" ht="15" hidden="false" customHeight="false" outlineLevel="0" collapsed="false">
      <c r="A3298" s="3" t="n">
        <v>4536</v>
      </c>
      <c r="B3298" s="3" t="s">
        <v>1146</v>
      </c>
      <c r="C3298" s="4" t="s">
        <v>14</v>
      </c>
      <c r="D3298" s="5" t="n">
        <v>6009</v>
      </c>
      <c r="E3298" s="6" t="n">
        <v>70</v>
      </c>
      <c r="F3298" s="7" t="n">
        <v>48</v>
      </c>
      <c r="G3298" s="6" t="n">
        <v>-50.2701748377225</v>
      </c>
      <c r="H3298" s="8" t="n">
        <v>-9992.15616530618</v>
      </c>
      <c r="I3298" s="9" t="n">
        <v>6.0534022123998</v>
      </c>
      <c r="J3298" s="9" t="n">
        <v>-7.46851719728476</v>
      </c>
      <c r="K3298" s="3" t="s">
        <v>1147</v>
      </c>
      <c r="L3298" s="3" t="s">
        <v>124</v>
      </c>
      <c r="M3298" s="7" t="n">
        <v>2016</v>
      </c>
    </row>
    <row r="3299" customFormat="false" ht="15" hidden="false" customHeight="false" outlineLevel="0" collapsed="false">
      <c r="A3299" s="3" t="n">
        <v>4537</v>
      </c>
      <c r="B3299" s="3" t="s">
        <v>1146</v>
      </c>
      <c r="C3299" s="4" t="s">
        <v>17</v>
      </c>
      <c r="D3299" s="5" t="n">
        <v>6009</v>
      </c>
      <c r="E3299" s="6" t="n">
        <v>70</v>
      </c>
      <c r="F3299" s="7" t="n">
        <v>53</v>
      </c>
      <c r="G3299" s="6" t="n">
        <v>86.2106867758638</v>
      </c>
      <c r="H3299" s="8" t="n">
        <v>17136.0184873738</v>
      </c>
      <c r="I3299" s="9" t="n">
        <v>13.0739466261021</v>
      </c>
      <c r="J3299" s="9" t="n">
        <v>12.8432984664953</v>
      </c>
      <c r="K3299" s="3" t="s">
        <v>1147</v>
      </c>
      <c r="L3299" s="3" t="s">
        <v>124</v>
      </c>
      <c r="M3299" s="7" t="n">
        <v>2017</v>
      </c>
    </row>
    <row r="3300" customFormat="false" ht="15" hidden="false" customHeight="false" outlineLevel="0" collapsed="false">
      <c r="A3300" s="3" t="n">
        <v>4538</v>
      </c>
      <c r="B3300" s="3" t="s">
        <v>1146</v>
      </c>
      <c r="C3300" s="4" t="s">
        <v>18</v>
      </c>
      <c r="D3300" s="5" t="n">
        <v>6031</v>
      </c>
      <c r="E3300" s="6" t="n">
        <v>77.43</v>
      </c>
      <c r="F3300" s="7" t="n">
        <v>54</v>
      </c>
      <c r="G3300" s="6" t="n">
        <v>356.748139868098</v>
      </c>
      <c r="H3300" s="8" t="n">
        <v>14298.3462897727</v>
      </c>
      <c r="I3300" s="9" t="n">
        <v>14.5517000543964</v>
      </c>
      <c r="J3300" s="9" t="n">
        <v>52.9529382640969</v>
      </c>
      <c r="K3300" s="3" t="s">
        <v>1147</v>
      </c>
      <c r="L3300" s="3" t="s">
        <v>124</v>
      </c>
      <c r="M3300" s="7" t="n">
        <v>2018</v>
      </c>
    </row>
    <row r="3301" customFormat="false" ht="15" hidden="false" customHeight="false" outlineLevel="0" collapsed="false">
      <c r="A3301" s="3" t="n">
        <v>4539</v>
      </c>
      <c r="B3301" s="3" t="s">
        <v>1146</v>
      </c>
      <c r="C3301" s="4" t="s">
        <v>19</v>
      </c>
      <c r="D3301" s="5" t="n">
        <v>5791</v>
      </c>
      <c r="E3301" s="6" t="n">
        <v>92.9</v>
      </c>
      <c r="F3301" s="7" t="n">
        <v>54</v>
      </c>
      <c r="G3301" s="6" t="n">
        <v>148.676153647913</v>
      </c>
      <c r="H3301" s="8" t="n">
        <v>110941.946560127</v>
      </c>
      <c r="I3301" s="9" t="n">
        <v>6.37089706961534</v>
      </c>
      <c r="J3301" s="9" t="n">
        <v>22.9829317102164</v>
      </c>
      <c r="K3301" s="3" t="s">
        <v>1147</v>
      </c>
      <c r="L3301" s="3" t="s">
        <v>124</v>
      </c>
      <c r="M3301" s="7" t="n">
        <v>2019</v>
      </c>
    </row>
    <row r="3302" customFormat="false" ht="15" hidden="false" customHeight="false" outlineLevel="0" collapsed="false">
      <c r="A3302" s="3" t="n">
        <v>4540</v>
      </c>
      <c r="B3302" s="3" t="s">
        <v>1146</v>
      </c>
      <c r="C3302" s="4" t="s">
        <v>20</v>
      </c>
      <c r="D3302" s="5" t="n">
        <v>6226</v>
      </c>
      <c r="E3302" s="6" t="n">
        <v>92.9</v>
      </c>
      <c r="F3302" s="7" t="n">
        <v>54</v>
      </c>
      <c r="G3302" s="6" t="n">
        <v>324.752941417412</v>
      </c>
      <c r="H3302" s="8" t="n">
        <v>241271.999050633</v>
      </c>
      <c r="I3302" s="9" t="n">
        <v>9.68263268709476</v>
      </c>
      <c r="J3302" s="9" t="n">
        <v>46.5661326183196</v>
      </c>
      <c r="K3302" s="3" t="s">
        <v>1147</v>
      </c>
      <c r="L3302" s="3" t="s">
        <v>124</v>
      </c>
      <c r="M3302" s="7" t="n">
        <v>2020</v>
      </c>
    </row>
    <row r="3303" customFormat="false" ht="15" hidden="false" customHeight="false" outlineLevel="0" collapsed="false">
      <c r="A3303" s="3" t="n">
        <v>4541</v>
      </c>
      <c r="B3303" s="3" t="s">
        <v>1146</v>
      </c>
      <c r="C3303" s="4" t="s">
        <v>21</v>
      </c>
      <c r="D3303" s="5" t="n">
        <v>6330</v>
      </c>
      <c r="E3303" s="6" t="n">
        <v>92.9</v>
      </c>
      <c r="F3303" s="7" t="n">
        <v>64</v>
      </c>
      <c r="G3303" s="6" t="n">
        <v>165.874871264572</v>
      </c>
      <c r="H3303" s="8" t="n">
        <v>114046.51961076</v>
      </c>
      <c r="I3303" s="9" t="n">
        <v>6.35012313082333</v>
      </c>
      <c r="J3303" s="9" t="n">
        <v>23.4581934432374</v>
      </c>
      <c r="K3303" s="3" t="s">
        <v>1147</v>
      </c>
      <c r="L3303" s="3" t="s">
        <v>124</v>
      </c>
      <c r="M3303" s="7" t="n">
        <v>2021</v>
      </c>
    </row>
    <row r="3304" customFormat="false" ht="15" hidden="false" customHeight="false" outlineLevel="0" collapsed="false">
      <c r="A3304" s="3" t="n">
        <v>4542</v>
      </c>
      <c r="B3304" s="3" t="s">
        <v>1146</v>
      </c>
      <c r="C3304" s="4" t="s">
        <v>22</v>
      </c>
      <c r="D3304" s="5" t="n">
        <v>6454</v>
      </c>
      <c r="E3304" s="6" t="n">
        <v>92.94</v>
      </c>
      <c r="F3304" s="7" t="n">
        <v>56</v>
      </c>
      <c r="G3304" s="6" t="n">
        <v>498.749328838125</v>
      </c>
      <c r="H3304" s="8" t="n">
        <v>104975.212429614</v>
      </c>
      <c r="I3304" s="9" t="n">
        <v>12.062863539018</v>
      </c>
      <c r="J3304" s="9" t="n">
        <v>69.1784835502099</v>
      </c>
      <c r="K3304" s="3" t="s">
        <v>1147</v>
      </c>
      <c r="L3304" s="3" t="s">
        <v>124</v>
      </c>
      <c r="M3304" s="7" t="n">
        <v>2022</v>
      </c>
    </row>
    <row r="3305" customFormat="false" ht="15" hidden="false" customHeight="false" outlineLevel="0" collapsed="false">
      <c r="A3305" s="3" t="n">
        <v>4543</v>
      </c>
      <c r="B3305" s="3" t="s">
        <v>1146</v>
      </c>
      <c r="C3305" s="4" t="s">
        <v>23</v>
      </c>
      <c r="D3305" s="5" t="n">
        <v>4400</v>
      </c>
      <c r="E3305" s="6" t="n">
        <v>92.94</v>
      </c>
      <c r="F3305" s="7" t="n">
        <v>56</v>
      </c>
      <c r="G3305" s="6" t="n">
        <v>515.959224116558</v>
      </c>
      <c r="H3305" s="8" t="n">
        <v>124591.305160863</v>
      </c>
      <c r="I3305" s="9" t="n">
        <v>12.6401637720399</v>
      </c>
      <c r="J3305" s="9" t="n">
        <v>104.973669541461</v>
      </c>
      <c r="K3305" s="3" t="s">
        <v>1147</v>
      </c>
      <c r="L3305" s="3" t="s">
        <v>124</v>
      </c>
      <c r="M3305" s="7" t="n">
        <v>2023</v>
      </c>
    </row>
    <row r="3306" customFormat="false" ht="15" hidden="false" customHeight="false" outlineLevel="0" collapsed="false">
      <c r="A3306" s="3" t="n">
        <v>4544</v>
      </c>
      <c r="B3306" s="3" t="s">
        <v>1146</v>
      </c>
      <c r="C3306" s="4" t="s">
        <v>24</v>
      </c>
      <c r="D3306" s="5" t="n">
        <v>6621</v>
      </c>
      <c r="E3306" s="6" t="n">
        <v>92.94</v>
      </c>
      <c r="F3306" s="7" t="n">
        <v>57</v>
      </c>
      <c r="G3306" s="6" t="n">
        <v>458.01968864456</v>
      </c>
      <c r="H3306" s="8" t="n">
        <v>159309.81519897</v>
      </c>
      <c r="I3306" s="9" t="n">
        <v>11.1059966756169</v>
      </c>
      <c r="J3306" s="9" t="n">
        <v>61.7570799281318</v>
      </c>
      <c r="K3306" s="3" t="s">
        <v>1147</v>
      </c>
      <c r="L3306" s="3" t="s">
        <v>124</v>
      </c>
      <c r="M3306" s="7" t="n">
        <v>2024</v>
      </c>
    </row>
    <row r="3307" customFormat="false" ht="15" hidden="false" customHeight="false" outlineLevel="0" collapsed="false">
      <c r="A3307" s="3" t="n">
        <v>4545</v>
      </c>
      <c r="B3307" s="3" t="s">
        <v>1148</v>
      </c>
      <c r="C3307" s="4" t="s">
        <v>14</v>
      </c>
      <c r="D3307" s="5" t="n">
        <v>3397</v>
      </c>
      <c r="E3307" s="6" t="n">
        <v>43</v>
      </c>
      <c r="F3307" s="7" t="n">
        <v>46</v>
      </c>
      <c r="G3307" s="6" t="n">
        <v>232.882820828283</v>
      </c>
      <c r="H3307" s="8" t="n">
        <v>145065.037922146</v>
      </c>
      <c r="I3307" s="9" t="n">
        <v>13.7690924268948</v>
      </c>
      <c r="J3307" s="9" t="n">
        <v>61.2023502201514</v>
      </c>
      <c r="K3307" s="3" t="s">
        <v>1149</v>
      </c>
      <c r="L3307" s="3" t="s">
        <v>1150</v>
      </c>
      <c r="M3307" s="7" t="n">
        <v>2016</v>
      </c>
    </row>
    <row r="3308" customFormat="false" ht="15" hidden="false" customHeight="false" outlineLevel="0" collapsed="false">
      <c r="A3308" s="3" t="n">
        <v>4546</v>
      </c>
      <c r="B3308" s="3" t="s">
        <v>1148</v>
      </c>
      <c r="C3308" s="4" t="s">
        <v>17</v>
      </c>
      <c r="D3308" s="5" t="n">
        <v>3298</v>
      </c>
      <c r="E3308" s="6" t="n">
        <v>43</v>
      </c>
      <c r="F3308" s="7" t="n">
        <v>72</v>
      </c>
      <c r="G3308" s="6" t="n">
        <v>135.946337095959</v>
      </c>
      <c r="H3308" s="8" t="n">
        <v>55585.7383117959</v>
      </c>
      <c r="I3308" s="9" t="n">
        <v>8.59945673977426</v>
      </c>
      <c r="J3308" s="9" t="n">
        <v>36.9006939679187</v>
      </c>
      <c r="K3308" s="3" t="s">
        <v>1149</v>
      </c>
      <c r="L3308" s="3" t="s">
        <v>1150</v>
      </c>
      <c r="M3308" s="7" t="n">
        <v>2017</v>
      </c>
    </row>
    <row r="3309" customFormat="false" ht="15" hidden="false" customHeight="false" outlineLevel="0" collapsed="false">
      <c r="A3309" s="3" t="n">
        <v>4547</v>
      </c>
      <c r="B3309" s="3" t="s">
        <v>1148</v>
      </c>
      <c r="C3309" s="4" t="s">
        <v>18</v>
      </c>
      <c r="D3309" s="5" t="n">
        <v>3298</v>
      </c>
      <c r="E3309" s="6" t="n">
        <v>43</v>
      </c>
      <c r="F3309" s="7" t="n">
        <v>72</v>
      </c>
      <c r="G3309" s="6" t="n">
        <v>90.5164972222223</v>
      </c>
      <c r="H3309" s="8" t="n">
        <v>52587.3693911945</v>
      </c>
      <c r="I3309" s="9" t="n">
        <v>6.34991879582567</v>
      </c>
      <c r="J3309" s="9" t="n">
        <v>24.5694119782539</v>
      </c>
      <c r="K3309" s="3" t="s">
        <v>1149</v>
      </c>
      <c r="L3309" s="3" t="s">
        <v>1150</v>
      </c>
      <c r="M3309" s="7" t="n">
        <v>2018</v>
      </c>
    </row>
    <row r="3310" customFormat="false" ht="15" hidden="false" customHeight="false" outlineLevel="0" collapsed="false">
      <c r="A3310" s="3" t="n">
        <v>4548</v>
      </c>
      <c r="B3310" s="3" t="s">
        <v>1148</v>
      </c>
      <c r="C3310" s="4" t="s">
        <v>19</v>
      </c>
      <c r="D3310" s="5" t="n">
        <v>3336</v>
      </c>
      <c r="E3310" s="6" t="n">
        <v>43</v>
      </c>
      <c r="F3310" s="7" t="n">
        <v>72</v>
      </c>
      <c r="G3310" s="6" t="n">
        <v>964.56505479798</v>
      </c>
      <c r="H3310" s="8" t="n">
        <v>600835.2891541</v>
      </c>
      <c r="I3310" s="9" t="n">
        <v>36.7372358249317</v>
      </c>
      <c r="J3310" s="9" t="n">
        <v>258.835092094712</v>
      </c>
      <c r="K3310" s="3" t="s">
        <v>1149</v>
      </c>
      <c r="L3310" s="3" t="s">
        <v>1150</v>
      </c>
      <c r="M3310" s="7" t="n">
        <v>2019</v>
      </c>
    </row>
    <row r="3311" customFormat="false" ht="15" hidden="false" customHeight="false" outlineLevel="0" collapsed="false">
      <c r="A3311" s="3" t="n">
        <v>4549</v>
      </c>
      <c r="B3311" s="3" t="s">
        <v>1151</v>
      </c>
      <c r="C3311" s="4" t="s">
        <v>14</v>
      </c>
      <c r="D3311" s="5" t="n">
        <v>15760</v>
      </c>
      <c r="E3311" s="6" t="n">
        <v>234.86</v>
      </c>
      <c r="F3311" s="7" t="n">
        <v>57</v>
      </c>
      <c r="G3311" s="6" t="n">
        <v>905.7945244789</v>
      </c>
      <c r="H3311" s="8" t="n">
        <v>172098.39432</v>
      </c>
      <c r="I3311" s="9" t="n">
        <v>10.8759776536313</v>
      </c>
      <c r="J3311" s="9" t="n">
        <v>51.3097231757134</v>
      </c>
      <c r="K3311" s="3" t="s">
        <v>695</v>
      </c>
      <c r="L3311" s="3" t="s">
        <v>696</v>
      </c>
      <c r="M3311" s="7" t="n">
        <v>2016</v>
      </c>
    </row>
    <row r="3312" customFormat="false" ht="15" hidden="false" customHeight="false" outlineLevel="0" collapsed="false">
      <c r="A3312" s="3" t="n">
        <v>4550</v>
      </c>
      <c r="B3312" s="3" t="s">
        <v>1151</v>
      </c>
      <c r="C3312" s="4" t="s">
        <v>17</v>
      </c>
      <c r="D3312" s="5" t="n">
        <v>16206</v>
      </c>
      <c r="E3312" s="6" t="n">
        <v>273.4</v>
      </c>
      <c r="F3312" s="7" t="n">
        <v>71</v>
      </c>
      <c r="G3312" s="6" t="n">
        <v>945.111519171441</v>
      </c>
      <c r="H3312" s="8" t="n">
        <v>165586.879177778</v>
      </c>
      <c r="I3312" s="9" t="n">
        <v>11.7958146487295</v>
      </c>
      <c r="J3312" s="9" t="n">
        <v>52.2065382163324</v>
      </c>
      <c r="K3312" s="3" t="s">
        <v>695</v>
      </c>
      <c r="L3312" s="3" t="s">
        <v>696</v>
      </c>
      <c r="M3312" s="7" t="n">
        <v>2017</v>
      </c>
    </row>
    <row r="3313" customFormat="false" ht="15" hidden="false" customHeight="false" outlineLevel="0" collapsed="false">
      <c r="A3313" s="3" t="n">
        <v>4551</v>
      </c>
      <c r="B3313" s="3" t="s">
        <v>1151</v>
      </c>
      <c r="C3313" s="4" t="s">
        <v>18</v>
      </c>
      <c r="D3313" s="5" t="n">
        <v>16687</v>
      </c>
      <c r="E3313" s="6" t="n">
        <v>274.25</v>
      </c>
      <c r="F3313" s="7" t="n">
        <v>73</v>
      </c>
      <c r="G3313" s="6" t="n">
        <v>912.999416354599</v>
      </c>
      <c r="H3313" s="8" t="n">
        <v>165113.455050761</v>
      </c>
      <c r="I3313" s="9" t="n">
        <v>11.5194649971542</v>
      </c>
      <c r="J3313" s="9" t="n">
        <v>48.9789993820554</v>
      </c>
      <c r="K3313" s="3" t="s">
        <v>695</v>
      </c>
      <c r="L3313" s="3" t="s">
        <v>696</v>
      </c>
      <c r="M3313" s="7" t="n">
        <v>2018</v>
      </c>
    </row>
    <row r="3314" customFormat="false" ht="15" hidden="false" customHeight="false" outlineLevel="0" collapsed="false">
      <c r="A3314" s="3" t="n">
        <v>4552</v>
      </c>
      <c r="B3314" s="3" t="s">
        <v>1151</v>
      </c>
      <c r="C3314" s="4" t="s">
        <v>19</v>
      </c>
      <c r="D3314" s="5" t="n">
        <v>16863</v>
      </c>
      <c r="E3314" s="6" t="n">
        <v>275.83</v>
      </c>
      <c r="F3314" s="7" t="n">
        <v>73</v>
      </c>
      <c r="G3314" s="6" t="n">
        <v>790.916149553431</v>
      </c>
      <c r="H3314" s="8" t="n">
        <v>146882.800267526</v>
      </c>
      <c r="I3314" s="9" t="n">
        <v>11.9520748100526</v>
      </c>
      <c r="J3314" s="9" t="n">
        <v>41.9868484822638</v>
      </c>
      <c r="K3314" s="3" t="s">
        <v>695</v>
      </c>
      <c r="L3314" s="3" t="s">
        <v>696</v>
      </c>
      <c r="M3314" s="7" t="n">
        <v>2019</v>
      </c>
    </row>
    <row r="3315" customFormat="false" ht="15" hidden="false" customHeight="false" outlineLevel="0" collapsed="false">
      <c r="A3315" s="3" t="n">
        <v>4553</v>
      </c>
      <c r="B3315" s="3" t="s">
        <v>1151</v>
      </c>
      <c r="C3315" s="4" t="s">
        <v>44</v>
      </c>
      <c r="D3315" s="5" t="n">
        <v>7406</v>
      </c>
      <c r="E3315" s="6" t="n">
        <v>102</v>
      </c>
      <c r="F3315" s="7" t="n">
        <v>76</v>
      </c>
      <c r="G3315" s="6" t="n">
        <v>670.24874270399</v>
      </c>
      <c r="H3315" s="8" t="n">
        <v>61953.8641149239</v>
      </c>
      <c r="I3315" s="9" t="n">
        <v>17.946505932012</v>
      </c>
      <c r="J3315" s="9" t="n">
        <v>80.7938853942334</v>
      </c>
      <c r="K3315" s="3" t="s">
        <v>695</v>
      </c>
      <c r="L3315" s="3" t="s">
        <v>696</v>
      </c>
      <c r="M3315" s="7" t="n">
        <v>2019</v>
      </c>
    </row>
    <row r="3316" customFormat="false" ht="15" hidden="false" customHeight="false" outlineLevel="0" collapsed="false">
      <c r="A3316" s="3" t="n">
        <v>4554</v>
      </c>
      <c r="B3316" s="3" t="s">
        <v>1151</v>
      </c>
      <c r="C3316" s="4" t="s">
        <v>20</v>
      </c>
      <c r="D3316" s="5" t="n">
        <v>17063</v>
      </c>
      <c r="E3316" s="6" t="n">
        <v>291.3</v>
      </c>
      <c r="F3316" s="7" t="n">
        <v>73</v>
      </c>
      <c r="G3316" s="6" t="n">
        <v>674.813240918781</v>
      </c>
      <c r="H3316" s="8" t="n">
        <v>117587.590798969</v>
      </c>
      <c r="I3316" s="9" t="n">
        <v>10.5017822868111</v>
      </c>
      <c r="J3316" s="9" t="n">
        <v>35.3064781469198</v>
      </c>
      <c r="K3316" s="3" t="s">
        <v>695</v>
      </c>
      <c r="L3316" s="3" t="s">
        <v>696</v>
      </c>
      <c r="M3316" s="7" t="n">
        <v>2020</v>
      </c>
    </row>
    <row r="3317" customFormat="false" ht="15" hidden="false" customHeight="false" outlineLevel="0" collapsed="false">
      <c r="A3317" s="3" t="n">
        <v>4555</v>
      </c>
      <c r="B3317" s="3" t="s">
        <v>1151</v>
      </c>
      <c r="C3317" s="4" t="s">
        <v>45</v>
      </c>
      <c r="D3317" s="5" t="n">
        <v>7477</v>
      </c>
      <c r="E3317" s="6" t="n">
        <v>103</v>
      </c>
      <c r="F3317" s="7" t="n">
        <v>76</v>
      </c>
      <c r="G3317" s="6" t="n">
        <v>215.520687161478</v>
      </c>
      <c r="H3317" s="8" t="n">
        <v>19921.4687259088</v>
      </c>
      <c r="I3317" s="9" t="n">
        <v>7.57269937216032</v>
      </c>
      <c r="J3317" s="9" t="n">
        <v>25.80353796781</v>
      </c>
      <c r="K3317" s="3" t="s">
        <v>695</v>
      </c>
      <c r="L3317" s="3" t="s">
        <v>696</v>
      </c>
      <c r="M3317" s="7" t="n">
        <v>2020</v>
      </c>
    </row>
    <row r="3318" customFormat="false" ht="15" hidden="false" customHeight="false" outlineLevel="0" collapsed="false">
      <c r="A3318" s="3" t="n">
        <v>4556</v>
      </c>
      <c r="B3318" s="3" t="s">
        <v>1151</v>
      </c>
      <c r="C3318" s="4" t="s">
        <v>21</v>
      </c>
      <c r="D3318" s="5" t="n">
        <v>17247</v>
      </c>
      <c r="E3318" s="6" t="n">
        <v>291.3</v>
      </c>
      <c r="F3318" s="7" t="n">
        <v>73</v>
      </c>
      <c r="G3318" s="6" t="n">
        <v>720.054026291024</v>
      </c>
      <c r="H3318" s="8" t="n">
        <v>123176.206234536</v>
      </c>
      <c r="I3318" s="9" t="n">
        <v>10.7806191117093</v>
      </c>
      <c r="J3318" s="9" t="n">
        <v>37.3739666973387</v>
      </c>
      <c r="K3318" s="3" t="s">
        <v>695</v>
      </c>
      <c r="L3318" s="3" t="s">
        <v>696</v>
      </c>
      <c r="M3318" s="7" t="n">
        <v>2021</v>
      </c>
    </row>
    <row r="3319" customFormat="false" ht="15" hidden="false" customHeight="false" outlineLevel="0" collapsed="false">
      <c r="A3319" s="3" t="n">
        <v>4557</v>
      </c>
      <c r="B3319" s="3" t="s">
        <v>1151</v>
      </c>
      <c r="C3319" s="4" t="s">
        <v>46</v>
      </c>
      <c r="D3319" s="5" t="n">
        <v>7593</v>
      </c>
      <c r="E3319" s="6" t="n">
        <v>103</v>
      </c>
      <c r="F3319" s="7" t="n">
        <v>76</v>
      </c>
      <c r="G3319" s="6" t="n">
        <v>267.588447682864</v>
      </c>
      <c r="H3319" s="8" t="n">
        <v>27820.1010563793</v>
      </c>
      <c r="I3319" s="9" t="n">
        <v>9.15981261824963</v>
      </c>
      <c r="J3319" s="9" t="n">
        <v>31.5479856612832</v>
      </c>
      <c r="K3319" s="3" t="s">
        <v>695</v>
      </c>
      <c r="L3319" s="3" t="s">
        <v>696</v>
      </c>
      <c r="M3319" s="7" t="n">
        <v>2021</v>
      </c>
    </row>
    <row r="3320" customFormat="false" ht="15" hidden="false" customHeight="false" outlineLevel="0" collapsed="false">
      <c r="A3320" s="3" t="n">
        <v>4558</v>
      </c>
      <c r="B3320" s="3" t="s">
        <v>1151</v>
      </c>
      <c r="C3320" s="4" t="s">
        <v>22</v>
      </c>
      <c r="D3320" s="5" t="n">
        <v>17342</v>
      </c>
      <c r="E3320" s="6" t="n">
        <v>291.3</v>
      </c>
      <c r="F3320" s="7" t="n">
        <v>65</v>
      </c>
      <c r="G3320" s="6" t="n">
        <v>641.655765714107</v>
      </c>
      <c r="H3320" s="8" t="n">
        <v>115778.24967</v>
      </c>
      <c r="I3320" s="9" t="n">
        <v>7.5044293015332</v>
      </c>
      <c r="J3320" s="9" t="n">
        <v>33.1223081792326</v>
      </c>
      <c r="K3320" s="3" t="s">
        <v>695</v>
      </c>
      <c r="L3320" s="3" t="s">
        <v>696</v>
      </c>
      <c r="M3320" s="7" t="n">
        <v>2022</v>
      </c>
    </row>
    <row r="3321" customFormat="false" ht="15" hidden="false" customHeight="false" outlineLevel="0" collapsed="false">
      <c r="A3321" s="3" t="n">
        <v>4559</v>
      </c>
      <c r="B3321" s="3" t="s">
        <v>1151</v>
      </c>
      <c r="C3321" s="4" t="s">
        <v>23</v>
      </c>
      <c r="D3321" s="5" t="n">
        <v>17421</v>
      </c>
      <c r="E3321" s="6" t="n">
        <v>291.3</v>
      </c>
      <c r="F3321" s="7" t="n">
        <v>65</v>
      </c>
      <c r="G3321" s="6" t="n">
        <v>831.230818098649</v>
      </c>
      <c r="H3321" s="8" t="n">
        <v>158586.976059343</v>
      </c>
      <c r="I3321" s="9" t="n">
        <v>9.63983788652055</v>
      </c>
      <c r="J3321" s="9" t="n">
        <v>42.7136052970463</v>
      </c>
      <c r="K3321" s="3" t="s">
        <v>695</v>
      </c>
      <c r="L3321" s="3" t="s">
        <v>696</v>
      </c>
      <c r="M3321" s="7" t="n">
        <v>2023</v>
      </c>
    </row>
    <row r="3322" customFormat="false" ht="15" hidden="false" customHeight="false" outlineLevel="0" collapsed="false">
      <c r="A3322" s="3" t="n">
        <v>4560</v>
      </c>
      <c r="B3322" s="3" t="s">
        <v>1151</v>
      </c>
      <c r="C3322" s="4" t="s">
        <v>48</v>
      </c>
      <c r="D3322" s="5" t="n">
        <v>8027</v>
      </c>
      <c r="E3322" s="6" t="n">
        <v>105.3</v>
      </c>
      <c r="F3322" s="7" t="n">
        <v>71</v>
      </c>
      <c r="G3322" s="6" t="n">
        <v>424.312466101498</v>
      </c>
      <c r="H3322" s="8" t="n">
        <v>47056.2991453024</v>
      </c>
      <c r="I3322" s="9" t="n">
        <v>12.4317007363718</v>
      </c>
      <c r="J3322" s="9" t="n">
        <v>47.1909501977536</v>
      </c>
      <c r="K3322" s="3" t="s">
        <v>695</v>
      </c>
      <c r="L3322" s="3" t="s">
        <v>696</v>
      </c>
      <c r="M3322" s="7" t="n">
        <v>2023</v>
      </c>
    </row>
    <row r="3323" customFormat="false" ht="15" hidden="false" customHeight="false" outlineLevel="0" collapsed="false">
      <c r="A3323" s="3" t="n">
        <v>4561</v>
      </c>
      <c r="B3323" s="3" t="s">
        <v>1151</v>
      </c>
      <c r="C3323" s="4" t="s">
        <v>24</v>
      </c>
      <c r="D3323" s="5" t="n">
        <v>17568</v>
      </c>
      <c r="E3323" s="6" t="n">
        <v>291.3</v>
      </c>
      <c r="F3323" s="7" t="n">
        <v>61</v>
      </c>
      <c r="G3323" s="6" t="n">
        <v>388.889933335008</v>
      </c>
      <c r="H3323" s="8" t="n">
        <v>71510.7159030304</v>
      </c>
      <c r="I3323" s="9" t="n">
        <v>5.29687499999998</v>
      </c>
      <c r="J3323" s="9" t="n">
        <v>19.7619853137625</v>
      </c>
      <c r="K3323" s="3" t="s">
        <v>695</v>
      </c>
      <c r="L3323" s="3" t="s">
        <v>696</v>
      </c>
      <c r="M3323" s="7" t="n">
        <v>2024</v>
      </c>
    </row>
    <row r="3324" customFormat="false" ht="15" hidden="false" customHeight="false" outlineLevel="0" collapsed="false">
      <c r="A3324" s="3" t="n">
        <v>4562</v>
      </c>
      <c r="B3324" s="3" t="s">
        <v>1151</v>
      </c>
      <c r="C3324" s="4" t="s">
        <v>49</v>
      </c>
      <c r="D3324" s="5" t="n">
        <v>8299</v>
      </c>
      <c r="E3324" s="6" t="n">
        <v>105.3</v>
      </c>
      <c r="F3324" s="7" t="n">
        <v>71</v>
      </c>
      <c r="G3324" s="6" t="n">
        <v>410.152087277907</v>
      </c>
      <c r="H3324" s="8" t="n">
        <v>48607.9392386316</v>
      </c>
      <c r="I3324" s="9" t="n">
        <v>11.6745053084925</v>
      </c>
      <c r="J3324" s="9" t="n">
        <v>44.2422123516779</v>
      </c>
      <c r="K3324" s="3" t="s">
        <v>695</v>
      </c>
      <c r="L3324" s="3" t="s">
        <v>696</v>
      </c>
      <c r="M3324" s="7" t="n">
        <v>2024</v>
      </c>
    </row>
    <row r="3325" customFormat="false" ht="15" hidden="false" customHeight="false" outlineLevel="0" collapsed="false">
      <c r="A3325" s="3" t="n">
        <v>4563</v>
      </c>
      <c r="B3325" s="3" t="s">
        <v>1152</v>
      </c>
      <c r="C3325" s="4" t="s">
        <v>41</v>
      </c>
      <c r="D3325" s="5" t="n">
        <v>17849</v>
      </c>
      <c r="E3325" s="6" t="n">
        <v>227</v>
      </c>
      <c r="F3325" s="7" t="n">
        <v>56</v>
      </c>
      <c r="G3325" s="6" t="n">
        <v>525.154023625122</v>
      </c>
      <c r="H3325" s="8" t="n">
        <v>48052.7502411568</v>
      </c>
      <c r="I3325" s="9" t="n">
        <v>5.0320659691801</v>
      </c>
      <c r="J3325" s="9" t="n">
        <v>26.3384663025216</v>
      </c>
      <c r="K3325" s="3" t="s">
        <v>1153</v>
      </c>
      <c r="L3325" s="3" t="s">
        <v>1154</v>
      </c>
      <c r="M3325" s="7" t="n">
        <v>2016</v>
      </c>
    </row>
    <row r="3326" customFormat="false" ht="15" hidden="false" customHeight="false" outlineLevel="0" collapsed="false">
      <c r="A3326" s="3" t="n">
        <v>4564</v>
      </c>
      <c r="B3326" s="3" t="s">
        <v>1152</v>
      </c>
      <c r="C3326" s="4" t="s">
        <v>21</v>
      </c>
      <c r="D3326" s="5" t="n">
        <v>19895</v>
      </c>
      <c r="E3326" s="6" t="n">
        <v>277</v>
      </c>
      <c r="F3326" s="7" t="n">
        <v>58</v>
      </c>
      <c r="G3326" s="6" t="n">
        <v>275.259292373975</v>
      </c>
      <c r="H3326" s="8" t="n">
        <v>31705.755315</v>
      </c>
      <c r="I3326" s="9" t="n">
        <v>3.19554647821136</v>
      </c>
      <c r="J3326" s="9" t="n">
        <v>12.3855620689046</v>
      </c>
      <c r="K3326" s="3" t="s">
        <v>1153</v>
      </c>
      <c r="L3326" s="3" t="s">
        <v>1154</v>
      </c>
      <c r="M3326" s="7" t="n">
        <v>2021</v>
      </c>
    </row>
    <row r="3327" customFormat="false" ht="15" hidden="false" customHeight="false" outlineLevel="0" collapsed="false">
      <c r="A3327" s="3" t="n">
        <v>4565</v>
      </c>
      <c r="B3327" s="3" t="s">
        <v>1152</v>
      </c>
      <c r="C3327" s="4" t="s">
        <v>22</v>
      </c>
      <c r="D3327" s="5" t="n">
        <v>20059</v>
      </c>
      <c r="E3327" s="6" t="n">
        <v>277</v>
      </c>
      <c r="F3327" s="7" t="n">
        <v>60</v>
      </c>
      <c r="G3327" s="6" t="n">
        <v>782.170375722446</v>
      </c>
      <c r="H3327" s="8" t="n">
        <v>92709.3097159089</v>
      </c>
      <c r="I3327" s="9" t="n">
        <v>6.56801761774138</v>
      </c>
      <c r="J3327" s="9" t="n">
        <v>34.9067776295553</v>
      </c>
      <c r="K3327" s="3" t="s">
        <v>1153</v>
      </c>
      <c r="L3327" s="3" t="s">
        <v>1154</v>
      </c>
      <c r="M3327" s="7" t="n">
        <v>2022</v>
      </c>
    </row>
    <row r="3328" customFormat="false" ht="15" hidden="false" customHeight="false" outlineLevel="0" collapsed="false">
      <c r="A3328" s="3" t="n">
        <v>4566</v>
      </c>
      <c r="B3328" s="3" t="s">
        <v>1152</v>
      </c>
      <c r="C3328" s="4" t="s">
        <v>23</v>
      </c>
      <c r="D3328" s="5" t="n">
        <v>20479</v>
      </c>
      <c r="E3328" s="6" t="n">
        <v>277</v>
      </c>
      <c r="F3328" s="7" t="n">
        <v>61</v>
      </c>
      <c r="G3328" s="6" t="n">
        <v>489.637321104006</v>
      </c>
      <c r="H3328" s="8" t="n">
        <v>105238.377153535</v>
      </c>
      <c r="I3328" s="9" t="n">
        <v>4.9615566961433</v>
      </c>
      <c r="J3328" s="9" t="n">
        <v>21.4034332032253</v>
      </c>
      <c r="K3328" s="3" t="s">
        <v>1153</v>
      </c>
      <c r="L3328" s="3" t="s">
        <v>1154</v>
      </c>
      <c r="M3328" s="7" t="n">
        <v>2023</v>
      </c>
    </row>
    <row r="3329" customFormat="false" ht="15" hidden="false" customHeight="false" outlineLevel="0" collapsed="false">
      <c r="A3329" s="3" t="n">
        <v>4567</v>
      </c>
      <c r="B3329" s="3" t="s">
        <v>1152</v>
      </c>
      <c r="C3329" s="4" t="s">
        <v>24</v>
      </c>
      <c r="D3329" s="5" t="n">
        <v>21000</v>
      </c>
      <c r="E3329" s="6" t="n">
        <v>285</v>
      </c>
      <c r="F3329" s="7" t="n">
        <v>56</v>
      </c>
      <c r="G3329" s="6" t="n">
        <v>394.817140606</v>
      </c>
      <c r="H3329" s="8" t="n">
        <v>68345.4426997639</v>
      </c>
      <c r="I3329" s="9" t="n">
        <v>3.51848544382927</v>
      </c>
      <c r="J3329" s="9" t="n">
        <v>16.7842870298246</v>
      </c>
      <c r="K3329" s="3" t="s">
        <v>1153</v>
      </c>
      <c r="L3329" s="3" t="s">
        <v>1154</v>
      </c>
      <c r="M3329" s="7" t="n">
        <v>2024</v>
      </c>
    </row>
    <row r="3330" customFormat="false" ht="15" hidden="false" customHeight="false" outlineLevel="0" collapsed="false">
      <c r="A3330" s="3" t="n">
        <v>4568</v>
      </c>
      <c r="B3330" s="3" t="s">
        <v>1152</v>
      </c>
      <c r="C3330" s="4" t="s">
        <v>37</v>
      </c>
      <c r="D3330" s="5" t="n">
        <v>21486</v>
      </c>
      <c r="E3330" s="6" t="n">
        <v>286.5</v>
      </c>
      <c r="F3330" s="7" t="n">
        <v>56</v>
      </c>
      <c r="G3330" s="6" t="n">
        <v>46.0734075011186</v>
      </c>
      <c r="H3330" s="8" t="n">
        <v>7464.34493377826</v>
      </c>
      <c r="I3330" s="9" t="n">
        <v>1.4100632720699</v>
      </c>
      <c r="J3330" s="9" t="n">
        <v>1.91960749136506</v>
      </c>
      <c r="K3330" s="3" t="s">
        <v>1153</v>
      </c>
      <c r="L3330" s="3" t="s">
        <v>1154</v>
      </c>
      <c r="M3330" s="7" t="n">
        <v>2025</v>
      </c>
    </row>
    <row r="3331" customFormat="false" ht="15" hidden="false" customHeight="false" outlineLevel="0" collapsed="false">
      <c r="A3331" s="3" t="n">
        <v>4569</v>
      </c>
      <c r="B3331" s="3" t="s">
        <v>1155</v>
      </c>
      <c r="C3331" s="4" t="s">
        <v>14</v>
      </c>
      <c r="D3331" s="5" t="n">
        <v>43177</v>
      </c>
      <c r="E3331" s="6" t="n">
        <v>570</v>
      </c>
      <c r="F3331" s="7" t="n">
        <v>60</v>
      </c>
      <c r="G3331" s="6" t="n">
        <v>744.832553061225</v>
      </c>
      <c r="H3331" s="8" t="n">
        <v>46000.8584770612</v>
      </c>
      <c r="I3331" s="9" t="n">
        <v>5.56689102846482</v>
      </c>
      <c r="J3331" s="9" t="n">
        <v>15.4004134143942</v>
      </c>
      <c r="K3331" s="3" t="s">
        <v>1156</v>
      </c>
      <c r="L3331" s="3" t="s">
        <v>1157</v>
      </c>
      <c r="M3331" s="7" t="n">
        <v>2016</v>
      </c>
    </row>
    <row r="3332" customFormat="false" ht="15" hidden="false" customHeight="false" outlineLevel="0" collapsed="false">
      <c r="A3332" s="3" t="n">
        <v>4570</v>
      </c>
      <c r="B3332" s="3" t="s">
        <v>1155</v>
      </c>
      <c r="C3332" s="4" t="s">
        <v>17</v>
      </c>
      <c r="D3332" s="5" t="n">
        <v>44758</v>
      </c>
      <c r="E3332" s="6" t="n">
        <v>595.4</v>
      </c>
      <c r="F3332" s="7" t="n">
        <v>62</v>
      </c>
      <c r="G3332" s="6" t="n">
        <v>550.188971530613</v>
      </c>
      <c r="H3332" s="8" t="n">
        <v>39041.4094198123</v>
      </c>
      <c r="I3332" s="9" t="n">
        <v>4.66428802506759</v>
      </c>
      <c r="J3332" s="9" t="n">
        <v>11.0042103445085</v>
      </c>
      <c r="K3332" s="3" t="s">
        <v>1156</v>
      </c>
      <c r="L3332" s="3" t="s">
        <v>1157</v>
      </c>
      <c r="M3332" s="7" t="n">
        <v>2017</v>
      </c>
    </row>
    <row r="3333" customFormat="false" ht="15" hidden="false" customHeight="false" outlineLevel="0" collapsed="false">
      <c r="A3333" s="3" t="n">
        <v>4571</v>
      </c>
      <c r="B3333" s="3" t="s">
        <v>1155</v>
      </c>
      <c r="C3333" s="4" t="s">
        <v>18</v>
      </c>
      <c r="D3333" s="5" t="n">
        <v>45465</v>
      </c>
      <c r="E3333" s="6" t="n">
        <v>601.32</v>
      </c>
      <c r="F3333" s="7" t="n">
        <v>63</v>
      </c>
      <c r="G3333" s="6" t="n">
        <v>207.712503855537</v>
      </c>
      <c r="H3333" s="8" t="n">
        <v>14141.0672624849</v>
      </c>
      <c r="I3333" s="9" t="n">
        <v>3.42484670449392</v>
      </c>
      <c r="J3333" s="9" t="n">
        <v>4.08980988236517</v>
      </c>
      <c r="K3333" s="3" t="s">
        <v>1156</v>
      </c>
      <c r="L3333" s="3" t="s">
        <v>1157</v>
      </c>
      <c r="M3333" s="7" t="n">
        <v>2018</v>
      </c>
    </row>
    <row r="3334" customFormat="false" ht="15" hidden="false" customHeight="false" outlineLevel="0" collapsed="false">
      <c r="A3334" s="3" t="n">
        <v>4572</v>
      </c>
      <c r="B3334" s="3" t="s">
        <v>1155</v>
      </c>
      <c r="C3334" s="4" t="s">
        <v>19</v>
      </c>
      <c r="D3334" s="5" t="n">
        <v>45026.8333333333</v>
      </c>
      <c r="E3334" s="6" t="n">
        <v>603.803396205357</v>
      </c>
      <c r="F3334" s="7" t="n">
        <v>70</v>
      </c>
      <c r="G3334" s="6" t="n">
        <v>134.158799532065</v>
      </c>
      <c r="H3334" s="8" t="n">
        <v>10985.5686461847</v>
      </c>
      <c r="I3334" s="9" t="n">
        <v>3.17740906710265</v>
      </c>
      <c r="J3334" s="9" t="n">
        <v>2.66726049840953</v>
      </c>
      <c r="K3334" s="3" t="s">
        <v>1156</v>
      </c>
      <c r="L3334" s="3" t="s">
        <v>1157</v>
      </c>
      <c r="M3334" s="7" t="n">
        <v>2019</v>
      </c>
    </row>
    <row r="3335" customFormat="false" ht="15" hidden="false" customHeight="false" outlineLevel="0" collapsed="false">
      <c r="A3335" s="3" t="n">
        <v>4573</v>
      </c>
      <c r="B3335" s="3" t="s">
        <v>1155</v>
      </c>
      <c r="C3335" s="4" t="s">
        <v>20</v>
      </c>
      <c r="D3335" s="5" t="n">
        <v>46503.9166666667</v>
      </c>
      <c r="E3335" s="6" t="n">
        <v>612.27946989</v>
      </c>
      <c r="F3335" s="7" t="n">
        <v>63</v>
      </c>
      <c r="G3335" s="6" t="n">
        <v>302.045577627863</v>
      </c>
      <c r="H3335" s="8" t="n">
        <v>22200.3499556479</v>
      </c>
      <c r="I3335" s="9" t="n">
        <v>3.70392480288497</v>
      </c>
      <c r="J3335" s="9" t="n">
        <v>5.79841297399142</v>
      </c>
      <c r="K3335" s="3" t="s">
        <v>1156</v>
      </c>
      <c r="L3335" s="3" t="s">
        <v>1157</v>
      </c>
      <c r="M3335" s="7" t="n">
        <v>2020</v>
      </c>
    </row>
    <row r="3336" customFormat="false" ht="15" hidden="false" customHeight="false" outlineLevel="0" collapsed="false">
      <c r="A3336" s="3" t="n">
        <v>4574</v>
      </c>
      <c r="B3336" s="3" t="s">
        <v>1155</v>
      </c>
      <c r="C3336" s="4" t="s">
        <v>21</v>
      </c>
      <c r="D3336" s="5" t="n">
        <v>47216.5</v>
      </c>
      <c r="E3336" s="6" t="n">
        <v>612.27946989</v>
      </c>
      <c r="F3336" s="7" t="n">
        <v>63</v>
      </c>
      <c r="G3336" s="6" t="n">
        <v>136.578287076412</v>
      </c>
      <c r="H3336" s="8" t="n">
        <v>12734.0871605046</v>
      </c>
      <c r="I3336" s="9" t="n">
        <v>3.16928316538584</v>
      </c>
      <c r="J3336" s="9" t="n">
        <v>2.58943816682029</v>
      </c>
      <c r="K3336" s="3" t="s">
        <v>1156</v>
      </c>
      <c r="L3336" s="3" t="s">
        <v>1157</v>
      </c>
      <c r="M3336" s="7" t="n">
        <v>2021</v>
      </c>
    </row>
    <row r="3337" customFormat="false" ht="15" hidden="false" customHeight="false" outlineLevel="0" collapsed="false">
      <c r="A3337" s="3" t="n">
        <v>4575</v>
      </c>
      <c r="B3337" s="3" t="s">
        <v>1155</v>
      </c>
      <c r="C3337" s="4" t="s">
        <v>22</v>
      </c>
      <c r="D3337" s="5" t="n">
        <v>47991.3333333333</v>
      </c>
      <c r="E3337" s="6" t="n">
        <v>627.44173802</v>
      </c>
      <c r="F3337" s="7" t="n">
        <v>67</v>
      </c>
      <c r="G3337" s="6" t="n">
        <v>88.3570193742189</v>
      </c>
      <c r="H3337" s="8" t="n">
        <v>9210.33569956858</v>
      </c>
      <c r="I3337" s="9" t="n">
        <v>3.00672239991704</v>
      </c>
      <c r="J3337" s="9" t="n">
        <v>1.64814689069176</v>
      </c>
      <c r="K3337" s="3" t="s">
        <v>1156</v>
      </c>
      <c r="L3337" s="3" t="s">
        <v>1157</v>
      </c>
      <c r="M3337" s="7" t="n">
        <v>2022</v>
      </c>
    </row>
    <row r="3338" customFormat="false" ht="15" hidden="false" customHeight="false" outlineLevel="0" collapsed="false">
      <c r="A3338" s="3" t="n">
        <v>4576</v>
      </c>
      <c r="B3338" s="3" t="s">
        <v>1155</v>
      </c>
      <c r="C3338" s="4" t="s">
        <v>23</v>
      </c>
      <c r="D3338" s="5" t="n">
        <v>48539.5</v>
      </c>
      <c r="E3338" s="6" t="n">
        <v>632.38333397</v>
      </c>
      <c r="F3338" s="7" t="n">
        <v>70</v>
      </c>
      <c r="G3338" s="6" t="n">
        <v>25.203902076893</v>
      </c>
      <c r="H3338" s="8" t="n">
        <v>2402.18390694867</v>
      </c>
      <c r="I3338" s="9" t="n">
        <v>2.67700247387322</v>
      </c>
      <c r="J3338" s="9" t="n">
        <v>0.464825729654282</v>
      </c>
      <c r="K3338" s="3" t="s">
        <v>1156</v>
      </c>
      <c r="L3338" s="3" t="s">
        <v>1157</v>
      </c>
      <c r="M3338" s="7" t="n">
        <v>2023</v>
      </c>
    </row>
    <row r="3339" customFormat="false" ht="15" hidden="false" customHeight="false" outlineLevel="0" collapsed="false">
      <c r="A3339" s="3" t="n">
        <v>4577</v>
      </c>
      <c r="B3339" s="3" t="s">
        <v>1155</v>
      </c>
      <c r="C3339" s="4" t="s">
        <v>24</v>
      </c>
      <c r="D3339" s="5" t="n">
        <v>49144.3333333333</v>
      </c>
      <c r="E3339" s="6" t="n">
        <v>635.728228413639</v>
      </c>
      <c r="F3339" s="7" t="n">
        <v>73</v>
      </c>
      <c r="G3339" s="6" t="n">
        <v>115.943107968053</v>
      </c>
      <c r="H3339" s="8" t="n">
        <v>10725.4879080757</v>
      </c>
      <c r="I3339" s="9" t="n">
        <v>3.09529611699106</v>
      </c>
      <c r="J3339" s="9" t="n">
        <v>2.10619066480059</v>
      </c>
      <c r="K3339" s="3" t="s">
        <v>1156</v>
      </c>
      <c r="L3339" s="3" t="s">
        <v>1157</v>
      </c>
      <c r="M3339" s="7" t="n">
        <v>2024</v>
      </c>
    </row>
    <row r="3340" customFormat="false" ht="15" hidden="false" customHeight="false" outlineLevel="0" collapsed="false">
      <c r="A3340" s="3" t="n">
        <v>4595</v>
      </c>
      <c r="B3340" s="3" t="s">
        <v>1158</v>
      </c>
      <c r="C3340" s="4" t="s">
        <v>14</v>
      </c>
      <c r="D3340" s="5" t="n">
        <v>4947</v>
      </c>
      <c r="E3340" s="6" t="n">
        <v>102.4</v>
      </c>
      <c r="F3340" s="7" t="n">
        <v>50</v>
      </c>
      <c r="G3340" s="6" t="n">
        <v>499.606752283233</v>
      </c>
      <c r="H3340" s="8" t="n">
        <v>65118.9325518342</v>
      </c>
      <c r="I3340" s="9" t="n">
        <v>28.0715870252921</v>
      </c>
      <c r="J3340" s="9" t="n">
        <v>90.1597258824326</v>
      </c>
      <c r="K3340" s="3" t="s">
        <v>1159</v>
      </c>
      <c r="L3340" s="3" t="s">
        <v>1160</v>
      </c>
      <c r="M3340" s="7" t="n">
        <v>2016</v>
      </c>
    </row>
    <row r="3341" customFormat="false" ht="15" hidden="false" customHeight="false" outlineLevel="0" collapsed="false">
      <c r="A3341" s="3" t="n">
        <v>4596</v>
      </c>
      <c r="B3341" s="3" t="s">
        <v>1158</v>
      </c>
      <c r="C3341" s="4" t="s">
        <v>17</v>
      </c>
      <c r="D3341" s="5" t="n">
        <v>4994</v>
      </c>
      <c r="E3341" s="6" t="n">
        <v>102.4</v>
      </c>
      <c r="F3341" s="7" t="n">
        <v>52</v>
      </c>
      <c r="G3341" s="6" t="n">
        <v>309.733357338216</v>
      </c>
      <c r="H3341" s="8" t="n">
        <v>40370.7626315789</v>
      </c>
      <c r="I3341" s="9" t="n">
        <v>21.8089772907049</v>
      </c>
      <c r="J3341" s="9" t="n">
        <v>55.5209791431119</v>
      </c>
      <c r="K3341" s="3" t="s">
        <v>1159</v>
      </c>
      <c r="L3341" s="3" t="s">
        <v>1160</v>
      </c>
      <c r="M3341" s="7" t="n">
        <v>2017</v>
      </c>
    </row>
    <row r="3342" customFormat="false" ht="15" hidden="false" customHeight="false" outlineLevel="0" collapsed="false">
      <c r="A3342" s="3" t="n">
        <v>4597</v>
      </c>
      <c r="B3342" s="3" t="s">
        <v>1158</v>
      </c>
      <c r="C3342" s="4" t="s">
        <v>18</v>
      </c>
      <c r="D3342" s="5" t="n">
        <v>5013</v>
      </c>
      <c r="E3342" s="6" t="n">
        <v>102.4</v>
      </c>
      <c r="F3342" s="7" t="n">
        <v>52</v>
      </c>
      <c r="G3342" s="6" t="n">
        <v>394.336368750789</v>
      </c>
      <c r="H3342" s="8" t="n">
        <v>80823.2780302631</v>
      </c>
      <c r="I3342" s="9" t="n">
        <v>23.675277363802</v>
      </c>
      <c r="J3342" s="9" t="n">
        <v>70.4185053442442</v>
      </c>
      <c r="K3342" s="3" t="s">
        <v>1159</v>
      </c>
      <c r="L3342" s="3" t="s">
        <v>1160</v>
      </c>
      <c r="M3342" s="7" t="n">
        <v>2018</v>
      </c>
    </row>
    <row r="3343" customFormat="false" ht="15" hidden="false" customHeight="false" outlineLevel="0" collapsed="false">
      <c r="A3343" s="3" t="n">
        <v>4598</v>
      </c>
      <c r="B3343" s="3" t="s">
        <v>1158</v>
      </c>
      <c r="C3343" s="4" t="s">
        <v>19</v>
      </c>
      <c r="D3343" s="5" t="n">
        <v>5034</v>
      </c>
      <c r="E3343" s="6" t="n">
        <v>102.4</v>
      </c>
      <c r="F3343" s="7" t="n">
        <v>62</v>
      </c>
      <c r="G3343" s="6" t="n">
        <v>272.363950131892</v>
      </c>
      <c r="H3343" s="8" t="n">
        <v>24406.26375</v>
      </c>
      <c r="I3343" s="9" t="n">
        <v>15.1670160726765</v>
      </c>
      <c r="J3343" s="9" t="n">
        <v>48.4344182168</v>
      </c>
      <c r="K3343" s="3" t="s">
        <v>1159</v>
      </c>
      <c r="L3343" s="3" t="s">
        <v>1160</v>
      </c>
      <c r="M3343" s="7" t="n">
        <v>2019</v>
      </c>
    </row>
    <row r="3344" customFormat="false" ht="15" hidden="false" customHeight="false" outlineLevel="0" collapsed="false">
      <c r="A3344" s="3" t="n">
        <v>4599</v>
      </c>
      <c r="B3344" s="3" t="s">
        <v>1158</v>
      </c>
      <c r="C3344" s="4" t="s">
        <v>20</v>
      </c>
      <c r="D3344" s="5" t="n">
        <v>5049</v>
      </c>
      <c r="E3344" s="6" t="n">
        <v>113</v>
      </c>
      <c r="F3344" s="7" t="n">
        <v>60</v>
      </c>
      <c r="G3344" s="6" t="n">
        <v>288.881628651617</v>
      </c>
      <c r="H3344" s="8" t="n">
        <v>99968.5568920408</v>
      </c>
      <c r="I3344" s="9" t="n">
        <v>17.2185949657317</v>
      </c>
      <c r="J3344" s="9" t="n">
        <v>51.0788071842562</v>
      </c>
      <c r="K3344" s="3" t="s">
        <v>1159</v>
      </c>
      <c r="L3344" s="3" t="s">
        <v>1160</v>
      </c>
      <c r="M3344" s="7" t="n">
        <v>2020</v>
      </c>
    </row>
    <row r="3345" customFormat="false" ht="15" hidden="false" customHeight="false" outlineLevel="0" collapsed="false">
      <c r="A3345" s="3" t="n">
        <v>4600</v>
      </c>
      <c r="B3345" s="3" t="s">
        <v>1158</v>
      </c>
      <c r="C3345" s="4" t="s">
        <v>21</v>
      </c>
      <c r="D3345" s="5" t="n">
        <v>5285</v>
      </c>
      <c r="E3345" s="6" t="n">
        <v>102</v>
      </c>
      <c r="F3345" s="7" t="n">
        <v>60</v>
      </c>
      <c r="G3345" s="6" t="n">
        <v>274.46383758271</v>
      </c>
      <c r="H3345" s="8" t="n">
        <v>104101.525556327</v>
      </c>
      <c r="I3345" s="9" t="n">
        <v>16.9891532852938</v>
      </c>
      <c r="J3345" s="9" t="n">
        <v>46.4898146008107</v>
      </c>
      <c r="K3345" s="3" t="s">
        <v>1159</v>
      </c>
      <c r="L3345" s="3" t="s">
        <v>1160</v>
      </c>
      <c r="M3345" s="7" t="n">
        <v>2021</v>
      </c>
    </row>
    <row r="3346" customFormat="false" ht="15" hidden="false" customHeight="false" outlineLevel="0" collapsed="false">
      <c r="A3346" s="3" t="n">
        <v>4601</v>
      </c>
      <c r="B3346" s="3" t="s">
        <v>1158</v>
      </c>
      <c r="C3346" s="4" t="s">
        <v>22</v>
      </c>
      <c r="D3346" s="5" t="n">
        <v>5147</v>
      </c>
      <c r="E3346" s="6" t="n">
        <v>100</v>
      </c>
      <c r="F3346" s="7" t="n">
        <v>68</v>
      </c>
      <c r="G3346" s="6" t="n">
        <v>251.79722504518</v>
      </c>
      <c r="H3346" s="8" t="n">
        <v>96899.1169808822</v>
      </c>
      <c r="I3346" s="9" t="n">
        <v>13.3299478698544</v>
      </c>
      <c r="J3346" s="9" t="n">
        <v>43.7939830404765</v>
      </c>
      <c r="K3346" s="3" t="s">
        <v>1159</v>
      </c>
      <c r="L3346" s="3" t="s">
        <v>1160</v>
      </c>
      <c r="M3346" s="7" t="n">
        <v>2022</v>
      </c>
    </row>
    <row r="3347" customFormat="false" ht="15" hidden="false" customHeight="false" outlineLevel="0" collapsed="false">
      <c r="A3347" s="3" t="n">
        <v>4602</v>
      </c>
      <c r="B3347" s="3" t="s">
        <v>1158</v>
      </c>
      <c r="C3347" s="4" t="s">
        <v>23</v>
      </c>
      <c r="D3347" s="5" t="n">
        <v>5122</v>
      </c>
      <c r="E3347" s="6" t="n">
        <v>100.06</v>
      </c>
      <c r="F3347" s="7" t="n">
        <v>72</v>
      </c>
      <c r="G3347" s="6" t="n">
        <v>186.885262933202</v>
      </c>
      <c r="H3347" s="8" t="n">
        <v>88924.4633681249</v>
      </c>
      <c r="I3347" s="9" t="n">
        <v>10.1579519606587</v>
      </c>
      <c r="J3347" s="9" t="n">
        <v>32.6627807926413</v>
      </c>
      <c r="K3347" s="3" t="s">
        <v>1159</v>
      </c>
      <c r="L3347" s="3" t="s">
        <v>1160</v>
      </c>
      <c r="M3347" s="7" t="n">
        <v>2023</v>
      </c>
    </row>
    <row r="3348" customFormat="false" ht="15" hidden="false" customHeight="false" outlineLevel="0" collapsed="false">
      <c r="A3348" s="3" t="n">
        <v>4603</v>
      </c>
      <c r="B3348" s="3" t="s">
        <v>1158</v>
      </c>
      <c r="C3348" s="4" t="s">
        <v>24</v>
      </c>
      <c r="D3348" s="5" t="n">
        <v>5131</v>
      </c>
      <c r="E3348" s="6" t="n">
        <v>100.54</v>
      </c>
      <c r="F3348" s="7" t="n">
        <v>71</v>
      </c>
      <c r="G3348" s="6" t="n">
        <v>401.837762542017</v>
      </c>
      <c r="H3348" s="8" t="n">
        <v>174731.833952223</v>
      </c>
      <c r="I3348" s="9" t="n">
        <v>19.7576970812021</v>
      </c>
      <c r="J3348" s="9" t="n">
        <v>69.9157347426621</v>
      </c>
      <c r="K3348" s="3" t="s">
        <v>1159</v>
      </c>
      <c r="L3348" s="3" t="s">
        <v>1160</v>
      </c>
      <c r="M3348" s="7" t="n">
        <v>2024</v>
      </c>
    </row>
    <row r="3349" customFormat="false" ht="15" hidden="false" customHeight="false" outlineLevel="0" collapsed="false">
      <c r="A3349" s="3" t="n">
        <v>4620</v>
      </c>
      <c r="B3349" s="3" t="s">
        <v>1161</v>
      </c>
      <c r="C3349" s="4" t="s">
        <v>14</v>
      </c>
      <c r="D3349" s="5" t="n">
        <v>3258</v>
      </c>
      <c r="E3349" s="6" t="n">
        <v>70.9848484848485</v>
      </c>
      <c r="F3349" s="7" t="n">
        <v>51</v>
      </c>
      <c r="G3349" s="6" t="n">
        <v>80.1205930683639</v>
      </c>
      <c r="H3349" s="8" t="n">
        <v>70227.7831789051</v>
      </c>
      <c r="I3349" s="9" t="n">
        <v>24.404942208051</v>
      </c>
      <c r="J3349" s="9" t="n">
        <v>21.9542835523259</v>
      </c>
      <c r="K3349" s="3" t="s">
        <v>1162</v>
      </c>
      <c r="L3349" s="3" t="s">
        <v>1163</v>
      </c>
      <c r="M3349" s="7" t="n">
        <v>2016</v>
      </c>
    </row>
    <row r="3350" customFormat="false" ht="15" hidden="false" customHeight="false" outlineLevel="0" collapsed="false">
      <c r="A3350" s="3" t="n">
        <v>4621</v>
      </c>
      <c r="B3350" s="3" t="s">
        <v>1161</v>
      </c>
      <c r="C3350" s="4" t="s">
        <v>17</v>
      </c>
      <c r="D3350" s="5" t="n">
        <v>3255</v>
      </c>
      <c r="E3350" s="6" t="n">
        <v>71</v>
      </c>
      <c r="F3350" s="7" t="n">
        <v>65</v>
      </c>
      <c r="G3350" s="6" t="n">
        <v>47.9751356128521</v>
      </c>
      <c r="H3350" s="8" t="n">
        <v>39910.3933431818</v>
      </c>
      <c r="I3350" s="9" t="n">
        <v>18.2831096480122</v>
      </c>
      <c r="J3350" s="9" t="n">
        <v>13.1941948267108</v>
      </c>
      <c r="K3350" s="3" t="s">
        <v>1162</v>
      </c>
      <c r="L3350" s="3" t="s">
        <v>1163</v>
      </c>
      <c r="M3350" s="7" t="n">
        <v>2017</v>
      </c>
    </row>
    <row r="3351" customFormat="false" ht="15" hidden="false" customHeight="false" outlineLevel="0" collapsed="false">
      <c r="A3351" s="3" t="n">
        <v>4622</v>
      </c>
      <c r="B3351" s="3" t="s">
        <v>1161</v>
      </c>
      <c r="C3351" s="4" t="s">
        <v>18</v>
      </c>
      <c r="D3351" s="5" t="n">
        <v>3266</v>
      </c>
      <c r="E3351" s="6" t="n">
        <v>71</v>
      </c>
      <c r="F3351" s="7" t="n">
        <v>64</v>
      </c>
      <c r="G3351" s="6" t="n">
        <v>25.6495592053079</v>
      </c>
      <c r="H3351" s="8" t="n">
        <v>23034.4635011112</v>
      </c>
      <c r="I3351" s="9" t="n">
        <v>12.2623590265412</v>
      </c>
      <c r="J3351" s="9" t="n">
        <v>7.03042209495164</v>
      </c>
      <c r="K3351" s="3" t="s">
        <v>1162</v>
      </c>
      <c r="L3351" s="3" t="s">
        <v>1163</v>
      </c>
      <c r="M3351" s="7" t="n">
        <v>2018</v>
      </c>
    </row>
    <row r="3352" customFormat="false" ht="15" hidden="false" customHeight="false" outlineLevel="0" collapsed="false">
      <c r="A3352" s="3" t="n">
        <v>4623</v>
      </c>
      <c r="B3352" s="3" t="s">
        <v>1161</v>
      </c>
      <c r="C3352" s="4" t="s">
        <v>19</v>
      </c>
      <c r="D3352" s="5" t="n">
        <v>3253</v>
      </c>
      <c r="E3352" s="6" t="n">
        <v>71</v>
      </c>
      <c r="F3352" s="7" t="n">
        <v>64</v>
      </c>
      <c r="G3352" s="6" t="n">
        <v>49.7404416636844</v>
      </c>
      <c r="H3352" s="8" t="n">
        <v>42286.5932688132</v>
      </c>
      <c r="I3352" s="9" t="n">
        <v>18.8830397918137</v>
      </c>
      <c r="J3352" s="9" t="n">
        <v>13.6881024925033</v>
      </c>
      <c r="K3352" s="3" t="s">
        <v>1162</v>
      </c>
      <c r="L3352" s="3" t="s">
        <v>1163</v>
      </c>
      <c r="M3352" s="7" t="n">
        <v>2019</v>
      </c>
    </row>
    <row r="3353" customFormat="false" ht="15" hidden="false" customHeight="false" outlineLevel="0" collapsed="false">
      <c r="A3353" s="3" t="n">
        <v>4624</v>
      </c>
      <c r="B3353" s="3" t="s">
        <v>1161</v>
      </c>
      <c r="C3353" s="4" t="s">
        <v>20</v>
      </c>
      <c r="D3353" s="5" t="n">
        <v>3256</v>
      </c>
      <c r="E3353" s="6" t="n">
        <v>71</v>
      </c>
      <c r="F3353" s="7" t="n">
        <v>66</v>
      </c>
      <c r="G3353" s="6" t="n">
        <v>71.1583303219361</v>
      </c>
      <c r="H3353" s="8" t="n">
        <v>56645.8630857071</v>
      </c>
      <c r="I3353" s="9" t="n">
        <v>22.7126756214297</v>
      </c>
      <c r="J3353" s="9" t="n">
        <v>19.5104616924146</v>
      </c>
      <c r="K3353" s="3" t="s">
        <v>1162</v>
      </c>
      <c r="L3353" s="3" t="s">
        <v>1163</v>
      </c>
      <c r="M3353" s="7" t="n">
        <v>2020</v>
      </c>
    </row>
    <row r="3354" customFormat="false" ht="15" hidden="false" customHeight="false" outlineLevel="0" collapsed="false">
      <c r="A3354" s="3" t="n">
        <v>4625</v>
      </c>
      <c r="B3354" s="3" t="s">
        <v>1161</v>
      </c>
      <c r="C3354" s="4" t="s">
        <v>21</v>
      </c>
      <c r="D3354" s="5" t="n">
        <v>3254</v>
      </c>
      <c r="E3354" s="6" t="n">
        <v>71</v>
      </c>
      <c r="F3354" s="7" t="n">
        <v>66</v>
      </c>
      <c r="G3354" s="6" t="n">
        <v>70.9589817219679</v>
      </c>
      <c r="H3354" s="8" t="n">
        <v>57712.6395733333</v>
      </c>
      <c r="I3354" s="9" t="n">
        <v>23.4636199639206</v>
      </c>
      <c r="J3354" s="9" t="n">
        <v>19.5212444810824</v>
      </c>
      <c r="K3354" s="3" t="s">
        <v>1162</v>
      </c>
      <c r="L3354" s="3" t="s">
        <v>1163</v>
      </c>
      <c r="M3354" s="7" t="n">
        <v>2021</v>
      </c>
    </row>
    <row r="3355" customFormat="false" ht="15" hidden="false" customHeight="false" outlineLevel="0" collapsed="false">
      <c r="A3355" s="3" t="n">
        <v>4626</v>
      </c>
      <c r="B3355" s="3" t="s">
        <v>1161</v>
      </c>
      <c r="C3355" s="4" t="s">
        <v>22</v>
      </c>
      <c r="D3355" s="5" t="n">
        <v>3955</v>
      </c>
      <c r="E3355" s="6" t="n">
        <v>71</v>
      </c>
      <c r="F3355" s="7" t="n">
        <v>67</v>
      </c>
      <c r="G3355" s="6" t="n">
        <v>65.0718227120591</v>
      </c>
      <c r="H3355" s="8" t="n">
        <v>63403.772057051</v>
      </c>
      <c r="I3355" s="9" t="n">
        <v>20.8204528364943</v>
      </c>
      <c r="J3355" s="9" t="n">
        <v>14.7286912536275</v>
      </c>
      <c r="K3355" s="3" t="s">
        <v>1162</v>
      </c>
      <c r="L3355" s="3" t="s">
        <v>1163</v>
      </c>
      <c r="M3355" s="7" t="n">
        <v>2022</v>
      </c>
    </row>
    <row r="3356" customFormat="false" ht="15" hidden="false" customHeight="false" outlineLevel="0" collapsed="false">
      <c r="A3356" s="3" t="n">
        <v>4627</v>
      </c>
      <c r="B3356" s="3" t="s">
        <v>1161</v>
      </c>
      <c r="C3356" s="4" t="s">
        <v>23</v>
      </c>
      <c r="D3356" s="5" t="n">
        <v>3955</v>
      </c>
      <c r="E3356" s="6" t="n">
        <v>71</v>
      </c>
      <c r="F3356" s="7" t="n">
        <v>68</v>
      </c>
      <c r="G3356" s="6" t="n">
        <v>44.1339360868618</v>
      </c>
      <c r="H3356" s="8" t="n">
        <v>34215.1890819796</v>
      </c>
      <c r="I3356" s="9" t="n">
        <v>17.8726419271987</v>
      </c>
      <c r="J3356" s="9" t="n">
        <v>9.98950223520096</v>
      </c>
      <c r="K3356" s="3" t="s">
        <v>1162</v>
      </c>
      <c r="L3356" s="3" t="s">
        <v>1163</v>
      </c>
      <c r="M3356" s="7" t="n">
        <v>2023</v>
      </c>
    </row>
    <row r="3357" customFormat="false" ht="15" hidden="false" customHeight="false" outlineLevel="0" collapsed="false">
      <c r="A3357" s="3" t="n">
        <v>4628</v>
      </c>
      <c r="B3357" s="3" t="s">
        <v>1161</v>
      </c>
      <c r="C3357" s="4" t="s">
        <v>24</v>
      </c>
      <c r="D3357" s="5" t="n">
        <v>3274</v>
      </c>
      <c r="E3357" s="6" t="n">
        <v>71</v>
      </c>
      <c r="F3357" s="7" t="n">
        <v>55</v>
      </c>
      <c r="G3357" s="6" t="n">
        <v>94.1384478873084</v>
      </c>
      <c r="H3357" s="8" t="n">
        <v>88244.9064876364</v>
      </c>
      <c r="I3357" s="9" t="n">
        <v>26.7329786413756</v>
      </c>
      <c r="J3357" s="9" t="n">
        <v>25.669331120683</v>
      </c>
      <c r="K3357" s="3" t="s">
        <v>1162</v>
      </c>
      <c r="L3357" s="3" t="s">
        <v>1163</v>
      </c>
      <c r="M3357" s="7" t="n">
        <v>2024</v>
      </c>
    </row>
    <row r="3358" customFormat="false" ht="15" hidden="false" customHeight="false" outlineLevel="0" collapsed="false">
      <c r="A3358" s="3" t="n">
        <v>4630</v>
      </c>
      <c r="B3358" s="3" t="s">
        <v>1164</v>
      </c>
      <c r="C3358" s="4" t="s">
        <v>14</v>
      </c>
      <c r="D3358" s="5" t="n">
        <v>3989</v>
      </c>
      <c r="E3358" s="6" t="n">
        <v>105.6</v>
      </c>
      <c r="F3358" s="7" t="n">
        <v>50</v>
      </c>
      <c r="G3358" s="6" t="n">
        <v>149.396486476104</v>
      </c>
      <c r="H3358" s="8" t="n">
        <v>19472.3944019139</v>
      </c>
      <c r="I3358" s="9" t="n">
        <v>19.6547498105235</v>
      </c>
      <c r="J3358" s="9" t="n">
        <v>33.4350934348396</v>
      </c>
      <c r="K3358" s="3" t="s">
        <v>1159</v>
      </c>
      <c r="L3358" s="3" t="s">
        <v>1160</v>
      </c>
      <c r="M3358" s="7" t="n">
        <v>2016</v>
      </c>
    </row>
    <row r="3359" customFormat="false" ht="15" hidden="false" customHeight="false" outlineLevel="0" collapsed="false">
      <c r="A3359" s="3" t="n">
        <v>4631</v>
      </c>
      <c r="B3359" s="3" t="s">
        <v>1164</v>
      </c>
      <c r="C3359" s="4" t="s">
        <v>17</v>
      </c>
      <c r="D3359" s="5" t="n">
        <v>3997</v>
      </c>
      <c r="E3359" s="6" t="n">
        <v>105.6</v>
      </c>
      <c r="F3359" s="7" t="n">
        <v>52</v>
      </c>
      <c r="G3359" s="6" t="n">
        <v>111.921790720095</v>
      </c>
      <c r="H3359" s="8" t="n">
        <v>14587.9284210526</v>
      </c>
      <c r="I3359" s="9" t="n">
        <v>18.809367601335</v>
      </c>
      <c r="J3359" s="9" t="n">
        <v>25.0667584671565</v>
      </c>
      <c r="K3359" s="3" t="s">
        <v>1159</v>
      </c>
      <c r="L3359" s="3" t="s">
        <v>1160</v>
      </c>
      <c r="M3359" s="7" t="n">
        <v>2017</v>
      </c>
    </row>
    <row r="3360" customFormat="false" ht="15" hidden="false" customHeight="false" outlineLevel="0" collapsed="false">
      <c r="A3360" s="3" t="n">
        <v>4632</v>
      </c>
      <c r="B3360" s="3" t="s">
        <v>1164</v>
      </c>
      <c r="C3360" s="4" t="s">
        <v>18</v>
      </c>
      <c r="D3360" s="5" t="n">
        <v>3999</v>
      </c>
      <c r="E3360" s="6" t="n">
        <v>105.6</v>
      </c>
      <c r="F3360" s="7" t="n">
        <v>52</v>
      </c>
      <c r="G3360" s="6" t="n">
        <v>108.759212954443</v>
      </c>
      <c r="H3360" s="8" t="n">
        <v>22291.3147342105</v>
      </c>
      <c r="I3360" s="9" t="n">
        <v>17.8430217885085</v>
      </c>
      <c r="J3360" s="9" t="n">
        <v>24.3462639701259</v>
      </c>
      <c r="K3360" s="3" t="s">
        <v>1159</v>
      </c>
      <c r="L3360" s="3" t="s">
        <v>1160</v>
      </c>
      <c r="M3360" s="7" t="n">
        <v>2018</v>
      </c>
    </row>
    <row r="3361" customFormat="false" ht="15" hidden="false" customHeight="false" outlineLevel="0" collapsed="false">
      <c r="A3361" s="3" t="n">
        <v>4633</v>
      </c>
      <c r="B3361" s="3" t="s">
        <v>1164</v>
      </c>
      <c r="C3361" s="4" t="s">
        <v>19</v>
      </c>
      <c r="D3361" s="5" t="n">
        <v>4003</v>
      </c>
      <c r="E3361" s="6" t="n">
        <v>105.6</v>
      </c>
      <c r="F3361" s="7" t="n">
        <v>68</v>
      </c>
      <c r="G3361" s="6" t="n">
        <v>247.994799225071</v>
      </c>
      <c r="H3361" s="8" t="n">
        <v>22222.5682788945</v>
      </c>
      <c r="I3361" s="9" t="n">
        <v>25.8347016967707</v>
      </c>
      <c r="J3361" s="9" t="n">
        <v>55.4593349783601</v>
      </c>
      <c r="K3361" s="3" t="s">
        <v>1159</v>
      </c>
      <c r="L3361" s="3" t="s">
        <v>1160</v>
      </c>
      <c r="M3361" s="7" t="n">
        <v>2019</v>
      </c>
    </row>
    <row r="3362" customFormat="false" ht="15" hidden="false" customHeight="false" outlineLevel="0" collapsed="false">
      <c r="A3362" s="3" t="n">
        <v>4634</v>
      </c>
      <c r="B3362" s="3" t="s">
        <v>1164</v>
      </c>
      <c r="C3362" s="4" t="s">
        <v>20</v>
      </c>
      <c r="D3362" s="5" t="n">
        <v>4003</v>
      </c>
      <c r="E3362" s="6" t="n">
        <v>105.6</v>
      </c>
      <c r="F3362" s="7" t="n">
        <v>60</v>
      </c>
      <c r="G3362" s="6" t="n">
        <v>204.578961406443</v>
      </c>
      <c r="H3362" s="8" t="n">
        <v>70795.306845</v>
      </c>
      <c r="I3362" s="9" t="n">
        <v>20.9682777620225</v>
      </c>
      <c r="J3362" s="9" t="n">
        <v>45.6248629645922</v>
      </c>
      <c r="K3362" s="3" t="s">
        <v>1159</v>
      </c>
      <c r="L3362" s="3" t="s">
        <v>1160</v>
      </c>
      <c r="M3362" s="7" t="n">
        <v>2020</v>
      </c>
    </row>
    <row r="3363" customFormat="false" ht="15" hidden="false" customHeight="false" outlineLevel="0" collapsed="false">
      <c r="A3363" s="3" t="n">
        <v>4635</v>
      </c>
      <c r="B3363" s="3" t="s">
        <v>1164</v>
      </c>
      <c r="C3363" s="4" t="s">
        <v>21</v>
      </c>
      <c r="D3363" s="5" t="n">
        <v>4209</v>
      </c>
      <c r="E3363" s="6" t="n">
        <v>106</v>
      </c>
      <c r="F3363" s="7" t="n">
        <v>60</v>
      </c>
      <c r="G3363" s="6" t="n">
        <v>79.4916478586223</v>
      </c>
      <c r="H3363" s="8" t="n">
        <v>30150.4266789796</v>
      </c>
      <c r="I3363" s="9" t="n">
        <v>13.9107404617155</v>
      </c>
      <c r="J3363" s="9" t="n">
        <v>16.9067545907513</v>
      </c>
      <c r="K3363" s="3" t="s">
        <v>1159</v>
      </c>
      <c r="L3363" s="3" t="s">
        <v>1160</v>
      </c>
      <c r="M3363" s="7" t="n">
        <v>2021</v>
      </c>
    </row>
    <row r="3364" customFormat="false" ht="15" hidden="false" customHeight="false" outlineLevel="0" collapsed="false">
      <c r="A3364" s="3" t="n">
        <v>4636</v>
      </c>
      <c r="B3364" s="3" t="s">
        <v>1164</v>
      </c>
      <c r="C3364" s="4" t="s">
        <v>22</v>
      </c>
      <c r="D3364" s="5" t="n">
        <v>4073</v>
      </c>
      <c r="E3364" s="6" t="n">
        <v>96</v>
      </c>
      <c r="F3364" s="7" t="n">
        <v>68</v>
      </c>
      <c r="G3364" s="6" t="n">
        <v>161.493172336415</v>
      </c>
      <c r="H3364" s="8" t="n">
        <v>62147.4116525</v>
      </c>
      <c r="I3364" s="9" t="n">
        <v>17.4095087163233</v>
      </c>
      <c r="J3364" s="9" t="n">
        <v>35.4942031139082</v>
      </c>
      <c r="K3364" s="3" t="s">
        <v>1159</v>
      </c>
      <c r="L3364" s="3" t="s">
        <v>1160</v>
      </c>
      <c r="M3364" s="7" t="n">
        <v>2022</v>
      </c>
    </row>
    <row r="3365" customFormat="false" ht="15" hidden="false" customHeight="false" outlineLevel="0" collapsed="false">
      <c r="A3365" s="3" t="n">
        <v>4637</v>
      </c>
      <c r="B3365" s="3" t="s">
        <v>1164</v>
      </c>
      <c r="C3365" s="4" t="s">
        <v>23</v>
      </c>
      <c r="D3365" s="5" t="n">
        <v>4031</v>
      </c>
      <c r="E3365" s="6" t="n">
        <v>109.27</v>
      </c>
      <c r="F3365" s="7" t="n">
        <v>68</v>
      </c>
      <c r="G3365" s="6" t="n">
        <v>112.024721448197</v>
      </c>
      <c r="H3365" s="8" t="n">
        <v>53304.0330863602</v>
      </c>
      <c r="I3365" s="9" t="n">
        <v>12.4658757659727</v>
      </c>
      <c r="J3365" s="9" t="n">
        <v>24.8781882093831</v>
      </c>
      <c r="K3365" s="3" t="s">
        <v>1159</v>
      </c>
      <c r="L3365" s="3" t="s">
        <v>1160</v>
      </c>
      <c r="M3365" s="7" t="n">
        <v>2023</v>
      </c>
    </row>
    <row r="3366" customFormat="false" ht="15" hidden="false" customHeight="false" outlineLevel="0" collapsed="false">
      <c r="A3366" s="3" t="n">
        <v>4638</v>
      </c>
      <c r="B3366" s="3" t="s">
        <v>1164</v>
      </c>
      <c r="C3366" s="4" t="s">
        <v>24</v>
      </c>
      <c r="D3366" s="5" t="n">
        <v>4899</v>
      </c>
      <c r="E3366" s="6" t="n">
        <v>135.66</v>
      </c>
      <c r="F3366" s="7" t="n">
        <v>68</v>
      </c>
      <c r="G3366" s="6" t="n">
        <v>212.349990795815</v>
      </c>
      <c r="H3366" s="8" t="n">
        <v>92336.5268031789</v>
      </c>
      <c r="I3366" s="9" t="n">
        <v>19.7506722473553</v>
      </c>
      <c r="J3366" s="9" t="n">
        <v>38.6964389438197</v>
      </c>
      <c r="K3366" s="3" t="s">
        <v>1159</v>
      </c>
      <c r="L3366" s="3" t="s">
        <v>1160</v>
      </c>
      <c r="M3366" s="7" t="n">
        <v>2024</v>
      </c>
    </row>
    <row r="3367" customFormat="false" ht="15" hidden="false" customHeight="false" outlineLevel="0" collapsed="false">
      <c r="A3367" s="3" t="n">
        <v>4693</v>
      </c>
      <c r="B3367" s="3" t="s">
        <v>1165</v>
      </c>
      <c r="C3367" s="4" t="s">
        <v>14</v>
      </c>
      <c r="D3367" s="5" t="n">
        <v>42414</v>
      </c>
      <c r="E3367" s="6" t="n">
        <v>624</v>
      </c>
      <c r="F3367" s="7" t="n">
        <v>54</v>
      </c>
      <c r="G3367" s="6" t="n">
        <v>1281.59548010204</v>
      </c>
      <c r="H3367" s="8" t="n">
        <v>1128150.05326943</v>
      </c>
      <c r="I3367" s="9" t="n">
        <v>8.69484511361097</v>
      </c>
      <c r="J3367" s="9" t="n">
        <v>26.9754022022148</v>
      </c>
      <c r="K3367" s="3" t="s">
        <v>1166</v>
      </c>
      <c r="L3367" s="3" t="s">
        <v>1167</v>
      </c>
      <c r="M3367" s="7" t="n">
        <v>2016</v>
      </c>
    </row>
    <row r="3368" customFormat="false" ht="15" hidden="false" customHeight="false" outlineLevel="0" collapsed="false">
      <c r="A3368" s="3" t="n">
        <v>4694</v>
      </c>
      <c r="B3368" s="3" t="s">
        <v>1165</v>
      </c>
      <c r="C3368" s="4" t="s">
        <v>17</v>
      </c>
      <c r="D3368" s="5" t="n">
        <v>42414</v>
      </c>
      <c r="E3368" s="6" t="n">
        <v>560.043560606061</v>
      </c>
      <c r="F3368" s="7" t="n">
        <v>54</v>
      </c>
      <c r="G3368" s="6" t="n">
        <v>2279.78105306122</v>
      </c>
      <c r="H3368" s="8" t="n">
        <v>2070615.13618597</v>
      </c>
      <c r="I3368" s="9" t="n">
        <v>11.5725208049131</v>
      </c>
      <c r="J3368" s="9" t="n">
        <v>48.1173368476879</v>
      </c>
      <c r="K3368" s="3" t="s">
        <v>1166</v>
      </c>
      <c r="L3368" s="3" t="s">
        <v>1167</v>
      </c>
      <c r="M3368" s="7" t="n">
        <v>2017</v>
      </c>
    </row>
    <row r="3369" customFormat="false" ht="15" hidden="false" customHeight="false" outlineLevel="0" collapsed="false">
      <c r="A3369" s="3" t="n">
        <v>4695</v>
      </c>
      <c r="B3369" s="3" t="s">
        <v>1165</v>
      </c>
      <c r="C3369" s="4" t="s">
        <v>18</v>
      </c>
      <c r="D3369" s="5" t="n">
        <v>42108</v>
      </c>
      <c r="E3369" s="6" t="n">
        <v>560.043560606061</v>
      </c>
      <c r="F3369" s="7" t="n">
        <v>54</v>
      </c>
      <c r="G3369" s="6" t="n">
        <v>882.519453061219</v>
      </c>
      <c r="H3369" s="8" t="n">
        <v>1367022.63279183</v>
      </c>
      <c r="I3369" s="9" t="n">
        <v>6.24060634251607</v>
      </c>
      <c r="J3369" s="9" t="n">
        <v>18.7619229189992</v>
      </c>
      <c r="K3369" s="3" t="s">
        <v>1166</v>
      </c>
      <c r="L3369" s="3" t="s">
        <v>1167</v>
      </c>
      <c r="M3369" s="7" t="n">
        <v>2018</v>
      </c>
    </row>
    <row r="3370" customFormat="false" ht="15" hidden="false" customHeight="false" outlineLevel="0" collapsed="false">
      <c r="A3370" s="3" t="n">
        <v>4696</v>
      </c>
      <c r="B3370" s="3" t="s">
        <v>1165</v>
      </c>
      <c r="C3370" s="4" t="s">
        <v>19</v>
      </c>
      <c r="D3370" s="5" t="n">
        <v>42706</v>
      </c>
      <c r="E3370" s="6" t="n">
        <v>504.83</v>
      </c>
      <c r="F3370" s="7" t="n">
        <v>54</v>
      </c>
      <c r="G3370" s="6" t="n">
        <v>833.221260510204</v>
      </c>
      <c r="H3370" s="8" t="n">
        <v>1290659.73253031</v>
      </c>
      <c r="I3370" s="9" t="n">
        <v>6.18741578837374</v>
      </c>
      <c r="J3370" s="9" t="n">
        <v>17.465825693903</v>
      </c>
      <c r="K3370" s="3" t="s">
        <v>1166</v>
      </c>
      <c r="L3370" s="3" t="s">
        <v>1167</v>
      </c>
      <c r="M3370" s="7" t="n">
        <v>2019</v>
      </c>
    </row>
    <row r="3371" customFormat="false" ht="15" hidden="false" customHeight="false" outlineLevel="0" collapsed="false">
      <c r="A3371" s="3" t="n">
        <v>4697</v>
      </c>
      <c r="B3371" s="3" t="s">
        <v>1165</v>
      </c>
      <c r="C3371" s="4" t="s">
        <v>20</v>
      </c>
      <c r="D3371" s="5" t="n">
        <v>43223</v>
      </c>
      <c r="E3371" s="6" t="n">
        <v>504.7</v>
      </c>
      <c r="F3371" s="7" t="n">
        <v>61</v>
      </c>
      <c r="G3371" s="6" t="n">
        <v>1077.79145556122</v>
      </c>
      <c r="H3371" s="8" t="n">
        <v>1727699.70326464</v>
      </c>
      <c r="I3371" s="9" t="n">
        <v>7.05723604062749</v>
      </c>
      <c r="J3371" s="9" t="n">
        <v>22.261069375233</v>
      </c>
      <c r="K3371" s="3" t="s">
        <v>1166</v>
      </c>
      <c r="L3371" s="3" t="s">
        <v>1167</v>
      </c>
      <c r="M3371" s="7" t="n">
        <v>2020</v>
      </c>
    </row>
    <row r="3372" customFormat="false" ht="15" hidden="false" customHeight="false" outlineLevel="0" collapsed="false">
      <c r="A3372" s="3" t="n">
        <v>4698</v>
      </c>
      <c r="B3372" s="3" t="s">
        <v>1165</v>
      </c>
      <c r="C3372" s="4" t="s">
        <v>21</v>
      </c>
      <c r="D3372" s="5" t="n">
        <v>43909</v>
      </c>
      <c r="E3372" s="6" t="n">
        <v>506</v>
      </c>
      <c r="F3372" s="7" t="n">
        <v>63</v>
      </c>
      <c r="G3372" s="6" t="n">
        <v>208.5517</v>
      </c>
      <c r="H3372" s="8" t="n">
        <v>323046.5833</v>
      </c>
      <c r="I3372" s="9" t="n">
        <v>1.5782122347664</v>
      </c>
      <c r="J3372" s="9" t="n">
        <v>4.25184929149798</v>
      </c>
      <c r="K3372" s="3" t="s">
        <v>1166</v>
      </c>
      <c r="L3372" s="3" t="s">
        <v>1167</v>
      </c>
      <c r="M3372" s="7" t="n">
        <v>2021</v>
      </c>
    </row>
    <row r="3373" customFormat="false" ht="15" hidden="false" customHeight="false" outlineLevel="0" collapsed="false">
      <c r="A3373" s="3" t="n">
        <v>4699</v>
      </c>
      <c r="B3373" s="3" t="s">
        <v>1165</v>
      </c>
      <c r="C3373" s="4" t="s">
        <v>22</v>
      </c>
      <c r="D3373" s="5" t="n">
        <v>42861</v>
      </c>
      <c r="E3373" s="6" t="n">
        <v>508.4</v>
      </c>
      <c r="F3373" s="7" t="n">
        <v>56</v>
      </c>
      <c r="G3373" s="6" t="n">
        <v>1975.700175</v>
      </c>
      <c r="H3373" s="8" t="n">
        <v>3167047.380525</v>
      </c>
      <c r="I3373" s="9" t="n">
        <v>8.56054050628421</v>
      </c>
      <c r="J3373" s="9" t="n">
        <v>41.2644834864814</v>
      </c>
      <c r="K3373" s="3" t="s">
        <v>1166</v>
      </c>
      <c r="L3373" s="3" t="s">
        <v>1167</v>
      </c>
      <c r="M3373" s="7" t="n">
        <v>2022</v>
      </c>
    </row>
    <row r="3374" customFormat="false" ht="15" hidden="false" customHeight="false" outlineLevel="0" collapsed="false">
      <c r="A3374" s="3" t="n">
        <v>4700</v>
      </c>
      <c r="B3374" s="3" t="s">
        <v>1165</v>
      </c>
      <c r="C3374" s="4" t="s">
        <v>23</v>
      </c>
      <c r="D3374" s="5" t="n">
        <v>42733</v>
      </c>
      <c r="E3374" s="6" t="n">
        <v>571</v>
      </c>
      <c r="F3374" s="7" t="n">
        <v>56</v>
      </c>
      <c r="G3374" s="6" t="n">
        <v>-1335.49232551547</v>
      </c>
      <c r="H3374" s="8" t="n">
        <v>-2458641.37127397</v>
      </c>
      <c r="I3374" s="9" t="n">
        <v>-2.22900187559824</v>
      </c>
      <c r="J3374" s="9" t="n">
        <v>-27.9766486256177</v>
      </c>
      <c r="K3374" s="3" t="s">
        <v>1166</v>
      </c>
      <c r="L3374" s="3" t="s">
        <v>1167</v>
      </c>
      <c r="M3374" s="7" t="n">
        <v>2023</v>
      </c>
    </row>
    <row r="3375" customFormat="false" ht="15" hidden="false" customHeight="false" outlineLevel="0" collapsed="false">
      <c r="A3375" s="3" t="n">
        <v>4701</v>
      </c>
      <c r="B3375" s="3" t="s">
        <v>1165</v>
      </c>
      <c r="C3375" s="4" t="s">
        <v>24</v>
      </c>
      <c r="D3375" s="5" t="n">
        <v>41954</v>
      </c>
      <c r="E3375" s="6" t="n">
        <v>600</v>
      </c>
      <c r="F3375" s="7" t="n">
        <v>52</v>
      </c>
      <c r="G3375" s="6" t="n">
        <v>1003.54385158164</v>
      </c>
      <c r="H3375" s="8" t="n">
        <v>1901715.59874721</v>
      </c>
      <c r="I3375" s="9" t="n">
        <v>7.08150601182942</v>
      </c>
      <c r="J3375" s="9" t="n">
        <v>21.3544885482357</v>
      </c>
      <c r="K3375" s="3" t="s">
        <v>1166</v>
      </c>
      <c r="L3375" s="3" t="s">
        <v>1167</v>
      </c>
      <c r="M3375" s="7" t="n">
        <v>2024</v>
      </c>
    </row>
    <row r="3376" customFormat="false" ht="15" hidden="false" customHeight="false" outlineLevel="0" collapsed="false">
      <c r="A3376" s="3" t="n">
        <v>4702</v>
      </c>
      <c r="B3376" s="3" t="s">
        <v>1168</v>
      </c>
      <c r="C3376" s="4" t="s">
        <v>14</v>
      </c>
      <c r="D3376" s="5" t="n">
        <v>5830</v>
      </c>
      <c r="E3376" s="6" t="n">
        <v>47.3</v>
      </c>
      <c r="F3376" s="7" t="n">
        <v>56</v>
      </c>
      <c r="G3376" s="6" t="n">
        <v>78.7462058080807</v>
      </c>
      <c r="H3376" s="8" t="n">
        <v>63775.7646219065</v>
      </c>
      <c r="I3376" s="9" t="n">
        <v>6.31201764057332</v>
      </c>
      <c r="J3376" s="9" t="n">
        <v>12.058333094654</v>
      </c>
      <c r="K3376" s="3" t="s">
        <v>1169</v>
      </c>
      <c r="L3376" s="3" t="s">
        <v>1170</v>
      </c>
      <c r="M3376" s="7" t="n">
        <v>2016</v>
      </c>
    </row>
    <row r="3377" customFormat="false" ht="15" hidden="false" customHeight="false" outlineLevel="0" collapsed="false">
      <c r="A3377" s="3" t="n">
        <v>4703</v>
      </c>
      <c r="B3377" s="3" t="s">
        <v>1168</v>
      </c>
      <c r="C3377" s="4" t="s">
        <v>17</v>
      </c>
      <c r="D3377" s="5" t="n">
        <v>5838</v>
      </c>
      <c r="E3377" s="6" t="n">
        <v>47.3</v>
      </c>
      <c r="F3377" s="7" t="n">
        <v>62</v>
      </c>
      <c r="G3377" s="6" t="n">
        <v>85.8125498730964</v>
      </c>
      <c r="H3377" s="8" t="n">
        <v>66851.408853137</v>
      </c>
      <c r="I3377" s="9" t="n">
        <v>6.95015497501423</v>
      </c>
      <c r="J3377" s="9" t="n">
        <v>13.1584395852384</v>
      </c>
      <c r="K3377" s="3" t="s">
        <v>1169</v>
      </c>
      <c r="L3377" s="3" t="s">
        <v>1170</v>
      </c>
      <c r="M3377" s="7" t="n">
        <v>2017</v>
      </c>
    </row>
    <row r="3378" customFormat="false" ht="15" hidden="false" customHeight="false" outlineLevel="0" collapsed="false">
      <c r="A3378" s="3" t="n">
        <v>4704</v>
      </c>
      <c r="B3378" s="3" t="s">
        <v>1168</v>
      </c>
      <c r="C3378" s="4" t="s">
        <v>18</v>
      </c>
      <c r="D3378" s="5" t="n">
        <v>5848</v>
      </c>
      <c r="E3378" s="6" t="n">
        <v>47.3</v>
      </c>
      <c r="F3378" s="7" t="n">
        <v>63</v>
      </c>
      <c r="G3378" s="6" t="n">
        <v>5.09784973350247</v>
      </c>
      <c r="H3378" s="8" t="n">
        <v>3877.0166793233</v>
      </c>
      <c r="I3378" s="9" t="n">
        <v>2.34360655037683</v>
      </c>
      <c r="J3378" s="9" t="n">
        <v>0.780364205246987</v>
      </c>
      <c r="K3378" s="3" t="s">
        <v>1169</v>
      </c>
      <c r="L3378" s="3" t="s">
        <v>1170</v>
      </c>
      <c r="M3378" s="7" t="n">
        <v>2018</v>
      </c>
    </row>
    <row r="3379" customFormat="false" ht="15" hidden="false" customHeight="false" outlineLevel="0" collapsed="false">
      <c r="A3379" s="3" t="n">
        <v>4705</v>
      </c>
      <c r="B3379" s="3" t="s">
        <v>1168</v>
      </c>
      <c r="C3379" s="4" t="s">
        <v>19</v>
      </c>
      <c r="D3379" s="5" t="n">
        <v>5846</v>
      </c>
      <c r="E3379" s="6" t="n">
        <v>47.3</v>
      </c>
      <c r="F3379" s="7" t="n">
        <v>64</v>
      </c>
      <c r="G3379" s="6" t="n">
        <v>65.6279496192893</v>
      </c>
      <c r="H3379" s="8" t="n">
        <v>49911.3682444619</v>
      </c>
      <c r="I3379" s="9" t="n">
        <v>5.64926401798022</v>
      </c>
      <c r="J3379" s="9" t="n">
        <v>10.0495750881579</v>
      </c>
      <c r="K3379" s="3" t="s">
        <v>1169</v>
      </c>
      <c r="L3379" s="3" t="s">
        <v>1170</v>
      </c>
      <c r="M3379" s="7" t="n">
        <v>2019</v>
      </c>
    </row>
    <row r="3380" customFormat="false" ht="15" hidden="false" customHeight="false" outlineLevel="0" collapsed="false">
      <c r="A3380" s="3" t="n">
        <v>4706</v>
      </c>
      <c r="B3380" s="3" t="s">
        <v>1168</v>
      </c>
      <c r="C3380" s="4" t="s">
        <v>20</v>
      </c>
      <c r="D3380" s="5" t="n">
        <v>5846</v>
      </c>
      <c r="E3380" s="6" t="n">
        <v>47.3</v>
      </c>
      <c r="F3380" s="7" t="n">
        <v>68</v>
      </c>
      <c r="G3380" s="6" t="n">
        <v>0.403824623115657</v>
      </c>
      <c r="H3380" s="8" t="n">
        <v>296.358814412118</v>
      </c>
      <c r="I3380" s="9" t="n">
        <v>1.12297486445469</v>
      </c>
      <c r="J3380" s="9" t="n">
        <v>0.0616680447780053</v>
      </c>
      <c r="K3380" s="3" t="s">
        <v>1169</v>
      </c>
      <c r="L3380" s="3" t="s">
        <v>1170</v>
      </c>
      <c r="M3380" s="7" t="n">
        <v>2020</v>
      </c>
    </row>
    <row r="3381" customFormat="false" ht="15" hidden="false" customHeight="false" outlineLevel="0" collapsed="false">
      <c r="A3381" s="3" t="n">
        <v>4707</v>
      </c>
      <c r="B3381" s="3" t="s">
        <v>1168</v>
      </c>
      <c r="C3381" s="4" t="s">
        <v>21</v>
      </c>
      <c r="D3381" s="5" t="n">
        <v>5848</v>
      </c>
      <c r="E3381" s="6" t="n">
        <v>47.3</v>
      </c>
      <c r="F3381" s="7" t="n">
        <v>68</v>
      </c>
      <c r="G3381" s="6" t="n">
        <v>51.9875242385786</v>
      </c>
      <c r="H3381" s="8" t="n">
        <v>39263.0578059441</v>
      </c>
      <c r="I3381" s="9" t="n">
        <v>4.76789467339633</v>
      </c>
      <c r="J3381" s="9" t="n">
        <v>7.95810099473525</v>
      </c>
      <c r="K3381" s="3" t="s">
        <v>1169</v>
      </c>
      <c r="L3381" s="3" t="s">
        <v>1170</v>
      </c>
      <c r="M3381" s="7" t="n">
        <v>2021</v>
      </c>
    </row>
    <row r="3382" customFormat="false" ht="15" hidden="false" customHeight="false" outlineLevel="0" collapsed="false">
      <c r="A3382" s="3" t="n">
        <v>4708</v>
      </c>
      <c r="B3382" s="3" t="s">
        <v>1168</v>
      </c>
      <c r="C3382" s="4" t="s">
        <v>22</v>
      </c>
      <c r="D3382" s="5" t="n">
        <v>5848</v>
      </c>
      <c r="E3382" s="6" t="n">
        <v>47.3</v>
      </c>
      <c r="F3382" s="7" t="n">
        <v>59</v>
      </c>
      <c r="G3382" s="6" t="n">
        <v>200.729949238579</v>
      </c>
      <c r="H3382" s="8" t="n">
        <v>162986.696883249</v>
      </c>
      <c r="I3382" s="9" t="n">
        <v>12.9032258064516</v>
      </c>
      <c r="J3382" s="9" t="n">
        <v>30.727164490039</v>
      </c>
      <c r="K3382" s="3" t="s">
        <v>1169</v>
      </c>
      <c r="L3382" s="3" t="s">
        <v>1170</v>
      </c>
      <c r="M3382" s="7" t="n">
        <v>2022</v>
      </c>
    </row>
    <row r="3383" customFormat="false" ht="15" hidden="false" customHeight="false" outlineLevel="0" collapsed="false">
      <c r="A3383" s="3" t="n">
        <v>4709</v>
      </c>
      <c r="B3383" s="3" t="s">
        <v>1168</v>
      </c>
      <c r="C3383" s="4" t="s">
        <v>23</v>
      </c>
      <c r="D3383" s="5" t="n">
        <v>5858</v>
      </c>
      <c r="E3383" s="6" t="n">
        <v>47.3</v>
      </c>
      <c r="F3383" s="7" t="n">
        <v>59</v>
      </c>
      <c r="G3383" s="6" t="n">
        <v>34.9295431472079</v>
      </c>
      <c r="H3383" s="8" t="n">
        <v>33624.2261197968</v>
      </c>
      <c r="I3383" s="9" t="n">
        <v>4.24757281553398</v>
      </c>
      <c r="J3383" s="9" t="n">
        <v>5.33778666727048</v>
      </c>
      <c r="K3383" s="3" t="s">
        <v>1169</v>
      </c>
      <c r="L3383" s="3" t="s">
        <v>1170</v>
      </c>
      <c r="M3383" s="7" t="n">
        <v>2023</v>
      </c>
    </row>
    <row r="3384" customFormat="false" ht="15" hidden="false" customHeight="false" outlineLevel="0" collapsed="false">
      <c r="A3384" s="3" t="n">
        <v>4710</v>
      </c>
      <c r="B3384" s="3" t="s">
        <v>1168</v>
      </c>
      <c r="C3384" s="4" t="s">
        <v>24</v>
      </c>
      <c r="D3384" s="5" t="n">
        <v>5858</v>
      </c>
      <c r="E3384" s="6" t="n">
        <v>47.3</v>
      </c>
      <c r="F3384" s="7" t="n">
        <v>57</v>
      </c>
      <c r="G3384" s="6" t="n">
        <v>90.821840101523</v>
      </c>
      <c r="H3384" s="8" t="n">
        <v>95727.1276854062</v>
      </c>
      <c r="I3384" s="9" t="n">
        <v>7.49817313347711</v>
      </c>
      <c r="J3384" s="9" t="n">
        <v>13.8409889854041</v>
      </c>
      <c r="K3384" s="3" t="s">
        <v>1169</v>
      </c>
      <c r="L3384" s="3" t="s">
        <v>1170</v>
      </c>
      <c r="M3384" s="7" t="n">
        <v>2024</v>
      </c>
    </row>
    <row r="3385" customFormat="false" ht="15" hidden="false" customHeight="false" outlineLevel="0" collapsed="false">
      <c r="A3385" s="3" t="n">
        <v>4716</v>
      </c>
      <c r="B3385" s="3" t="s">
        <v>1171</v>
      </c>
      <c r="C3385" s="4" t="s">
        <v>14</v>
      </c>
      <c r="D3385" s="5" t="n">
        <v>7397</v>
      </c>
      <c r="E3385" s="6" t="n">
        <v>97.8465909090909</v>
      </c>
      <c r="F3385" s="7" t="n">
        <v>62</v>
      </c>
      <c r="G3385" s="6" t="n">
        <v>-134.013769419539</v>
      </c>
      <c r="H3385" s="8" t="n">
        <v>-23804.8658619927</v>
      </c>
      <c r="I3385" s="9" t="n">
        <v>7.09704442741422</v>
      </c>
      <c r="J3385" s="9" t="n">
        <v>-16.1740953030296</v>
      </c>
      <c r="K3385" s="3" t="s">
        <v>1172</v>
      </c>
      <c r="L3385" s="3" t="s">
        <v>1173</v>
      </c>
      <c r="M3385" s="7" t="n">
        <v>2016</v>
      </c>
    </row>
    <row r="3386" customFormat="false" ht="15" hidden="false" customHeight="false" outlineLevel="0" collapsed="false">
      <c r="A3386" s="3" t="n">
        <v>4717</v>
      </c>
      <c r="B3386" s="3" t="s">
        <v>1171</v>
      </c>
      <c r="C3386" s="4" t="s">
        <v>17</v>
      </c>
      <c r="D3386" s="5" t="n">
        <v>7322</v>
      </c>
      <c r="E3386" s="6" t="n">
        <v>97.8465909090909</v>
      </c>
      <c r="F3386" s="7" t="n">
        <v>71</v>
      </c>
      <c r="G3386" s="6" t="n">
        <v>118.615914900186</v>
      </c>
      <c r="H3386" s="8" t="n">
        <v>21069.74496372</v>
      </c>
      <c r="I3386" s="9" t="n">
        <v>6.78938656362649</v>
      </c>
      <c r="J3386" s="9" t="n">
        <v>14.5021005813207</v>
      </c>
      <c r="K3386" s="3" t="s">
        <v>1172</v>
      </c>
      <c r="L3386" s="3" t="s">
        <v>1173</v>
      </c>
      <c r="M3386" s="7" t="n">
        <v>2017</v>
      </c>
    </row>
    <row r="3387" customFormat="false" ht="15" hidden="false" customHeight="false" outlineLevel="0" collapsed="false">
      <c r="A3387" s="3" t="n">
        <v>4718</v>
      </c>
      <c r="B3387" s="3" t="s">
        <v>1171</v>
      </c>
      <c r="C3387" s="4" t="s">
        <v>18</v>
      </c>
      <c r="D3387" s="5" t="n">
        <v>7998</v>
      </c>
      <c r="E3387" s="6" t="n">
        <v>97.8465909090909</v>
      </c>
      <c r="F3387" s="7" t="n">
        <v>68</v>
      </c>
      <c r="G3387" s="6" t="n">
        <v>64.7279089832008</v>
      </c>
      <c r="H3387" s="8" t="n">
        <v>19030.005241061</v>
      </c>
      <c r="I3387" s="9" t="n">
        <v>4.84371082256428</v>
      </c>
      <c r="J3387" s="9" t="n">
        <v>7.24482421088959</v>
      </c>
      <c r="K3387" s="3" t="s">
        <v>1172</v>
      </c>
      <c r="L3387" s="3" t="s">
        <v>1173</v>
      </c>
      <c r="M3387" s="7" t="n">
        <v>2018</v>
      </c>
    </row>
    <row r="3388" customFormat="false" ht="15" hidden="false" customHeight="false" outlineLevel="0" collapsed="false">
      <c r="A3388" s="3" t="n">
        <v>4719</v>
      </c>
      <c r="B3388" s="3" t="s">
        <v>1171</v>
      </c>
      <c r="C3388" s="4" t="s">
        <v>19</v>
      </c>
      <c r="D3388" s="5" t="n">
        <v>7998</v>
      </c>
      <c r="E3388" s="6" t="n">
        <v>97.8465909090909</v>
      </c>
      <c r="F3388" s="7" t="n">
        <v>68</v>
      </c>
      <c r="G3388" s="6" t="n">
        <v>210.763348887405</v>
      </c>
      <c r="H3388" s="8" t="n">
        <v>65997.5920172066</v>
      </c>
      <c r="I3388" s="9" t="n">
        <v>8.8538580161368</v>
      </c>
      <c r="J3388" s="9" t="n">
        <v>23.5901860074599</v>
      </c>
      <c r="K3388" s="3" t="s">
        <v>1172</v>
      </c>
      <c r="L3388" s="3" t="s">
        <v>1173</v>
      </c>
      <c r="M3388" s="7" t="n">
        <v>2019</v>
      </c>
    </row>
    <row r="3389" customFormat="false" ht="15" hidden="false" customHeight="false" outlineLevel="0" collapsed="false">
      <c r="A3389" s="3" t="n">
        <v>4720</v>
      </c>
      <c r="B3389" s="3" t="s">
        <v>1171</v>
      </c>
      <c r="C3389" s="4" t="s">
        <v>20</v>
      </c>
      <c r="D3389" s="5" t="n">
        <v>7998</v>
      </c>
      <c r="E3389" s="6" t="n">
        <v>97.8465909090909</v>
      </c>
      <c r="F3389" s="7" t="n">
        <v>68</v>
      </c>
      <c r="G3389" s="6" t="n">
        <v>458.769123467822</v>
      </c>
      <c r="H3389" s="8" t="n">
        <v>133139.387321597</v>
      </c>
      <c r="I3389" s="9" t="n">
        <v>13.6454159100453</v>
      </c>
      <c r="J3389" s="9" t="n">
        <v>51.2081368462367</v>
      </c>
      <c r="K3389" s="3" t="s">
        <v>1172</v>
      </c>
      <c r="L3389" s="3" t="s">
        <v>1173</v>
      </c>
      <c r="M3389" s="7" t="n">
        <v>2020</v>
      </c>
    </row>
    <row r="3390" customFormat="false" ht="15" hidden="false" customHeight="false" outlineLevel="0" collapsed="false">
      <c r="A3390" s="3" t="n">
        <v>4728</v>
      </c>
      <c r="B3390" s="3" t="s">
        <v>1174</v>
      </c>
      <c r="C3390" s="4" t="s">
        <v>14</v>
      </c>
      <c r="D3390" s="5" t="n">
        <v>7179</v>
      </c>
      <c r="E3390" s="6" t="n">
        <v>117.14</v>
      </c>
      <c r="F3390" s="7" t="n">
        <v>60</v>
      </c>
      <c r="G3390" s="6" t="n">
        <v>231.034292857143</v>
      </c>
      <c r="H3390" s="8" t="n">
        <v>271809.5352035</v>
      </c>
      <c r="I3390" s="9" t="n">
        <v>6.5039359285331</v>
      </c>
      <c r="J3390" s="9" t="n">
        <v>28.7302025740193</v>
      </c>
      <c r="K3390" s="3" t="s">
        <v>1175</v>
      </c>
      <c r="L3390" s="3" t="s">
        <v>1176</v>
      </c>
      <c r="M3390" s="7" t="n">
        <v>2016</v>
      </c>
    </row>
    <row r="3391" customFormat="false" ht="15" hidden="false" customHeight="false" outlineLevel="0" collapsed="false">
      <c r="A3391" s="3" t="n">
        <v>4729</v>
      </c>
      <c r="B3391" s="3" t="s">
        <v>1174</v>
      </c>
      <c r="C3391" s="4" t="s">
        <v>17</v>
      </c>
      <c r="D3391" s="5" t="n">
        <v>7118</v>
      </c>
      <c r="E3391" s="6" t="n">
        <v>118.6</v>
      </c>
      <c r="F3391" s="7" t="n">
        <v>62</v>
      </c>
      <c r="G3391" s="6" t="n">
        <v>176.471734693878</v>
      </c>
      <c r="H3391" s="8" t="n">
        <v>283558.603460895</v>
      </c>
      <c r="I3391" s="9" t="n">
        <v>5.25237746891002</v>
      </c>
      <c r="J3391" s="9" t="n">
        <v>22.1939623820645</v>
      </c>
      <c r="K3391" s="3" t="s">
        <v>1175</v>
      </c>
      <c r="L3391" s="3" t="s">
        <v>1176</v>
      </c>
      <c r="M3391" s="7" t="n">
        <v>2017</v>
      </c>
    </row>
    <row r="3392" customFormat="false" ht="15" hidden="false" customHeight="false" outlineLevel="0" collapsed="false">
      <c r="A3392" s="3" t="n">
        <v>4730</v>
      </c>
      <c r="B3392" s="3" t="s">
        <v>1174</v>
      </c>
      <c r="C3392" s="4" t="s">
        <v>18</v>
      </c>
      <c r="D3392" s="5" t="n">
        <v>7126</v>
      </c>
      <c r="E3392" s="6" t="n">
        <v>119.01</v>
      </c>
      <c r="F3392" s="7" t="n">
        <v>63</v>
      </c>
      <c r="G3392" s="6" t="n">
        <v>353.099311561926</v>
      </c>
      <c r="H3392" s="8" t="n">
        <v>593616.438625448</v>
      </c>
      <c r="I3392" s="9" t="n">
        <v>7.72305361016477</v>
      </c>
      <c r="J3392" s="9" t="n">
        <v>44.3576701676592</v>
      </c>
      <c r="K3392" s="3" t="s">
        <v>1175</v>
      </c>
      <c r="L3392" s="3" t="s">
        <v>1176</v>
      </c>
      <c r="M3392" s="7" t="n">
        <v>2018</v>
      </c>
    </row>
    <row r="3393" customFormat="false" ht="15" hidden="false" customHeight="false" outlineLevel="0" collapsed="false">
      <c r="A3393" s="3" t="n">
        <v>4731</v>
      </c>
      <c r="B3393" s="3" t="s">
        <v>1174</v>
      </c>
      <c r="C3393" s="4" t="s">
        <v>19</v>
      </c>
      <c r="D3393" s="5" t="n">
        <v>6983</v>
      </c>
      <c r="E3393" s="6" t="n">
        <v>119.032637677388</v>
      </c>
      <c r="F3393" s="7" t="n">
        <v>65</v>
      </c>
      <c r="G3393" s="6" t="n">
        <v>429.979593371477</v>
      </c>
      <c r="H3393" s="8" t="n">
        <v>752281.452009386</v>
      </c>
      <c r="I3393" s="9" t="n">
        <v>8.73718159760227</v>
      </c>
      <c r="J3393" s="9" t="n">
        <v>55.1218109284594</v>
      </c>
      <c r="K3393" s="3" t="s">
        <v>1175</v>
      </c>
      <c r="L3393" s="3" t="s">
        <v>1176</v>
      </c>
      <c r="M3393" s="7" t="n">
        <v>2019</v>
      </c>
    </row>
    <row r="3394" customFormat="false" ht="15" hidden="false" customHeight="false" outlineLevel="0" collapsed="false">
      <c r="A3394" s="3" t="n">
        <v>4732</v>
      </c>
      <c r="B3394" s="3" t="s">
        <v>1174</v>
      </c>
      <c r="C3394" s="4" t="s">
        <v>20</v>
      </c>
      <c r="D3394" s="5" t="n">
        <v>7140.91666666667</v>
      </c>
      <c r="E3394" s="6" t="n">
        <v>119.03282817</v>
      </c>
      <c r="F3394" s="7" t="n">
        <v>65</v>
      </c>
      <c r="G3394" s="6" t="n">
        <v>322.522257005931</v>
      </c>
      <c r="H3394" s="8" t="n">
        <v>577147.128466973</v>
      </c>
      <c r="I3394" s="9" t="n">
        <v>6.95819341721568</v>
      </c>
      <c r="J3394" s="9" t="n">
        <v>40.321057984596</v>
      </c>
      <c r="K3394" s="3" t="s">
        <v>1175</v>
      </c>
      <c r="L3394" s="3" t="s">
        <v>1176</v>
      </c>
      <c r="M3394" s="7" t="n">
        <v>2020</v>
      </c>
    </row>
    <row r="3395" customFormat="false" ht="15" hidden="false" customHeight="false" outlineLevel="0" collapsed="false">
      <c r="A3395" s="3" t="n">
        <v>4733</v>
      </c>
      <c r="B3395" s="3" t="s">
        <v>1174</v>
      </c>
      <c r="C3395" s="4" t="s">
        <v>21</v>
      </c>
      <c r="D3395" s="5" t="n">
        <v>7147.25</v>
      </c>
      <c r="E3395" s="6" t="n">
        <v>119.03282817</v>
      </c>
      <c r="F3395" s="7" t="n">
        <v>72</v>
      </c>
      <c r="G3395" s="6" t="n">
        <v>81.5586409410198</v>
      </c>
      <c r="H3395" s="8" t="n">
        <v>142074.12825337</v>
      </c>
      <c r="I3395" s="9" t="n">
        <v>3.59735969377373</v>
      </c>
      <c r="J3395" s="9" t="n">
        <v>10.2152425140355</v>
      </c>
      <c r="K3395" s="3" t="s">
        <v>1175</v>
      </c>
      <c r="L3395" s="3" t="s">
        <v>1176</v>
      </c>
      <c r="M3395" s="7" t="n">
        <v>2021</v>
      </c>
    </row>
    <row r="3396" customFormat="false" ht="15" hidden="false" customHeight="false" outlineLevel="0" collapsed="false">
      <c r="A3396" s="3" t="n">
        <v>4734</v>
      </c>
      <c r="B3396" s="3" t="s">
        <v>1174</v>
      </c>
      <c r="C3396" s="4" t="s">
        <v>22</v>
      </c>
      <c r="D3396" s="5" t="n">
        <v>7158.75</v>
      </c>
      <c r="E3396" s="6" t="n">
        <v>119.56429662</v>
      </c>
      <c r="F3396" s="7" t="n">
        <v>74</v>
      </c>
      <c r="G3396" s="6" t="n">
        <v>181.38995821425</v>
      </c>
      <c r="H3396" s="8" t="n">
        <v>339815.947718575</v>
      </c>
      <c r="I3396" s="9" t="n">
        <v>5.45272237100343</v>
      </c>
      <c r="J3396" s="9" t="n">
        <v>22.682646217578</v>
      </c>
      <c r="K3396" s="3" t="s">
        <v>1175</v>
      </c>
      <c r="L3396" s="3" t="s">
        <v>1176</v>
      </c>
      <c r="M3396" s="7" t="n">
        <v>2022</v>
      </c>
    </row>
    <row r="3397" customFormat="false" ht="15" hidden="false" customHeight="false" outlineLevel="0" collapsed="false">
      <c r="A3397" s="3" t="n">
        <v>4735</v>
      </c>
      <c r="B3397" s="3" t="s">
        <v>1174</v>
      </c>
      <c r="C3397" s="4" t="s">
        <v>23</v>
      </c>
      <c r="D3397" s="5" t="n">
        <v>7166.83333333333</v>
      </c>
      <c r="E3397" s="6" t="n">
        <v>121.10656912</v>
      </c>
      <c r="F3397" s="7" t="n">
        <v>74</v>
      </c>
      <c r="G3397" s="6" t="n">
        <v>200.510575216922</v>
      </c>
      <c r="H3397" s="8" t="n">
        <v>395932.192034839</v>
      </c>
      <c r="I3397" s="9" t="n">
        <v>6.2048630305751</v>
      </c>
      <c r="J3397" s="9" t="n">
        <v>25.045381558342</v>
      </c>
      <c r="K3397" s="3" t="s">
        <v>1175</v>
      </c>
      <c r="L3397" s="3" t="s">
        <v>1176</v>
      </c>
      <c r="M3397" s="7" t="n">
        <v>2023</v>
      </c>
    </row>
    <row r="3398" customFormat="false" ht="15" hidden="false" customHeight="false" outlineLevel="0" collapsed="false">
      <c r="A3398" s="3" t="n">
        <v>4736</v>
      </c>
      <c r="B3398" s="3" t="s">
        <v>1174</v>
      </c>
      <c r="C3398" s="4" t="s">
        <v>24</v>
      </c>
      <c r="D3398" s="5" t="n">
        <v>7191.25</v>
      </c>
      <c r="E3398" s="6" t="n">
        <v>121.106569077332</v>
      </c>
      <c r="F3398" s="7" t="n">
        <v>73</v>
      </c>
      <c r="G3398" s="6" t="n">
        <v>227.396867884551</v>
      </c>
      <c r="H3398" s="8" t="n">
        <v>472036.147397595</v>
      </c>
      <c r="I3398" s="9" t="n">
        <v>6.24610434834412</v>
      </c>
      <c r="J3398" s="9" t="n">
        <v>28.2297014482684</v>
      </c>
      <c r="K3398" s="3" t="s">
        <v>1175</v>
      </c>
      <c r="L3398" s="3" t="s">
        <v>1176</v>
      </c>
      <c r="M3398" s="7" t="n">
        <v>2024</v>
      </c>
    </row>
    <row r="3399" customFormat="false" ht="15" hidden="false" customHeight="false" outlineLevel="0" collapsed="false">
      <c r="A3399" s="3" t="n">
        <v>4737</v>
      </c>
      <c r="B3399" s="3" t="s">
        <v>1177</v>
      </c>
      <c r="C3399" s="4" t="s">
        <v>14</v>
      </c>
      <c r="D3399" s="5" t="n">
        <v>29535</v>
      </c>
      <c r="E3399" s="6" t="n">
        <v>394</v>
      </c>
      <c r="F3399" s="7" t="n">
        <v>61</v>
      </c>
      <c r="G3399" s="6" t="n">
        <v>710.048234223605</v>
      </c>
      <c r="H3399" s="8" t="n">
        <v>388787.979502032</v>
      </c>
      <c r="I3399" s="9" t="n">
        <v>7.15583591754844</v>
      </c>
      <c r="J3399" s="9" t="n">
        <v>21.4623399839054</v>
      </c>
      <c r="K3399" s="3" t="s">
        <v>1178</v>
      </c>
      <c r="L3399" s="3" t="s">
        <v>1179</v>
      </c>
      <c r="M3399" s="7" t="n">
        <v>2016</v>
      </c>
    </row>
    <row r="3400" customFormat="false" ht="15" hidden="false" customHeight="false" outlineLevel="0" collapsed="false">
      <c r="A3400" s="3" t="n">
        <v>4738</v>
      </c>
      <c r="B3400" s="3" t="s">
        <v>1177</v>
      </c>
      <c r="C3400" s="4" t="s">
        <v>17</v>
      </c>
      <c r="D3400" s="5" t="n">
        <v>29607</v>
      </c>
      <c r="E3400" s="6" t="n">
        <v>394.5</v>
      </c>
      <c r="F3400" s="7" t="n">
        <v>60</v>
      </c>
      <c r="G3400" s="6" t="n">
        <v>904.404134692184</v>
      </c>
      <c r="H3400" s="8" t="n">
        <v>364411.557991522</v>
      </c>
      <c r="I3400" s="9" t="n">
        <v>8.72244862645887</v>
      </c>
      <c r="J3400" s="9" t="n">
        <v>27.3454963031818</v>
      </c>
      <c r="K3400" s="3" t="s">
        <v>1178</v>
      </c>
      <c r="L3400" s="3" t="s">
        <v>1179</v>
      </c>
      <c r="M3400" s="7" t="n">
        <v>2017</v>
      </c>
    </row>
    <row r="3401" customFormat="false" ht="15" hidden="false" customHeight="false" outlineLevel="0" collapsed="false">
      <c r="A3401" s="3" t="n">
        <v>4739</v>
      </c>
      <c r="B3401" s="3" t="s">
        <v>1177</v>
      </c>
      <c r="C3401" s="4" t="s">
        <v>18</v>
      </c>
      <c r="D3401" s="5" t="n">
        <v>31170</v>
      </c>
      <c r="E3401" s="6" t="n">
        <v>394.87</v>
      </c>
      <c r="F3401" s="7" t="n">
        <v>59</v>
      </c>
      <c r="G3401" s="6" t="n">
        <v>398.409071908937</v>
      </c>
      <c r="H3401" s="8" t="n">
        <v>178096.823324733</v>
      </c>
      <c r="I3401" s="9" t="n">
        <v>4.97040808033043</v>
      </c>
      <c r="J3401" s="9" t="n">
        <v>11.4422146621152</v>
      </c>
      <c r="K3401" s="3" t="s">
        <v>1178</v>
      </c>
      <c r="L3401" s="3" t="s">
        <v>1179</v>
      </c>
      <c r="M3401" s="7" t="n">
        <v>2018</v>
      </c>
    </row>
    <row r="3402" customFormat="false" ht="15" hidden="false" customHeight="false" outlineLevel="0" collapsed="false">
      <c r="A3402" s="3" t="n">
        <v>4740</v>
      </c>
      <c r="B3402" s="3" t="s">
        <v>1177</v>
      </c>
      <c r="C3402" s="4" t="s">
        <v>19</v>
      </c>
      <c r="D3402" s="5" t="n">
        <v>29792</v>
      </c>
      <c r="E3402" s="6" t="n">
        <v>394.87</v>
      </c>
      <c r="F3402" s="7" t="n">
        <v>63</v>
      </c>
      <c r="G3402" s="6" t="n">
        <v>925.166102173496</v>
      </c>
      <c r="H3402" s="8" t="n">
        <v>440619.607821149</v>
      </c>
      <c r="I3402" s="9" t="n">
        <v>8.62372974667574</v>
      </c>
      <c r="J3402" s="9" t="n">
        <v>27.7995475184112</v>
      </c>
      <c r="K3402" s="3" t="s">
        <v>1178</v>
      </c>
      <c r="L3402" s="3" t="s">
        <v>1179</v>
      </c>
      <c r="M3402" s="7" t="n">
        <v>2019</v>
      </c>
    </row>
    <row r="3403" customFormat="false" ht="15" hidden="false" customHeight="false" outlineLevel="0" collapsed="false">
      <c r="A3403" s="3" t="n">
        <v>4741</v>
      </c>
      <c r="B3403" s="3" t="s">
        <v>1177</v>
      </c>
      <c r="C3403" s="4" t="s">
        <v>20</v>
      </c>
      <c r="D3403" s="5" t="n">
        <v>29815</v>
      </c>
      <c r="E3403" s="6" t="n">
        <v>397.75</v>
      </c>
      <c r="F3403" s="7" t="n">
        <v>63</v>
      </c>
      <c r="G3403" s="6" t="n">
        <v>688.348179926746</v>
      </c>
      <c r="H3403" s="8" t="n">
        <v>296189.338340679</v>
      </c>
      <c r="I3403" s="9" t="n">
        <v>6.50234800659184</v>
      </c>
      <c r="J3403" s="9" t="n">
        <v>20.6110230234676</v>
      </c>
      <c r="K3403" s="3" t="s">
        <v>1178</v>
      </c>
      <c r="L3403" s="3" t="s">
        <v>1179</v>
      </c>
      <c r="M3403" s="7" t="n">
        <v>2020</v>
      </c>
    </row>
    <row r="3404" customFormat="false" ht="15" hidden="false" customHeight="false" outlineLevel="0" collapsed="false">
      <c r="A3404" s="3" t="n">
        <v>4742</v>
      </c>
      <c r="B3404" s="3" t="s">
        <v>1177</v>
      </c>
      <c r="C3404" s="4" t="s">
        <v>21</v>
      </c>
      <c r="D3404" s="5" t="n">
        <v>29843</v>
      </c>
      <c r="E3404" s="6" t="n">
        <v>405.641</v>
      </c>
      <c r="F3404" s="7" t="n">
        <v>63</v>
      </c>
      <c r="G3404" s="6" t="n">
        <v>793.513918487786</v>
      </c>
      <c r="H3404" s="8" t="n">
        <v>407445.591725923</v>
      </c>
      <c r="I3404" s="9" t="n">
        <v>7.00996375462117</v>
      </c>
      <c r="J3404" s="9" t="n">
        <v>23.8028930020554</v>
      </c>
      <c r="K3404" s="3" t="s">
        <v>1178</v>
      </c>
      <c r="L3404" s="3" t="s">
        <v>1179</v>
      </c>
      <c r="M3404" s="7" t="n">
        <v>2021</v>
      </c>
    </row>
    <row r="3405" customFormat="false" ht="15" hidden="false" customHeight="false" outlineLevel="0" collapsed="false">
      <c r="A3405" s="3" t="n">
        <v>4743</v>
      </c>
      <c r="B3405" s="3" t="s">
        <v>1177</v>
      </c>
      <c r="C3405" s="4" t="s">
        <v>22</v>
      </c>
      <c r="D3405" s="5" t="n">
        <v>29872</v>
      </c>
      <c r="E3405" s="6" t="n">
        <v>405.67</v>
      </c>
      <c r="F3405" s="7" t="n">
        <v>55</v>
      </c>
      <c r="G3405" s="6" t="n">
        <v>841.543309705695</v>
      </c>
      <c r="H3405" s="8" t="n">
        <v>494692.819177396</v>
      </c>
      <c r="I3405" s="9" t="n">
        <v>7.57669309398184</v>
      </c>
      <c r="J3405" s="9" t="n">
        <v>25.219115203891</v>
      </c>
      <c r="K3405" s="3" t="s">
        <v>1178</v>
      </c>
      <c r="L3405" s="3" t="s">
        <v>1179</v>
      </c>
      <c r="M3405" s="7" t="n">
        <v>2022</v>
      </c>
    </row>
    <row r="3406" customFormat="false" ht="15" hidden="false" customHeight="false" outlineLevel="0" collapsed="false">
      <c r="A3406" s="3" t="n">
        <v>4744</v>
      </c>
      <c r="B3406" s="3" t="s">
        <v>1177</v>
      </c>
      <c r="C3406" s="4" t="s">
        <v>23</v>
      </c>
      <c r="D3406" s="5" t="n">
        <v>29939</v>
      </c>
      <c r="E3406" s="6" t="n">
        <v>405.78</v>
      </c>
      <c r="F3406" s="7" t="n">
        <v>71</v>
      </c>
      <c r="G3406" s="6" t="n">
        <v>583.071817116244</v>
      </c>
      <c r="H3406" s="8" t="n">
        <v>291710.830103257</v>
      </c>
      <c r="I3406" s="9" t="n">
        <v>6.09187722543163</v>
      </c>
      <c r="J3406" s="9" t="n">
        <v>17.4342164855302</v>
      </c>
      <c r="K3406" s="3" t="s">
        <v>1178</v>
      </c>
      <c r="L3406" s="3" t="s">
        <v>1179</v>
      </c>
      <c r="M3406" s="7" t="n">
        <v>2023</v>
      </c>
    </row>
    <row r="3407" customFormat="false" ht="15" hidden="false" customHeight="false" outlineLevel="0" collapsed="false">
      <c r="A3407" s="3" t="n">
        <v>4745</v>
      </c>
      <c r="B3407" s="3" t="s">
        <v>1177</v>
      </c>
      <c r="C3407" s="4" t="s">
        <v>24</v>
      </c>
      <c r="D3407" s="5" t="n">
        <v>30009</v>
      </c>
      <c r="E3407" s="6" t="n">
        <v>406.25</v>
      </c>
      <c r="F3407" s="7" t="n">
        <v>75</v>
      </c>
      <c r="G3407" s="6" t="n">
        <v>427.425956881696</v>
      </c>
      <c r="H3407" s="8" t="n">
        <v>281750.642257277</v>
      </c>
      <c r="I3407" s="9" t="n">
        <v>4.87318781463927</v>
      </c>
      <c r="J3407" s="9" t="n">
        <v>12.7155620871599</v>
      </c>
      <c r="K3407" s="3" t="s">
        <v>1178</v>
      </c>
      <c r="L3407" s="3" t="s">
        <v>1179</v>
      </c>
      <c r="M3407" s="7" t="n">
        <v>2024</v>
      </c>
    </row>
    <row r="3408" customFormat="false" ht="15" hidden="false" customHeight="false" outlineLevel="0" collapsed="false">
      <c r="A3408" s="3" t="n">
        <v>4746</v>
      </c>
      <c r="B3408" s="3" t="s">
        <v>1180</v>
      </c>
      <c r="C3408" s="4" t="s">
        <v>14</v>
      </c>
      <c r="D3408" s="5" t="n">
        <v>10876</v>
      </c>
      <c r="E3408" s="6" t="n">
        <v>168</v>
      </c>
      <c r="F3408" s="7" t="n">
        <v>70</v>
      </c>
      <c r="G3408" s="6" t="n">
        <v>303.66096969697</v>
      </c>
      <c r="H3408" s="8" t="n">
        <v>367429.773333334</v>
      </c>
      <c r="I3408" s="9" t="n">
        <v>4.92888726808589</v>
      </c>
      <c r="J3408" s="9" t="n">
        <v>24.9256199742873</v>
      </c>
      <c r="K3408" s="3" t="s">
        <v>1181</v>
      </c>
      <c r="L3408" s="3" t="s">
        <v>1182</v>
      </c>
      <c r="M3408" s="7" t="n">
        <v>2016</v>
      </c>
    </row>
    <row r="3409" customFormat="false" ht="15" hidden="false" customHeight="false" outlineLevel="0" collapsed="false">
      <c r="A3409" s="3" t="n">
        <v>4747</v>
      </c>
      <c r="B3409" s="3" t="s">
        <v>1180</v>
      </c>
      <c r="C3409" s="4" t="s">
        <v>17</v>
      </c>
      <c r="D3409" s="5" t="n">
        <v>10921</v>
      </c>
      <c r="E3409" s="6" t="n">
        <v>168</v>
      </c>
      <c r="F3409" s="7" t="n">
        <v>70</v>
      </c>
      <c r="G3409" s="6" t="n">
        <v>564.468975568356</v>
      </c>
      <c r="H3409" s="8" t="n">
        <v>734938.606189999</v>
      </c>
      <c r="I3409" s="9" t="n">
        <v>7.25476405155142</v>
      </c>
      <c r="J3409" s="9" t="n">
        <v>46.2695573297952</v>
      </c>
      <c r="K3409" s="3" t="s">
        <v>1181</v>
      </c>
      <c r="L3409" s="3" t="s">
        <v>1182</v>
      </c>
      <c r="M3409" s="7" t="n">
        <v>2017</v>
      </c>
    </row>
    <row r="3410" customFormat="false" ht="15" hidden="false" customHeight="false" outlineLevel="0" collapsed="false">
      <c r="A3410" s="3" t="n">
        <v>4748</v>
      </c>
      <c r="B3410" s="3" t="s">
        <v>1180</v>
      </c>
      <c r="C3410" s="4" t="s">
        <v>18</v>
      </c>
      <c r="D3410" s="5" t="n">
        <v>10941</v>
      </c>
      <c r="E3410" s="6" t="n">
        <v>177</v>
      </c>
      <c r="F3410" s="7" t="n">
        <v>64</v>
      </c>
      <c r="G3410" s="6" t="n">
        <v>-25.6757575757583</v>
      </c>
      <c r="H3410" s="8" t="n">
        <v>-34816.3272727283</v>
      </c>
      <c r="I3410" s="9" t="n">
        <v>1.01696013127637</v>
      </c>
      <c r="J3410" s="9" t="n">
        <v>-2.10079619904825</v>
      </c>
      <c r="K3410" s="3" t="s">
        <v>1181</v>
      </c>
      <c r="L3410" s="3" t="s">
        <v>1182</v>
      </c>
      <c r="M3410" s="7" t="n">
        <v>2018</v>
      </c>
    </row>
    <row r="3411" customFormat="false" ht="15" hidden="false" customHeight="false" outlineLevel="0" collapsed="false">
      <c r="A3411" s="3" t="n">
        <v>4749</v>
      </c>
      <c r="B3411" s="3" t="s">
        <v>1180</v>
      </c>
      <c r="C3411" s="4" t="s">
        <v>43</v>
      </c>
      <c r="D3411" s="5" t="n">
        <v>10901</v>
      </c>
      <c r="E3411" s="6" t="n">
        <v>174</v>
      </c>
      <c r="F3411" s="7" t="n">
        <v>65</v>
      </c>
      <c r="G3411" s="6" t="n">
        <v>-101.548360353533</v>
      </c>
      <c r="H3411" s="8" t="n">
        <v>-136684.093035856</v>
      </c>
      <c r="I3411" s="9" t="n">
        <v>0.35941126139508</v>
      </c>
      <c r="J3411" s="9" t="n">
        <v>-8.33919732375573</v>
      </c>
      <c r="K3411" s="3" t="s">
        <v>1181</v>
      </c>
      <c r="L3411" s="3" t="s">
        <v>1182</v>
      </c>
      <c r="M3411" s="7" t="n">
        <v>2018</v>
      </c>
    </row>
    <row r="3412" customFormat="false" ht="15" hidden="false" customHeight="false" outlineLevel="0" collapsed="false">
      <c r="A3412" s="3" t="n">
        <v>4750</v>
      </c>
      <c r="B3412" s="3" t="s">
        <v>1180</v>
      </c>
      <c r="C3412" s="4" t="s">
        <v>44</v>
      </c>
      <c r="D3412" s="5" t="n">
        <v>10901</v>
      </c>
      <c r="E3412" s="6" t="n">
        <v>174</v>
      </c>
      <c r="F3412" s="7" t="n">
        <v>72</v>
      </c>
      <c r="G3412" s="6" t="n">
        <v>5.05096262626225</v>
      </c>
      <c r="H3412" s="8" t="n">
        <v>6697.57644242374</v>
      </c>
      <c r="I3412" s="9" t="n">
        <v>1.52399395469547</v>
      </c>
      <c r="J3412" s="9" t="n">
        <v>0.413650933804032</v>
      </c>
      <c r="K3412" s="3" t="s">
        <v>1181</v>
      </c>
      <c r="L3412" s="3" t="s">
        <v>1182</v>
      </c>
      <c r="M3412" s="7" t="n">
        <v>2019</v>
      </c>
    </row>
    <row r="3413" customFormat="false" ht="15" hidden="false" customHeight="false" outlineLevel="0" collapsed="false">
      <c r="A3413" s="3" t="n">
        <v>4751</v>
      </c>
      <c r="B3413" s="3" t="s">
        <v>1180</v>
      </c>
      <c r="C3413" s="4" t="s">
        <v>45</v>
      </c>
      <c r="D3413" s="5" t="n">
        <v>11009</v>
      </c>
      <c r="E3413" s="6" t="n">
        <v>174</v>
      </c>
      <c r="F3413" s="7" t="n">
        <v>70</v>
      </c>
      <c r="G3413" s="6" t="n">
        <v>-94.8917825757581</v>
      </c>
      <c r="H3413" s="8" t="n">
        <v>-157378.021401895</v>
      </c>
      <c r="I3413" s="9" t="n">
        <v>0.52203945226671</v>
      </c>
      <c r="J3413" s="9" t="n">
        <v>-7.71610995701153</v>
      </c>
      <c r="K3413" s="3" t="s">
        <v>1181</v>
      </c>
      <c r="L3413" s="3" t="s">
        <v>1182</v>
      </c>
      <c r="M3413" s="7" t="n">
        <v>2020</v>
      </c>
    </row>
    <row r="3414" customFormat="false" ht="15" hidden="false" customHeight="false" outlineLevel="0" collapsed="false">
      <c r="A3414" s="3" t="n">
        <v>4752</v>
      </c>
      <c r="B3414" s="3" t="s">
        <v>1180</v>
      </c>
      <c r="C3414" s="4" t="s">
        <v>46</v>
      </c>
      <c r="D3414" s="5" t="n">
        <v>11005</v>
      </c>
      <c r="E3414" s="6" t="n">
        <v>177</v>
      </c>
      <c r="F3414" s="7" t="n">
        <v>71</v>
      </c>
      <c r="G3414" s="6" t="n">
        <v>55.7807443716303</v>
      </c>
      <c r="H3414" s="8" t="n">
        <v>83580.1939441197</v>
      </c>
      <c r="I3414" s="9" t="n">
        <v>2.24359657090349</v>
      </c>
      <c r="J3414" s="9" t="n">
        <v>4.53745084258407</v>
      </c>
      <c r="K3414" s="3" t="s">
        <v>1181</v>
      </c>
      <c r="L3414" s="3" t="s">
        <v>1182</v>
      </c>
      <c r="M3414" s="7" t="n">
        <v>2021</v>
      </c>
    </row>
    <row r="3415" customFormat="false" ht="15" hidden="false" customHeight="false" outlineLevel="0" collapsed="false">
      <c r="A3415" s="3" t="n">
        <v>4753</v>
      </c>
      <c r="B3415" s="3" t="s">
        <v>1180</v>
      </c>
      <c r="C3415" s="4" t="s">
        <v>47</v>
      </c>
      <c r="D3415" s="5" t="n">
        <v>11011</v>
      </c>
      <c r="E3415" s="6" t="n">
        <v>180.6</v>
      </c>
      <c r="F3415" s="7" t="n">
        <v>53</v>
      </c>
      <c r="G3415" s="6" t="n">
        <v>158.655335176768</v>
      </c>
      <c r="H3415" s="8" t="n">
        <v>308559.242065185</v>
      </c>
      <c r="I3415" s="9" t="n">
        <v>4.24398682340472</v>
      </c>
      <c r="J3415" s="9" t="n">
        <v>12.8986896277262</v>
      </c>
      <c r="K3415" s="3" t="s">
        <v>1181</v>
      </c>
      <c r="L3415" s="3" t="s">
        <v>1182</v>
      </c>
      <c r="M3415" s="7" t="n">
        <v>2022</v>
      </c>
    </row>
    <row r="3416" customFormat="false" ht="15" hidden="false" customHeight="false" outlineLevel="0" collapsed="false">
      <c r="A3416" s="3" t="n">
        <v>4754</v>
      </c>
      <c r="B3416" s="3" t="s">
        <v>1180</v>
      </c>
      <c r="C3416" s="4" t="s">
        <v>48</v>
      </c>
      <c r="D3416" s="5" t="n">
        <v>11000</v>
      </c>
      <c r="E3416" s="6" t="n">
        <v>180.65</v>
      </c>
      <c r="F3416" s="7" t="n">
        <v>68</v>
      </c>
      <c r="G3416" s="6" t="n">
        <v>178.734381060606</v>
      </c>
      <c r="H3416" s="8" t="n">
        <v>322154.423111258</v>
      </c>
      <c r="I3416" s="9" t="n">
        <v>4.40213010444715</v>
      </c>
      <c r="J3416" s="9" t="n">
        <v>14.5057974602689</v>
      </c>
      <c r="K3416" s="3" t="s">
        <v>1181</v>
      </c>
      <c r="L3416" s="3" t="s">
        <v>1182</v>
      </c>
      <c r="M3416" s="7" t="n">
        <v>2023</v>
      </c>
    </row>
    <row r="3417" customFormat="false" ht="15" hidden="false" customHeight="false" outlineLevel="0" collapsed="false">
      <c r="A3417" s="3" t="n">
        <v>4755</v>
      </c>
      <c r="B3417" s="3" t="s">
        <v>1180</v>
      </c>
      <c r="C3417" s="4" t="s">
        <v>49</v>
      </c>
      <c r="D3417" s="5" t="n">
        <v>11033</v>
      </c>
      <c r="E3417" s="6" t="n">
        <v>180.7</v>
      </c>
      <c r="F3417" s="7" t="n">
        <v>68</v>
      </c>
      <c r="G3417" s="6" t="n">
        <v>88.9027492424238</v>
      </c>
      <c r="H3417" s="8" t="n">
        <v>172724.706365643</v>
      </c>
      <c r="I3417" s="9" t="n">
        <v>2.95007601574031</v>
      </c>
      <c r="J3417" s="9" t="n">
        <v>7.21338724669972</v>
      </c>
      <c r="K3417" s="3" t="s">
        <v>1181</v>
      </c>
      <c r="L3417" s="3" t="s">
        <v>1182</v>
      </c>
      <c r="M3417" s="7" t="n">
        <v>2024</v>
      </c>
    </row>
    <row r="3418" customFormat="false" ht="15" hidden="false" customHeight="false" outlineLevel="0" collapsed="false">
      <c r="A3418" s="3" t="n">
        <v>4756</v>
      </c>
      <c r="B3418" s="3" t="s">
        <v>1183</v>
      </c>
      <c r="C3418" s="4" t="s">
        <v>41</v>
      </c>
      <c r="D3418" s="5" t="n">
        <v>13399</v>
      </c>
      <c r="E3418" s="6" t="n">
        <v>203</v>
      </c>
      <c r="F3418" s="7" t="n">
        <v>65</v>
      </c>
      <c r="G3418" s="6" t="n">
        <v>10.7288598098096</v>
      </c>
      <c r="H3418" s="8" t="n">
        <v>9604.15343594723</v>
      </c>
      <c r="I3418" s="9" t="n">
        <v>1.55624587640202</v>
      </c>
      <c r="J3418" s="9" t="n">
        <v>0.716801421519539</v>
      </c>
      <c r="K3418" s="3" t="s">
        <v>1184</v>
      </c>
      <c r="L3418" s="3" t="s">
        <v>1185</v>
      </c>
      <c r="M3418" s="7" t="n">
        <v>2016</v>
      </c>
    </row>
    <row r="3419" customFormat="false" ht="15" hidden="false" customHeight="false" outlineLevel="0" collapsed="false">
      <c r="A3419" s="3" t="n">
        <v>4757</v>
      </c>
      <c r="B3419" s="3" t="s">
        <v>1183</v>
      </c>
      <c r="C3419" s="4" t="s">
        <v>42</v>
      </c>
      <c r="D3419" s="5" t="n">
        <v>13498</v>
      </c>
      <c r="E3419" s="6" t="n">
        <v>203</v>
      </c>
      <c r="F3419" s="7" t="n">
        <v>62</v>
      </c>
      <c r="G3419" s="6" t="n">
        <v>15.2845342092087</v>
      </c>
      <c r="H3419" s="8" t="n">
        <v>14253.4395314555</v>
      </c>
      <c r="I3419" s="9" t="n">
        <v>1.0737185615766</v>
      </c>
      <c r="J3419" s="9" t="n">
        <v>1.01367902216789</v>
      </c>
      <c r="K3419" s="3" t="s">
        <v>1184</v>
      </c>
      <c r="L3419" s="3" t="s">
        <v>1185</v>
      </c>
      <c r="M3419" s="7" t="n">
        <v>2017</v>
      </c>
    </row>
    <row r="3420" customFormat="false" ht="15" hidden="false" customHeight="false" outlineLevel="0" collapsed="false">
      <c r="A3420" s="3" t="n">
        <v>4758</v>
      </c>
      <c r="B3420" s="3" t="s">
        <v>1183</v>
      </c>
      <c r="C3420" s="4" t="s">
        <v>43</v>
      </c>
      <c r="D3420" s="5" t="n">
        <v>14221</v>
      </c>
      <c r="E3420" s="6" t="n">
        <v>203</v>
      </c>
      <c r="F3420" s="7" t="n">
        <v>65</v>
      </c>
      <c r="G3420" s="6" t="n">
        <v>129.249888738738</v>
      </c>
      <c r="H3420" s="8" t="n">
        <v>118872.415171905</v>
      </c>
      <c r="I3420" s="9" t="n">
        <v>2.45915884602016</v>
      </c>
      <c r="J3420" s="9" t="n">
        <v>8.13612694262828</v>
      </c>
      <c r="K3420" s="3" t="s">
        <v>1184</v>
      </c>
      <c r="L3420" s="3" t="s">
        <v>1185</v>
      </c>
      <c r="M3420" s="7" t="n">
        <v>2018</v>
      </c>
    </row>
    <row r="3421" customFormat="false" ht="15" hidden="false" customHeight="false" outlineLevel="0" collapsed="false">
      <c r="A3421" s="3" t="n">
        <v>4759</v>
      </c>
      <c r="B3421" s="3" t="s">
        <v>1183</v>
      </c>
      <c r="C3421" s="4" t="s">
        <v>44</v>
      </c>
      <c r="D3421" s="5" t="n">
        <v>13942</v>
      </c>
      <c r="E3421" s="6" t="n">
        <v>195</v>
      </c>
      <c r="F3421" s="7" t="n">
        <v>65</v>
      </c>
      <c r="G3421" s="6" t="n">
        <v>187.577975975976</v>
      </c>
      <c r="H3421" s="8" t="n">
        <v>295885.499304504</v>
      </c>
      <c r="I3421" s="9" t="n">
        <v>3.37890677669013</v>
      </c>
      <c r="J3421" s="9" t="n">
        <v>12.0111049199419</v>
      </c>
      <c r="K3421" s="3" t="s">
        <v>1184</v>
      </c>
      <c r="L3421" s="3" t="s">
        <v>1185</v>
      </c>
      <c r="M3421" s="7" t="n">
        <v>2019</v>
      </c>
    </row>
    <row r="3422" customFormat="false" ht="15" hidden="false" customHeight="false" outlineLevel="0" collapsed="false">
      <c r="A3422" s="3" t="n">
        <v>4760</v>
      </c>
      <c r="B3422" s="3" t="s">
        <v>1183</v>
      </c>
      <c r="C3422" s="4" t="s">
        <v>45</v>
      </c>
      <c r="D3422" s="5" t="n">
        <v>13882</v>
      </c>
      <c r="E3422" s="6" t="n">
        <v>195</v>
      </c>
      <c r="F3422" s="7" t="n">
        <v>66</v>
      </c>
      <c r="G3422" s="6" t="n">
        <v>114.631478228228</v>
      </c>
      <c r="H3422" s="8" t="n">
        <v>122905.578326742</v>
      </c>
      <c r="I3422" s="9" t="n">
        <v>2.23932568080304</v>
      </c>
      <c r="J3422" s="9" t="n">
        <v>7.39212883236936</v>
      </c>
      <c r="K3422" s="3" t="s">
        <v>1184</v>
      </c>
      <c r="L3422" s="3" t="s">
        <v>1185</v>
      </c>
      <c r="M3422" s="7" t="n">
        <v>2020</v>
      </c>
    </row>
    <row r="3423" customFormat="false" ht="15" hidden="false" customHeight="false" outlineLevel="0" collapsed="false">
      <c r="A3423" s="3" t="n">
        <v>4761</v>
      </c>
      <c r="B3423" s="3" t="s">
        <v>1183</v>
      </c>
      <c r="C3423" s="4" t="s">
        <v>46</v>
      </c>
      <c r="D3423" s="5" t="n">
        <v>14443</v>
      </c>
      <c r="E3423" s="6" t="n">
        <v>204</v>
      </c>
      <c r="F3423" s="7" t="n">
        <v>67</v>
      </c>
      <c r="G3423" s="6" t="n">
        <v>147.91181326175</v>
      </c>
      <c r="H3423" s="8" t="n">
        <v>175106.879248056</v>
      </c>
      <c r="I3423" s="9" t="n">
        <v>5.83551329427458</v>
      </c>
      <c r="J3423" s="9" t="n">
        <v>9.16775765421831</v>
      </c>
      <c r="K3423" s="3" t="s">
        <v>1184</v>
      </c>
      <c r="L3423" s="3" t="s">
        <v>1185</v>
      </c>
      <c r="M3423" s="7" t="n">
        <v>2021</v>
      </c>
    </row>
    <row r="3424" customFormat="false" ht="15" hidden="false" customHeight="false" outlineLevel="0" collapsed="false">
      <c r="A3424" s="3" t="n">
        <v>4762</v>
      </c>
      <c r="B3424" s="3" t="s">
        <v>1183</v>
      </c>
      <c r="C3424" s="4" t="s">
        <v>47</v>
      </c>
      <c r="D3424" s="5" t="n">
        <v>13957</v>
      </c>
      <c r="E3424" s="6" t="n">
        <v>204</v>
      </c>
      <c r="F3424" s="7" t="n">
        <v>56</v>
      </c>
      <c r="G3424" s="6" t="n">
        <v>279.78499871134</v>
      </c>
      <c r="H3424" s="8" t="n">
        <v>308549.694428853</v>
      </c>
      <c r="I3424" s="9" t="n">
        <v>7.83740211883924</v>
      </c>
      <c r="J3424" s="9" t="n">
        <v>17.945270996217</v>
      </c>
      <c r="K3424" s="3" t="s">
        <v>1184</v>
      </c>
      <c r="L3424" s="3" t="s">
        <v>1185</v>
      </c>
      <c r="M3424" s="7" t="n">
        <v>2022</v>
      </c>
    </row>
    <row r="3425" customFormat="false" ht="15" hidden="false" customHeight="false" outlineLevel="0" collapsed="false">
      <c r="A3425" s="3" t="n">
        <v>4763</v>
      </c>
      <c r="B3425" s="3" t="s">
        <v>1183</v>
      </c>
      <c r="C3425" s="4" t="s">
        <v>48</v>
      </c>
      <c r="D3425" s="5" t="n">
        <v>14135</v>
      </c>
      <c r="E3425" s="6" t="n">
        <v>205</v>
      </c>
      <c r="F3425" s="7" t="n">
        <v>53</v>
      </c>
      <c r="G3425" s="6" t="n">
        <v>301.744656122449</v>
      </c>
      <c r="H3425" s="8" t="n">
        <v>317610.390141367</v>
      </c>
      <c r="I3425" s="9" t="n">
        <v>7.12015486426867</v>
      </c>
      <c r="J3425" s="9" t="n">
        <v>19.0576772787177</v>
      </c>
      <c r="K3425" s="3" t="s">
        <v>1184</v>
      </c>
      <c r="L3425" s="3" t="s">
        <v>1185</v>
      </c>
      <c r="M3425" s="7" t="n">
        <v>2023</v>
      </c>
    </row>
    <row r="3426" customFormat="false" ht="15" hidden="false" customHeight="false" outlineLevel="0" collapsed="false">
      <c r="A3426" s="3" t="n">
        <v>4764</v>
      </c>
      <c r="B3426" s="3" t="s">
        <v>1183</v>
      </c>
      <c r="C3426" s="4" t="s">
        <v>49</v>
      </c>
      <c r="D3426" s="5" t="n">
        <v>14031</v>
      </c>
      <c r="E3426" s="6" t="n">
        <v>205</v>
      </c>
      <c r="F3426" s="7" t="n">
        <v>50</v>
      </c>
      <c r="G3426" s="6" t="n">
        <v>198.577960714286</v>
      </c>
      <c r="H3426" s="8" t="n">
        <v>233448.250615715</v>
      </c>
      <c r="I3426" s="9" t="n">
        <v>5.26157331398961</v>
      </c>
      <c r="J3426" s="9" t="n">
        <v>12.6695180993872</v>
      </c>
      <c r="K3426" s="3" t="s">
        <v>1184</v>
      </c>
      <c r="L3426" s="3" t="s">
        <v>1185</v>
      </c>
      <c r="M3426" s="7" t="n">
        <v>2024</v>
      </c>
    </row>
    <row r="3427" customFormat="false" ht="15" hidden="false" customHeight="false" outlineLevel="0" collapsed="false">
      <c r="A3427" s="3" t="n">
        <v>4765</v>
      </c>
      <c r="B3427" s="3" t="s">
        <v>1186</v>
      </c>
      <c r="C3427" s="4" t="s">
        <v>41</v>
      </c>
      <c r="D3427" s="5" t="n">
        <v>16638</v>
      </c>
      <c r="E3427" s="6" t="n">
        <v>225</v>
      </c>
      <c r="F3427" s="7" t="n">
        <v>68</v>
      </c>
      <c r="G3427" s="6" t="n">
        <v>302.464451130653</v>
      </c>
      <c r="H3427" s="8" t="n">
        <v>431314.307312311</v>
      </c>
      <c r="I3427" s="9" t="n">
        <v>4.25836042405871</v>
      </c>
      <c r="J3427" s="9" t="n">
        <v>16.2738719166264</v>
      </c>
      <c r="K3427" s="3" t="s">
        <v>1187</v>
      </c>
      <c r="L3427" s="3" t="s">
        <v>1188</v>
      </c>
      <c r="M3427" s="7" t="n">
        <v>2016</v>
      </c>
    </row>
    <row r="3428" customFormat="false" ht="15" hidden="false" customHeight="false" outlineLevel="0" collapsed="false">
      <c r="A3428" s="3" t="n">
        <v>4766</v>
      </c>
      <c r="B3428" s="3" t="s">
        <v>1186</v>
      </c>
      <c r="C3428" s="4" t="s">
        <v>42</v>
      </c>
      <c r="D3428" s="5" t="n">
        <v>17186</v>
      </c>
      <c r="E3428" s="6" t="n">
        <v>232.6</v>
      </c>
      <c r="F3428" s="7" t="n">
        <v>71</v>
      </c>
      <c r="G3428" s="6" t="n">
        <v>178.653943939395</v>
      </c>
      <c r="H3428" s="8" t="n">
        <v>269202.908885638</v>
      </c>
      <c r="I3428" s="9" t="n">
        <v>3.43731039995377</v>
      </c>
      <c r="J3428" s="9" t="n">
        <v>9.30583772611297</v>
      </c>
      <c r="K3428" s="3" t="s">
        <v>1187</v>
      </c>
      <c r="L3428" s="3" t="s">
        <v>1188</v>
      </c>
      <c r="M3428" s="7" t="n">
        <v>2017</v>
      </c>
    </row>
    <row r="3429" customFormat="false" ht="15" hidden="false" customHeight="false" outlineLevel="0" collapsed="false">
      <c r="A3429" s="3" t="n">
        <v>4767</v>
      </c>
      <c r="B3429" s="3" t="s">
        <v>1186</v>
      </c>
      <c r="C3429" s="4" t="s">
        <v>43</v>
      </c>
      <c r="D3429" s="5" t="n">
        <v>17327</v>
      </c>
      <c r="E3429" s="6" t="n">
        <v>232.1</v>
      </c>
      <c r="F3429" s="7" t="n">
        <v>71</v>
      </c>
      <c r="G3429" s="6" t="n">
        <v>326.629031557377</v>
      </c>
      <c r="H3429" s="8" t="n">
        <v>537151.241267053</v>
      </c>
      <c r="I3429" s="9" t="n">
        <v>5.26010082675413</v>
      </c>
      <c r="J3429" s="9" t="n">
        <v>16.8752059705463</v>
      </c>
      <c r="K3429" s="3" t="s">
        <v>1187</v>
      </c>
      <c r="L3429" s="3" t="s">
        <v>1188</v>
      </c>
      <c r="M3429" s="7" t="n">
        <v>2018</v>
      </c>
    </row>
    <row r="3430" customFormat="false" ht="15" hidden="false" customHeight="false" outlineLevel="0" collapsed="false">
      <c r="A3430" s="3" t="n">
        <v>4768</v>
      </c>
      <c r="B3430" s="3" t="s">
        <v>1186</v>
      </c>
      <c r="C3430" s="4" t="s">
        <v>44</v>
      </c>
      <c r="D3430" s="5" t="n">
        <v>17233</v>
      </c>
      <c r="E3430" s="6" t="n">
        <v>232.1</v>
      </c>
      <c r="F3430" s="7" t="n">
        <v>71</v>
      </c>
      <c r="G3430" s="6" t="n">
        <v>506.420807660782</v>
      </c>
      <c r="H3430" s="8" t="n">
        <v>838632.857486255</v>
      </c>
      <c r="I3430" s="9" t="n">
        <v>6.48281950843296</v>
      </c>
      <c r="J3430" s="9" t="n">
        <v>26.2347449973845</v>
      </c>
      <c r="K3430" s="3" t="s">
        <v>1187</v>
      </c>
      <c r="L3430" s="3" t="s">
        <v>1188</v>
      </c>
      <c r="M3430" s="7" t="n">
        <v>2019</v>
      </c>
    </row>
    <row r="3431" customFormat="false" ht="15" hidden="false" customHeight="false" outlineLevel="0" collapsed="false">
      <c r="A3431" s="3" t="n">
        <v>4769</v>
      </c>
      <c r="B3431" s="3" t="s">
        <v>1186</v>
      </c>
      <c r="C3431" s="4" t="s">
        <v>45</v>
      </c>
      <c r="D3431" s="5" t="n">
        <v>17161</v>
      </c>
      <c r="E3431" s="6" t="n">
        <v>231.7</v>
      </c>
      <c r="F3431" s="7" t="n">
        <v>75</v>
      </c>
      <c r="G3431" s="6" t="n">
        <v>213.357164312735</v>
      </c>
      <c r="H3431" s="8" t="n">
        <v>353319.464101889</v>
      </c>
      <c r="I3431" s="9" t="n">
        <v>3.32172427388619</v>
      </c>
      <c r="J3431" s="9" t="n">
        <v>11.1296706736123</v>
      </c>
      <c r="K3431" s="3" t="s">
        <v>1187</v>
      </c>
      <c r="L3431" s="3" t="s">
        <v>1188</v>
      </c>
      <c r="M3431" s="7" t="n">
        <v>2020</v>
      </c>
    </row>
    <row r="3432" customFormat="false" ht="15" hidden="false" customHeight="false" outlineLevel="0" collapsed="false">
      <c r="A3432" s="3" t="n">
        <v>4770</v>
      </c>
      <c r="B3432" s="3" t="s">
        <v>1186</v>
      </c>
      <c r="C3432" s="4" t="s">
        <v>46</v>
      </c>
      <c r="D3432" s="5" t="n">
        <v>17186</v>
      </c>
      <c r="E3432" s="6" t="n">
        <v>232.6</v>
      </c>
      <c r="F3432" s="7" t="n">
        <v>74</v>
      </c>
      <c r="G3432" s="6" t="n">
        <v>24.2569591551053</v>
      </c>
      <c r="H3432" s="8" t="n">
        <v>60070.9309767271</v>
      </c>
      <c r="I3432" s="9" t="n">
        <v>1.85783685749588</v>
      </c>
      <c r="J3432" s="9" t="n">
        <v>1.26351157242258</v>
      </c>
      <c r="K3432" s="3" t="s">
        <v>1187</v>
      </c>
      <c r="L3432" s="3" t="s">
        <v>1188</v>
      </c>
      <c r="M3432" s="7" t="n">
        <v>2021</v>
      </c>
    </row>
    <row r="3433" customFormat="false" ht="15" hidden="false" customHeight="false" outlineLevel="0" collapsed="false">
      <c r="A3433" s="3" t="n">
        <v>4771</v>
      </c>
      <c r="B3433" s="3" t="s">
        <v>1186</v>
      </c>
      <c r="C3433" s="4" t="s">
        <v>47</v>
      </c>
      <c r="D3433" s="5" t="n">
        <v>17186</v>
      </c>
      <c r="E3433" s="6" t="n">
        <v>232.6</v>
      </c>
      <c r="F3433" s="7" t="n">
        <v>62</v>
      </c>
      <c r="G3433" s="6" t="n">
        <v>127.695774634969</v>
      </c>
      <c r="H3433" s="8" t="n">
        <v>234960.225328342</v>
      </c>
      <c r="I3433" s="9" t="n">
        <v>3.49746651048391</v>
      </c>
      <c r="J3433" s="9" t="n">
        <v>7.2272981410727</v>
      </c>
      <c r="K3433" s="3" t="s">
        <v>1187</v>
      </c>
      <c r="L3433" s="3" t="s">
        <v>1188</v>
      </c>
      <c r="M3433" s="7" t="n">
        <v>2022</v>
      </c>
    </row>
    <row r="3434" customFormat="false" ht="15" hidden="false" customHeight="false" outlineLevel="0" collapsed="false">
      <c r="A3434" s="3" t="n">
        <v>4772</v>
      </c>
      <c r="B3434" s="3" t="s">
        <v>1186</v>
      </c>
      <c r="C3434" s="4" t="s">
        <v>48</v>
      </c>
      <c r="D3434" s="5" t="n">
        <v>17261</v>
      </c>
      <c r="E3434" s="6" t="n">
        <v>232.6</v>
      </c>
      <c r="F3434" s="7" t="n">
        <v>56</v>
      </c>
      <c r="G3434" s="6" t="n">
        <v>32.9720116424529</v>
      </c>
      <c r="H3434" s="8" t="n">
        <v>62560.1057300409</v>
      </c>
      <c r="I3434" s="9" t="n">
        <v>2.03300052111556</v>
      </c>
      <c r="J3434" s="9" t="n">
        <v>1.70531921525601</v>
      </c>
      <c r="K3434" s="3" t="s">
        <v>1187</v>
      </c>
      <c r="L3434" s="3" t="s">
        <v>1188</v>
      </c>
      <c r="M3434" s="7" t="n">
        <v>2023</v>
      </c>
    </row>
    <row r="3435" customFormat="false" ht="15" hidden="false" customHeight="false" outlineLevel="0" collapsed="false">
      <c r="A3435" s="3" t="n">
        <v>4773</v>
      </c>
      <c r="B3435" s="3" t="s">
        <v>1189</v>
      </c>
      <c r="C3435" s="4" t="s">
        <v>48</v>
      </c>
      <c r="D3435" s="5" t="n">
        <v>14869</v>
      </c>
      <c r="E3435" s="6" t="n">
        <v>202.36</v>
      </c>
      <c r="F3435" s="7" t="n">
        <v>62</v>
      </c>
      <c r="G3435" s="6" t="n">
        <v>49.3339301256294</v>
      </c>
      <c r="H3435" s="8" t="n">
        <v>93604.7190024655</v>
      </c>
      <c r="I3435" s="9" t="n">
        <v>1.9504638069509</v>
      </c>
      <c r="J3435" s="9" t="n">
        <v>2.96203473170096</v>
      </c>
      <c r="K3435" s="3" t="s">
        <v>1187</v>
      </c>
      <c r="L3435" s="3" t="s">
        <v>1188</v>
      </c>
      <c r="M3435" s="7" t="n">
        <v>2023</v>
      </c>
    </row>
    <row r="3436" customFormat="false" ht="15" hidden="false" customHeight="false" outlineLevel="0" collapsed="false">
      <c r="A3436" s="3" t="n">
        <v>4774</v>
      </c>
      <c r="B3436" s="3" t="s">
        <v>1189</v>
      </c>
      <c r="C3436" s="4" t="s">
        <v>49</v>
      </c>
      <c r="D3436" s="5" t="n">
        <v>14877</v>
      </c>
      <c r="E3436" s="6" t="n">
        <v>202.4</v>
      </c>
      <c r="F3436" s="7" t="n">
        <v>62</v>
      </c>
      <c r="G3436" s="6" t="n">
        <v>318.681443204747</v>
      </c>
      <c r="H3436" s="8" t="n">
        <v>637324.64463631</v>
      </c>
      <c r="I3436" s="9" t="n">
        <v>5.56660941713541</v>
      </c>
      <c r="J3436" s="9" t="n">
        <v>19.1760470565062</v>
      </c>
      <c r="K3436" s="3" t="s">
        <v>1187</v>
      </c>
      <c r="L3436" s="3" t="s">
        <v>1188</v>
      </c>
      <c r="M3436" s="7" t="n">
        <v>2024</v>
      </c>
    </row>
    <row r="3437" customFormat="false" ht="15" hidden="false" customHeight="false" outlineLevel="0" collapsed="false">
      <c r="A3437" s="3" t="n">
        <v>4779</v>
      </c>
      <c r="B3437" s="3" t="s">
        <v>1190</v>
      </c>
      <c r="C3437" s="4" t="s">
        <v>14</v>
      </c>
      <c r="D3437" s="5" t="n">
        <v>25517</v>
      </c>
      <c r="E3437" s="6" t="n">
        <v>351</v>
      </c>
      <c r="F3437" s="7" t="n">
        <v>54</v>
      </c>
      <c r="G3437" s="6" t="n">
        <v>274.268931287875</v>
      </c>
      <c r="H3437" s="8" t="n">
        <v>406203.257994594</v>
      </c>
      <c r="I3437" s="9" t="n">
        <v>3.033499535291</v>
      </c>
      <c r="J3437" s="9" t="n">
        <v>9.59562338823115</v>
      </c>
      <c r="K3437" s="3" t="s">
        <v>1191</v>
      </c>
      <c r="L3437" s="3" t="s">
        <v>1192</v>
      </c>
      <c r="M3437" s="7" t="n">
        <v>2016</v>
      </c>
    </row>
    <row r="3438" customFormat="false" ht="15" hidden="false" customHeight="false" outlineLevel="0" collapsed="false">
      <c r="A3438" s="3" t="n">
        <v>4780</v>
      </c>
      <c r="B3438" s="3" t="s">
        <v>1190</v>
      </c>
      <c r="C3438" s="4" t="s">
        <v>17</v>
      </c>
      <c r="D3438" s="5" t="n">
        <v>25672</v>
      </c>
      <c r="E3438" s="6" t="n">
        <v>350</v>
      </c>
      <c r="F3438" s="7" t="n">
        <v>68</v>
      </c>
      <c r="G3438" s="6" t="n">
        <v>756.402733125905</v>
      </c>
      <c r="H3438" s="8" t="n">
        <v>1114771.2200263</v>
      </c>
      <c r="I3438" s="9" t="n">
        <v>6.44935108863337</v>
      </c>
      <c r="J3438" s="9" t="n">
        <v>26.376129099456</v>
      </c>
      <c r="K3438" s="3" t="s">
        <v>1191</v>
      </c>
      <c r="L3438" s="3" t="s">
        <v>1192</v>
      </c>
      <c r="M3438" s="7" t="n">
        <v>2017</v>
      </c>
    </row>
    <row r="3439" customFormat="false" ht="15" hidden="false" customHeight="false" outlineLevel="0" collapsed="false">
      <c r="A3439" s="3" t="n">
        <v>4781</v>
      </c>
      <c r="B3439" s="3" t="s">
        <v>1190</v>
      </c>
      <c r="C3439" s="4" t="s">
        <v>18</v>
      </c>
      <c r="D3439" s="5" t="n">
        <v>26097</v>
      </c>
      <c r="E3439" s="6" t="n">
        <v>350</v>
      </c>
      <c r="F3439" s="7" t="n">
        <v>72</v>
      </c>
      <c r="G3439" s="6" t="n">
        <v>131.627410597057</v>
      </c>
      <c r="H3439" s="8" t="n">
        <v>180987.689570954</v>
      </c>
      <c r="I3439" s="9" t="n">
        <v>1.7002570264982</v>
      </c>
      <c r="J3439" s="9" t="n">
        <v>4.5151629329696</v>
      </c>
      <c r="K3439" s="3" t="s">
        <v>1191</v>
      </c>
      <c r="L3439" s="3" t="s">
        <v>1192</v>
      </c>
      <c r="M3439" s="7" t="n">
        <v>2018</v>
      </c>
    </row>
    <row r="3440" customFormat="false" ht="15" hidden="false" customHeight="false" outlineLevel="0" collapsed="false">
      <c r="A3440" s="3" t="n">
        <v>4782</v>
      </c>
      <c r="B3440" s="3" t="s">
        <v>1190</v>
      </c>
      <c r="C3440" s="4" t="s">
        <v>19</v>
      </c>
      <c r="D3440" s="5" t="n">
        <v>24480</v>
      </c>
      <c r="E3440" s="6" t="n">
        <v>350</v>
      </c>
      <c r="F3440" s="7" t="n">
        <v>68</v>
      </c>
      <c r="G3440" s="6" t="n">
        <v>843.514177704546</v>
      </c>
      <c r="H3440" s="8" t="n">
        <v>1200320.67487357</v>
      </c>
      <c r="I3440" s="9" t="n">
        <v>6.26577109282159</v>
      </c>
      <c r="J3440" s="9" t="n">
        <v>30.8459853209622</v>
      </c>
      <c r="K3440" s="3" t="s">
        <v>1191</v>
      </c>
      <c r="L3440" s="3" t="s">
        <v>1192</v>
      </c>
      <c r="M3440" s="7" t="n">
        <v>2019</v>
      </c>
    </row>
    <row r="3441" customFormat="false" ht="15" hidden="false" customHeight="false" outlineLevel="0" collapsed="false">
      <c r="A3441" s="3" t="n">
        <v>4783</v>
      </c>
      <c r="B3441" s="3" t="s">
        <v>1190</v>
      </c>
      <c r="C3441" s="4" t="s">
        <v>20</v>
      </c>
      <c r="D3441" s="5" t="n">
        <v>25338</v>
      </c>
      <c r="E3441" s="6" t="n">
        <v>350</v>
      </c>
      <c r="F3441" s="7" t="n">
        <v>71</v>
      </c>
      <c r="G3441" s="6" t="n">
        <v>1137.67012979722</v>
      </c>
      <c r="H3441" s="8" t="n">
        <v>1674650.4310615</v>
      </c>
      <c r="I3441" s="9" t="n">
        <v>7.44712743650716</v>
      </c>
      <c r="J3441" s="9" t="n">
        <v>40.0839228387872</v>
      </c>
      <c r="K3441" s="3" t="s">
        <v>1191</v>
      </c>
      <c r="L3441" s="3" t="s">
        <v>1192</v>
      </c>
      <c r="M3441" s="7" t="n">
        <v>2020</v>
      </c>
    </row>
    <row r="3442" customFormat="false" ht="15" hidden="false" customHeight="false" outlineLevel="0" collapsed="false">
      <c r="A3442" s="3" t="n">
        <v>4784</v>
      </c>
      <c r="B3442" s="3" t="s">
        <v>1190</v>
      </c>
      <c r="C3442" s="4" t="s">
        <v>22</v>
      </c>
      <c r="D3442" s="5" t="n">
        <v>25338</v>
      </c>
      <c r="E3442" s="6" t="n">
        <v>350</v>
      </c>
      <c r="F3442" s="7" t="n">
        <v>78</v>
      </c>
      <c r="G3442" s="6" t="n">
        <v>185.299250580744</v>
      </c>
      <c r="H3442" s="8" t="n">
        <v>289252.130156541</v>
      </c>
      <c r="I3442" s="9" t="n">
        <v>2.08244741036935</v>
      </c>
      <c r="J3442" s="9" t="n">
        <v>6.54664822815166</v>
      </c>
      <c r="K3442" s="3" t="s">
        <v>1191</v>
      </c>
      <c r="L3442" s="3" t="s">
        <v>1192</v>
      </c>
      <c r="M3442" s="7" t="n">
        <v>2022</v>
      </c>
    </row>
    <row r="3443" customFormat="false" ht="15" hidden="false" customHeight="false" outlineLevel="0" collapsed="false">
      <c r="A3443" s="3" t="n">
        <v>4785</v>
      </c>
      <c r="B3443" s="3" t="s">
        <v>1190</v>
      </c>
      <c r="C3443" s="4" t="s">
        <v>23</v>
      </c>
      <c r="D3443" s="5" t="n">
        <v>25338</v>
      </c>
      <c r="E3443" s="6" t="n">
        <v>350</v>
      </c>
      <c r="F3443" s="7" t="n">
        <v>68</v>
      </c>
      <c r="G3443" s="6" t="n">
        <v>1040.64956145938</v>
      </c>
      <c r="H3443" s="8" t="n">
        <v>1698340.0843017</v>
      </c>
      <c r="I3443" s="9" t="n">
        <v>8.81357069635229</v>
      </c>
      <c r="J3443" s="9" t="n">
        <v>36.7662933676366</v>
      </c>
      <c r="K3443" s="3" t="s">
        <v>1191</v>
      </c>
      <c r="L3443" s="3" t="s">
        <v>1192</v>
      </c>
      <c r="M3443" s="7" t="n">
        <v>2023</v>
      </c>
    </row>
    <row r="3444" customFormat="false" ht="15" hidden="false" customHeight="false" outlineLevel="0" collapsed="false">
      <c r="A3444" s="3" t="n">
        <v>4786</v>
      </c>
      <c r="B3444" s="3" t="s">
        <v>1190</v>
      </c>
      <c r="C3444" s="4" t="s">
        <v>24</v>
      </c>
      <c r="D3444" s="5" t="n">
        <v>25338</v>
      </c>
      <c r="E3444" s="6" t="n">
        <v>364.46</v>
      </c>
      <c r="F3444" s="7" t="n">
        <v>72</v>
      </c>
      <c r="G3444" s="6" t="n">
        <v>771.6886069936</v>
      </c>
      <c r="H3444" s="8" t="n">
        <v>1528846.31751751</v>
      </c>
      <c r="I3444" s="9" t="n">
        <v>6.25194647800935</v>
      </c>
      <c r="J3444" s="9" t="n">
        <v>27.1891700134696</v>
      </c>
      <c r="K3444" s="3" t="s">
        <v>1191</v>
      </c>
      <c r="L3444" s="3" t="s">
        <v>1192</v>
      </c>
      <c r="M3444" s="7" t="n">
        <v>2024</v>
      </c>
    </row>
    <row r="3445" customFormat="false" ht="15" hidden="false" customHeight="false" outlineLevel="0" collapsed="false">
      <c r="A3445" s="3" t="n">
        <v>4787</v>
      </c>
      <c r="B3445" s="3" t="s">
        <v>1193</v>
      </c>
      <c r="C3445" s="4" t="s">
        <v>14</v>
      </c>
      <c r="D3445" s="5" t="n">
        <v>3197</v>
      </c>
      <c r="E3445" s="6" t="n">
        <v>97</v>
      </c>
      <c r="F3445" s="7" t="n">
        <v>62</v>
      </c>
      <c r="G3445" s="6" t="n">
        <v>1091.66417974747</v>
      </c>
      <c r="H3445" s="8" t="n">
        <v>143008.007546919</v>
      </c>
      <c r="I3445" s="9" t="n">
        <v>9.22581023200197</v>
      </c>
      <c r="J3445" s="9" t="n">
        <v>304.840466563167</v>
      </c>
      <c r="K3445" s="3" t="s">
        <v>1194</v>
      </c>
      <c r="L3445" s="3" t="s">
        <v>1195</v>
      </c>
      <c r="M3445" s="7" t="n">
        <v>2016</v>
      </c>
    </row>
    <row r="3446" customFormat="false" ht="15" hidden="false" customHeight="false" outlineLevel="0" collapsed="false">
      <c r="A3446" s="3" t="n">
        <v>4788</v>
      </c>
      <c r="B3446" s="3" t="s">
        <v>1193</v>
      </c>
      <c r="C3446" s="4" t="s">
        <v>17</v>
      </c>
      <c r="D3446" s="5" t="n">
        <v>6178</v>
      </c>
      <c r="E3446" s="6" t="n">
        <v>162.61</v>
      </c>
      <c r="F3446" s="7" t="n">
        <v>67</v>
      </c>
      <c r="G3446" s="6" t="n">
        <v>1052.27700757576</v>
      </c>
      <c r="H3446" s="8" t="n">
        <v>118539.004903409</v>
      </c>
      <c r="I3446" s="9" t="n">
        <v>10.1237702316725</v>
      </c>
      <c r="J3446" s="9" t="n">
        <v>152.475424670476</v>
      </c>
      <c r="K3446" s="3" t="s">
        <v>1194</v>
      </c>
      <c r="L3446" s="3" t="s">
        <v>1195</v>
      </c>
      <c r="M3446" s="7" t="n">
        <v>2017</v>
      </c>
    </row>
    <row r="3447" customFormat="false" ht="15" hidden="false" customHeight="false" outlineLevel="0" collapsed="false">
      <c r="A3447" s="3" t="n">
        <v>4796</v>
      </c>
      <c r="B3447" s="3" t="s">
        <v>1196</v>
      </c>
      <c r="C3447" s="4" t="s">
        <v>14</v>
      </c>
      <c r="D3447" s="5" t="n">
        <v>20689</v>
      </c>
      <c r="E3447" s="6" t="n">
        <v>258.19</v>
      </c>
      <c r="F3447" s="7" t="n">
        <v>72</v>
      </c>
      <c r="G3447" s="6" t="n">
        <v>625.187593753001</v>
      </c>
      <c r="H3447" s="8" t="n">
        <v>894415.58539482</v>
      </c>
      <c r="I3447" s="9" t="n">
        <v>6.59083453538224</v>
      </c>
      <c r="J3447" s="9" t="n">
        <v>26.9772107886077</v>
      </c>
      <c r="K3447" s="3" t="s">
        <v>1197</v>
      </c>
      <c r="L3447" s="3" t="s">
        <v>1198</v>
      </c>
      <c r="M3447" s="7" t="n">
        <v>2016</v>
      </c>
    </row>
    <row r="3448" customFormat="false" ht="15" hidden="false" customHeight="false" outlineLevel="0" collapsed="false">
      <c r="A3448" s="3" t="n">
        <v>4797</v>
      </c>
      <c r="B3448" s="3" t="s">
        <v>1196</v>
      </c>
      <c r="C3448" s="4" t="s">
        <v>17</v>
      </c>
      <c r="D3448" s="5" t="n">
        <v>20712</v>
      </c>
      <c r="E3448" s="6" t="n">
        <v>253.17</v>
      </c>
      <c r="F3448" s="7" t="n">
        <v>72</v>
      </c>
      <c r="G3448" s="6" t="n">
        <v>1038.88559242452</v>
      </c>
      <c r="H3448" s="8" t="n">
        <v>1535362.4654565</v>
      </c>
      <c r="I3448" s="9" t="n">
        <v>9.0892907926129</v>
      </c>
      <c r="J3448" s="9" t="n">
        <v>44.901759607575</v>
      </c>
      <c r="K3448" s="3" t="s">
        <v>1197</v>
      </c>
      <c r="L3448" s="3" t="s">
        <v>1198</v>
      </c>
      <c r="M3448" s="7" t="n">
        <v>2017</v>
      </c>
    </row>
    <row r="3449" customFormat="false" ht="15" hidden="false" customHeight="false" outlineLevel="0" collapsed="false">
      <c r="A3449" s="3" t="n">
        <v>4798</v>
      </c>
      <c r="B3449" s="3" t="s">
        <v>1196</v>
      </c>
      <c r="C3449" s="4" t="s">
        <v>18</v>
      </c>
      <c r="D3449" s="5" t="n">
        <v>20718</v>
      </c>
      <c r="E3449" s="6" t="n">
        <v>258.25</v>
      </c>
      <c r="F3449" s="7" t="n">
        <v>72</v>
      </c>
      <c r="G3449" s="6" t="n">
        <v>665.878155751645</v>
      </c>
      <c r="H3449" s="8" t="n">
        <v>1043223.36642975</v>
      </c>
      <c r="I3449" s="9" t="n">
        <v>6.32767487390425</v>
      </c>
      <c r="J3449" s="9" t="n">
        <v>28.7716397444158</v>
      </c>
      <c r="K3449" s="3" t="s">
        <v>1197</v>
      </c>
      <c r="L3449" s="3" t="s">
        <v>1198</v>
      </c>
      <c r="M3449" s="7" t="n">
        <v>2018</v>
      </c>
    </row>
    <row r="3450" customFormat="false" ht="15" hidden="false" customHeight="false" outlineLevel="0" collapsed="false">
      <c r="A3450" s="3" t="n">
        <v>4799</v>
      </c>
      <c r="B3450" s="3" t="s">
        <v>1196</v>
      </c>
      <c r="C3450" s="4" t="s">
        <v>19</v>
      </c>
      <c r="D3450" s="5" t="n">
        <v>21199</v>
      </c>
      <c r="E3450" s="6" t="n">
        <v>254.18</v>
      </c>
      <c r="F3450" s="7" t="n">
        <v>73</v>
      </c>
      <c r="G3450" s="6" t="n">
        <v>1019.85940842088</v>
      </c>
      <c r="H3450" s="8" t="n">
        <v>1658533.446891</v>
      </c>
      <c r="I3450" s="9" t="n">
        <v>9.12809699525567</v>
      </c>
      <c r="J3450" s="9" t="n">
        <v>43.0668002810303</v>
      </c>
      <c r="K3450" s="3" t="s">
        <v>1197</v>
      </c>
      <c r="L3450" s="3" t="s">
        <v>1198</v>
      </c>
      <c r="M3450" s="7" t="n">
        <v>2019</v>
      </c>
    </row>
    <row r="3451" customFormat="false" ht="15" hidden="false" customHeight="false" outlineLevel="0" collapsed="false">
      <c r="A3451" s="3" t="n">
        <v>4800</v>
      </c>
      <c r="B3451" s="3" t="s">
        <v>1196</v>
      </c>
      <c r="C3451" s="4" t="s">
        <v>20</v>
      </c>
      <c r="D3451" s="5" t="n">
        <v>20728</v>
      </c>
      <c r="E3451" s="6" t="n">
        <v>249.9</v>
      </c>
      <c r="F3451" s="7" t="n">
        <v>75</v>
      </c>
      <c r="G3451" s="6" t="n">
        <v>2199.24660608155</v>
      </c>
      <c r="H3451" s="8" t="n">
        <v>3563081.69109849</v>
      </c>
      <c r="I3451" s="9" t="n">
        <v>16.4351428825486</v>
      </c>
      <c r="J3451" s="9" t="n">
        <v>94.720225680871</v>
      </c>
      <c r="K3451" s="3" t="s">
        <v>1197</v>
      </c>
      <c r="L3451" s="3" t="s">
        <v>1198</v>
      </c>
      <c r="M3451" s="7" t="n">
        <v>2020</v>
      </c>
    </row>
    <row r="3452" customFormat="false" ht="15" hidden="false" customHeight="false" outlineLevel="0" collapsed="false">
      <c r="A3452" s="3" t="n">
        <v>4801</v>
      </c>
      <c r="B3452" s="3" t="s">
        <v>1196</v>
      </c>
      <c r="C3452" s="4" t="s">
        <v>21</v>
      </c>
      <c r="D3452" s="5" t="n">
        <v>20766.1192015478</v>
      </c>
      <c r="E3452" s="6" t="n">
        <v>249.837441629499</v>
      </c>
      <c r="F3452" s="7" t="n">
        <v>78</v>
      </c>
      <c r="G3452" s="6" t="n">
        <v>1126.26496789549</v>
      </c>
      <c r="H3452" s="8" t="n">
        <v>1884104.38578937</v>
      </c>
      <c r="I3452" s="9" t="n">
        <v>9.09162699032348</v>
      </c>
      <c r="J3452" s="9" t="n">
        <v>48.5515285755822</v>
      </c>
      <c r="K3452" s="3" t="s">
        <v>1197</v>
      </c>
      <c r="L3452" s="3" t="s">
        <v>1198</v>
      </c>
      <c r="M3452" s="7" t="n">
        <v>2021</v>
      </c>
    </row>
    <row r="3453" customFormat="false" ht="15" hidden="false" customHeight="false" outlineLevel="0" collapsed="false">
      <c r="A3453" s="3" t="n">
        <v>4802</v>
      </c>
      <c r="B3453" s="3" t="s">
        <v>1196</v>
      </c>
      <c r="C3453" s="4" t="s">
        <v>22</v>
      </c>
      <c r="D3453" s="5" t="n">
        <v>24569</v>
      </c>
      <c r="E3453" s="6" t="n">
        <v>250</v>
      </c>
      <c r="F3453" s="7" t="n">
        <v>68</v>
      </c>
      <c r="G3453" s="6" t="n">
        <v>794.075383326169</v>
      </c>
      <c r="H3453" s="8" t="n">
        <v>1409205.4073175</v>
      </c>
      <c r="I3453" s="9" t="n">
        <v>8.38389370819091</v>
      </c>
      <c r="J3453" s="9" t="n">
        <v>28.9328974075943</v>
      </c>
      <c r="K3453" s="3" t="s">
        <v>1197</v>
      </c>
      <c r="L3453" s="3" t="s">
        <v>1198</v>
      </c>
      <c r="M3453" s="7" t="n">
        <v>2022</v>
      </c>
    </row>
    <row r="3454" customFormat="false" ht="15" hidden="false" customHeight="false" outlineLevel="0" collapsed="false">
      <c r="A3454" s="3" t="n">
        <v>4803</v>
      </c>
      <c r="B3454" s="3" t="s">
        <v>1196</v>
      </c>
      <c r="C3454" s="4" t="s">
        <v>23</v>
      </c>
      <c r="D3454" s="5" t="n">
        <v>20267</v>
      </c>
      <c r="E3454" s="6" t="n">
        <v>249.96</v>
      </c>
      <c r="F3454" s="7" t="n">
        <v>70</v>
      </c>
      <c r="G3454" s="6" t="n">
        <v>851.105554320148</v>
      </c>
      <c r="H3454" s="8" t="n">
        <v>1615390.2607942</v>
      </c>
      <c r="I3454" s="9" t="n">
        <v>9.52389816468657</v>
      </c>
      <c r="J3454" s="9" t="n">
        <v>37.5934022531044</v>
      </c>
      <c r="K3454" s="3" t="s">
        <v>1197</v>
      </c>
      <c r="L3454" s="3" t="s">
        <v>1198</v>
      </c>
      <c r="M3454" s="7" t="n">
        <v>2023</v>
      </c>
    </row>
    <row r="3455" customFormat="false" ht="15" hidden="false" customHeight="false" outlineLevel="0" collapsed="false">
      <c r="A3455" s="3" t="n">
        <v>4804</v>
      </c>
      <c r="B3455" s="3" t="s">
        <v>1196</v>
      </c>
      <c r="C3455" s="4" t="s">
        <v>24</v>
      </c>
      <c r="D3455" s="5" t="n">
        <v>20643</v>
      </c>
      <c r="E3455" s="6" t="n">
        <v>250.23</v>
      </c>
      <c r="F3455" s="7" t="n">
        <v>69</v>
      </c>
      <c r="G3455" s="6" t="n">
        <v>1056.97024163579</v>
      </c>
      <c r="H3455" s="8" t="n">
        <v>2191504.165955</v>
      </c>
      <c r="I3455" s="9" t="n">
        <v>11.1694748048446</v>
      </c>
      <c r="J3455" s="9" t="n">
        <v>45.7105178387797</v>
      </c>
      <c r="K3455" s="3" t="s">
        <v>1197</v>
      </c>
      <c r="L3455" s="3" t="s">
        <v>1198</v>
      </c>
      <c r="M3455" s="7" t="n">
        <v>2024</v>
      </c>
    </row>
    <row r="3456" customFormat="false" ht="15" hidden="false" customHeight="false" outlineLevel="0" collapsed="false">
      <c r="A3456" s="3" t="n">
        <v>4805</v>
      </c>
      <c r="B3456" s="3" t="s">
        <v>1199</v>
      </c>
      <c r="C3456" s="4" t="s">
        <v>41</v>
      </c>
      <c r="D3456" s="5" t="n">
        <v>4700</v>
      </c>
      <c r="E3456" s="6" t="n">
        <v>46</v>
      </c>
      <c r="F3456" s="7" t="n">
        <v>73</v>
      </c>
      <c r="G3456" s="6" t="n">
        <v>15.4264321608043</v>
      </c>
      <c r="H3456" s="8" t="n">
        <v>23519.7555296487</v>
      </c>
      <c r="I3456" s="9" t="n">
        <v>1.69753086419754</v>
      </c>
      <c r="J3456" s="9" t="n">
        <v>2.93822676293561</v>
      </c>
      <c r="K3456" s="3" t="s">
        <v>1200</v>
      </c>
      <c r="L3456" s="3" t="s">
        <v>1201</v>
      </c>
      <c r="M3456" s="7" t="n">
        <v>2016</v>
      </c>
    </row>
    <row r="3457" customFormat="false" ht="15" hidden="false" customHeight="false" outlineLevel="0" collapsed="false">
      <c r="A3457" s="3" t="n">
        <v>4806</v>
      </c>
      <c r="B3457" s="3" t="s">
        <v>1199</v>
      </c>
      <c r="C3457" s="4" t="s">
        <v>42</v>
      </c>
      <c r="D3457" s="5" t="n">
        <v>4700</v>
      </c>
      <c r="E3457" s="6" t="n">
        <v>46</v>
      </c>
      <c r="F3457" s="7" t="n">
        <v>71</v>
      </c>
      <c r="G3457" s="6" t="n">
        <v>-41.5124569267311</v>
      </c>
      <c r="H3457" s="8" t="n">
        <v>-65590.5121933737</v>
      </c>
      <c r="I3457" s="9" t="n">
        <v>-1.39025417778401</v>
      </c>
      <c r="J3457" s="9" t="n">
        <v>-7.90675450200623</v>
      </c>
      <c r="K3457" s="3" t="s">
        <v>1200</v>
      </c>
      <c r="L3457" s="3" t="s">
        <v>1201</v>
      </c>
      <c r="M3457" s="7" t="n">
        <v>2017</v>
      </c>
    </row>
    <row r="3458" customFormat="false" ht="15" hidden="false" customHeight="false" outlineLevel="0" collapsed="false">
      <c r="A3458" s="3" t="n">
        <v>4807</v>
      </c>
      <c r="B3458" s="3" t="s">
        <v>1199</v>
      </c>
      <c r="C3458" s="4" t="s">
        <v>43</v>
      </c>
      <c r="D3458" s="5" t="n">
        <v>4700</v>
      </c>
      <c r="E3458" s="6" t="n">
        <v>46</v>
      </c>
      <c r="F3458" s="7" t="n">
        <v>71</v>
      </c>
      <c r="G3458" s="6" t="n">
        <v>1.55793087926384</v>
      </c>
      <c r="H3458" s="8" t="n">
        <v>2860.01834953497</v>
      </c>
      <c r="I3458" s="9" t="n">
        <v>2.10210210210211</v>
      </c>
      <c r="J3458" s="9" t="n">
        <v>0.296734472141105</v>
      </c>
      <c r="K3458" s="3" t="s">
        <v>1200</v>
      </c>
      <c r="L3458" s="3" t="s">
        <v>1201</v>
      </c>
      <c r="M3458" s="7" t="n">
        <v>2018</v>
      </c>
    </row>
    <row r="3459" customFormat="false" ht="15" hidden="false" customHeight="false" outlineLevel="0" collapsed="false">
      <c r="A3459" s="3" t="n">
        <v>4808</v>
      </c>
      <c r="B3459" s="3" t="s">
        <v>1199</v>
      </c>
      <c r="C3459" s="4" t="s">
        <v>44</v>
      </c>
      <c r="D3459" s="5" t="n">
        <v>4700</v>
      </c>
      <c r="E3459" s="6" t="n">
        <v>46</v>
      </c>
      <c r="F3459" s="7" t="n">
        <v>77</v>
      </c>
      <c r="G3459" s="6" t="n">
        <v>4.8275271964344</v>
      </c>
      <c r="H3459" s="8" t="n">
        <v>8862.27787667035</v>
      </c>
      <c r="I3459" s="9" t="n">
        <v>0.72084548104958</v>
      </c>
      <c r="J3459" s="9" t="n">
        <v>0.916965645284375</v>
      </c>
      <c r="K3459" s="3" t="s">
        <v>1200</v>
      </c>
      <c r="L3459" s="3" t="s">
        <v>1201</v>
      </c>
      <c r="M3459" s="7" t="n">
        <v>2019</v>
      </c>
    </row>
    <row r="3460" customFormat="false" ht="15" hidden="false" customHeight="false" outlineLevel="0" collapsed="false">
      <c r="A3460" s="3" t="n">
        <v>4809</v>
      </c>
      <c r="B3460" s="3" t="s">
        <v>1199</v>
      </c>
      <c r="C3460" s="4" t="s">
        <v>45</v>
      </c>
      <c r="D3460" s="5" t="n">
        <v>4700</v>
      </c>
      <c r="E3460" s="6" t="n">
        <v>46</v>
      </c>
      <c r="F3460" s="7" t="n">
        <v>70</v>
      </c>
      <c r="G3460" s="6" t="n">
        <v>8.5884854501237</v>
      </c>
      <c r="H3460" s="8" t="n">
        <v>15766.5698196281</v>
      </c>
      <c r="I3460" s="9" t="n">
        <v>0.588131089459703</v>
      </c>
      <c r="J3460" s="9" t="n">
        <v>1.63582334136559</v>
      </c>
      <c r="K3460" s="3" t="s">
        <v>1200</v>
      </c>
      <c r="L3460" s="3" t="s">
        <v>1201</v>
      </c>
      <c r="M3460" s="7" t="n">
        <v>2020</v>
      </c>
    </row>
    <row r="3461" customFormat="false" ht="15" hidden="false" customHeight="false" outlineLevel="0" collapsed="false">
      <c r="A3461" s="3" t="n">
        <v>4810</v>
      </c>
      <c r="B3461" s="3" t="s">
        <v>1199</v>
      </c>
      <c r="C3461" s="4" t="s">
        <v>46</v>
      </c>
      <c r="D3461" s="5" t="n">
        <v>4614</v>
      </c>
      <c r="E3461" s="6" t="n">
        <v>46</v>
      </c>
      <c r="F3461" s="7" t="n">
        <v>83</v>
      </c>
      <c r="G3461" s="6" t="n">
        <v>0.0003037875783107</v>
      </c>
      <c r="H3461" s="8" t="n">
        <v>1.04540596598603</v>
      </c>
      <c r="I3461" s="9" t="n">
        <v>0.912311898734171</v>
      </c>
      <c r="J3461" s="9" t="n">
        <v>5.89399952010126E-005</v>
      </c>
      <c r="K3461" s="3" t="s">
        <v>1200</v>
      </c>
      <c r="L3461" s="3" t="s">
        <v>1201</v>
      </c>
      <c r="M3461" s="7" t="n">
        <v>2021</v>
      </c>
    </row>
    <row r="3462" customFormat="false" ht="15" hidden="false" customHeight="false" outlineLevel="0" collapsed="false">
      <c r="A3462" s="3" t="n">
        <v>4811</v>
      </c>
      <c r="B3462" s="3" t="s">
        <v>1199</v>
      </c>
      <c r="C3462" s="4" t="s">
        <v>47</v>
      </c>
      <c r="D3462" s="5" t="n">
        <v>4602</v>
      </c>
      <c r="E3462" s="6" t="n">
        <v>46</v>
      </c>
      <c r="F3462" s="7" t="n">
        <v>77</v>
      </c>
      <c r="G3462" s="6" t="n">
        <v>27.2018220716514</v>
      </c>
      <c r="H3462" s="8" t="n">
        <v>44393.3736209351</v>
      </c>
      <c r="I3462" s="9" t="n">
        <v>3.16607602100391</v>
      </c>
      <c r="J3462" s="9" t="n">
        <v>5.29138126989083</v>
      </c>
      <c r="K3462" s="3" t="s">
        <v>1200</v>
      </c>
      <c r="L3462" s="3" t="s">
        <v>1201</v>
      </c>
      <c r="M3462" s="7" t="n">
        <v>2022</v>
      </c>
    </row>
    <row r="3463" customFormat="false" ht="15" hidden="false" customHeight="false" outlineLevel="0" collapsed="false">
      <c r="A3463" s="3" t="n">
        <v>4812</v>
      </c>
      <c r="B3463" s="3" t="s">
        <v>1199</v>
      </c>
      <c r="C3463" s="4" t="s">
        <v>48</v>
      </c>
      <c r="D3463" s="5" t="n">
        <v>4602</v>
      </c>
      <c r="E3463" s="6" t="n">
        <v>46</v>
      </c>
      <c r="F3463" s="7" t="n">
        <v>80</v>
      </c>
      <c r="G3463" s="6" t="n">
        <v>1.77761128645115</v>
      </c>
      <c r="H3463" s="8" t="n">
        <v>2901.87932068005</v>
      </c>
      <c r="I3463" s="9" t="n">
        <v>1.84447165652494</v>
      </c>
      <c r="J3463" s="9" t="n">
        <v>0.344839001090291</v>
      </c>
      <c r="K3463" s="3" t="s">
        <v>1200</v>
      </c>
      <c r="L3463" s="3" t="s">
        <v>1201</v>
      </c>
      <c r="M3463" s="7" t="n">
        <v>2023</v>
      </c>
    </row>
    <row r="3464" customFormat="false" ht="15" hidden="false" customHeight="false" outlineLevel="0" collapsed="false">
      <c r="A3464" s="3" t="n">
        <v>4813</v>
      </c>
      <c r="B3464" s="3" t="s">
        <v>1199</v>
      </c>
      <c r="C3464" s="4" t="s">
        <v>49</v>
      </c>
      <c r="D3464" s="5" t="n">
        <v>4602</v>
      </c>
      <c r="E3464" s="6" t="n">
        <v>46</v>
      </c>
      <c r="F3464" s="7" t="n">
        <v>76</v>
      </c>
      <c r="G3464" s="6" t="n">
        <v>59.3924250000003</v>
      </c>
      <c r="H3464" s="8" t="n">
        <v>133720.857039001</v>
      </c>
      <c r="I3464" s="9" t="n">
        <v>3.90642585347555</v>
      </c>
      <c r="J3464" s="9" t="n">
        <v>11.5531953848751</v>
      </c>
      <c r="K3464" s="3" t="s">
        <v>1200</v>
      </c>
      <c r="L3464" s="3" t="s">
        <v>1201</v>
      </c>
      <c r="M3464" s="7" t="n">
        <v>2024</v>
      </c>
    </row>
    <row r="3465" customFormat="false" ht="15" hidden="false" customHeight="false" outlineLevel="0" collapsed="false">
      <c r="A3465" s="3" t="n">
        <v>4814</v>
      </c>
      <c r="B3465" s="3" t="s">
        <v>1202</v>
      </c>
      <c r="C3465" s="4" t="s">
        <v>14</v>
      </c>
      <c r="D3465" s="5" t="n">
        <v>13479</v>
      </c>
      <c r="E3465" s="6" t="n">
        <v>139</v>
      </c>
      <c r="F3465" s="7" t="n">
        <v>70</v>
      </c>
      <c r="G3465" s="6" t="n">
        <v>64.3664513800299</v>
      </c>
      <c r="H3465" s="8" t="n">
        <v>81690.6817689649</v>
      </c>
      <c r="I3465" s="9" t="n">
        <v>4.09430954132941</v>
      </c>
      <c r="J3465" s="9" t="n">
        <v>4.2631251959942</v>
      </c>
      <c r="K3465" s="3" t="s">
        <v>1203</v>
      </c>
      <c r="L3465" s="3" t="s">
        <v>999</v>
      </c>
      <c r="M3465" s="7" t="n">
        <v>2016</v>
      </c>
    </row>
    <row r="3466" customFormat="false" ht="15" hidden="false" customHeight="false" outlineLevel="0" collapsed="false">
      <c r="A3466" s="3" t="n">
        <v>4815</v>
      </c>
      <c r="B3466" s="3" t="s">
        <v>1202</v>
      </c>
      <c r="C3466" s="4" t="s">
        <v>17</v>
      </c>
      <c r="D3466" s="5" t="n">
        <v>13544</v>
      </c>
      <c r="E3466" s="6" t="n">
        <v>150.514879589015</v>
      </c>
      <c r="F3466" s="7" t="n">
        <v>73</v>
      </c>
      <c r="G3466" s="6" t="n">
        <v>336.483434827793</v>
      </c>
      <c r="H3466" s="8" t="n">
        <v>417670.157983043</v>
      </c>
      <c r="I3466" s="9" t="n">
        <v>6.74397162814535</v>
      </c>
      <c r="J3466" s="9" t="n">
        <v>22.2399813148824</v>
      </c>
      <c r="K3466" s="3" t="s">
        <v>1203</v>
      </c>
      <c r="L3466" s="3" t="s">
        <v>999</v>
      </c>
      <c r="M3466" s="7" t="n">
        <v>2017</v>
      </c>
    </row>
    <row r="3467" customFormat="false" ht="15" hidden="false" customHeight="false" outlineLevel="0" collapsed="false">
      <c r="A3467" s="3" t="n">
        <v>4816</v>
      </c>
      <c r="B3467" s="3" t="s">
        <v>1202</v>
      </c>
      <c r="C3467" s="4" t="s">
        <v>18</v>
      </c>
      <c r="D3467" s="5" t="n">
        <v>13606</v>
      </c>
      <c r="E3467" s="6" t="n">
        <v>148.9</v>
      </c>
      <c r="F3467" s="7" t="n">
        <v>78</v>
      </c>
      <c r="G3467" s="6" t="n">
        <v>153.281173768469</v>
      </c>
      <c r="H3467" s="8" t="n">
        <v>208281.524540071</v>
      </c>
      <c r="I3467" s="9" t="n">
        <v>3.15296953013762</v>
      </c>
      <c r="J3467" s="9" t="n">
        <v>10.0850028497506</v>
      </c>
      <c r="K3467" s="3" t="s">
        <v>1203</v>
      </c>
      <c r="L3467" s="3" t="s">
        <v>999</v>
      </c>
      <c r="M3467" s="7" t="n">
        <v>2018</v>
      </c>
    </row>
    <row r="3468" customFormat="false" ht="15" hidden="false" customHeight="false" outlineLevel="0" collapsed="false">
      <c r="A3468" s="3" t="n">
        <v>4817</v>
      </c>
      <c r="B3468" s="3" t="s">
        <v>1202</v>
      </c>
      <c r="C3468" s="4" t="s">
        <v>19</v>
      </c>
      <c r="D3468" s="5" t="n">
        <v>13647</v>
      </c>
      <c r="E3468" s="6" t="n">
        <v>150.543</v>
      </c>
      <c r="F3468" s="7" t="n">
        <v>71</v>
      </c>
      <c r="G3468" s="6" t="n">
        <v>23.6107338642652</v>
      </c>
      <c r="H3468" s="8" t="n">
        <v>32082.7373894409</v>
      </c>
      <c r="I3468" s="9" t="n">
        <v>2.54492488706942</v>
      </c>
      <c r="J3468" s="9" t="n">
        <v>1.54878084552751</v>
      </c>
      <c r="K3468" s="3" t="s">
        <v>1203</v>
      </c>
      <c r="L3468" s="3" t="s">
        <v>999</v>
      </c>
      <c r="M3468" s="7" t="n">
        <v>2019</v>
      </c>
    </row>
    <row r="3469" customFormat="false" ht="15" hidden="false" customHeight="false" outlineLevel="0" collapsed="false">
      <c r="A3469" s="3" t="n">
        <v>4818</v>
      </c>
      <c r="B3469" s="3" t="s">
        <v>1202</v>
      </c>
      <c r="C3469" s="4" t="s">
        <v>20</v>
      </c>
      <c r="D3469" s="5" t="n">
        <v>13691</v>
      </c>
      <c r="E3469" s="6" t="n">
        <v>143</v>
      </c>
      <c r="F3469" s="7" t="n">
        <v>70</v>
      </c>
      <c r="G3469" s="6" t="n">
        <v>268.37459926396</v>
      </c>
      <c r="H3469" s="8" t="n">
        <v>366991.529509494</v>
      </c>
      <c r="I3469" s="9" t="n">
        <v>6.19994759047681</v>
      </c>
      <c r="J3469" s="9" t="n">
        <v>17.4997736828935</v>
      </c>
      <c r="K3469" s="3" t="s">
        <v>1203</v>
      </c>
      <c r="L3469" s="3" t="s">
        <v>999</v>
      </c>
      <c r="M3469" s="7" t="n">
        <v>2020</v>
      </c>
    </row>
    <row r="3470" customFormat="false" ht="15" hidden="false" customHeight="false" outlineLevel="0" collapsed="false">
      <c r="A3470" s="3" t="n">
        <v>4819</v>
      </c>
      <c r="B3470" s="3" t="s">
        <v>1202</v>
      </c>
      <c r="C3470" s="4" t="s">
        <v>21</v>
      </c>
      <c r="D3470" s="5" t="n">
        <v>13847</v>
      </c>
      <c r="E3470" s="6" t="n">
        <v>143</v>
      </c>
      <c r="F3470" s="7" t="n">
        <v>72</v>
      </c>
      <c r="G3470" s="6" t="n">
        <v>111.454240945415</v>
      </c>
      <c r="H3470" s="8" t="n">
        <v>152057.020921829</v>
      </c>
      <c r="I3470" s="9" t="n">
        <v>3.79937954474254</v>
      </c>
      <c r="J3470" s="9" t="n">
        <v>7.20540805567922</v>
      </c>
      <c r="K3470" s="3" t="s">
        <v>1203</v>
      </c>
      <c r="L3470" s="3" t="s">
        <v>999</v>
      </c>
      <c r="M3470" s="7" t="n">
        <v>2021</v>
      </c>
    </row>
    <row r="3471" customFormat="false" ht="15" hidden="false" customHeight="false" outlineLevel="0" collapsed="false">
      <c r="A3471" s="3" t="n">
        <v>4820</v>
      </c>
      <c r="B3471" s="3" t="s">
        <v>1202</v>
      </c>
      <c r="C3471" s="4" t="s">
        <v>22</v>
      </c>
      <c r="D3471" s="5" t="n">
        <v>13907</v>
      </c>
      <c r="E3471" s="6" t="n">
        <v>143.2</v>
      </c>
      <c r="F3471" s="7" t="n">
        <v>72</v>
      </c>
      <c r="G3471" s="6" t="n">
        <v>39.1274932453555</v>
      </c>
      <c r="H3471" s="8" t="n">
        <v>54824.3998228806</v>
      </c>
      <c r="I3471" s="9" t="n">
        <v>3.0521253481709</v>
      </c>
      <c r="J3471" s="9" t="n">
        <v>2.51864086184212</v>
      </c>
      <c r="K3471" s="3" t="s">
        <v>1203</v>
      </c>
      <c r="L3471" s="3" t="s">
        <v>999</v>
      </c>
      <c r="M3471" s="7" t="n">
        <v>2022</v>
      </c>
    </row>
    <row r="3472" customFormat="false" ht="15" hidden="false" customHeight="false" outlineLevel="0" collapsed="false">
      <c r="A3472" s="3" t="n">
        <v>4821</v>
      </c>
      <c r="B3472" s="3" t="s">
        <v>1202</v>
      </c>
      <c r="C3472" s="4" t="s">
        <v>23</v>
      </c>
      <c r="D3472" s="5" t="n">
        <v>13912</v>
      </c>
      <c r="E3472" s="6" t="n">
        <v>143.297737044769</v>
      </c>
      <c r="F3472" s="7" t="n">
        <v>60</v>
      </c>
      <c r="G3472" s="6" t="n">
        <v>210.623426911324</v>
      </c>
      <c r="H3472" s="8" t="n">
        <v>328226.866920276</v>
      </c>
      <c r="I3472" s="9" t="n">
        <v>6.18034048233847</v>
      </c>
      <c r="J3472" s="9" t="n">
        <v>13.5529794584962</v>
      </c>
      <c r="K3472" s="3" t="s">
        <v>1203</v>
      </c>
      <c r="L3472" s="3" t="s">
        <v>999</v>
      </c>
      <c r="M3472" s="7" t="n">
        <v>2023</v>
      </c>
    </row>
    <row r="3473" customFormat="false" ht="15" hidden="false" customHeight="false" outlineLevel="0" collapsed="false">
      <c r="A3473" s="3" t="n">
        <v>4822</v>
      </c>
      <c r="B3473" s="3" t="s">
        <v>1202</v>
      </c>
      <c r="C3473" s="4" t="s">
        <v>24</v>
      </c>
      <c r="D3473" s="5" t="n">
        <v>13900</v>
      </c>
      <c r="E3473" s="6" t="n">
        <v>159.871183274621</v>
      </c>
      <c r="F3473" s="7" t="n">
        <v>60</v>
      </c>
      <c r="G3473" s="6" t="n">
        <v>264.204008273452</v>
      </c>
      <c r="H3473" s="8" t="n">
        <v>427827.78826225</v>
      </c>
      <c r="I3473" s="9" t="n">
        <v>6.89401849117341</v>
      </c>
      <c r="J3473" s="9" t="n">
        <v>16.9687868926604</v>
      </c>
      <c r="K3473" s="3" t="s">
        <v>1203</v>
      </c>
      <c r="L3473" s="3" t="s">
        <v>999</v>
      </c>
      <c r="M3473" s="7" t="n">
        <v>2024</v>
      </c>
    </row>
    <row r="3474" customFormat="false" ht="15" hidden="false" customHeight="false" outlineLevel="0" collapsed="false">
      <c r="A3474" s="3" t="n">
        <v>4823</v>
      </c>
      <c r="B3474" s="3" t="s">
        <v>1204</v>
      </c>
      <c r="C3474" s="4" t="s">
        <v>14</v>
      </c>
      <c r="D3474" s="5" t="n">
        <v>29761</v>
      </c>
      <c r="E3474" s="6" t="n">
        <v>440</v>
      </c>
      <c r="F3474" s="7" t="n">
        <v>59</v>
      </c>
      <c r="G3474" s="6" t="n">
        <v>696.851184343435</v>
      </c>
      <c r="H3474" s="8" t="n">
        <v>739635.688087672</v>
      </c>
      <c r="I3474" s="9" t="n">
        <v>6.45838334647965</v>
      </c>
      <c r="J3474" s="9" t="n">
        <v>20.9034859236569</v>
      </c>
      <c r="K3474" s="3" t="s">
        <v>1205</v>
      </c>
      <c r="L3474" s="3" t="s">
        <v>1185</v>
      </c>
      <c r="M3474" s="7" t="n">
        <v>2016</v>
      </c>
    </row>
    <row r="3475" customFormat="false" ht="15" hidden="false" customHeight="false" outlineLevel="0" collapsed="false">
      <c r="A3475" s="3" t="n">
        <v>4824</v>
      </c>
      <c r="B3475" s="3" t="s">
        <v>1204</v>
      </c>
      <c r="C3475" s="4" t="s">
        <v>41</v>
      </c>
      <c r="D3475" s="5" t="n">
        <v>7500</v>
      </c>
      <c r="E3475" s="6" t="n">
        <v>211.119318181818</v>
      </c>
      <c r="F3475" s="7" t="n">
        <v>64</v>
      </c>
      <c r="G3475" s="6" t="n">
        <v>185.695741939143</v>
      </c>
      <c r="H3475" s="8" t="n">
        <v>139901.355750897</v>
      </c>
      <c r="I3475" s="9" t="n">
        <v>4.68600031309549</v>
      </c>
      <c r="J3475" s="9" t="n">
        <v>22.1645213211032</v>
      </c>
      <c r="K3475" s="3" t="s">
        <v>1205</v>
      </c>
      <c r="L3475" s="3" t="s">
        <v>1185</v>
      </c>
      <c r="M3475" s="7" t="n">
        <v>2016</v>
      </c>
    </row>
    <row r="3476" customFormat="false" ht="15" hidden="false" customHeight="false" outlineLevel="0" collapsed="false">
      <c r="A3476" s="3" t="n">
        <v>4825</v>
      </c>
      <c r="B3476" s="3" t="s">
        <v>1204</v>
      </c>
      <c r="C3476" s="4" t="s">
        <v>42</v>
      </c>
      <c r="D3476" s="5" t="n">
        <v>8450</v>
      </c>
      <c r="E3476" s="6" t="n">
        <v>211.119318181818</v>
      </c>
      <c r="F3476" s="7" t="n">
        <v>61</v>
      </c>
      <c r="G3476" s="6" t="n">
        <v>453.472442830769</v>
      </c>
      <c r="H3476" s="8" t="n">
        <v>399459.340165196</v>
      </c>
      <c r="I3476" s="9" t="n">
        <v>8.60316515074355</v>
      </c>
      <c r="J3476" s="9" t="n">
        <v>48.0409808728945</v>
      </c>
      <c r="K3476" s="3" t="s">
        <v>1205</v>
      </c>
      <c r="L3476" s="3" t="s">
        <v>1185</v>
      </c>
      <c r="M3476" s="7" t="n">
        <v>2017</v>
      </c>
    </row>
    <row r="3477" customFormat="false" ht="15" hidden="false" customHeight="false" outlineLevel="0" collapsed="false">
      <c r="A3477" s="3" t="n">
        <v>4826</v>
      </c>
      <c r="B3477" s="3" t="s">
        <v>1204</v>
      </c>
      <c r="C3477" s="4" t="s">
        <v>43</v>
      </c>
      <c r="D3477" s="5" t="n">
        <v>8664</v>
      </c>
      <c r="E3477" s="6" t="n">
        <v>211.119318181818</v>
      </c>
      <c r="F3477" s="7" t="n">
        <v>69</v>
      </c>
      <c r="G3477" s="6" t="n">
        <v>349.941832746998</v>
      </c>
      <c r="H3477" s="8" t="n">
        <v>370871.853763596</v>
      </c>
      <c r="I3477" s="9" t="n">
        <v>7.96056409932468</v>
      </c>
      <c r="J3477" s="9" t="n">
        <v>36.1572250915884</v>
      </c>
      <c r="K3477" s="3" t="s">
        <v>1205</v>
      </c>
      <c r="L3477" s="3" t="s">
        <v>1185</v>
      </c>
      <c r="M3477" s="7" t="n">
        <v>2018</v>
      </c>
    </row>
    <row r="3478" customFormat="false" ht="15" hidden="false" customHeight="false" outlineLevel="0" collapsed="false">
      <c r="A3478" s="3" t="n">
        <v>4827</v>
      </c>
      <c r="B3478" s="3" t="s">
        <v>1204</v>
      </c>
      <c r="C3478" s="4" t="s">
        <v>44</v>
      </c>
      <c r="D3478" s="5" t="n">
        <v>8761</v>
      </c>
      <c r="E3478" s="6" t="n">
        <v>211.1</v>
      </c>
      <c r="F3478" s="7" t="n">
        <v>67</v>
      </c>
      <c r="G3478" s="6" t="n">
        <v>461.437223469389</v>
      </c>
      <c r="H3478" s="8" t="n">
        <v>528465.594550552</v>
      </c>
      <c r="I3478" s="9" t="n">
        <v>8.69742989881295</v>
      </c>
      <c r="J3478" s="9" t="n">
        <v>47.020272191585</v>
      </c>
      <c r="K3478" s="3" t="s">
        <v>1205</v>
      </c>
      <c r="L3478" s="3" t="s">
        <v>1185</v>
      </c>
      <c r="M3478" s="7" t="n">
        <v>2019</v>
      </c>
    </row>
    <row r="3479" customFormat="false" ht="15" hidden="false" customHeight="false" outlineLevel="0" collapsed="false">
      <c r="A3479" s="3" t="n">
        <v>4828</v>
      </c>
      <c r="B3479" s="3" t="s">
        <v>1204</v>
      </c>
      <c r="C3479" s="4" t="s">
        <v>46</v>
      </c>
      <c r="D3479" s="5" t="n">
        <v>8948</v>
      </c>
      <c r="E3479" s="6" t="n">
        <v>170</v>
      </c>
      <c r="F3479" s="7" t="n">
        <v>62</v>
      </c>
      <c r="G3479" s="6" t="n">
        <v>325.945995663265</v>
      </c>
      <c r="H3479" s="8" t="n">
        <v>534864.341043592</v>
      </c>
      <c r="I3479" s="9" t="n">
        <v>6.83242573492288</v>
      </c>
      <c r="J3479" s="9" t="n">
        <v>32.6089901091749</v>
      </c>
      <c r="K3479" s="3" t="s">
        <v>1205</v>
      </c>
      <c r="L3479" s="3" t="s">
        <v>1185</v>
      </c>
      <c r="M3479" s="7" t="n">
        <v>2021</v>
      </c>
    </row>
    <row r="3480" customFormat="false" ht="15" hidden="false" customHeight="false" outlineLevel="0" collapsed="false">
      <c r="A3480" s="3" t="n">
        <v>4829</v>
      </c>
      <c r="B3480" s="3" t="s">
        <v>1204</v>
      </c>
      <c r="C3480" s="4" t="s">
        <v>47</v>
      </c>
      <c r="D3480" s="5" t="n">
        <v>10501</v>
      </c>
      <c r="E3480" s="6" t="n">
        <v>187</v>
      </c>
      <c r="F3480" s="7" t="n">
        <v>67</v>
      </c>
      <c r="G3480" s="6" t="n">
        <v>286.662959693877</v>
      </c>
      <c r="H3480" s="8" t="n">
        <v>316088.912506454</v>
      </c>
      <c r="I3480" s="9" t="n">
        <v>7.67710714236149</v>
      </c>
      <c r="J3480" s="9" t="n">
        <v>24.4376025096536</v>
      </c>
      <c r="K3480" s="3" t="s">
        <v>1205</v>
      </c>
      <c r="L3480" s="3" t="s">
        <v>1185</v>
      </c>
      <c r="M3480" s="7" t="n">
        <v>2022</v>
      </c>
    </row>
    <row r="3481" customFormat="false" ht="15" hidden="false" customHeight="false" outlineLevel="0" collapsed="false">
      <c r="A3481" s="3" t="n">
        <v>4830</v>
      </c>
      <c r="B3481" s="3" t="s">
        <v>1204</v>
      </c>
      <c r="C3481" s="4" t="s">
        <v>48</v>
      </c>
      <c r="D3481" s="5" t="n">
        <v>10590</v>
      </c>
      <c r="E3481" s="6" t="n">
        <v>187</v>
      </c>
      <c r="F3481" s="7" t="n">
        <v>65</v>
      </c>
      <c r="G3481" s="6" t="n">
        <v>266.293876632653</v>
      </c>
      <c r="H3481" s="8" t="n">
        <v>328606.643764693</v>
      </c>
      <c r="I3481" s="9" t="n">
        <v>6.97680463249326</v>
      </c>
      <c r="J3481" s="9" t="n">
        <v>22.4487112408001</v>
      </c>
      <c r="K3481" s="3" t="s">
        <v>1205</v>
      </c>
      <c r="L3481" s="3" t="s">
        <v>1185</v>
      </c>
      <c r="M3481" s="7" t="n">
        <v>2023</v>
      </c>
    </row>
    <row r="3482" customFormat="false" ht="15" hidden="false" customHeight="false" outlineLevel="0" collapsed="false">
      <c r="A3482" s="3" t="n">
        <v>4831</v>
      </c>
      <c r="B3482" s="3" t="s">
        <v>1204</v>
      </c>
      <c r="C3482" s="4" t="s">
        <v>49</v>
      </c>
      <c r="D3482" s="5" t="n">
        <v>10426</v>
      </c>
      <c r="E3482" s="6" t="n">
        <v>187</v>
      </c>
      <c r="F3482" s="7" t="n">
        <v>68</v>
      </c>
      <c r="G3482" s="6" t="n">
        <v>443.292496652241</v>
      </c>
      <c r="H3482" s="8" t="n">
        <v>554835.869999659</v>
      </c>
      <c r="I3482" s="9" t="n">
        <v>8.59796434736083</v>
      </c>
      <c r="J3482" s="9" t="n">
        <v>38.061888633928</v>
      </c>
      <c r="K3482" s="3" t="s">
        <v>1205</v>
      </c>
      <c r="L3482" s="3" t="s">
        <v>1185</v>
      </c>
      <c r="M3482" s="7" t="n">
        <v>2024</v>
      </c>
    </row>
    <row r="3483" customFormat="false" ht="15" hidden="false" customHeight="false" outlineLevel="0" collapsed="false">
      <c r="A3483" s="3" t="n">
        <v>4853</v>
      </c>
      <c r="B3483" s="3" t="s">
        <v>1206</v>
      </c>
      <c r="C3483" s="4" t="s">
        <v>41</v>
      </c>
      <c r="D3483" s="5" t="n">
        <v>16852</v>
      </c>
      <c r="E3483" s="6" t="n">
        <v>187.32</v>
      </c>
      <c r="F3483" s="7" t="n">
        <v>62</v>
      </c>
      <c r="G3483" s="6" t="n">
        <v>613.013095631581</v>
      </c>
      <c r="H3483" s="8" t="n">
        <v>124718.515883201</v>
      </c>
      <c r="I3483" s="9" t="n">
        <v>9.09356001353031</v>
      </c>
      <c r="J3483" s="9" t="n">
        <v>32.5638673051241</v>
      </c>
      <c r="K3483" s="3" t="s">
        <v>1207</v>
      </c>
      <c r="L3483" s="3" t="s">
        <v>1208</v>
      </c>
      <c r="M3483" s="7" t="n">
        <v>2016</v>
      </c>
    </row>
    <row r="3484" customFormat="false" ht="15" hidden="false" customHeight="false" outlineLevel="0" collapsed="false">
      <c r="A3484" s="3" t="n">
        <v>4854</v>
      </c>
      <c r="B3484" s="3" t="s">
        <v>1206</v>
      </c>
      <c r="C3484" s="4" t="s">
        <v>42</v>
      </c>
      <c r="D3484" s="5" t="n">
        <v>17086</v>
      </c>
      <c r="E3484" s="6" t="n">
        <v>194.32</v>
      </c>
      <c r="F3484" s="7" t="n">
        <v>63</v>
      </c>
      <c r="G3484" s="6" t="n">
        <v>690.847688947504</v>
      </c>
      <c r="H3484" s="8" t="n">
        <v>181880.348050234</v>
      </c>
      <c r="I3484" s="9" t="n">
        <v>8.90609114851227</v>
      </c>
      <c r="J3484" s="9" t="n">
        <v>36.1959168246532</v>
      </c>
      <c r="K3484" s="3" t="s">
        <v>1207</v>
      </c>
      <c r="L3484" s="3" t="s">
        <v>1208</v>
      </c>
      <c r="M3484" s="7" t="n">
        <v>2017</v>
      </c>
    </row>
    <row r="3485" customFormat="false" ht="15" hidden="false" customHeight="false" outlineLevel="0" collapsed="false">
      <c r="A3485" s="3" t="n">
        <v>4855</v>
      </c>
      <c r="B3485" s="3" t="s">
        <v>1206</v>
      </c>
      <c r="C3485" s="4" t="s">
        <v>43</v>
      </c>
      <c r="D3485" s="5" t="n">
        <v>17367</v>
      </c>
      <c r="E3485" s="6" t="n">
        <v>194.32</v>
      </c>
      <c r="F3485" s="7" t="n">
        <v>67</v>
      </c>
      <c r="G3485" s="6" t="n">
        <v>838.008510596917</v>
      </c>
      <c r="H3485" s="8" t="n">
        <v>233484.966544442</v>
      </c>
      <c r="I3485" s="9" t="n">
        <v>10.5126084648901</v>
      </c>
      <c r="J3485" s="9" t="n">
        <v>43.1957778941804</v>
      </c>
      <c r="K3485" s="3" t="s">
        <v>1207</v>
      </c>
      <c r="L3485" s="3" t="s">
        <v>1208</v>
      </c>
      <c r="M3485" s="7" t="n">
        <v>2018</v>
      </c>
    </row>
    <row r="3486" customFormat="false" ht="15" hidden="false" customHeight="false" outlineLevel="0" collapsed="false">
      <c r="A3486" s="3" t="n">
        <v>4856</v>
      </c>
      <c r="B3486" s="3" t="s">
        <v>1206</v>
      </c>
      <c r="C3486" s="4" t="s">
        <v>44</v>
      </c>
      <c r="D3486" s="5" t="n">
        <v>17264</v>
      </c>
      <c r="E3486" s="6" t="n">
        <v>195.33</v>
      </c>
      <c r="F3486" s="7" t="n">
        <v>67</v>
      </c>
      <c r="G3486" s="6" t="n">
        <v>781.653287494015</v>
      </c>
      <c r="H3486" s="8" t="n">
        <v>308414.115804445</v>
      </c>
      <c r="I3486" s="9" t="n">
        <v>9.09556264076989</v>
      </c>
      <c r="J3486" s="9" t="n">
        <v>40.4202434685865</v>
      </c>
      <c r="K3486" s="3" t="s">
        <v>1207</v>
      </c>
      <c r="L3486" s="3" t="s">
        <v>1208</v>
      </c>
      <c r="M3486" s="7" t="n">
        <v>2019</v>
      </c>
    </row>
    <row r="3487" customFormat="false" ht="15" hidden="false" customHeight="false" outlineLevel="0" collapsed="false">
      <c r="A3487" s="3" t="n">
        <v>4857</v>
      </c>
      <c r="B3487" s="3" t="s">
        <v>1206</v>
      </c>
      <c r="C3487" s="4" t="s">
        <v>45</v>
      </c>
      <c r="D3487" s="5" t="n">
        <v>17220</v>
      </c>
      <c r="E3487" s="6" t="n">
        <v>195.33</v>
      </c>
      <c r="F3487" s="7" t="n">
        <v>65</v>
      </c>
      <c r="G3487" s="6" t="n">
        <v>614.947881641095</v>
      </c>
      <c r="H3487" s="8" t="n">
        <v>134169.338612497</v>
      </c>
      <c r="I3487" s="9" t="n">
        <v>7.63025450386045</v>
      </c>
      <c r="J3487" s="9" t="n">
        <v>31.9685425490154</v>
      </c>
      <c r="K3487" s="3" t="s">
        <v>1207</v>
      </c>
      <c r="L3487" s="3" t="s">
        <v>1208</v>
      </c>
      <c r="M3487" s="7" t="n">
        <v>2020</v>
      </c>
    </row>
    <row r="3488" customFormat="false" ht="15" hidden="false" customHeight="false" outlineLevel="0" collapsed="false">
      <c r="A3488" s="3" t="n">
        <v>4858</v>
      </c>
      <c r="B3488" s="3" t="s">
        <v>1206</v>
      </c>
      <c r="C3488" s="4" t="s">
        <v>46</v>
      </c>
      <c r="D3488" s="5" t="n">
        <v>17273</v>
      </c>
      <c r="E3488" s="6" t="n">
        <v>195.9</v>
      </c>
      <c r="F3488" s="7" t="n">
        <v>66</v>
      </c>
      <c r="G3488" s="6" t="n">
        <v>736.29525025451</v>
      </c>
      <c r="H3488" s="8" t="n">
        <v>201429.335485061</v>
      </c>
      <c r="I3488" s="9" t="n">
        <v>9.45104402669768</v>
      </c>
      <c r="J3488" s="9" t="n">
        <v>38.1594318883442</v>
      </c>
      <c r="K3488" s="3" t="s">
        <v>1207</v>
      </c>
      <c r="L3488" s="3" t="s">
        <v>1208</v>
      </c>
      <c r="M3488" s="7" t="n">
        <v>2021</v>
      </c>
    </row>
    <row r="3489" customFormat="false" ht="15" hidden="false" customHeight="false" outlineLevel="0" collapsed="false">
      <c r="A3489" s="3" t="n">
        <v>4859</v>
      </c>
      <c r="B3489" s="3" t="s">
        <v>1206</v>
      </c>
      <c r="C3489" s="4" t="s">
        <v>47</v>
      </c>
      <c r="D3489" s="5" t="n">
        <v>17320</v>
      </c>
      <c r="E3489" s="6" t="n">
        <v>201.63</v>
      </c>
      <c r="F3489" s="7" t="n">
        <v>56</v>
      </c>
      <c r="G3489" s="6" t="n">
        <v>508.060522901012</v>
      </c>
      <c r="H3489" s="8" t="n">
        <v>248907.432763199</v>
      </c>
      <c r="I3489" s="9" t="n">
        <v>7.64378035003838</v>
      </c>
      <c r="J3489" s="9" t="n">
        <v>26.2594265423663</v>
      </c>
      <c r="K3489" s="3" t="s">
        <v>1207</v>
      </c>
      <c r="L3489" s="3" t="s">
        <v>1208</v>
      </c>
      <c r="M3489" s="7" t="n">
        <v>2022</v>
      </c>
    </row>
    <row r="3490" customFormat="false" ht="15" hidden="false" customHeight="false" outlineLevel="0" collapsed="false">
      <c r="A3490" s="3" t="n">
        <v>4860</v>
      </c>
      <c r="B3490" s="3" t="s">
        <v>1206</v>
      </c>
      <c r="C3490" s="4" t="s">
        <v>48</v>
      </c>
      <c r="D3490" s="5" t="n">
        <v>17320</v>
      </c>
      <c r="E3490" s="6" t="n">
        <v>201.63</v>
      </c>
      <c r="F3490" s="7" t="n">
        <v>70</v>
      </c>
      <c r="G3490" s="6" t="n">
        <v>470.814934742715</v>
      </c>
      <c r="H3490" s="8" t="n">
        <v>393541.416185024</v>
      </c>
      <c r="I3490" s="9" t="n">
        <v>7.1194846837988</v>
      </c>
      <c r="J3490" s="9" t="n">
        <v>24.2676954824336</v>
      </c>
      <c r="K3490" s="3" t="s">
        <v>1207</v>
      </c>
      <c r="L3490" s="3" t="s">
        <v>1208</v>
      </c>
      <c r="M3490" s="7" t="n">
        <v>2023</v>
      </c>
    </row>
    <row r="3491" customFormat="false" ht="15" hidden="false" customHeight="false" outlineLevel="0" collapsed="false">
      <c r="A3491" s="3" t="n">
        <v>4861</v>
      </c>
      <c r="B3491" s="3" t="s">
        <v>1206</v>
      </c>
      <c r="C3491" s="4" t="s">
        <v>49</v>
      </c>
      <c r="D3491" s="5" t="n">
        <v>17326</v>
      </c>
      <c r="E3491" s="6" t="n">
        <v>201.74</v>
      </c>
      <c r="F3491" s="7" t="n">
        <v>65</v>
      </c>
      <c r="G3491" s="6" t="n">
        <v>425.277605350477</v>
      </c>
      <c r="H3491" s="8" t="n">
        <v>127241.501260076</v>
      </c>
      <c r="I3491" s="9" t="n">
        <v>6.3207404494722</v>
      </c>
      <c r="J3491" s="9" t="n">
        <v>21.9731276283402</v>
      </c>
      <c r="K3491" s="3" t="s">
        <v>1207</v>
      </c>
      <c r="L3491" s="3" t="s">
        <v>1208</v>
      </c>
      <c r="M3491" s="7" t="n">
        <v>2024</v>
      </c>
    </row>
    <row r="3492" customFormat="false" ht="15" hidden="false" customHeight="false" outlineLevel="0" collapsed="false">
      <c r="A3492" s="3" t="n">
        <v>4862</v>
      </c>
      <c r="B3492" s="3" t="s">
        <v>1209</v>
      </c>
      <c r="C3492" s="4" t="s">
        <v>14</v>
      </c>
      <c r="D3492" s="5" t="n">
        <v>13102</v>
      </c>
      <c r="E3492" s="6" t="n">
        <v>200</v>
      </c>
      <c r="F3492" s="7" t="n">
        <v>49</v>
      </c>
      <c r="G3492" s="6" t="n">
        <v>4713.18674378739</v>
      </c>
      <c r="H3492" s="8" t="n">
        <v>395229.606991854</v>
      </c>
      <c r="I3492" s="9" t="n">
        <v>43.7369966854078</v>
      </c>
      <c r="J3492" s="9" t="n">
        <v>321.146539093658</v>
      </c>
      <c r="K3492" s="3" t="s">
        <v>1210</v>
      </c>
      <c r="L3492" s="3" t="s">
        <v>1211</v>
      </c>
      <c r="M3492" s="7" t="n">
        <v>2016</v>
      </c>
    </row>
    <row r="3493" customFormat="false" ht="15" hidden="false" customHeight="false" outlineLevel="0" collapsed="false">
      <c r="A3493" s="3" t="n">
        <v>4863</v>
      </c>
      <c r="B3493" s="3" t="s">
        <v>1209</v>
      </c>
      <c r="C3493" s="4" t="s">
        <v>17</v>
      </c>
      <c r="D3493" s="5" t="n">
        <v>14899</v>
      </c>
      <c r="E3493" s="6" t="n">
        <v>200</v>
      </c>
      <c r="F3493" s="7" t="n">
        <v>63</v>
      </c>
      <c r="G3493" s="6" t="n">
        <v>4886.84890597301</v>
      </c>
      <c r="H3493" s="8" t="n">
        <v>409800.105908775</v>
      </c>
      <c r="I3493" s="9" t="n">
        <v>43.5048480827491</v>
      </c>
      <c r="J3493" s="9" t="n">
        <v>293.622590434975</v>
      </c>
      <c r="K3493" s="3" t="s">
        <v>1210</v>
      </c>
      <c r="L3493" s="3" t="s">
        <v>1211</v>
      </c>
      <c r="M3493" s="7" t="n">
        <v>2017</v>
      </c>
    </row>
    <row r="3494" customFormat="false" ht="15" hidden="false" customHeight="false" outlineLevel="0" collapsed="false">
      <c r="A3494" s="3" t="n">
        <v>4864</v>
      </c>
      <c r="B3494" s="3" t="s">
        <v>1209</v>
      </c>
      <c r="C3494" s="4" t="s">
        <v>18</v>
      </c>
      <c r="D3494" s="5" t="n">
        <v>15101</v>
      </c>
      <c r="E3494" s="6" t="n">
        <v>200</v>
      </c>
      <c r="F3494" s="7" t="n">
        <v>51</v>
      </c>
      <c r="G3494" s="6" t="n">
        <v>1792.33549366268</v>
      </c>
      <c r="H3494" s="8" t="n">
        <v>180521.011451341</v>
      </c>
      <c r="I3494" s="9" t="n">
        <v>27.1508611495154</v>
      </c>
      <c r="J3494" s="9" t="n">
        <v>106.250570871421</v>
      </c>
      <c r="K3494" s="3" t="s">
        <v>1210</v>
      </c>
      <c r="L3494" s="3" t="s">
        <v>1211</v>
      </c>
      <c r="M3494" s="7" t="n">
        <v>2018</v>
      </c>
    </row>
    <row r="3495" customFormat="false" ht="15" hidden="false" customHeight="false" outlineLevel="0" collapsed="false">
      <c r="A3495" s="3" t="n">
        <v>4865</v>
      </c>
      <c r="B3495" s="3" t="s">
        <v>1209</v>
      </c>
      <c r="C3495" s="4" t="s">
        <v>19</v>
      </c>
      <c r="D3495" s="5" t="n">
        <v>15568</v>
      </c>
      <c r="E3495" s="6" t="n">
        <v>200</v>
      </c>
      <c r="F3495" s="7" t="n">
        <v>59</v>
      </c>
      <c r="G3495" s="6" t="n">
        <v>1678.1252191726</v>
      </c>
      <c r="H3495" s="8" t="n">
        <v>194078.715747862</v>
      </c>
      <c r="I3495" s="9" t="n">
        <v>22.7602881810447</v>
      </c>
      <c r="J3495" s="9" t="n">
        <v>96.4959787886625</v>
      </c>
      <c r="K3495" s="3" t="s">
        <v>1210</v>
      </c>
      <c r="L3495" s="3" t="s">
        <v>1211</v>
      </c>
      <c r="M3495" s="7" t="n">
        <v>2019</v>
      </c>
    </row>
    <row r="3496" customFormat="false" ht="15" hidden="false" customHeight="false" outlineLevel="0" collapsed="false">
      <c r="A3496" s="3" t="n">
        <v>4866</v>
      </c>
      <c r="B3496" s="3" t="s">
        <v>1209</v>
      </c>
      <c r="C3496" s="4" t="s">
        <v>20</v>
      </c>
      <c r="D3496" s="5" t="n">
        <v>16011</v>
      </c>
      <c r="E3496" s="6" t="n">
        <v>200</v>
      </c>
      <c r="F3496" s="7" t="n">
        <v>57</v>
      </c>
      <c r="G3496" s="6" t="n">
        <v>1241.08738835631</v>
      </c>
      <c r="H3496" s="8" t="n">
        <v>109593.240378922</v>
      </c>
      <c r="I3496" s="9" t="n">
        <v>20.2371041195321</v>
      </c>
      <c r="J3496" s="9" t="n">
        <v>69.2006380174062</v>
      </c>
      <c r="K3496" s="3" t="s">
        <v>1210</v>
      </c>
      <c r="L3496" s="3" t="s">
        <v>1211</v>
      </c>
      <c r="M3496" s="7" t="n">
        <v>2020</v>
      </c>
    </row>
    <row r="3497" customFormat="false" ht="15" hidden="false" customHeight="false" outlineLevel="0" collapsed="false">
      <c r="A3497" s="3" t="n">
        <v>4867</v>
      </c>
      <c r="B3497" s="3" t="s">
        <v>1209</v>
      </c>
      <c r="C3497" s="4" t="s">
        <v>21</v>
      </c>
      <c r="D3497" s="5" t="n">
        <v>15821</v>
      </c>
      <c r="E3497" s="6" t="n">
        <v>200</v>
      </c>
      <c r="F3497" s="7" t="n">
        <v>65</v>
      </c>
      <c r="G3497" s="6" t="n">
        <v>1392.26011030822</v>
      </c>
      <c r="H3497" s="8" t="n">
        <v>194066.10358425</v>
      </c>
      <c r="I3497" s="9" t="n">
        <v>15.1446935247754</v>
      </c>
      <c r="J3497" s="9" t="n">
        <v>78.7778500692229</v>
      </c>
      <c r="K3497" s="3" t="s">
        <v>1210</v>
      </c>
      <c r="L3497" s="3" t="s">
        <v>1211</v>
      </c>
      <c r="M3497" s="7" t="n">
        <v>2021</v>
      </c>
    </row>
    <row r="3498" customFormat="false" ht="15" hidden="false" customHeight="false" outlineLevel="0" collapsed="false">
      <c r="A3498" s="3" t="n">
        <v>4868</v>
      </c>
      <c r="B3498" s="3" t="s">
        <v>1209</v>
      </c>
      <c r="C3498" s="4" t="s">
        <v>22</v>
      </c>
      <c r="D3498" s="5" t="n">
        <v>15568</v>
      </c>
      <c r="E3498" s="6" t="n">
        <v>200</v>
      </c>
      <c r="F3498" s="7" t="n">
        <v>66</v>
      </c>
      <c r="G3498" s="6" t="n">
        <v>1320.56363565712</v>
      </c>
      <c r="H3498" s="8" t="n">
        <v>184072.38518835</v>
      </c>
      <c r="I3498" s="9" t="n">
        <v>16.0201201151827</v>
      </c>
      <c r="J3498" s="9" t="n">
        <v>75.9353826040928</v>
      </c>
      <c r="K3498" s="3" t="s">
        <v>1210</v>
      </c>
      <c r="L3498" s="3" t="s">
        <v>1211</v>
      </c>
      <c r="M3498" s="7" t="n">
        <v>2022</v>
      </c>
    </row>
    <row r="3499" customFormat="false" ht="15" hidden="false" customHeight="false" outlineLevel="0" collapsed="false">
      <c r="A3499" s="3" t="n">
        <v>4869</v>
      </c>
      <c r="B3499" s="3" t="s">
        <v>1209</v>
      </c>
      <c r="C3499" s="4" t="s">
        <v>23</v>
      </c>
      <c r="D3499" s="5" t="n">
        <v>15281</v>
      </c>
      <c r="E3499" s="6" t="n">
        <v>200</v>
      </c>
      <c r="F3499" s="7" t="n">
        <v>66</v>
      </c>
      <c r="G3499" s="6" t="n">
        <v>1062.33722644881</v>
      </c>
      <c r="H3499" s="8" t="n">
        <v>153388.902932415</v>
      </c>
      <c r="I3499" s="9" t="n">
        <v>14.5447968085216</v>
      </c>
      <c r="J3499" s="9" t="n">
        <v>62.2340836202487</v>
      </c>
      <c r="K3499" s="3" t="s">
        <v>1210</v>
      </c>
      <c r="L3499" s="3" t="s">
        <v>1211</v>
      </c>
      <c r="M3499" s="7" t="n">
        <v>2023</v>
      </c>
    </row>
    <row r="3500" customFormat="false" ht="15" hidden="false" customHeight="false" outlineLevel="0" collapsed="false">
      <c r="A3500" s="3" t="n">
        <v>4870</v>
      </c>
      <c r="B3500" s="3" t="s">
        <v>1209</v>
      </c>
      <c r="C3500" s="4" t="s">
        <v>24</v>
      </c>
      <c r="D3500" s="5" t="n">
        <v>15362</v>
      </c>
      <c r="E3500" s="6" t="n">
        <v>200</v>
      </c>
      <c r="F3500" s="7" t="n">
        <v>65</v>
      </c>
      <c r="G3500" s="6" t="n">
        <v>1378.75451264548</v>
      </c>
      <c r="H3500" s="8" t="n">
        <v>361265.752578245</v>
      </c>
      <c r="I3500" s="9" t="n">
        <v>17.6828352562944</v>
      </c>
      <c r="J3500" s="9" t="n">
        <v>80.1245087415562</v>
      </c>
      <c r="K3500" s="3" t="s">
        <v>1210</v>
      </c>
      <c r="L3500" s="3" t="s">
        <v>1211</v>
      </c>
      <c r="M3500" s="7" t="n">
        <v>2024</v>
      </c>
    </row>
    <row r="3501" customFormat="false" ht="15" hidden="false" customHeight="false" outlineLevel="0" collapsed="false">
      <c r="A3501" s="3" t="n">
        <v>4871</v>
      </c>
      <c r="B3501" s="3" t="s">
        <v>1212</v>
      </c>
      <c r="C3501" s="4" t="s">
        <v>14</v>
      </c>
      <c r="D3501" s="5" t="n">
        <v>15942</v>
      </c>
      <c r="E3501" s="6" t="n">
        <v>269.5</v>
      </c>
      <c r="F3501" s="7" t="n">
        <v>66</v>
      </c>
      <c r="G3501" s="6" t="n">
        <v>490.677104772735</v>
      </c>
      <c r="H3501" s="8" t="n">
        <v>508639.221213694</v>
      </c>
      <c r="I3501" s="9" t="n">
        <v>11.8562451783007</v>
      </c>
      <c r="J3501" s="9" t="n">
        <v>27.4776244137224</v>
      </c>
      <c r="K3501" s="3" t="s">
        <v>1213</v>
      </c>
      <c r="L3501" s="3" t="s">
        <v>1214</v>
      </c>
      <c r="M3501" s="7" t="n">
        <v>2016</v>
      </c>
    </row>
    <row r="3502" customFormat="false" ht="15" hidden="false" customHeight="false" outlineLevel="0" collapsed="false">
      <c r="A3502" s="3" t="n">
        <v>4872</v>
      </c>
      <c r="B3502" s="3" t="s">
        <v>1212</v>
      </c>
      <c r="C3502" s="4" t="s">
        <v>17</v>
      </c>
      <c r="D3502" s="5" t="n">
        <v>16058</v>
      </c>
      <c r="E3502" s="6" t="n">
        <v>278.1</v>
      </c>
      <c r="F3502" s="7" t="n">
        <v>73</v>
      </c>
      <c r="G3502" s="6" t="n">
        <v>798.463727405475</v>
      </c>
      <c r="H3502" s="8" t="n">
        <v>662364.045851849</v>
      </c>
      <c r="I3502" s="9" t="n">
        <v>10.9095339313952</v>
      </c>
      <c r="J3502" s="9" t="n">
        <v>44.5124411711532</v>
      </c>
      <c r="K3502" s="3" t="s">
        <v>1213</v>
      </c>
      <c r="L3502" s="3" t="s">
        <v>1214</v>
      </c>
      <c r="M3502" s="7" t="n">
        <v>2017</v>
      </c>
    </row>
    <row r="3503" customFormat="false" ht="15" hidden="false" customHeight="false" outlineLevel="0" collapsed="false">
      <c r="A3503" s="3" t="n">
        <v>4873</v>
      </c>
      <c r="B3503" s="3" t="s">
        <v>1212</v>
      </c>
      <c r="C3503" s="4" t="s">
        <v>18</v>
      </c>
      <c r="D3503" s="5" t="n">
        <v>16149</v>
      </c>
      <c r="E3503" s="6" t="n">
        <v>283.6</v>
      </c>
      <c r="F3503" s="7" t="n">
        <v>75</v>
      </c>
      <c r="G3503" s="6" t="n">
        <v>98.6666213045337</v>
      </c>
      <c r="H3503" s="8" t="n">
        <v>58725.6641334857</v>
      </c>
      <c r="I3503" s="9" t="n">
        <v>2.84059187107781</v>
      </c>
      <c r="J3503" s="9" t="n">
        <v>5.46943287385937</v>
      </c>
      <c r="K3503" s="3" t="s">
        <v>1213</v>
      </c>
      <c r="L3503" s="3" t="s">
        <v>1214</v>
      </c>
      <c r="M3503" s="7" t="n">
        <v>2018</v>
      </c>
    </row>
    <row r="3504" customFormat="false" ht="15" hidden="false" customHeight="false" outlineLevel="0" collapsed="false">
      <c r="A3504" s="3" t="n">
        <v>4874</v>
      </c>
      <c r="B3504" s="3" t="s">
        <v>1212</v>
      </c>
      <c r="C3504" s="4" t="s">
        <v>19</v>
      </c>
      <c r="D3504" s="5" t="n">
        <v>16753</v>
      </c>
      <c r="E3504" s="6" t="n">
        <v>283.3</v>
      </c>
      <c r="F3504" s="7" t="n">
        <v>71</v>
      </c>
      <c r="G3504" s="6" t="n">
        <v>1391.71188278453</v>
      </c>
      <c r="H3504" s="8" t="n">
        <v>1555939.95433564</v>
      </c>
      <c r="I3504" s="9" t="n">
        <v>16.3473507015929</v>
      </c>
      <c r="J3504" s="9" t="n">
        <v>74.36599984343</v>
      </c>
      <c r="K3504" s="3" t="s">
        <v>1213</v>
      </c>
      <c r="L3504" s="3" t="s">
        <v>1214</v>
      </c>
      <c r="M3504" s="7" t="n">
        <v>2019</v>
      </c>
    </row>
    <row r="3505" customFormat="false" ht="15" hidden="false" customHeight="false" outlineLevel="0" collapsed="false">
      <c r="A3505" s="3" t="n">
        <v>4875</v>
      </c>
      <c r="B3505" s="3" t="s">
        <v>1212</v>
      </c>
      <c r="C3505" s="4" t="s">
        <v>20</v>
      </c>
      <c r="D3505" s="5" t="n">
        <v>16767</v>
      </c>
      <c r="E3505" s="6" t="n">
        <v>284.2</v>
      </c>
      <c r="F3505" s="7" t="n">
        <v>75</v>
      </c>
      <c r="G3505" s="6" t="n">
        <v>892.418219140394</v>
      </c>
      <c r="H3505" s="8" t="n">
        <v>777973.438883689</v>
      </c>
      <c r="I3505" s="9" t="n">
        <v>10.3048042294429</v>
      </c>
      <c r="J3505" s="9" t="n">
        <v>47.5159325722357</v>
      </c>
      <c r="K3505" s="3" t="s">
        <v>1213</v>
      </c>
      <c r="L3505" s="3" t="s">
        <v>1214</v>
      </c>
      <c r="M3505" s="7" t="n">
        <v>2020</v>
      </c>
    </row>
    <row r="3506" customFormat="false" ht="15" hidden="false" customHeight="false" outlineLevel="0" collapsed="false">
      <c r="A3506" s="3" t="n">
        <v>4876</v>
      </c>
      <c r="B3506" s="3" t="s">
        <v>1212</v>
      </c>
      <c r="C3506" s="4" t="s">
        <v>21</v>
      </c>
      <c r="D3506" s="5" t="n">
        <v>16977</v>
      </c>
      <c r="E3506" s="6" t="n">
        <v>281.9</v>
      </c>
      <c r="F3506" s="7" t="n">
        <v>72</v>
      </c>
      <c r="G3506" s="6" t="n">
        <v>1109.53082786371</v>
      </c>
      <c r="H3506" s="8" t="n">
        <v>1199797.71307557</v>
      </c>
      <c r="I3506" s="9" t="n">
        <v>13.1617933103414</v>
      </c>
      <c r="J3506" s="9" t="n">
        <v>58.5054197097654</v>
      </c>
      <c r="K3506" s="3" t="s">
        <v>1213</v>
      </c>
      <c r="L3506" s="3" t="s">
        <v>1214</v>
      </c>
      <c r="M3506" s="7" t="n">
        <v>2021</v>
      </c>
    </row>
    <row r="3507" customFormat="false" ht="15" hidden="false" customHeight="false" outlineLevel="0" collapsed="false">
      <c r="A3507" s="3" t="n">
        <v>4877</v>
      </c>
      <c r="B3507" s="3" t="s">
        <v>1212</v>
      </c>
      <c r="C3507" s="4" t="s">
        <v>22</v>
      </c>
      <c r="D3507" s="5" t="n">
        <v>17663</v>
      </c>
      <c r="E3507" s="6" t="n">
        <v>280</v>
      </c>
      <c r="F3507" s="7" t="n">
        <v>50</v>
      </c>
      <c r="G3507" s="6" t="n">
        <v>1065.07407437432</v>
      </c>
      <c r="H3507" s="8" t="n">
        <v>1287454.03322663</v>
      </c>
      <c r="I3507" s="9" t="n">
        <v>13.6806232231501</v>
      </c>
      <c r="J3507" s="9" t="n">
        <v>53.9800172411296</v>
      </c>
      <c r="K3507" s="3" t="s">
        <v>1213</v>
      </c>
      <c r="L3507" s="3" t="s">
        <v>1214</v>
      </c>
      <c r="M3507" s="7" t="n">
        <v>2022</v>
      </c>
    </row>
    <row r="3508" customFormat="false" ht="15" hidden="false" customHeight="false" outlineLevel="0" collapsed="false">
      <c r="A3508" s="3" t="n">
        <v>4878</v>
      </c>
      <c r="B3508" s="3" t="s">
        <v>1212</v>
      </c>
      <c r="C3508" s="4" t="s">
        <v>23</v>
      </c>
      <c r="D3508" s="5" t="n">
        <v>17923</v>
      </c>
      <c r="E3508" s="6" t="n">
        <v>280</v>
      </c>
      <c r="F3508" s="7" t="n">
        <v>66</v>
      </c>
      <c r="G3508" s="6" t="n">
        <v>923.513509099745</v>
      </c>
      <c r="H3508" s="8" t="n">
        <v>154102.090395675</v>
      </c>
      <c r="I3508" s="9" t="n">
        <v>14.6279383377661</v>
      </c>
      <c r="J3508" s="9" t="n">
        <v>46.1264702628492</v>
      </c>
      <c r="K3508" s="3" t="s">
        <v>1213</v>
      </c>
      <c r="L3508" s="3" t="s">
        <v>1214</v>
      </c>
      <c r="M3508" s="7" t="n">
        <v>2023</v>
      </c>
    </row>
    <row r="3509" customFormat="false" ht="15" hidden="false" customHeight="false" outlineLevel="0" collapsed="false">
      <c r="A3509" s="3" t="n">
        <v>4879</v>
      </c>
      <c r="B3509" s="3" t="s">
        <v>1212</v>
      </c>
      <c r="C3509" s="4" t="s">
        <v>24</v>
      </c>
      <c r="D3509" s="5" t="n">
        <v>18187</v>
      </c>
      <c r="E3509" s="6" t="n">
        <v>280.4</v>
      </c>
      <c r="F3509" s="7" t="n">
        <v>70</v>
      </c>
      <c r="G3509" s="6" t="n">
        <v>842.609005844572</v>
      </c>
      <c r="H3509" s="8" t="n">
        <v>25386.27427535</v>
      </c>
      <c r="I3509" s="9" t="n">
        <v>15.3489932086872</v>
      </c>
      <c r="J3509" s="9" t="n">
        <v>41.3610183946624</v>
      </c>
      <c r="K3509" s="3" t="s">
        <v>1213</v>
      </c>
      <c r="L3509" s="3" t="s">
        <v>1214</v>
      </c>
      <c r="M3509" s="7" t="n">
        <v>2024</v>
      </c>
    </row>
    <row r="3510" customFormat="false" ht="15" hidden="false" customHeight="false" outlineLevel="0" collapsed="false">
      <c r="A3510" s="3" t="n">
        <v>4885</v>
      </c>
      <c r="B3510" s="3" t="s">
        <v>1215</v>
      </c>
      <c r="C3510" s="4" t="s">
        <v>21</v>
      </c>
      <c r="D3510" s="5" t="n">
        <v>3106</v>
      </c>
      <c r="E3510" s="6" t="n">
        <v>31.2</v>
      </c>
      <c r="F3510" s="7" t="n">
        <v>53</v>
      </c>
      <c r="G3510" s="6" t="n">
        <v>144.885596227281</v>
      </c>
      <c r="H3510" s="8" t="n">
        <v>27477.3370621021</v>
      </c>
      <c r="I3510" s="9" t="n">
        <v>11.9763306900555</v>
      </c>
      <c r="J3510" s="9" t="n">
        <v>41.7581678285344</v>
      </c>
      <c r="K3510" s="3" t="s">
        <v>1216</v>
      </c>
      <c r="L3510" s="3" t="s">
        <v>1217</v>
      </c>
      <c r="M3510" s="7" t="n">
        <v>2021</v>
      </c>
    </row>
    <row r="3511" customFormat="false" ht="15" hidden="false" customHeight="false" outlineLevel="0" collapsed="false">
      <c r="A3511" s="3" t="n">
        <v>4886</v>
      </c>
      <c r="B3511" s="3" t="s">
        <v>1215</v>
      </c>
      <c r="C3511" s="4" t="s">
        <v>22</v>
      </c>
      <c r="D3511" s="5" t="n">
        <v>3225</v>
      </c>
      <c r="E3511" s="6" t="n">
        <v>36</v>
      </c>
      <c r="F3511" s="7" t="n">
        <v>50</v>
      </c>
      <c r="G3511" s="6" t="n">
        <v>61.2849231425372</v>
      </c>
      <c r="H3511" s="8" t="n">
        <v>10787.51916175</v>
      </c>
      <c r="I3511" s="9" t="n">
        <v>7.07750125113704</v>
      </c>
      <c r="J3511" s="9" t="n">
        <v>17.0114605084921</v>
      </c>
      <c r="K3511" s="3" t="s">
        <v>1216</v>
      </c>
      <c r="L3511" s="3" t="s">
        <v>1217</v>
      </c>
      <c r="M3511" s="7" t="n">
        <v>2022</v>
      </c>
    </row>
    <row r="3512" customFormat="false" ht="15" hidden="false" customHeight="false" outlineLevel="0" collapsed="false">
      <c r="A3512" s="3" t="n">
        <v>4887</v>
      </c>
      <c r="B3512" s="3" t="s">
        <v>1215</v>
      </c>
      <c r="C3512" s="4" t="s">
        <v>23</v>
      </c>
      <c r="D3512" s="5" t="n">
        <v>3673</v>
      </c>
      <c r="E3512" s="6" t="n">
        <v>50</v>
      </c>
      <c r="F3512" s="7" t="n">
        <v>50</v>
      </c>
      <c r="G3512" s="6" t="n">
        <v>119.960962803163</v>
      </c>
      <c r="H3512" s="8" t="n">
        <v>29613.7331346429</v>
      </c>
      <c r="I3512" s="9" t="n">
        <v>10.3718360953088</v>
      </c>
      <c r="J3512" s="9" t="n">
        <v>29.2372612817422</v>
      </c>
      <c r="K3512" s="3" t="s">
        <v>1216</v>
      </c>
      <c r="L3512" s="3" t="s">
        <v>1217</v>
      </c>
      <c r="M3512" s="7" t="n">
        <v>2023</v>
      </c>
    </row>
    <row r="3513" customFormat="false" ht="15" hidden="false" customHeight="false" outlineLevel="0" collapsed="false">
      <c r="A3513" s="3" t="n">
        <v>4888</v>
      </c>
      <c r="B3513" s="3" t="s">
        <v>1215</v>
      </c>
      <c r="C3513" s="4" t="s">
        <v>24</v>
      </c>
      <c r="D3513" s="5" t="n">
        <v>3812</v>
      </c>
      <c r="E3513" s="6" t="n">
        <v>50</v>
      </c>
      <c r="F3513" s="7" t="n">
        <v>62</v>
      </c>
      <c r="G3513" s="6" t="n">
        <v>159.944544248258</v>
      </c>
      <c r="H3513" s="8" t="n">
        <v>47142.300473292</v>
      </c>
      <c r="I3513" s="9" t="n">
        <v>10.793311669219</v>
      </c>
      <c r="J3513" s="9" t="n">
        <v>37.4578401930739</v>
      </c>
      <c r="K3513" s="3" t="s">
        <v>1216</v>
      </c>
      <c r="L3513" s="3" t="s">
        <v>1217</v>
      </c>
      <c r="M3513" s="7" t="n">
        <v>2024</v>
      </c>
    </row>
    <row r="3514" customFormat="false" ht="15" hidden="false" customHeight="false" outlineLevel="0" collapsed="false">
      <c r="A3514" s="3" t="n">
        <v>4889</v>
      </c>
      <c r="B3514" s="3" t="s">
        <v>1215</v>
      </c>
      <c r="C3514" s="4" t="s">
        <v>37</v>
      </c>
      <c r="D3514" s="5" t="n">
        <v>4345</v>
      </c>
      <c r="E3514" s="6" t="n">
        <v>50</v>
      </c>
      <c r="F3514" s="7" t="n">
        <v>65</v>
      </c>
      <c r="G3514" s="6" t="n">
        <v>155.157227378915</v>
      </c>
      <c r="H3514" s="8" t="n">
        <v>46138.842816861</v>
      </c>
      <c r="I3514" s="9" t="n">
        <v>11.6899605300092</v>
      </c>
      <c r="J3514" s="9" t="n">
        <v>31.9668544737837</v>
      </c>
      <c r="K3514" s="3" t="s">
        <v>1216</v>
      </c>
      <c r="L3514" s="3" t="s">
        <v>1217</v>
      </c>
      <c r="M3514" s="7" t="n">
        <v>2025</v>
      </c>
    </row>
    <row r="3515" customFormat="false" ht="15" hidden="false" customHeight="false" outlineLevel="0" collapsed="false">
      <c r="A3515" s="3" t="n">
        <v>4890</v>
      </c>
      <c r="B3515" s="3" t="s">
        <v>1218</v>
      </c>
      <c r="C3515" s="4" t="s">
        <v>14</v>
      </c>
      <c r="D3515" s="5" t="n">
        <v>4039</v>
      </c>
      <c r="E3515" s="6" t="n">
        <v>56.11</v>
      </c>
      <c r="F3515" s="7" t="n">
        <v>59</v>
      </c>
      <c r="G3515" s="6" t="n">
        <v>284.877673469388</v>
      </c>
      <c r="H3515" s="8" t="n">
        <v>20608.0508987755</v>
      </c>
      <c r="I3515" s="9" t="n">
        <v>17.8611096419316</v>
      </c>
      <c r="J3515" s="9" t="n">
        <v>62.9666740904086</v>
      </c>
      <c r="K3515" s="3" t="s">
        <v>1219</v>
      </c>
      <c r="L3515" s="3" t="s">
        <v>1220</v>
      </c>
      <c r="M3515" s="7" t="n">
        <v>2016</v>
      </c>
    </row>
    <row r="3516" customFormat="false" ht="15" hidden="false" customHeight="false" outlineLevel="0" collapsed="false">
      <c r="A3516" s="3" t="n">
        <v>4891</v>
      </c>
      <c r="B3516" s="3" t="s">
        <v>1218</v>
      </c>
      <c r="C3516" s="4" t="s">
        <v>17</v>
      </c>
      <c r="D3516" s="5" t="n">
        <v>3863</v>
      </c>
      <c r="E3516" s="6" t="n">
        <v>56.1</v>
      </c>
      <c r="F3516" s="7" t="n">
        <v>62</v>
      </c>
      <c r="G3516" s="6" t="n">
        <v>203.816683673469</v>
      </c>
      <c r="H3516" s="8" t="n">
        <v>16539.723880102</v>
      </c>
      <c r="I3516" s="9" t="n">
        <v>12.8426395939086</v>
      </c>
      <c r="J3516" s="9" t="n">
        <v>47.231604281592</v>
      </c>
      <c r="K3516" s="3" t="s">
        <v>1219</v>
      </c>
      <c r="L3516" s="3" t="s">
        <v>1220</v>
      </c>
      <c r="M3516" s="7" t="n">
        <v>2017</v>
      </c>
    </row>
    <row r="3517" customFormat="false" ht="15" hidden="false" customHeight="false" outlineLevel="0" collapsed="false">
      <c r="A3517" s="3" t="n">
        <v>4892</v>
      </c>
      <c r="B3517" s="3" t="s">
        <v>1218</v>
      </c>
      <c r="C3517" s="4" t="s">
        <v>18</v>
      </c>
      <c r="D3517" s="5" t="n">
        <v>3886</v>
      </c>
      <c r="E3517" s="6" t="n">
        <v>55.41</v>
      </c>
      <c r="F3517" s="7" t="n">
        <v>63</v>
      </c>
      <c r="G3517" s="6" t="n">
        <v>47.5245738445998</v>
      </c>
      <c r="H3517" s="8" t="n">
        <v>3718.32265760149</v>
      </c>
      <c r="I3517" s="9" t="n">
        <v>5.26434312401794</v>
      </c>
      <c r="J3517" s="9" t="n">
        <v>10.9479576670244</v>
      </c>
      <c r="K3517" s="3" t="s">
        <v>1219</v>
      </c>
      <c r="L3517" s="3" t="s">
        <v>1220</v>
      </c>
      <c r="M3517" s="7" t="n">
        <v>2018</v>
      </c>
    </row>
    <row r="3518" customFormat="false" ht="15" hidden="false" customHeight="false" outlineLevel="0" collapsed="false">
      <c r="A3518" s="3" t="n">
        <v>4893</v>
      </c>
      <c r="B3518" s="3" t="s">
        <v>1218</v>
      </c>
      <c r="C3518" s="4" t="s">
        <v>19</v>
      </c>
      <c r="D3518" s="5" t="n">
        <v>3826.91666666667</v>
      </c>
      <c r="E3518" s="6" t="n">
        <v>55.2423585317049</v>
      </c>
      <c r="F3518" s="7" t="n">
        <v>63</v>
      </c>
      <c r="G3518" s="6" t="n">
        <v>24.9254835714286</v>
      </c>
      <c r="H3518" s="8" t="n">
        <v>2128.13778732858</v>
      </c>
      <c r="I3518" s="9" t="n">
        <v>4.05891324373957</v>
      </c>
      <c r="J3518" s="9" t="n">
        <v>5.8305867565944</v>
      </c>
      <c r="K3518" s="3" t="s">
        <v>1219</v>
      </c>
      <c r="L3518" s="3" t="s">
        <v>1220</v>
      </c>
      <c r="M3518" s="7" t="n">
        <v>2019</v>
      </c>
    </row>
    <row r="3519" customFormat="false" ht="15" hidden="false" customHeight="false" outlineLevel="0" collapsed="false">
      <c r="A3519" s="3" t="n">
        <v>4894</v>
      </c>
      <c r="B3519" s="3" t="s">
        <v>1218</v>
      </c>
      <c r="C3519" s="4" t="s">
        <v>20</v>
      </c>
      <c r="D3519" s="5" t="n">
        <v>3897.83333333333</v>
      </c>
      <c r="E3519" s="6" t="n">
        <v>55.25386413</v>
      </c>
      <c r="F3519" s="7" t="n">
        <v>70</v>
      </c>
      <c r="G3519" s="6" t="n">
        <v>52.9870371750811</v>
      </c>
      <c r="H3519" s="8" t="n">
        <v>4540.98908590445</v>
      </c>
      <c r="I3519" s="9" t="n">
        <v>5.30218040266061</v>
      </c>
      <c r="J3519" s="9" t="n">
        <v>12.1359160783299</v>
      </c>
      <c r="K3519" s="3" t="s">
        <v>1219</v>
      </c>
      <c r="L3519" s="3" t="s">
        <v>1220</v>
      </c>
      <c r="M3519" s="7" t="n">
        <v>2020</v>
      </c>
    </row>
    <row r="3520" customFormat="false" ht="15" hidden="false" customHeight="false" outlineLevel="0" collapsed="false">
      <c r="A3520" s="3" t="n">
        <v>4895</v>
      </c>
      <c r="B3520" s="3" t="s">
        <v>1218</v>
      </c>
      <c r="C3520" s="4" t="s">
        <v>21</v>
      </c>
      <c r="D3520" s="5" t="n">
        <v>3907.41666666666</v>
      </c>
      <c r="E3520" s="6" t="n">
        <v>55.25386413</v>
      </c>
      <c r="F3520" s="7" t="n">
        <v>65</v>
      </c>
      <c r="G3520" s="6" t="n">
        <v>112.484608911327</v>
      </c>
      <c r="H3520" s="8" t="n">
        <v>9865.51444340253</v>
      </c>
      <c r="I3520" s="9" t="n">
        <v>8.33520373695402</v>
      </c>
      <c r="J3520" s="9" t="n">
        <v>25.7703936500711</v>
      </c>
      <c r="K3520" s="3" t="s">
        <v>1219</v>
      </c>
      <c r="L3520" s="3" t="s">
        <v>1220</v>
      </c>
      <c r="M3520" s="7" t="n">
        <v>2021</v>
      </c>
    </row>
    <row r="3521" customFormat="false" ht="15" hidden="false" customHeight="false" outlineLevel="0" collapsed="false">
      <c r="A3521" s="3" t="n">
        <v>4896</v>
      </c>
      <c r="B3521" s="3" t="s">
        <v>1218</v>
      </c>
      <c r="C3521" s="4" t="s">
        <v>22</v>
      </c>
      <c r="D3521" s="5" t="n">
        <v>3914.08333333333</v>
      </c>
      <c r="E3521" s="6" t="n">
        <v>55.01996145</v>
      </c>
      <c r="F3521" s="7" t="n">
        <v>65</v>
      </c>
      <c r="G3521" s="6" t="n">
        <v>22.6994971926949</v>
      </c>
      <c r="H3521" s="8" t="n">
        <v>2507.84044984893</v>
      </c>
      <c r="I3521" s="9" t="n">
        <v>3.9813805317263</v>
      </c>
      <c r="J3521" s="9" t="n">
        <v>5.19163132363209</v>
      </c>
      <c r="K3521" s="3" t="s">
        <v>1219</v>
      </c>
      <c r="L3521" s="3" t="s">
        <v>1220</v>
      </c>
      <c r="M3521" s="7" t="n">
        <v>2022</v>
      </c>
    </row>
    <row r="3522" customFormat="false" ht="15" hidden="false" customHeight="false" outlineLevel="0" collapsed="false">
      <c r="A3522" s="3" t="n">
        <v>4897</v>
      </c>
      <c r="B3522" s="3" t="s">
        <v>1218</v>
      </c>
      <c r="C3522" s="4" t="s">
        <v>23</v>
      </c>
      <c r="D3522" s="5" t="n">
        <v>3900.91666666667</v>
      </c>
      <c r="E3522" s="6" t="n">
        <v>55.01144991</v>
      </c>
      <c r="F3522" s="7" t="n">
        <v>72</v>
      </c>
      <c r="G3522" s="6" t="n">
        <v>95.965751133413</v>
      </c>
      <c r="H3522" s="8" t="n">
        <v>11483.2617806242</v>
      </c>
      <c r="I3522" s="9" t="n">
        <v>8.50307643984835</v>
      </c>
      <c r="J3522" s="9" t="n">
        <v>22.0225329581643</v>
      </c>
      <c r="K3522" s="3" t="s">
        <v>1219</v>
      </c>
      <c r="L3522" s="3" t="s">
        <v>1220</v>
      </c>
      <c r="M3522" s="7" t="n">
        <v>2023</v>
      </c>
    </row>
    <row r="3523" customFormat="false" ht="15" hidden="false" customHeight="false" outlineLevel="0" collapsed="false">
      <c r="A3523" s="3" t="n">
        <v>4898</v>
      </c>
      <c r="B3523" s="3" t="s">
        <v>1218</v>
      </c>
      <c r="C3523" s="4" t="s">
        <v>24</v>
      </c>
      <c r="D3523" s="5" t="n">
        <v>3942.41666666667</v>
      </c>
      <c r="E3523" s="6" t="n">
        <v>55.0221384221868</v>
      </c>
      <c r="F3523" s="7" t="n">
        <v>72</v>
      </c>
      <c r="G3523" s="6" t="n">
        <v>58.8679387999209</v>
      </c>
      <c r="H3523" s="8" t="n">
        <v>7082.9651099008</v>
      </c>
      <c r="I3523" s="9" t="n">
        <v>6.17316488777192</v>
      </c>
      <c r="J3523" s="9" t="n">
        <v>13.3303791256792</v>
      </c>
      <c r="K3523" s="3" t="s">
        <v>1219</v>
      </c>
      <c r="L3523" s="3" t="s">
        <v>1220</v>
      </c>
      <c r="M3523" s="7" t="n">
        <v>2024</v>
      </c>
    </row>
    <row r="3524" customFormat="false" ht="15" hidden="false" customHeight="false" outlineLevel="0" collapsed="false">
      <c r="A3524" s="3" t="n">
        <v>4899</v>
      </c>
      <c r="B3524" s="3" t="s">
        <v>1221</v>
      </c>
      <c r="C3524" s="4" t="s">
        <v>14</v>
      </c>
      <c r="D3524" s="5" t="n">
        <v>4532</v>
      </c>
      <c r="E3524" s="6" t="n">
        <v>40</v>
      </c>
      <c r="F3524" s="7" t="n">
        <v>55</v>
      </c>
      <c r="G3524" s="6" t="n">
        <v>405.183297267356</v>
      </c>
      <c r="H3524" s="8" t="n">
        <v>123548.307413914</v>
      </c>
      <c r="I3524" s="9" t="n">
        <v>17.8689359967387</v>
      </c>
      <c r="J3524" s="9" t="n">
        <v>79.8156080945636</v>
      </c>
      <c r="K3524" s="3" t="s">
        <v>1222</v>
      </c>
      <c r="L3524" s="3" t="s">
        <v>1223</v>
      </c>
      <c r="M3524" s="7" t="n">
        <v>2016</v>
      </c>
    </row>
    <row r="3525" customFormat="false" ht="15" hidden="false" customHeight="false" outlineLevel="0" collapsed="false">
      <c r="A3525" s="3" t="n">
        <v>4900</v>
      </c>
      <c r="B3525" s="3" t="s">
        <v>1221</v>
      </c>
      <c r="C3525" s="4" t="s">
        <v>17</v>
      </c>
      <c r="D3525" s="5" t="n">
        <v>4582</v>
      </c>
      <c r="E3525" s="6" t="n">
        <v>72</v>
      </c>
      <c r="F3525" s="7" t="n">
        <v>55</v>
      </c>
      <c r="G3525" s="6" t="n">
        <v>399.903369500879</v>
      </c>
      <c r="H3525" s="8" t="n">
        <v>121938.354231699</v>
      </c>
      <c r="I3525" s="9" t="n">
        <v>15.9030558117976</v>
      </c>
      <c r="J3525" s="9" t="n">
        <v>78.129969190976</v>
      </c>
      <c r="K3525" s="3" t="s">
        <v>1222</v>
      </c>
      <c r="L3525" s="3" t="s">
        <v>1223</v>
      </c>
      <c r="M3525" s="7" t="n">
        <v>2017</v>
      </c>
    </row>
    <row r="3526" customFormat="false" ht="15" hidden="false" customHeight="false" outlineLevel="0" collapsed="false">
      <c r="A3526" s="3" t="n">
        <v>4901</v>
      </c>
      <c r="B3526" s="3" t="s">
        <v>1221</v>
      </c>
      <c r="C3526" s="4" t="s">
        <v>18</v>
      </c>
      <c r="D3526" s="5" t="n">
        <v>4697</v>
      </c>
      <c r="E3526" s="6" t="n">
        <v>72</v>
      </c>
      <c r="F3526" s="7" t="n">
        <v>55</v>
      </c>
      <c r="G3526" s="6" t="n">
        <v>557.569316576629</v>
      </c>
      <c r="H3526" s="8" t="n">
        <v>170013.783375481</v>
      </c>
      <c r="I3526" s="9" t="n">
        <v>19.81836809367</v>
      </c>
      <c r="J3526" s="9" t="n">
        <v>106.266403020756</v>
      </c>
      <c r="K3526" s="3" t="s">
        <v>1222</v>
      </c>
      <c r="L3526" s="3" t="s">
        <v>1223</v>
      </c>
      <c r="M3526" s="7" t="n">
        <v>2018</v>
      </c>
    </row>
    <row r="3527" customFormat="false" ht="15" hidden="false" customHeight="false" outlineLevel="0" collapsed="false">
      <c r="A3527" s="3" t="n">
        <v>4902</v>
      </c>
      <c r="B3527" s="3" t="s">
        <v>1221</v>
      </c>
      <c r="C3527" s="4" t="s">
        <v>19</v>
      </c>
      <c r="D3527" s="5" t="n">
        <v>5022</v>
      </c>
      <c r="E3527" s="6" t="n">
        <v>72</v>
      </c>
      <c r="F3527" s="7" t="n">
        <v>55</v>
      </c>
      <c r="G3527" s="6" t="n">
        <v>639.365675510556</v>
      </c>
      <c r="H3527" s="8" t="n">
        <v>194955.092079624</v>
      </c>
      <c r="I3527" s="9" t="n">
        <v>20.9614778845713</v>
      </c>
      <c r="J3527" s="9" t="n">
        <v>113.969930509489</v>
      </c>
      <c r="K3527" s="3" t="s">
        <v>1222</v>
      </c>
      <c r="L3527" s="3" t="s">
        <v>1223</v>
      </c>
      <c r="M3527" s="7" t="n">
        <v>2019</v>
      </c>
    </row>
    <row r="3528" customFormat="false" ht="15" hidden="false" customHeight="false" outlineLevel="0" collapsed="false">
      <c r="A3528" s="3" t="n">
        <v>4903</v>
      </c>
      <c r="B3528" s="3" t="s">
        <v>1221</v>
      </c>
      <c r="C3528" s="4" t="s">
        <v>20</v>
      </c>
      <c r="D3528" s="5" t="n">
        <v>5031</v>
      </c>
      <c r="E3528" s="6" t="n">
        <v>77.8</v>
      </c>
      <c r="F3528" s="7" t="n">
        <v>58</v>
      </c>
      <c r="G3528" s="6" t="n">
        <v>670.344420454103</v>
      </c>
      <c r="H3528" s="8" t="n">
        <v>248201.35629803</v>
      </c>
      <c r="I3528" s="9" t="n">
        <v>21.5181929388204</v>
      </c>
      <c r="J3528" s="9" t="n">
        <v>118.95148694499</v>
      </c>
      <c r="K3528" s="3" t="s">
        <v>1222</v>
      </c>
      <c r="L3528" s="3" t="s">
        <v>1223</v>
      </c>
      <c r="M3528" s="7" t="n">
        <v>2020</v>
      </c>
    </row>
    <row r="3529" customFormat="false" ht="15" hidden="false" customHeight="false" outlineLevel="0" collapsed="false">
      <c r="A3529" s="3" t="n">
        <v>4904</v>
      </c>
      <c r="B3529" s="3" t="s">
        <v>1221</v>
      </c>
      <c r="C3529" s="4" t="s">
        <v>21</v>
      </c>
      <c r="D3529" s="5" t="n">
        <v>5248</v>
      </c>
      <c r="E3529" s="6" t="n">
        <v>77.8</v>
      </c>
      <c r="F3529" s="7" t="n">
        <v>58</v>
      </c>
      <c r="G3529" s="6" t="n">
        <v>543.324217132422</v>
      </c>
      <c r="H3529" s="8" t="n">
        <v>248505.261161128</v>
      </c>
      <c r="I3529" s="9" t="n">
        <v>19.3206372171288</v>
      </c>
      <c r="J3529" s="9" t="n">
        <v>92.6793354437571</v>
      </c>
      <c r="K3529" s="3" t="s">
        <v>1222</v>
      </c>
      <c r="L3529" s="3" t="s">
        <v>1223</v>
      </c>
      <c r="M3529" s="7" t="n">
        <v>2021</v>
      </c>
    </row>
    <row r="3530" customFormat="false" ht="15" hidden="false" customHeight="false" outlineLevel="0" collapsed="false">
      <c r="A3530" s="3" t="n">
        <v>4905</v>
      </c>
      <c r="B3530" s="3" t="s">
        <v>1221</v>
      </c>
      <c r="C3530" s="4" t="s">
        <v>22</v>
      </c>
      <c r="D3530" s="5" t="n">
        <v>5569</v>
      </c>
      <c r="E3530" s="6" t="n">
        <v>83.18</v>
      </c>
      <c r="F3530" s="7" t="n">
        <v>72</v>
      </c>
      <c r="G3530" s="6" t="n">
        <v>497.857285197852</v>
      </c>
      <c r="H3530" s="8" t="n">
        <v>76473.3251558557</v>
      </c>
      <c r="I3530" s="9" t="n">
        <v>16.0324987350136</v>
      </c>
      <c r="J3530" s="9" t="n">
        <v>80.0286191017215</v>
      </c>
      <c r="K3530" s="3" t="s">
        <v>1222</v>
      </c>
      <c r="L3530" s="3" t="s">
        <v>1223</v>
      </c>
      <c r="M3530" s="7" t="n">
        <v>2022</v>
      </c>
    </row>
    <row r="3531" customFormat="false" ht="15" hidden="false" customHeight="false" outlineLevel="0" collapsed="false">
      <c r="A3531" s="3" t="n">
        <v>4906</v>
      </c>
      <c r="B3531" s="3" t="s">
        <v>1221</v>
      </c>
      <c r="C3531" s="4" t="s">
        <v>23</v>
      </c>
      <c r="D3531" s="5" t="n">
        <v>5569</v>
      </c>
      <c r="E3531" s="6" t="n">
        <v>83.18</v>
      </c>
      <c r="F3531" s="7" t="n">
        <v>73</v>
      </c>
      <c r="G3531" s="6" t="n">
        <v>124.585151178404</v>
      </c>
      <c r="H3531" s="8" t="n">
        <v>23066.8983743781</v>
      </c>
      <c r="I3531" s="9" t="n">
        <v>7.1926236413399</v>
      </c>
      <c r="J3531" s="9" t="n">
        <v>20.0265777077553</v>
      </c>
      <c r="K3531" s="3" t="s">
        <v>1222</v>
      </c>
      <c r="L3531" s="3" t="s">
        <v>1223</v>
      </c>
      <c r="M3531" s="7" t="n">
        <v>2023</v>
      </c>
    </row>
    <row r="3532" customFormat="false" ht="15" hidden="false" customHeight="false" outlineLevel="0" collapsed="false">
      <c r="A3532" s="3" t="n">
        <v>4907</v>
      </c>
      <c r="B3532" s="3" t="s">
        <v>1221</v>
      </c>
      <c r="C3532" s="4" t="s">
        <v>24</v>
      </c>
      <c r="D3532" s="5" t="n">
        <v>5769</v>
      </c>
      <c r="E3532" s="6" t="n">
        <v>83.18</v>
      </c>
      <c r="F3532" s="7" t="n">
        <v>72</v>
      </c>
      <c r="G3532" s="6" t="n">
        <v>433.92448084326</v>
      </c>
      <c r="H3532" s="8" t="n">
        <v>86872.8262109882</v>
      </c>
      <c r="I3532" s="9" t="n">
        <v>14.9703003105643</v>
      </c>
      <c r="J3532" s="9" t="n">
        <v>67.1490398645843</v>
      </c>
      <c r="K3532" s="3" t="s">
        <v>1222</v>
      </c>
      <c r="L3532" s="3" t="s">
        <v>1223</v>
      </c>
      <c r="M3532" s="7" t="n">
        <v>2024</v>
      </c>
    </row>
    <row r="3533" customFormat="false" ht="15" hidden="false" customHeight="false" outlineLevel="0" collapsed="false">
      <c r="A3533" s="3" t="n">
        <v>4908</v>
      </c>
      <c r="B3533" s="3" t="s">
        <v>1224</v>
      </c>
      <c r="C3533" s="4" t="s">
        <v>14</v>
      </c>
      <c r="D3533" s="5" t="n">
        <v>4440</v>
      </c>
      <c r="E3533" s="6" t="n">
        <v>56.52</v>
      </c>
      <c r="F3533" s="7" t="n">
        <v>52</v>
      </c>
      <c r="G3533" s="6" t="n">
        <v>283.518217594013</v>
      </c>
      <c r="H3533" s="8" t="n">
        <v>57648.0394285715</v>
      </c>
      <c r="I3533" s="9" t="n">
        <v>15.746911806952</v>
      </c>
      <c r="J3533" s="9" t="n">
        <v>57.0064758245259</v>
      </c>
      <c r="K3533" s="3" t="s">
        <v>1216</v>
      </c>
      <c r="L3533" s="3" t="s">
        <v>1217</v>
      </c>
      <c r="M3533" s="7" t="n">
        <v>2016</v>
      </c>
    </row>
    <row r="3534" customFormat="false" ht="15" hidden="false" customHeight="false" outlineLevel="0" collapsed="false">
      <c r="A3534" s="3" t="n">
        <v>4909</v>
      </c>
      <c r="B3534" s="3" t="s">
        <v>1224</v>
      </c>
      <c r="C3534" s="4" t="s">
        <v>17</v>
      </c>
      <c r="D3534" s="5" t="n">
        <v>4460</v>
      </c>
      <c r="E3534" s="6" t="n">
        <v>56.5</v>
      </c>
      <c r="F3534" s="7" t="n">
        <v>52</v>
      </c>
      <c r="G3534" s="6" t="n">
        <v>312.11294151359</v>
      </c>
      <c r="H3534" s="8" t="n">
        <v>237983.373404082</v>
      </c>
      <c r="I3534" s="9" t="n">
        <v>16.8694561116753</v>
      </c>
      <c r="J3534" s="9" t="n">
        <v>62.6461797819105</v>
      </c>
      <c r="K3534" s="3" t="s">
        <v>1216</v>
      </c>
      <c r="L3534" s="3" t="s">
        <v>1217</v>
      </c>
      <c r="M3534" s="7" t="n">
        <v>2017</v>
      </c>
    </row>
    <row r="3535" customFormat="false" ht="15" hidden="false" customHeight="false" outlineLevel="0" collapsed="false">
      <c r="A3535" s="3" t="n">
        <v>4910</v>
      </c>
      <c r="B3535" s="3" t="s">
        <v>1224</v>
      </c>
      <c r="C3535" s="4" t="s">
        <v>18</v>
      </c>
      <c r="D3535" s="5" t="n">
        <v>4556</v>
      </c>
      <c r="E3535" s="6" t="n">
        <v>56.5</v>
      </c>
      <c r="F3535" s="7" t="n">
        <v>58</v>
      </c>
      <c r="G3535" s="6" t="n">
        <v>202.050353924226</v>
      </c>
      <c r="H3535" s="8" t="n">
        <v>45429.7426394368</v>
      </c>
      <c r="I3535" s="9" t="n">
        <v>11.5674773023417</v>
      </c>
      <c r="J3535" s="9" t="n">
        <v>39.7002804396105</v>
      </c>
      <c r="K3535" s="3" t="s">
        <v>1216</v>
      </c>
      <c r="L3535" s="3" t="s">
        <v>1217</v>
      </c>
      <c r="M3535" s="7" t="n">
        <v>2018</v>
      </c>
    </row>
    <row r="3536" customFormat="false" ht="15" hidden="false" customHeight="false" outlineLevel="0" collapsed="false">
      <c r="A3536" s="3" t="n">
        <v>4911</v>
      </c>
      <c r="B3536" s="3" t="s">
        <v>1224</v>
      </c>
      <c r="C3536" s="4" t="s">
        <v>19</v>
      </c>
      <c r="D3536" s="5" t="n">
        <v>4721</v>
      </c>
      <c r="E3536" s="6" t="n">
        <v>56.5</v>
      </c>
      <c r="F3536" s="7" t="n">
        <v>54</v>
      </c>
      <c r="G3536" s="6" t="n">
        <v>251.52808210708</v>
      </c>
      <c r="H3536" s="8" t="n">
        <v>47983.8700099745</v>
      </c>
      <c r="I3536" s="9" t="n">
        <v>13.6177194421657</v>
      </c>
      <c r="J3536" s="9" t="n">
        <v>47.6947035124067</v>
      </c>
      <c r="K3536" s="3" t="s">
        <v>1216</v>
      </c>
      <c r="L3536" s="3" t="s">
        <v>1217</v>
      </c>
      <c r="M3536" s="7" t="n">
        <v>2019</v>
      </c>
    </row>
    <row r="3537" customFormat="false" ht="15" hidden="false" customHeight="false" outlineLevel="0" collapsed="false">
      <c r="A3537" s="3" t="n">
        <v>4912</v>
      </c>
      <c r="B3537" s="3" t="s">
        <v>1224</v>
      </c>
      <c r="C3537" s="4" t="s">
        <v>20</v>
      </c>
      <c r="D3537" s="5" t="n">
        <v>4323</v>
      </c>
      <c r="E3537" s="6" t="n">
        <v>56.5</v>
      </c>
      <c r="F3537" s="7" t="n">
        <v>54</v>
      </c>
      <c r="G3537" s="6" t="n">
        <v>199.20985317775</v>
      </c>
      <c r="H3537" s="8" t="n">
        <v>34745.8308424188</v>
      </c>
      <c r="I3537" s="9" t="n">
        <v>10.4289923350252</v>
      </c>
      <c r="J3537" s="9" t="n">
        <v>41.1388146028874</v>
      </c>
      <c r="K3537" s="3" t="s">
        <v>1216</v>
      </c>
      <c r="L3537" s="3" t="s">
        <v>1217</v>
      </c>
      <c r="M3537" s="7" t="n">
        <v>2020</v>
      </c>
    </row>
    <row r="3538" customFormat="false" ht="15" hidden="false" customHeight="false" outlineLevel="0" collapsed="false">
      <c r="A3538" s="3" t="n">
        <v>4913</v>
      </c>
      <c r="B3538" s="3" t="s">
        <v>1224</v>
      </c>
      <c r="C3538" s="4" t="s">
        <v>21</v>
      </c>
      <c r="D3538" s="5" t="n">
        <v>4418</v>
      </c>
      <c r="E3538" s="6" t="n">
        <v>62.5</v>
      </c>
      <c r="F3538" s="7" t="n">
        <v>51</v>
      </c>
      <c r="G3538" s="6" t="n">
        <v>209.618818835143</v>
      </c>
      <c r="H3538" s="8" t="n">
        <v>39747.7487020408</v>
      </c>
      <c r="I3538" s="9" t="n">
        <v>11.4154125352983</v>
      </c>
      <c r="J3538" s="9" t="n">
        <v>42.4739090187061</v>
      </c>
      <c r="K3538" s="3" t="s">
        <v>1216</v>
      </c>
      <c r="L3538" s="3" t="s">
        <v>1217</v>
      </c>
      <c r="M3538" s="7" t="n">
        <v>2021</v>
      </c>
    </row>
    <row r="3539" customFormat="false" ht="15" hidden="false" customHeight="false" outlineLevel="0" collapsed="false">
      <c r="A3539" s="3" t="n">
        <v>4914</v>
      </c>
      <c r="B3539" s="3" t="s">
        <v>1224</v>
      </c>
      <c r="C3539" s="4" t="s">
        <v>22</v>
      </c>
      <c r="D3539" s="5" t="n">
        <v>4390</v>
      </c>
      <c r="E3539" s="6" t="n">
        <v>62.5</v>
      </c>
      <c r="F3539" s="7" t="n">
        <v>49</v>
      </c>
      <c r="G3539" s="6" t="n">
        <v>222.800217932801</v>
      </c>
      <c r="H3539" s="8" t="n">
        <v>44328.6270847561</v>
      </c>
      <c r="I3539" s="9" t="n">
        <v>12.3387739802169</v>
      </c>
      <c r="J3539" s="9" t="n">
        <v>45.4327228551535</v>
      </c>
      <c r="K3539" s="3" t="s">
        <v>1216</v>
      </c>
      <c r="L3539" s="3" t="s">
        <v>1217</v>
      </c>
      <c r="M3539" s="7" t="n">
        <v>2022</v>
      </c>
    </row>
    <row r="3540" customFormat="false" ht="15" hidden="false" customHeight="false" outlineLevel="0" collapsed="false">
      <c r="A3540" s="3" t="n">
        <v>4915</v>
      </c>
      <c r="B3540" s="3" t="s">
        <v>1224</v>
      </c>
      <c r="C3540" s="4" t="s">
        <v>23</v>
      </c>
      <c r="D3540" s="5" t="n">
        <v>4704</v>
      </c>
      <c r="E3540" s="6" t="n">
        <v>62.5</v>
      </c>
      <c r="F3540" s="7" t="n">
        <v>49</v>
      </c>
      <c r="G3540" s="6" t="n">
        <v>231.357749385314</v>
      </c>
      <c r="H3540" s="8" t="n">
        <v>58370.021908449</v>
      </c>
      <c r="I3540" s="9" t="n">
        <v>13.123988380444</v>
      </c>
      <c r="J3540" s="9" t="n">
        <v>44.0285529704402</v>
      </c>
      <c r="K3540" s="3" t="s">
        <v>1216</v>
      </c>
      <c r="L3540" s="3" t="s">
        <v>1217</v>
      </c>
      <c r="M3540" s="7" t="n">
        <v>2023</v>
      </c>
    </row>
    <row r="3541" customFormat="false" ht="15" hidden="false" customHeight="false" outlineLevel="0" collapsed="false">
      <c r="A3541" s="3" t="n">
        <v>4916</v>
      </c>
      <c r="B3541" s="3" t="s">
        <v>1224</v>
      </c>
      <c r="C3541" s="4" t="s">
        <v>24</v>
      </c>
      <c r="D3541" s="5" t="n">
        <v>4615</v>
      </c>
      <c r="E3541" s="6" t="n">
        <v>62.5</v>
      </c>
      <c r="F3541" s="7" t="n">
        <v>54</v>
      </c>
      <c r="G3541" s="6" t="n">
        <v>238.9103681815</v>
      </c>
      <c r="H3541" s="8" t="n">
        <v>65024.296709728</v>
      </c>
      <c r="I3541" s="9" t="n">
        <v>12.0759886442873</v>
      </c>
      <c r="J3541" s="9" t="n">
        <v>46.2156947311833</v>
      </c>
      <c r="K3541" s="3" t="s">
        <v>1216</v>
      </c>
      <c r="L3541" s="3" t="s">
        <v>1217</v>
      </c>
      <c r="M3541" s="7" t="n">
        <v>2024</v>
      </c>
    </row>
    <row r="3542" customFormat="false" ht="15" hidden="false" customHeight="false" outlineLevel="0" collapsed="false">
      <c r="A3542" s="3" t="n">
        <v>4917</v>
      </c>
      <c r="B3542" s="3" t="s">
        <v>1224</v>
      </c>
      <c r="C3542" s="4" t="s">
        <v>37</v>
      </c>
      <c r="D3542" s="5" t="n">
        <v>4677</v>
      </c>
      <c r="E3542" s="6" t="n">
        <v>62.5</v>
      </c>
      <c r="F3542" s="7" t="n">
        <v>59</v>
      </c>
      <c r="G3542" s="6" t="n">
        <v>128.167491747783</v>
      </c>
      <c r="H3542" s="8" t="n">
        <v>37591.9371895069</v>
      </c>
      <c r="I3542" s="9" t="n">
        <v>11.6199165643109</v>
      </c>
      <c r="J3542" s="9" t="n">
        <v>24.5317307712907</v>
      </c>
      <c r="K3542" s="3" t="s">
        <v>1216</v>
      </c>
      <c r="L3542" s="3" t="s">
        <v>1217</v>
      </c>
      <c r="M3542" s="7" t="n"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7"/>
    <col collapsed="false" customWidth="true" hidden="false" outlineLevel="0" max="2" min="2" style="0" width="12.26"/>
    <col collapsed="false" customWidth="true" hidden="false" outlineLevel="0" max="3" min="3" style="0" width="18.39"/>
    <col collapsed="false" customWidth="true" hidden="false" outlineLevel="0" max="4" min="4" style="0" width="27.58"/>
    <col collapsed="false" customWidth="true" hidden="false" outlineLevel="0" max="5" min="5" style="0" width="29.62"/>
  </cols>
  <sheetData>
    <row r="1" customFormat="false" ht="15" hidden="false" customHeight="false" outlineLevel="0" collapsed="false">
      <c r="A1" s="10" t="s">
        <v>1225</v>
      </c>
      <c r="B1" s="11"/>
      <c r="C1" s="11"/>
      <c r="D1" s="11"/>
      <c r="E1" s="11"/>
      <c r="F1" s="11"/>
    </row>
    <row r="2" customFormat="false" ht="12.8" hidden="false" customHeight="false" outlineLevel="0" collapsed="false">
      <c r="A2" s="12" t="s">
        <v>1226</v>
      </c>
      <c r="B2" s="11"/>
      <c r="C2" s="11"/>
      <c r="D2" s="11"/>
      <c r="E2" s="11"/>
      <c r="F2" s="11"/>
    </row>
    <row r="3" customFormat="false" ht="12.8" hidden="false" customHeight="false" outlineLevel="0" collapsed="false">
      <c r="A3" s="13"/>
      <c r="B3" s="14" t="s">
        <v>1227</v>
      </c>
      <c r="C3" s="15"/>
      <c r="D3" s="15"/>
      <c r="E3" s="16"/>
      <c r="F3" s="11"/>
    </row>
    <row r="4" customFormat="false" ht="12.8" hidden="false" customHeight="false" outlineLevel="0" collapsed="false">
      <c r="A4" s="17" t="s">
        <v>12</v>
      </c>
      <c r="B4" s="18" t="s">
        <v>1228</v>
      </c>
      <c r="C4" s="19" t="s">
        <v>1229</v>
      </c>
      <c r="D4" s="19" t="s">
        <v>1230</v>
      </c>
      <c r="E4" s="20" t="s">
        <v>1231</v>
      </c>
      <c r="F4" s="11"/>
    </row>
    <row r="5" customFormat="false" ht="12.8" hidden="false" customHeight="false" outlineLevel="0" collapsed="false">
      <c r="A5" s="21" t="n">
        <v>2016</v>
      </c>
      <c r="B5" s="22" t="n">
        <v>396</v>
      </c>
      <c r="C5" s="23" t="n">
        <v>9.36187623716287</v>
      </c>
      <c r="D5" s="23" t="n">
        <v>33.6851685226893</v>
      </c>
      <c r="E5" s="24" t="n">
        <v>61.0555555555556</v>
      </c>
      <c r="F5" s="11"/>
    </row>
    <row r="6" customFormat="false" ht="12.8" hidden="false" customHeight="false" outlineLevel="0" collapsed="false">
      <c r="A6" s="25" t="n">
        <v>2017</v>
      </c>
      <c r="B6" s="26" t="n">
        <v>394</v>
      </c>
      <c r="C6" s="27" t="n">
        <v>9.60879287747978</v>
      </c>
      <c r="D6" s="27" t="n">
        <v>34.6000733037201</v>
      </c>
      <c r="E6" s="28" t="n">
        <v>62.751269035533</v>
      </c>
      <c r="F6" s="11"/>
    </row>
    <row r="7" customFormat="false" ht="12.8" hidden="false" customHeight="false" outlineLevel="0" collapsed="false">
      <c r="A7" s="25" t="n">
        <v>2018</v>
      </c>
      <c r="B7" s="29" t="n">
        <v>402</v>
      </c>
      <c r="C7" s="30" t="n">
        <v>9.05522912073467</v>
      </c>
      <c r="D7" s="30" t="n">
        <v>31.4295571678248</v>
      </c>
      <c r="E7" s="31" t="n">
        <v>64.0074626865672</v>
      </c>
      <c r="F7" s="11"/>
    </row>
    <row r="8" customFormat="false" ht="12.8" hidden="false" customHeight="false" outlineLevel="0" collapsed="false">
      <c r="A8" s="25" t="n">
        <v>2019</v>
      </c>
      <c r="B8" s="29" t="n">
        <v>394</v>
      </c>
      <c r="C8" s="30" t="n">
        <v>9.31582849082115</v>
      </c>
      <c r="D8" s="30" t="n">
        <v>31.4962224125559</v>
      </c>
      <c r="E8" s="31" t="n">
        <v>65.3934010152284</v>
      </c>
      <c r="F8" s="11"/>
    </row>
    <row r="9" customFormat="false" ht="12.8" hidden="false" customHeight="false" outlineLevel="0" collapsed="false">
      <c r="A9" s="25" t="n">
        <v>2020</v>
      </c>
      <c r="B9" s="29" t="n">
        <v>389</v>
      </c>
      <c r="C9" s="30" t="n">
        <v>9.43246408736971</v>
      </c>
      <c r="D9" s="30" t="n">
        <v>34.6880716808109</v>
      </c>
      <c r="E9" s="31" t="n">
        <v>65.6503856041131</v>
      </c>
      <c r="F9" s="11"/>
    </row>
    <row r="10" customFormat="false" ht="12.8" hidden="false" customHeight="false" outlineLevel="0" collapsed="false">
      <c r="A10" s="25" t="n">
        <v>2021</v>
      </c>
      <c r="B10" s="29" t="n">
        <v>390</v>
      </c>
      <c r="C10" s="30" t="n">
        <v>8.54487997638354</v>
      </c>
      <c r="D10" s="30" t="n">
        <v>28.7635870524923</v>
      </c>
      <c r="E10" s="31" t="n">
        <v>66.1794871794872</v>
      </c>
      <c r="F10" s="11"/>
    </row>
    <row r="11" customFormat="false" ht="12.8" hidden="false" customHeight="false" outlineLevel="0" collapsed="false">
      <c r="A11" s="25" t="n">
        <v>2022</v>
      </c>
      <c r="B11" s="29" t="n">
        <v>387</v>
      </c>
      <c r="C11" s="30" t="n">
        <v>8.82832609550143</v>
      </c>
      <c r="D11" s="30" t="n">
        <v>29.8519624032386</v>
      </c>
      <c r="E11" s="31" t="n">
        <v>64.3695090439277</v>
      </c>
      <c r="F11" s="11"/>
    </row>
    <row r="12" customFormat="false" ht="12.8" hidden="false" customHeight="false" outlineLevel="0" collapsed="false">
      <c r="A12" s="25" t="n">
        <v>2023</v>
      </c>
      <c r="B12" s="29" t="n">
        <v>388</v>
      </c>
      <c r="C12" s="30" t="n">
        <v>9.45672589697788</v>
      </c>
      <c r="D12" s="30" t="n">
        <v>30.7940811909688</v>
      </c>
      <c r="E12" s="31" t="n">
        <v>65.5670103092783</v>
      </c>
      <c r="F12" s="11"/>
    </row>
    <row r="13" customFormat="false" ht="12.8" hidden="false" customHeight="false" outlineLevel="0" collapsed="false">
      <c r="A13" s="25" t="n">
        <v>2024</v>
      </c>
      <c r="B13" s="32" t="n">
        <v>375</v>
      </c>
      <c r="C13" s="33" t="n">
        <v>9.64469110797293</v>
      </c>
      <c r="D13" s="33" t="n">
        <v>33.0415234878413</v>
      </c>
      <c r="E13" s="34" t="n">
        <v>66.128</v>
      </c>
      <c r="F13" s="11"/>
    </row>
    <row r="14" customFormat="false" ht="12.8" hidden="false" customHeight="false" outlineLevel="0" collapsed="false">
      <c r="A14" s="35" t="s">
        <v>1232</v>
      </c>
      <c r="B14" s="36" t="n">
        <v>3515</v>
      </c>
      <c r="C14" s="37" t="n">
        <v>9.24838368387342</v>
      </c>
      <c r="D14" s="37" t="n">
        <v>32.0394857249106</v>
      </c>
      <c r="E14" s="38" t="n">
        <v>64.5504978662873</v>
      </c>
      <c r="F14" s="11"/>
    </row>
    <row r="15" customFormat="false" ht="12.8" hidden="false" customHeight="false" outlineLevel="0" collapsed="false">
      <c r="A15" s="11"/>
      <c r="B15" s="39"/>
      <c r="C15" s="40"/>
      <c r="D15" s="40"/>
      <c r="E15" s="40"/>
      <c r="F15" s="11"/>
    </row>
    <row r="16" customFormat="false" ht="12.8" hidden="false" customHeight="false" outlineLevel="0" collapsed="false">
      <c r="A16" s="11"/>
      <c r="B16" s="39"/>
      <c r="C16" s="40"/>
      <c r="D16" s="40"/>
      <c r="E16" s="40"/>
      <c r="F16" s="11"/>
    </row>
    <row r="17" customFormat="false" ht="12.8" hidden="false" customHeight="false" outlineLevel="0" collapsed="false">
      <c r="A17" s="11"/>
      <c r="B17" s="39"/>
      <c r="C17" s="40"/>
      <c r="D17" s="40"/>
      <c r="E17" s="40"/>
      <c r="F17" s="11"/>
    </row>
    <row r="18" customFormat="false" ht="12.8" hidden="false" customHeight="false" outlineLevel="0" collapsed="false">
      <c r="A18" s="11"/>
      <c r="B18" s="39"/>
      <c r="C18" s="40"/>
      <c r="D18" s="40"/>
      <c r="E18" s="40"/>
      <c r="F18" s="11"/>
    </row>
    <row r="19" customFormat="false" ht="12.8" hidden="false" customHeight="false" outlineLevel="0" collapsed="false">
      <c r="A19" s="11"/>
      <c r="B19" s="39"/>
      <c r="C19" s="40"/>
      <c r="D19" s="40"/>
      <c r="E19" s="40"/>
      <c r="F19" s="11"/>
    </row>
    <row r="20" customFormat="false" ht="12.8" hidden="false" customHeight="false" outlineLevel="0" collapsed="false">
      <c r="A20" s="11"/>
      <c r="B20" s="39"/>
      <c r="C20" s="40"/>
      <c r="D20" s="40"/>
      <c r="E20" s="40"/>
      <c r="F20" s="11"/>
    </row>
    <row r="21" customFormat="false" ht="12.8" hidden="false" customHeight="false" outlineLevel="0" collapsed="false">
      <c r="A21" s="11"/>
      <c r="B21" s="39"/>
      <c r="C21" s="40"/>
      <c r="D21" s="40"/>
      <c r="E21" s="40"/>
      <c r="F21" s="11"/>
    </row>
    <row r="22" customFormat="false" ht="12.8" hidden="false" customHeight="false" outlineLevel="0" collapsed="false">
      <c r="A22" s="11"/>
      <c r="B22" s="39"/>
      <c r="C22" s="40"/>
      <c r="D22" s="40"/>
      <c r="E22" s="40"/>
      <c r="F22" s="11"/>
    </row>
    <row r="23" customFormat="false" ht="12.8" hidden="false" customHeight="false" outlineLevel="0" collapsed="false">
      <c r="A23" s="11"/>
      <c r="B23" s="39"/>
      <c r="C23" s="40"/>
      <c r="D23" s="40"/>
      <c r="E23" s="40"/>
      <c r="F23" s="11"/>
    </row>
    <row r="24" customFormat="false" ht="12.8" hidden="false" customHeight="false" outlineLevel="0" collapsed="false">
      <c r="A24" s="11"/>
      <c r="B24" s="39"/>
      <c r="C24" s="40"/>
      <c r="D24" s="40"/>
      <c r="E24" s="40"/>
      <c r="F24" s="11"/>
    </row>
    <row r="25" customFormat="false" ht="12.8" hidden="false" customHeight="false" outlineLevel="0" collapsed="false">
      <c r="A25" s="11"/>
      <c r="B25" s="39"/>
      <c r="C25" s="40"/>
      <c r="D25" s="40"/>
      <c r="E25" s="40"/>
      <c r="F25" s="11"/>
    </row>
    <row r="26" customFormat="false" ht="12.8" hidden="false" customHeight="false" outlineLevel="0" collapsed="false">
      <c r="A26" s="11"/>
      <c r="B26" s="39"/>
      <c r="C26" s="40"/>
      <c r="D26" s="40"/>
      <c r="E26" s="40"/>
      <c r="F26" s="11"/>
    </row>
    <row r="27" customFormat="false" ht="12.8" hidden="false" customHeight="false" outlineLevel="0" collapsed="false">
      <c r="A27" s="11"/>
      <c r="B27" s="39"/>
      <c r="C27" s="40"/>
      <c r="D27" s="40"/>
      <c r="E27" s="40"/>
      <c r="F27" s="11"/>
    </row>
    <row r="28" customFormat="false" ht="12.8" hidden="false" customHeight="false" outlineLevel="0" collapsed="false">
      <c r="A28" s="11"/>
      <c r="B28" s="39"/>
      <c r="C28" s="40"/>
      <c r="D28" s="40"/>
      <c r="E28" s="40"/>
      <c r="F28" s="11"/>
    </row>
    <row r="29" customFormat="false" ht="12.8" hidden="false" customHeight="false" outlineLevel="0" collapsed="false">
      <c r="A29" s="11"/>
      <c r="B29" s="39"/>
      <c r="C29" s="40"/>
      <c r="D29" s="40"/>
      <c r="E29" s="40"/>
      <c r="F29" s="11"/>
    </row>
    <row r="30" customFormat="false" ht="12.8" hidden="false" customHeight="false" outlineLevel="0" collapsed="false">
      <c r="A30" s="11"/>
      <c r="B30" s="39"/>
      <c r="C30" s="40"/>
      <c r="D30" s="40"/>
      <c r="E30" s="40"/>
      <c r="F30" s="11"/>
    </row>
    <row r="31" customFormat="false" ht="12.8" hidden="false" customHeight="false" outlineLevel="0" collapsed="false">
      <c r="A31" s="11"/>
      <c r="B31" s="39"/>
      <c r="C31" s="40"/>
      <c r="D31" s="40"/>
      <c r="E31" s="40"/>
      <c r="F31" s="11"/>
    </row>
    <row r="32" customFormat="false" ht="12.8" hidden="false" customHeight="false" outlineLevel="0" collapsed="false">
      <c r="A32" s="11"/>
      <c r="B32" s="39"/>
      <c r="C32" s="40"/>
      <c r="D32" s="40"/>
      <c r="E32" s="40"/>
      <c r="F32" s="11"/>
    </row>
    <row r="33" customFormat="false" ht="12.8" hidden="false" customHeight="false" outlineLevel="0" collapsed="false">
      <c r="A33" s="11"/>
      <c r="B33" s="39"/>
      <c r="C33" s="40"/>
      <c r="D33" s="40"/>
      <c r="E33" s="40"/>
      <c r="F33" s="11"/>
    </row>
    <row r="34" customFormat="false" ht="12.8" hidden="false" customHeight="false" outlineLevel="0" collapsed="false">
      <c r="A34" s="11"/>
      <c r="B34" s="39"/>
      <c r="C34" s="40"/>
      <c r="D34" s="40"/>
      <c r="E34" s="40"/>
      <c r="F34" s="11"/>
    </row>
    <row r="35" customFormat="false" ht="12.8" hidden="false" customHeight="false" outlineLevel="0" collapsed="false">
      <c r="A35" s="11"/>
      <c r="B35" s="39"/>
      <c r="C35" s="40"/>
      <c r="D35" s="40"/>
      <c r="E35" s="40"/>
      <c r="F35" s="11"/>
    </row>
    <row r="36" customFormat="false" ht="12.8" hidden="false" customHeight="false" outlineLevel="0" collapsed="false">
      <c r="A36" s="11"/>
      <c r="B36" s="39"/>
      <c r="C36" s="40"/>
      <c r="D36" s="40"/>
      <c r="E36" s="40"/>
      <c r="F36" s="11"/>
    </row>
    <row r="37" customFormat="false" ht="12.8" hidden="false" customHeight="false" outlineLevel="0" collapsed="false">
      <c r="A37" s="11"/>
      <c r="B37" s="39"/>
      <c r="C37" s="40"/>
      <c r="D37" s="40"/>
      <c r="E37" s="40"/>
      <c r="F37" s="11"/>
    </row>
    <row r="38" customFormat="false" ht="12.8" hidden="false" customHeight="false" outlineLevel="0" collapsed="false">
      <c r="A38" s="11"/>
      <c r="B38" s="39"/>
      <c r="C38" s="40"/>
      <c r="D38" s="40"/>
      <c r="E38" s="40"/>
      <c r="F38" s="11"/>
    </row>
    <row r="39" customFormat="false" ht="12.8" hidden="false" customHeight="false" outlineLevel="0" collapsed="false">
      <c r="A39" s="11"/>
      <c r="B39" s="39"/>
      <c r="C39" s="40"/>
      <c r="D39" s="40"/>
      <c r="E39" s="40"/>
      <c r="F39" s="11"/>
    </row>
    <row r="40" customFormat="false" ht="12.8" hidden="false" customHeight="false" outlineLevel="0" collapsed="false">
      <c r="A40" s="11"/>
      <c r="B40" s="39"/>
      <c r="C40" s="40"/>
      <c r="D40" s="40"/>
      <c r="E40" s="40"/>
      <c r="F40" s="11"/>
    </row>
    <row r="41" customFormat="false" ht="12.8" hidden="false" customHeight="false" outlineLevel="0" collapsed="false">
      <c r="A41" s="11"/>
      <c r="B41" s="39"/>
      <c r="C41" s="40"/>
      <c r="D41" s="40"/>
      <c r="E41" s="40"/>
      <c r="F41" s="11"/>
    </row>
    <row r="42" customFormat="false" ht="12.8" hidden="false" customHeight="false" outlineLevel="0" collapsed="false">
      <c r="A42" s="11"/>
      <c r="B42" s="39"/>
      <c r="C42" s="40"/>
      <c r="D42" s="40"/>
      <c r="E42" s="40"/>
      <c r="F42" s="11"/>
    </row>
    <row r="43" customFormat="false" ht="12.8" hidden="false" customHeight="false" outlineLevel="0" collapsed="false">
      <c r="A43" s="11"/>
      <c r="B43" s="39"/>
      <c r="C43" s="40"/>
      <c r="D43" s="40"/>
      <c r="E43" s="40"/>
      <c r="F43" s="11"/>
    </row>
    <row r="44" customFormat="false" ht="12.8" hidden="false" customHeight="false" outlineLevel="0" collapsed="false">
      <c r="A44" s="11"/>
      <c r="B44" s="39"/>
      <c r="C44" s="40"/>
      <c r="D44" s="40"/>
      <c r="E44" s="40"/>
      <c r="F44" s="11"/>
    </row>
    <row r="45" customFormat="false" ht="12.8" hidden="false" customHeight="false" outlineLevel="0" collapsed="false">
      <c r="A45" s="11"/>
      <c r="B45" s="39"/>
      <c r="C45" s="40"/>
      <c r="D45" s="40"/>
      <c r="E45" s="40"/>
      <c r="F45" s="11"/>
    </row>
    <row r="46" customFormat="false" ht="12.8" hidden="false" customHeight="false" outlineLevel="0" collapsed="false">
      <c r="A46" s="11"/>
      <c r="B46" s="39"/>
      <c r="C46" s="40"/>
      <c r="D46" s="40"/>
      <c r="E46" s="40"/>
      <c r="F46" s="11"/>
    </row>
    <row r="47" customFormat="false" ht="12.8" hidden="false" customHeight="false" outlineLevel="0" collapsed="false">
      <c r="A47" s="11"/>
      <c r="B47" s="39"/>
      <c r="C47" s="40"/>
      <c r="D47" s="40"/>
      <c r="E47" s="40"/>
      <c r="F47" s="11"/>
    </row>
    <row r="48" customFormat="false" ht="12.8" hidden="false" customHeight="false" outlineLevel="0" collapsed="false">
      <c r="A48" s="11"/>
      <c r="B48" s="39"/>
      <c r="C48" s="40"/>
      <c r="D48" s="40"/>
      <c r="E48" s="40"/>
      <c r="F48" s="11"/>
    </row>
    <row r="49" customFormat="false" ht="12.8" hidden="false" customHeight="false" outlineLevel="0" collapsed="false">
      <c r="A49" s="11"/>
      <c r="B49" s="39"/>
      <c r="C49" s="40"/>
      <c r="D49" s="40"/>
      <c r="E49" s="40"/>
      <c r="F49" s="11"/>
    </row>
    <row r="50" customFormat="false" ht="12.8" hidden="false" customHeight="false" outlineLevel="0" collapsed="false">
      <c r="A50" s="11"/>
      <c r="B50" s="39"/>
      <c r="C50" s="40"/>
      <c r="D50" s="40"/>
      <c r="E50" s="40"/>
      <c r="F50" s="11"/>
    </row>
    <row r="51" customFormat="false" ht="12.8" hidden="false" customHeight="false" outlineLevel="0" collapsed="false">
      <c r="A51" s="11"/>
      <c r="B51" s="39"/>
      <c r="C51" s="40"/>
      <c r="D51" s="40"/>
      <c r="E51" s="40"/>
      <c r="F51" s="11"/>
    </row>
    <row r="52" customFormat="false" ht="12.8" hidden="false" customHeight="false" outlineLevel="0" collapsed="false">
      <c r="A52" s="11"/>
      <c r="B52" s="39"/>
      <c r="C52" s="40"/>
      <c r="D52" s="40"/>
      <c r="E52" s="40"/>
      <c r="F52" s="11"/>
    </row>
    <row r="53" customFormat="false" ht="12.8" hidden="false" customHeight="false" outlineLevel="0" collapsed="false">
      <c r="A53" s="11"/>
      <c r="B53" s="39"/>
      <c r="C53" s="40"/>
      <c r="D53" s="40"/>
      <c r="E53" s="40"/>
      <c r="F53" s="11"/>
    </row>
    <row r="54" customFormat="false" ht="12.8" hidden="false" customHeight="false" outlineLevel="0" collapsed="false">
      <c r="A54" s="11"/>
      <c r="B54" s="39"/>
      <c r="C54" s="40"/>
      <c r="D54" s="40"/>
      <c r="E54" s="40"/>
      <c r="F54" s="11"/>
    </row>
    <row r="55" customFormat="false" ht="12.8" hidden="false" customHeight="false" outlineLevel="0" collapsed="false">
      <c r="A55" s="11"/>
      <c r="B55" s="39"/>
      <c r="C55" s="40"/>
      <c r="D55" s="40"/>
      <c r="E55" s="40"/>
      <c r="F55" s="11"/>
    </row>
    <row r="56" customFormat="false" ht="12.8" hidden="false" customHeight="false" outlineLevel="0" collapsed="false">
      <c r="A56" s="11"/>
      <c r="B56" s="39"/>
      <c r="C56" s="40"/>
      <c r="D56" s="40"/>
      <c r="E56" s="40"/>
      <c r="F56" s="11"/>
    </row>
    <row r="57" customFormat="false" ht="12.8" hidden="false" customHeight="false" outlineLevel="0" collapsed="false">
      <c r="A57" s="11"/>
      <c r="B57" s="39"/>
      <c r="C57" s="40"/>
      <c r="D57" s="40"/>
      <c r="E57" s="40"/>
      <c r="F57" s="11"/>
    </row>
    <row r="58" customFormat="false" ht="12.8" hidden="false" customHeight="false" outlineLevel="0" collapsed="false">
      <c r="A58" s="11"/>
      <c r="B58" s="39"/>
      <c r="C58" s="40"/>
      <c r="D58" s="40"/>
      <c r="E58" s="40"/>
      <c r="F58" s="11"/>
    </row>
    <row r="59" customFormat="false" ht="12.8" hidden="false" customHeight="false" outlineLevel="0" collapsed="false">
      <c r="A59" s="11"/>
      <c r="B59" s="39"/>
      <c r="C59" s="40"/>
      <c r="D59" s="40"/>
      <c r="E59" s="40"/>
      <c r="F59" s="11"/>
    </row>
    <row r="60" customFormat="false" ht="12.8" hidden="false" customHeight="false" outlineLevel="0" collapsed="false">
      <c r="A60" s="11"/>
      <c r="B60" s="39"/>
      <c r="C60" s="40"/>
      <c r="D60" s="40"/>
      <c r="E60" s="40"/>
      <c r="F60" s="11"/>
    </row>
    <row r="61" customFormat="false" ht="12.8" hidden="false" customHeight="false" outlineLevel="0" collapsed="false">
      <c r="A61" s="11"/>
      <c r="B61" s="39"/>
      <c r="C61" s="40"/>
      <c r="D61" s="40"/>
      <c r="E61" s="40"/>
      <c r="F61" s="11"/>
    </row>
    <row r="62" customFormat="false" ht="12.8" hidden="false" customHeight="false" outlineLevel="0" collapsed="false">
      <c r="A62" s="11"/>
      <c r="B62" s="39"/>
      <c r="C62" s="40"/>
      <c r="D62" s="40"/>
      <c r="E62" s="40"/>
      <c r="F62" s="11"/>
    </row>
    <row r="63" customFormat="false" ht="12.8" hidden="false" customHeight="false" outlineLevel="0" collapsed="false">
      <c r="A63" s="11"/>
      <c r="B63" s="39"/>
      <c r="C63" s="40"/>
      <c r="D63" s="40"/>
      <c r="E63" s="40"/>
      <c r="F63" s="11"/>
    </row>
    <row r="64" customFormat="false" ht="12.8" hidden="false" customHeight="false" outlineLevel="0" collapsed="false">
      <c r="A64" s="11"/>
      <c r="B64" s="39"/>
      <c r="C64" s="40"/>
      <c r="D64" s="40"/>
      <c r="E64" s="40"/>
      <c r="F64" s="11"/>
    </row>
    <row r="65" customFormat="false" ht="12.8" hidden="false" customHeight="false" outlineLevel="0" collapsed="false">
      <c r="A65" s="11"/>
      <c r="B65" s="39"/>
      <c r="C65" s="40"/>
      <c r="D65" s="40"/>
      <c r="E65" s="40"/>
      <c r="F65" s="11"/>
    </row>
    <row r="66" customFormat="false" ht="12.8" hidden="false" customHeight="false" outlineLevel="0" collapsed="false">
      <c r="A66" s="11"/>
      <c r="B66" s="39"/>
      <c r="C66" s="40"/>
      <c r="D66" s="40"/>
      <c r="E66" s="40"/>
      <c r="F66" s="11"/>
    </row>
    <row r="67" customFormat="false" ht="12.8" hidden="false" customHeight="false" outlineLevel="0" collapsed="false">
      <c r="A67" s="11"/>
      <c r="B67" s="39"/>
      <c r="C67" s="40"/>
      <c r="D67" s="40"/>
      <c r="E67" s="40"/>
      <c r="F67" s="11"/>
    </row>
    <row r="68" customFormat="false" ht="12.8" hidden="false" customHeight="false" outlineLevel="0" collapsed="false">
      <c r="A68" s="11"/>
      <c r="B68" s="39"/>
      <c r="C68" s="40"/>
      <c r="D68" s="40"/>
      <c r="E68" s="40"/>
      <c r="F68" s="11"/>
    </row>
    <row r="69" customFormat="false" ht="12.8" hidden="false" customHeight="false" outlineLevel="0" collapsed="false">
      <c r="A69" s="11"/>
      <c r="B69" s="39"/>
      <c r="C69" s="40"/>
      <c r="D69" s="40"/>
      <c r="E69" s="40"/>
      <c r="F69" s="11"/>
    </row>
    <row r="70" customFormat="false" ht="12.8" hidden="false" customHeight="false" outlineLevel="0" collapsed="false">
      <c r="A70" s="11"/>
      <c r="B70" s="39"/>
      <c r="C70" s="40"/>
      <c r="D70" s="40"/>
      <c r="E70" s="40"/>
      <c r="F70" s="11"/>
    </row>
    <row r="71" customFormat="false" ht="12.8" hidden="false" customHeight="false" outlineLevel="0" collapsed="false">
      <c r="A71" s="11"/>
      <c r="B71" s="39"/>
      <c r="C71" s="40"/>
      <c r="D71" s="40"/>
      <c r="E71" s="40"/>
      <c r="F71" s="11"/>
    </row>
    <row r="72" customFormat="false" ht="12.8" hidden="false" customHeight="false" outlineLevel="0" collapsed="false">
      <c r="A72" s="11"/>
      <c r="B72" s="39"/>
      <c r="C72" s="40"/>
      <c r="D72" s="40"/>
      <c r="E72" s="40"/>
      <c r="F72" s="11"/>
    </row>
    <row r="73" customFormat="false" ht="12.8" hidden="false" customHeight="false" outlineLevel="0" collapsed="false">
      <c r="A73" s="11"/>
      <c r="B73" s="39"/>
      <c r="C73" s="40"/>
      <c r="D73" s="40"/>
      <c r="E73" s="40"/>
      <c r="F73" s="11"/>
    </row>
    <row r="74" customFormat="false" ht="12.8" hidden="false" customHeight="false" outlineLevel="0" collapsed="false">
      <c r="A74" s="11"/>
      <c r="B74" s="39"/>
      <c r="C74" s="40"/>
      <c r="D74" s="40"/>
      <c r="E74" s="40"/>
      <c r="F74" s="11"/>
    </row>
    <row r="75" customFormat="false" ht="12.8" hidden="false" customHeight="false" outlineLevel="0" collapsed="false">
      <c r="A75" s="11"/>
      <c r="B75" s="39"/>
      <c r="C75" s="40"/>
      <c r="D75" s="40"/>
      <c r="E75" s="40"/>
      <c r="F75" s="11"/>
    </row>
    <row r="76" customFormat="false" ht="12.8" hidden="false" customHeight="false" outlineLevel="0" collapsed="false">
      <c r="A76" s="11"/>
      <c r="B76" s="39"/>
      <c r="C76" s="40"/>
      <c r="D76" s="40"/>
      <c r="E76" s="40"/>
      <c r="F76" s="11"/>
    </row>
    <row r="77" customFormat="false" ht="12.8" hidden="false" customHeight="false" outlineLevel="0" collapsed="false">
      <c r="A77" s="11"/>
      <c r="B77" s="39"/>
      <c r="C77" s="40"/>
      <c r="D77" s="40"/>
      <c r="E77" s="40"/>
      <c r="F77" s="11"/>
    </row>
    <row r="78" customFormat="false" ht="12.8" hidden="false" customHeight="false" outlineLevel="0" collapsed="false">
      <c r="A78" s="11"/>
      <c r="B78" s="39"/>
      <c r="C78" s="40"/>
      <c r="D78" s="40"/>
      <c r="E78" s="40"/>
      <c r="F78" s="11"/>
    </row>
    <row r="79" customFormat="false" ht="12.8" hidden="false" customHeight="false" outlineLevel="0" collapsed="false">
      <c r="A79" s="11"/>
      <c r="B79" s="39"/>
      <c r="C79" s="40"/>
      <c r="D79" s="40"/>
      <c r="E79" s="40"/>
      <c r="F79" s="11"/>
    </row>
    <row r="80" customFormat="false" ht="12.8" hidden="false" customHeight="false" outlineLevel="0" collapsed="false">
      <c r="A80" s="11"/>
      <c r="B80" s="39"/>
      <c r="C80" s="40"/>
      <c r="D80" s="40"/>
      <c r="E80" s="40"/>
      <c r="F80" s="11"/>
    </row>
    <row r="81" customFormat="false" ht="12.8" hidden="false" customHeight="false" outlineLevel="0" collapsed="false">
      <c r="A81" s="11"/>
      <c r="B81" s="39"/>
      <c r="C81" s="40"/>
      <c r="D81" s="40"/>
      <c r="E81" s="40"/>
      <c r="F81" s="11"/>
    </row>
    <row r="82" customFormat="false" ht="12.8" hidden="false" customHeight="false" outlineLevel="0" collapsed="false">
      <c r="A82" s="11"/>
      <c r="B82" s="39"/>
      <c r="C82" s="40"/>
      <c r="D82" s="40"/>
      <c r="E82" s="40"/>
      <c r="F82" s="11"/>
    </row>
    <row r="83" customFormat="false" ht="12.8" hidden="false" customHeight="false" outlineLevel="0" collapsed="false">
      <c r="A83" s="11"/>
      <c r="B83" s="39"/>
      <c r="C83" s="40"/>
      <c r="D83" s="40"/>
      <c r="E83" s="40"/>
      <c r="F83" s="11"/>
    </row>
    <row r="84" customFormat="false" ht="12.8" hidden="false" customHeight="false" outlineLevel="0" collapsed="false">
      <c r="A84" s="11"/>
      <c r="B84" s="39"/>
      <c r="C84" s="40"/>
      <c r="D84" s="40"/>
      <c r="E84" s="40"/>
      <c r="F84" s="11"/>
    </row>
    <row r="85" customFormat="false" ht="12.8" hidden="false" customHeight="false" outlineLevel="0" collapsed="false">
      <c r="A85" s="11"/>
      <c r="B85" s="39"/>
      <c r="C85" s="40"/>
      <c r="D85" s="40"/>
      <c r="E85" s="40"/>
      <c r="F85" s="11"/>
    </row>
    <row r="86" customFormat="false" ht="12.8" hidden="false" customHeight="false" outlineLevel="0" collapsed="false">
      <c r="A86" s="11"/>
      <c r="B86" s="39"/>
      <c r="C86" s="40"/>
      <c r="D86" s="40"/>
      <c r="E86" s="40"/>
      <c r="F86" s="11"/>
    </row>
    <row r="87" customFormat="false" ht="12.8" hidden="false" customHeight="false" outlineLevel="0" collapsed="false">
      <c r="A87" s="11"/>
      <c r="B87" s="39"/>
      <c r="C87" s="40"/>
      <c r="D87" s="40"/>
      <c r="E87" s="40"/>
      <c r="F87" s="11"/>
    </row>
    <row r="88" customFormat="false" ht="12.8" hidden="false" customHeight="false" outlineLevel="0" collapsed="false">
      <c r="A88" s="11"/>
      <c r="B88" s="39"/>
      <c r="C88" s="40"/>
      <c r="D88" s="40"/>
      <c r="E88" s="40"/>
      <c r="F88" s="11"/>
    </row>
    <row r="89" customFormat="false" ht="12.8" hidden="false" customHeight="false" outlineLevel="0" collapsed="false">
      <c r="A89" s="11"/>
      <c r="B89" s="39"/>
      <c r="C89" s="40"/>
      <c r="D89" s="40"/>
      <c r="E89" s="40"/>
      <c r="F89" s="11"/>
    </row>
    <row r="90" customFormat="false" ht="12.8" hidden="false" customHeight="false" outlineLevel="0" collapsed="false">
      <c r="A90" s="11"/>
      <c r="B90" s="39"/>
      <c r="C90" s="40"/>
      <c r="D90" s="40"/>
      <c r="E90" s="40"/>
      <c r="F90" s="11"/>
    </row>
    <row r="91" customFormat="false" ht="12.8" hidden="false" customHeight="false" outlineLevel="0" collapsed="false">
      <c r="A91" s="11"/>
      <c r="B91" s="39"/>
      <c r="C91" s="40"/>
      <c r="D91" s="40"/>
      <c r="E91" s="40"/>
      <c r="F91" s="11"/>
    </row>
    <row r="92" customFormat="false" ht="12.8" hidden="false" customHeight="false" outlineLevel="0" collapsed="false">
      <c r="A92" s="11"/>
      <c r="B92" s="39"/>
      <c r="C92" s="40"/>
      <c r="D92" s="40"/>
      <c r="E92" s="40"/>
      <c r="F92" s="11"/>
    </row>
    <row r="93" customFormat="false" ht="12.8" hidden="false" customHeight="false" outlineLevel="0" collapsed="false">
      <c r="A93" s="11"/>
      <c r="B93" s="39"/>
      <c r="C93" s="40"/>
      <c r="D93" s="40"/>
      <c r="E93" s="40"/>
      <c r="F93" s="11"/>
    </row>
    <row r="94" customFormat="false" ht="12.8" hidden="false" customHeight="false" outlineLevel="0" collapsed="false">
      <c r="A94" s="11"/>
      <c r="B94" s="39"/>
      <c r="C94" s="40"/>
      <c r="D94" s="40"/>
      <c r="E94" s="40"/>
      <c r="F94" s="11"/>
    </row>
    <row r="95" customFormat="false" ht="12.8" hidden="false" customHeight="false" outlineLevel="0" collapsed="false">
      <c r="A95" s="11"/>
      <c r="B95" s="39"/>
      <c r="C95" s="40"/>
      <c r="D95" s="40"/>
      <c r="E95" s="40"/>
      <c r="F95" s="11"/>
    </row>
    <row r="96" customFormat="false" ht="12.8" hidden="false" customHeight="false" outlineLevel="0" collapsed="false">
      <c r="A96" s="11"/>
      <c r="B96" s="39"/>
      <c r="C96" s="40"/>
      <c r="D96" s="40"/>
      <c r="E96" s="40"/>
      <c r="F96" s="11"/>
    </row>
    <row r="97" customFormat="false" ht="12.8" hidden="false" customHeight="false" outlineLevel="0" collapsed="false">
      <c r="A97" s="11"/>
      <c r="B97" s="39"/>
      <c r="C97" s="40"/>
      <c r="D97" s="40"/>
      <c r="E97" s="40"/>
      <c r="F97" s="11"/>
    </row>
    <row r="98" customFormat="false" ht="12.8" hidden="false" customHeight="false" outlineLevel="0" collapsed="false">
      <c r="A98" s="11"/>
      <c r="B98" s="39"/>
      <c r="C98" s="40"/>
      <c r="D98" s="40"/>
      <c r="E98" s="40"/>
      <c r="F98" s="11"/>
    </row>
    <row r="99" customFormat="false" ht="12.8" hidden="false" customHeight="false" outlineLevel="0" collapsed="false">
      <c r="A99" s="11"/>
      <c r="B99" s="39"/>
      <c r="C99" s="40"/>
      <c r="D99" s="40"/>
      <c r="E99" s="40"/>
      <c r="F99" s="11"/>
    </row>
    <row r="100" customFormat="false" ht="12.8" hidden="false" customHeight="false" outlineLevel="0" collapsed="false">
      <c r="A100" s="11"/>
      <c r="B100" s="39"/>
      <c r="C100" s="40"/>
      <c r="D100" s="40"/>
      <c r="E100" s="40"/>
      <c r="F100" s="11"/>
    </row>
    <row r="101" customFormat="false" ht="12.8" hidden="false" customHeight="false" outlineLevel="0" collapsed="false">
      <c r="A101" s="11"/>
      <c r="B101" s="39"/>
      <c r="C101" s="40"/>
      <c r="D101" s="40"/>
      <c r="E101" s="40"/>
      <c r="F101" s="11"/>
    </row>
    <row r="102" customFormat="false" ht="12.8" hidden="false" customHeight="false" outlineLevel="0" collapsed="false">
      <c r="A102" s="11"/>
      <c r="B102" s="39"/>
      <c r="C102" s="40"/>
      <c r="D102" s="40"/>
      <c r="E102" s="40"/>
      <c r="F102" s="11"/>
    </row>
    <row r="103" customFormat="false" ht="12.8" hidden="false" customHeight="false" outlineLevel="0" collapsed="false">
      <c r="A103" s="11"/>
      <c r="B103" s="39"/>
      <c r="C103" s="40"/>
      <c r="D103" s="40"/>
      <c r="E103" s="40"/>
      <c r="F103" s="11"/>
    </row>
    <row r="104" customFormat="false" ht="12.8" hidden="false" customHeight="false" outlineLevel="0" collapsed="false">
      <c r="A104" s="11"/>
      <c r="B104" s="39"/>
      <c r="C104" s="40"/>
      <c r="D104" s="40"/>
      <c r="E104" s="40"/>
      <c r="F104" s="11"/>
    </row>
    <row r="105" customFormat="false" ht="12.8" hidden="false" customHeight="false" outlineLevel="0" collapsed="false">
      <c r="A105" s="11"/>
      <c r="B105" s="39"/>
      <c r="C105" s="40"/>
      <c r="D105" s="40"/>
      <c r="E105" s="40"/>
      <c r="F105" s="11"/>
    </row>
    <row r="106" customFormat="false" ht="12.8" hidden="false" customHeight="false" outlineLevel="0" collapsed="false">
      <c r="A106" s="11"/>
      <c r="B106" s="39"/>
      <c r="C106" s="40"/>
      <c r="D106" s="40"/>
      <c r="E106" s="40"/>
      <c r="F106" s="11"/>
    </row>
    <row r="107" customFormat="false" ht="12.8" hidden="false" customHeight="false" outlineLevel="0" collapsed="false">
      <c r="A107" s="11"/>
      <c r="B107" s="39"/>
      <c r="C107" s="40"/>
      <c r="D107" s="40"/>
      <c r="E107" s="40"/>
      <c r="F107" s="11"/>
    </row>
    <row r="108" customFormat="false" ht="12.8" hidden="false" customHeight="false" outlineLevel="0" collapsed="false">
      <c r="A108" s="11"/>
      <c r="B108" s="39"/>
      <c r="C108" s="40"/>
      <c r="D108" s="40"/>
      <c r="E108" s="40"/>
      <c r="F108" s="11"/>
    </row>
    <row r="109" customFormat="false" ht="12.8" hidden="false" customHeight="false" outlineLevel="0" collapsed="false">
      <c r="A109" s="11"/>
      <c r="B109" s="39"/>
      <c r="C109" s="40"/>
      <c r="D109" s="40"/>
      <c r="E109" s="40"/>
      <c r="F109" s="11"/>
    </row>
    <row r="110" customFormat="false" ht="12.8" hidden="false" customHeight="false" outlineLevel="0" collapsed="false">
      <c r="A110" s="11"/>
      <c r="B110" s="39"/>
      <c r="C110" s="40"/>
      <c r="D110" s="40"/>
      <c r="E110" s="40"/>
      <c r="F110" s="11"/>
    </row>
    <row r="111" customFormat="false" ht="12.8" hidden="false" customHeight="false" outlineLevel="0" collapsed="false">
      <c r="A111" s="11"/>
      <c r="B111" s="39"/>
      <c r="C111" s="40"/>
      <c r="D111" s="40"/>
      <c r="E111" s="40"/>
      <c r="F111" s="11"/>
    </row>
    <row r="112" customFormat="false" ht="12.8" hidden="false" customHeight="false" outlineLevel="0" collapsed="false">
      <c r="A112" s="11"/>
      <c r="B112" s="39"/>
      <c r="C112" s="40"/>
      <c r="D112" s="40"/>
      <c r="E112" s="40"/>
      <c r="F112" s="11"/>
    </row>
    <row r="113" customFormat="false" ht="12.8" hidden="false" customHeight="false" outlineLevel="0" collapsed="false">
      <c r="A113" s="11"/>
      <c r="B113" s="39"/>
      <c r="C113" s="40"/>
      <c r="D113" s="40"/>
      <c r="E113" s="40"/>
      <c r="F113" s="11"/>
    </row>
    <row r="114" customFormat="false" ht="12.8" hidden="false" customHeight="false" outlineLevel="0" collapsed="false">
      <c r="A114" s="11"/>
      <c r="B114" s="39"/>
      <c r="C114" s="40"/>
      <c r="D114" s="40"/>
      <c r="E114" s="40"/>
      <c r="F114" s="11"/>
    </row>
    <row r="115" customFormat="false" ht="12.8" hidden="false" customHeight="false" outlineLevel="0" collapsed="false">
      <c r="A115" s="11"/>
      <c r="B115" s="39"/>
      <c r="C115" s="40"/>
      <c r="D115" s="40"/>
      <c r="E115" s="40"/>
      <c r="F115" s="11"/>
    </row>
    <row r="116" customFormat="false" ht="12.8" hidden="false" customHeight="false" outlineLevel="0" collapsed="false">
      <c r="A116" s="11"/>
      <c r="B116" s="39"/>
      <c r="C116" s="40"/>
      <c r="D116" s="40"/>
      <c r="E116" s="40"/>
      <c r="F116" s="11"/>
    </row>
    <row r="117" customFormat="false" ht="12.8" hidden="false" customHeight="false" outlineLevel="0" collapsed="false">
      <c r="A117" s="11"/>
      <c r="B117" s="39"/>
      <c r="C117" s="40"/>
      <c r="D117" s="40"/>
      <c r="E117" s="40"/>
      <c r="F117" s="11"/>
    </row>
    <row r="118" customFormat="false" ht="12.8" hidden="false" customHeight="false" outlineLevel="0" collapsed="false">
      <c r="A118" s="11"/>
      <c r="B118" s="39"/>
      <c r="C118" s="40"/>
      <c r="D118" s="40"/>
      <c r="E118" s="40"/>
      <c r="F118" s="11"/>
    </row>
    <row r="119" customFormat="false" ht="12.8" hidden="false" customHeight="false" outlineLevel="0" collapsed="false">
      <c r="A119" s="11"/>
      <c r="B119" s="39"/>
      <c r="C119" s="40"/>
      <c r="D119" s="40"/>
      <c r="E119" s="40"/>
      <c r="F119" s="11"/>
    </row>
    <row r="120" customFormat="false" ht="12.8" hidden="false" customHeight="false" outlineLevel="0" collapsed="false">
      <c r="A120" s="11"/>
      <c r="B120" s="39"/>
      <c r="C120" s="40"/>
      <c r="D120" s="40"/>
      <c r="E120" s="40"/>
      <c r="F120" s="11"/>
    </row>
    <row r="121" customFormat="false" ht="12.8" hidden="false" customHeight="false" outlineLevel="0" collapsed="false">
      <c r="A121" s="11"/>
      <c r="B121" s="39"/>
      <c r="C121" s="40"/>
      <c r="D121" s="40"/>
      <c r="E121" s="40"/>
      <c r="F121" s="11"/>
    </row>
    <row r="122" customFormat="false" ht="12.8" hidden="false" customHeight="false" outlineLevel="0" collapsed="false">
      <c r="A122" s="11"/>
      <c r="B122" s="39"/>
      <c r="C122" s="40"/>
      <c r="D122" s="40"/>
      <c r="E122" s="40"/>
      <c r="F122" s="11"/>
    </row>
    <row r="123" customFormat="false" ht="12.8" hidden="false" customHeight="false" outlineLevel="0" collapsed="false">
      <c r="A123" s="11"/>
      <c r="B123" s="39"/>
      <c r="C123" s="40"/>
      <c r="D123" s="40"/>
      <c r="E123" s="40"/>
      <c r="F123" s="11"/>
    </row>
    <row r="124" customFormat="false" ht="12.8" hidden="false" customHeight="false" outlineLevel="0" collapsed="false">
      <c r="A124" s="11"/>
      <c r="B124" s="39"/>
      <c r="C124" s="40"/>
      <c r="D124" s="40"/>
      <c r="E124" s="40"/>
      <c r="F124" s="11"/>
    </row>
    <row r="125" customFormat="false" ht="12.8" hidden="false" customHeight="false" outlineLevel="0" collapsed="false">
      <c r="A125" s="11"/>
      <c r="B125" s="39"/>
      <c r="C125" s="40"/>
      <c r="D125" s="40"/>
      <c r="E125" s="40"/>
      <c r="F125" s="11"/>
    </row>
    <row r="126" customFormat="false" ht="12.8" hidden="false" customHeight="false" outlineLevel="0" collapsed="false">
      <c r="A126" s="11"/>
      <c r="B126" s="39"/>
      <c r="C126" s="40"/>
      <c r="D126" s="40"/>
      <c r="E126" s="40"/>
      <c r="F126" s="11"/>
    </row>
    <row r="127" customFormat="false" ht="12.8" hidden="false" customHeight="false" outlineLevel="0" collapsed="false">
      <c r="A127" s="11"/>
      <c r="B127" s="39"/>
      <c r="C127" s="40"/>
      <c r="D127" s="40"/>
      <c r="E127" s="40"/>
      <c r="F127" s="11"/>
    </row>
    <row r="128" customFormat="false" ht="12.8" hidden="false" customHeight="false" outlineLevel="0" collapsed="false">
      <c r="A128" s="11"/>
      <c r="B128" s="39"/>
      <c r="C128" s="40"/>
      <c r="D128" s="40"/>
      <c r="E128" s="40"/>
      <c r="F128" s="11"/>
    </row>
    <row r="129" customFormat="false" ht="12.8" hidden="false" customHeight="false" outlineLevel="0" collapsed="false">
      <c r="A129" s="11"/>
      <c r="B129" s="39"/>
      <c r="C129" s="40"/>
      <c r="D129" s="40"/>
      <c r="E129" s="40"/>
      <c r="F129" s="11"/>
    </row>
    <row r="130" customFormat="false" ht="12.8" hidden="false" customHeight="false" outlineLevel="0" collapsed="false">
      <c r="A130" s="11"/>
      <c r="B130" s="39"/>
      <c r="C130" s="40"/>
      <c r="D130" s="40"/>
      <c r="E130" s="40"/>
      <c r="F130" s="11"/>
    </row>
    <row r="131" customFormat="false" ht="12.8" hidden="false" customHeight="false" outlineLevel="0" collapsed="false">
      <c r="A131" s="11"/>
      <c r="B131" s="39"/>
      <c r="C131" s="40"/>
      <c r="D131" s="40"/>
      <c r="E131" s="40"/>
      <c r="F131" s="11"/>
    </row>
    <row r="132" customFormat="false" ht="12.8" hidden="false" customHeight="false" outlineLevel="0" collapsed="false">
      <c r="A132" s="11"/>
      <c r="B132" s="39"/>
      <c r="C132" s="40"/>
      <c r="D132" s="40"/>
      <c r="E132" s="40"/>
      <c r="F132" s="11"/>
    </row>
    <row r="133" customFormat="false" ht="12.8" hidden="false" customHeight="false" outlineLevel="0" collapsed="false">
      <c r="A133" s="11"/>
      <c r="B133" s="39"/>
      <c r="C133" s="40"/>
      <c r="D133" s="40"/>
      <c r="E133" s="40"/>
      <c r="F133" s="11"/>
    </row>
    <row r="134" customFormat="false" ht="12.8" hidden="false" customHeight="false" outlineLevel="0" collapsed="false">
      <c r="A134" s="11"/>
      <c r="B134" s="39"/>
      <c r="C134" s="40"/>
      <c r="D134" s="40"/>
      <c r="E134" s="40"/>
      <c r="F134" s="11"/>
    </row>
    <row r="135" customFormat="false" ht="12.8" hidden="false" customHeight="false" outlineLevel="0" collapsed="false">
      <c r="A135" s="11"/>
      <c r="B135" s="39"/>
      <c r="C135" s="40"/>
      <c r="D135" s="40"/>
      <c r="E135" s="40"/>
      <c r="F135" s="11"/>
    </row>
    <row r="136" customFormat="false" ht="12.8" hidden="false" customHeight="false" outlineLevel="0" collapsed="false">
      <c r="A136" s="11"/>
      <c r="B136" s="39"/>
      <c r="C136" s="40"/>
      <c r="D136" s="40"/>
      <c r="E136" s="40"/>
      <c r="F136" s="11"/>
    </row>
    <row r="137" customFormat="false" ht="12.8" hidden="false" customHeight="false" outlineLevel="0" collapsed="false">
      <c r="A137" s="11"/>
      <c r="B137" s="39"/>
      <c r="C137" s="40"/>
      <c r="D137" s="40"/>
      <c r="E137" s="40"/>
      <c r="F137" s="11"/>
    </row>
    <row r="138" customFormat="false" ht="12.8" hidden="false" customHeight="false" outlineLevel="0" collapsed="false">
      <c r="A138" s="11"/>
      <c r="B138" s="39"/>
      <c r="C138" s="40"/>
      <c r="D138" s="40"/>
      <c r="E138" s="40"/>
      <c r="F138" s="11"/>
    </row>
    <row r="139" customFormat="false" ht="12.8" hidden="false" customHeight="false" outlineLevel="0" collapsed="false">
      <c r="A139" s="11"/>
      <c r="B139" s="39"/>
      <c r="C139" s="40"/>
      <c r="D139" s="40"/>
      <c r="E139" s="40"/>
      <c r="F139" s="11"/>
    </row>
    <row r="140" customFormat="false" ht="12.8" hidden="false" customHeight="false" outlineLevel="0" collapsed="false">
      <c r="A140" s="11"/>
      <c r="B140" s="39"/>
      <c r="C140" s="40"/>
      <c r="D140" s="40"/>
      <c r="E140" s="40"/>
      <c r="F140" s="11"/>
    </row>
    <row r="141" customFormat="false" ht="12.8" hidden="false" customHeight="false" outlineLevel="0" collapsed="false">
      <c r="A141" s="11"/>
      <c r="B141" s="39"/>
      <c r="C141" s="40"/>
      <c r="D141" s="40"/>
      <c r="E141" s="40"/>
      <c r="F141" s="11"/>
    </row>
    <row r="142" customFormat="false" ht="12.8" hidden="false" customHeight="false" outlineLevel="0" collapsed="false">
      <c r="A142" s="11"/>
      <c r="B142" s="39"/>
      <c r="C142" s="40"/>
      <c r="D142" s="40"/>
      <c r="E142" s="40"/>
      <c r="F142" s="11"/>
    </row>
    <row r="143" customFormat="false" ht="12.8" hidden="false" customHeight="false" outlineLevel="0" collapsed="false">
      <c r="A143" s="11"/>
      <c r="B143" s="39"/>
      <c r="C143" s="40"/>
      <c r="D143" s="40"/>
      <c r="E143" s="40"/>
      <c r="F143" s="11"/>
    </row>
    <row r="144" customFormat="false" ht="12.8" hidden="false" customHeight="false" outlineLevel="0" collapsed="false">
      <c r="A144" s="11"/>
      <c r="B144" s="39"/>
      <c r="C144" s="40"/>
      <c r="D144" s="40"/>
      <c r="E144" s="40"/>
      <c r="F144" s="11"/>
    </row>
    <row r="145" customFormat="false" ht="12.8" hidden="false" customHeight="false" outlineLevel="0" collapsed="false">
      <c r="A145" s="11"/>
      <c r="B145" s="39"/>
      <c r="C145" s="40"/>
      <c r="D145" s="40"/>
      <c r="E145" s="40"/>
      <c r="F145" s="11"/>
    </row>
    <row r="146" customFormat="false" ht="12.8" hidden="false" customHeight="false" outlineLevel="0" collapsed="false">
      <c r="A146" s="11"/>
      <c r="B146" s="39"/>
      <c r="C146" s="40"/>
      <c r="D146" s="40"/>
      <c r="E146" s="40"/>
      <c r="F146" s="11"/>
    </row>
    <row r="147" customFormat="false" ht="12.8" hidden="false" customHeight="false" outlineLevel="0" collapsed="false">
      <c r="A147" s="11"/>
      <c r="B147" s="39"/>
      <c r="C147" s="40"/>
      <c r="D147" s="40"/>
      <c r="E147" s="40"/>
      <c r="F147" s="11"/>
    </row>
    <row r="148" customFormat="false" ht="12.8" hidden="false" customHeight="false" outlineLevel="0" collapsed="false">
      <c r="A148" s="11"/>
      <c r="B148" s="39"/>
      <c r="C148" s="40"/>
      <c r="D148" s="40"/>
      <c r="E148" s="40"/>
      <c r="F148" s="11"/>
    </row>
    <row r="149" customFormat="false" ht="12.8" hidden="false" customHeight="false" outlineLevel="0" collapsed="false">
      <c r="A149" s="11"/>
      <c r="B149" s="39"/>
      <c r="C149" s="40"/>
      <c r="D149" s="40"/>
      <c r="E149" s="40"/>
      <c r="F149" s="11"/>
    </row>
    <row r="150" customFormat="false" ht="12.8" hidden="false" customHeight="false" outlineLevel="0" collapsed="false">
      <c r="A150" s="11"/>
      <c r="B150" s="39"/>
      <c r="C150" s="40"/>
      <c r="D150" s="40"/>
      <c r="E150" s="40"/>
      <c r="F150" s="11"/>
    </row>
    <row r="151" customFormat="false" ht="12.8" hidden="false" customHeight="false" outlineLevel="0" collapsed="false">
      <c r="A151" s="11"/>
      <c r="B151" s="39"/>
      <c r="C151" s="40"/>
      <c r="D151" s="40"/>
      <c r="E151" s="40"/>
      <c r="F151" s="11"/>
    </row>
    <row r="152" customFormat="false" ht="12.8" hidden="false" customHeight="false" outlineLevel="0" collapsed="false">
      <c r="A152" s="11"/>
      <c r="B152" s="39"/>
      <c r="C152" s="40"/>
      <c r="D152" s="40"/>
      <c r="E152" s="40"/>
      <c r="F152" s="11"/>
    </row>
    <row r="153" customFormat="false" ht="12.8" hidden="false" customHeight="false" outlineLevel="0" collapsed="false">
      <c r="A153" s="11"/>
      <c r="B153" s="39"/>
      <c r="C153" s="40"/>
      <c r="D153" s="40"/>
      <c r="E153" s="40"/>
      <c r="F153" s="11"/>
    </row>
    <row r="154" customFormat="false" ht="12.8" hidden="false" customHeight="false" outlineLevel="0" collapsed="false">
      <c r="A154" s="11"/>
      <c r="B154" s="39"/>
      <c r="C154" s="40"/>
      <c r="D154" s="40"/>
      <c r="E154" s="40"/>
      <c r="F154" s="11"/>
    </row>
    <row r="155" customFormat="false" ht="12.8" hidden="false" customHeight="false" outlineLevel="0" collapsed="false">
      <c r="A155" s="11"/>
      <c r="B155" s="39"/>
      <c r="C155" s="40"/>
      <c r="D155" s="40"/>
      <c r="E155" s="40"/>
      <c r="F155" s="11"/>
    </row>
    <row r="156" customFormat="false" ht="12.8" hidden="false" customHeight="false" outlineLevel="0" collapsed="false">
      <c r="A156" s="11"/>
      <c r="B156" s="39"/>
      <c r="C156" s="40"/>
      <c r="D156" s="40"/>
      <c r="E156" s="40"/>
      <c r="F156" s="11"/>
    </row>
    <row r="157" customFormat="false" ht="12.8" hidden="false" customHeight="false" outlineLevel="0" collapsed="false">
      <c r="A157" s="11"/>
      <c r="B157" s="39"/>
      <c r="C157" s="40"/>
      <c r="D157" s="40"/>
      <c r="E157" s="40"/>
      <c r="F157" s="11"/>
    </row>
    <row r="158" customFormat="false" ht="12.8" hidden="false" customHeight="false" outlineLevel="0" collapsed="false">
      <c r="A158" s="11"/>
      <c r="B158" s="39"/>
      <c r="C158" s="40"/>
      <c r="D158" s="40"/>
      <c r="E158" s="40"/>
      <c r="F158" s="11"/>
    </row>
    <row r="159" customFormat="false" ht="12.8" hidden="false" customHeight="false" outlineLevel="0" collapsed="false">
      <c r="A159" s="11"/>
      <c r="B159" s="39"/>
      <c r="C159" s="40"/>
      <c r="D159" s="40"/>
      <c r="E159" s="40"/>
      <c r="F159" s="11"/>
    </row>
    <row r="160" customFormat="false" ht="12.8" hidden="false" customHeight="false" outlineLevel="0" collapsed="false">
      <c r="A160" s="11"/>
      <c r="B160" s="39"/>
      <c r="C160" s="40"/>
      <c r="D160" s="40"/>
      <c r="E160" s="40"/>
      <c r="F160" s="11"/>
    </row>
    <row r="161" customFormat="false" ht="12.8" hidden="false" customHeight="false" outlineLevel="0" collapsed="false">
      <c r="A161" s="11"/>
      <c r="B161" s="39"/>
      <c r="C161" s="40"/>
      <c r="D161" s="40"/>
      <c r="E161" s="40"/>
      <c r="F161" s="11"/>
    </row>
    <row r="162" customFormat="false" ht="12.8" hidden="false" customHeight="false" outlineLevel="0" collapsed="false">
      <c r="A162" s="11"/>
      <c r="B162" s="39"/>
      <c r="C162" s="40"/>
      <c r="D162" s="40"/>
      <c r="E162" s="40"/>
      <c r="F162" s="11"/>
    </row>
    <row r="163" customFormat="false" ht="12.8" hidden="false" customHeight="false" outlineLevel="0" collapsed="false">
      <c r="A163" s="11"/>
      <c r="B163" s="39"/>
      <c r="C163" s="40"/>
      <c r="D163" s="40"/>
      <c r="E163" s="40"/>
      <c r="F163" s="11"/>
    </row>
    <row r="164" customFormat="false" ht="12.8" hidden="false" customHeight="false" outlineLevel="0" collapsed="false">
      <c r="A164" s="11"/>
      <c r="B164" s="39"/>
      <c r="C164" s="40"/>
      <c r="D164" s="40"/>
      <c r="E164" s="40"/>
      <c r="F164" s="11"/>
    </row>
    <row r="165" customFormat="false" ht="12.8" hidden="false" customHeight="false" outlineLevel="0" collapsed="false">
      <c r="A165" s="11"/>
      <c r="B165" s="39"/>
      <c r="C165" s="40"/>
      <c r="D165" s="40"/>
      <c r="E165" s="40"/>
      <c r="F165" s="11"/>
    </row>
    <row r="166" customFormat="false" ht="12.8" hidden="false" customHeight="false" outlineLevel="0" collapsed="false">
      <c r="A166" s="11"/>
      <c r="B166" s="39"/>
      <c r="C166" s="40"/>
      <c r="D166" s="40"/>
      <c r="E166" s="40"/>
      <c r="F166" s="11"/>
    </row>
    <row r="167" customFormat="false" ht="12.8" hidden="false" customHeight="false" outlineLevel="0" collapsed="false">
      <c r="A167" s="11"/>
      <c r="B167" s="39"/>
      <c r="C167" s="40"/>
      <c r="D167" s="40"/>
      <c r="E167" s="40"/>
      <c r="F167" s="11"/>
    </row>
    <row r="168" customFormat="false" ht="12.8" hidden="false" customHeight="false" outlineLevel="0" collapsed="false">
      <c r="A168" s="11"/>
      <c r="B168" s="39"/>
      <c r="C168" s="40"/>
      <c r="D168" s="40"/>
      <c r="E168" s="40"/>
      <c r="F168" s="11"/>
    </row>
    <row r="169" customFormat="false" ht="12.8" hidden="false" customHeight="false" outlineLevel="0" collapsed="false">
      <c r="A169" s="11"/>
      <c r="B169" s="39"/>
      <c r="C169" s="40"/>
      <c r="D169" s="40"/>
      <c r="E169" s="40"/>
      <c r="F169" s="11"/>
    </row>
    <row r="170" customFormat="false" ht="12.8" hidden="false" customHeight="false" outlineLevel="0" collapsed="false">
      <c r="A170" s="11"/>
      <c r="B170" s="39"/>
      <c r="C170" s="40"/>
      <c r="D170" s="40"/>
      <c r="E170" s="40"/>
      <c r="F170" s="11"/>
    </row>
    <row r="171" customFormat="false" ht="12.8" hidden="false" customHeight="false" outlineLevel="0" collapsed="false">
      <c r="A171" s="11"/>
      <c r="B171" s="39"/>
      <c r="C171" s="40"/>
      <c r="D171" s="40"/>
      <c r="E171" s="40"/>
      <c r="F171" s="11"/>
    </row>
    <row r="172" customFormat="false" ht="12.8" hidden="false" customHeight="false" outlineLevel="0" collapsed="false">
      <c r="A172" s="11"/>
      <c r="B172" s="39"/>
      <c r="C172" s="40"/>
      <c r="D172" s="40"/>
      <c r="E172" s="40"/>
      <c r="F172" s="11"/>
    </row>
    <row r="173" customFormat="false" ht="12.8" hidden="false" customHeight="false" outlineLevel="0" collapsed="false">
      <c r="A173" s="11"/>
      <c r="B173" s="39"/>
      <c r="C173" s="40"/>
      <c r="D173" s="40"/>
      <c r="E173" s="40"/>
      <c r="F173" s="11"/>
    </row>
    <row r="174" customFormat="false" ht="12.8" hidden="false" customHeight="false" outlineLevel="0" collapsed="false">
      <c r="A174" s="11"/>
      <c r="B174" s="39"/>
      <c r="C174" s="40"/>
      <c r="D174" s="40"/>
      <c r="E174" s="40"/>
      <c r="F174" s="11"/>
    </row>
    <row r="175" customFormat="false" ht="12.8" hidden="false" customHeight="false" outlineLevel="0" collapsed="false">
      <c r="A175" s="11"/>
      <c r="B175" s="39"/>
      <c r="C175" s="40"/>
      <c r="D175" s="40"/>
      <c r="E175" s="40"/>
      <c r="F175" s="11"/>
    </row>
    <row r="176" customFormat="false" ht="12.8" hidden="false" customHeight="false" outlineLevel="0" collapsed="false">
      <c r="A176" s="11"/>
      <c r="B176" s="39"/>
      <c r="C176" s="40"/>
      <c r="D176" s="40"/>
      <c r="E176" s="40"/>
      <c r="F176" s="11"/>
    </row>
    <row r="177" customFormat="false" ht="12.8" hidden="false" customHeight="false" outlineLevel="0" collapsed="false">
      <c r="A177" s="11"/>
      <c r="B177" s="39"/>
      <c r="C177" s="40"/>
      <c r="D177" s="40"/>
      <c r="E177" s="40"/>
      <c r="F177" s="11"/>
    </row>
    <row r="178" customFormat="false" ht="12.8" hidden="false" customHeight="false" outlineLevel="0" collapsed="false">
      <c r="A178" s="11"/>
      <c r="B178" s="39"/>
      <c r="C178" s="40"/>
      <c r="D178" s="40"/>
      <c r="E178" s="40"/>
      <c r="F178" s="11"/>
    </row>
    <row r="179" customFormat="false" ht="12.8" hidden="false" customHeight="false" outlineLevel="0" collapsed="false">
      <c r="A179" s="11"/>
      <c r="B179" s="39"/>
      <c r="C179" s="40"/>
      <c r="D179" s="40"/>
      <c r="E179" s="40"/>
      <c r="F179" s="11"/>
    </row>
    <row r="180" customFormat="false" ht="12.8" hidden="false" customHeight="false" outlineLevel="0" collapsed="false">
      <c r="A180" s="11"/>
      <c r="B180" s="39"/>
      <c r="C180" s="40"/>
      <c r="D180" s="40"/>
      <c r="E180" s="40"/>
      <c r="F180" s="11"/>
    </row>
    <row r="181" customFormat="false" ht="12.8" hidden="false" customHeight="false" outlineLevel="0" collapsed="false">
      <c r="A181" s="11"/>
      <c r="B181" s="39"/>
      <c r="C181" s="40"/>
      <c r="D181" s="40"/>
      <c r="E181" s="40"/>
      <c r="F181" s="11"/>
    </row>
    <row r="182" customFormat="false" ht="12.8" hidden="false" customHeight="false" outlineLevel="0" collapsed="false">
      <c r="A182" s="11"/>
      <c r="B182" s="39"/>
      <c r="C182" s="40"/>
      <c r="D182" s="40"/>
      <c r="E182" s="40"/>
      <c r="F182" s="11"/>
    </row>
    <row r="183" customFormat="false" ht="12.8" hidden="false" customHeight="false" outlineLevel="0" collapsed="false">
      <c r="A183" s="11"/>
      <c r="B183" s="39"/>
      <c r="C183" s="40"/>
      <c r="D183" s="40"/>
      <c r="E183" s="40"/>
      <c r="F183" s="11"/>
    </row>
    <row r="184" customFormat="false" ht="12.8" hidden="false" customHeight="false" outlineLevel="0" collapsed="false">
      <c r="A184" s="11"/>
      <c r="B184" s="39"/>
      <c r="C184" s="40"/>
      <c r="D184" s="40"/>
      <c r="E184" s="40"/>
      <c r="F184" s="11"/>
    </row>
    <row r="185" customFormat="false" ht="12.8" hidden="false" customHeight="false" outlineLevel="0" collapsed="false">
      <c r="A185" s="11"/>
      <c r="B185" s="39"/>
      <c r="C185" s="40"/>
      <c r="D185" s="40"/>
      <c r="E185" s="40"/>
      <c r="F185" s="11"/>
    </row>
    <row r="186" customFormat="false" ht="12.8" hidden="false" customHeight="false" outlineLevel="0" collapsed="false">
      <c r="A186" s="11"/>
      <c r="B186" s="39"/>
      <c r="C186" s="40"/>
      <c r="D186" s="40"/>
      <c r="E186" s="40"/>
      <c r="F186" s="11"/>
    </row>
    <row r="187" customFormat="false" ht="12.8" hidden="false" customHeight="false" outlineLevel="0" collapsed="false">
      <c r="A187" s="11"/>
      <c r="B187" s="39"/>
      <c r="C187" s="40"/>
      <c r="D187" s="40"/>
      <c r="E187" s="40"/>
      <c r="F187" s="11"/>
    </row>
    <row r="188" customFormat="false" ht="12.8" hidden="false" customHeight="false" outlineLevel="0" collapsed="false">
      <c r="A188" s="11"/>
      <c r="B188" s="39"/>
      <c r="C188" s="40"/>
      <c r="D188" s="40"/>
      <c r="E188" s="40"/>
      <c r="F188" s="11"/>
    </row>
    <row r="189" customFormat="false" ht="12.8" hidden="false" customHeight="false" outlineLevel="0" collapsed="false">
      <c r="A189" s="11"/>
      <c r="B189" s="39"/>
      <c r="C189" s="40"/>
      <c r="D189" s="40"/>
      <c r="E189" s="40"/>
      <c r="F189" s="11"/>
    </row>
    <row r="190" customFormat="false" ht="12.8" hidden="false" customHeight="false" outlineLevel="0" collapsed="false">
      <c r="A190" s="11"/>
      <c r="B190" s="39"/>
      <c r="C190" s="40"/>
      <c r="D190" s="40"/>
      <c r="E190" s="40"/>
      <c r="F190" s="11"/>
    </row>
    <row r="191" customFormat="false" ht="12.8" hidden="false" customHeight="false" outlineLevel="0" collapsed="false">
      <c r="A191" s="11"/>
      <c r="B191" s="39"/>
      <c r="C191" s="40"/>
      <c r="D191" s="40"/>
      <c r="E191" s="40"/>
      <c r="F191" s="11"/>
    </row>
    <row r="192" customFormat="false" ht="12.8" hidden="false" customHeight="false" outlineLevel="0" collapsed="false">
      <c r="A192" s="11"/>
      <c r="B192" s="39"/>
      <c r="C192" s="40"/>
      <c r="D192" s="40"/>
      <c r="E192" s="40"/>
      <c r="F192" s="11"/>
    </row>
    <row r="193" customFormat="false" ht="12.8" hidden="false" customHeight="false" outlineLevel="0" collapsed="false">
      <c r="A193" s="11"/>
      <c r="B193" s="39"/>
      <c r="C193" s="40"/>
      <c r="D193" s="40"/>
      <c r="E193" s="40"/>
      <c r="F193" s="11"/>
    </row>
    <row r="194" customFormat="false" ht="12.8" hidden="false" customHeight="false" outlineLevel="0" collapsed="false">
      <c r="A194" s="11"/>
      <c r="B194" s="39"/>
      <c r="C194" s="40"/>
      <c r="D194" s="40"/>
      <c r="E194" s="40"/>
      <c r="F194" s="11"/>
    </row>
    <row r="195" customFormat="false" ht="12.8" hidden="false" customHeight="false" outlineLevel="0" collapsed="false">
      <c r="A195" s="11"/>
      <c r="B195" s="39"/>
      <c r="C195" s="40"/>
      <c r="D195" s="40"/>
      <c r="E195" s="40"/>
      <c r="F195" s="11"/>
    </row>
    <row r="196" customFormat="false" ht="12.8" hidden="false" customHeight="false" outlineLevel="0" collapsed="false">
      <c r="A196" s="11"/>
      <c r="B196" s="39"/>
      <c r="C196" s="40"/>
      <c r="D196" s="40"/>
      <c r="E196" s="40"/>
      <c r="F196" s="11"/>
    </row>
    <row r="197" customFormat="false" ht="12.8" hidden="false" customHeight="false" outlineLevel="0" collapsed="false">
      <c r="A197" s="11"/>
      <c r="B197" s="39"/>
      <c r="C197" s="40"/>
      <c r="D197" s="40"/>
      <c r="E197" s="40"/>
      <c r="F197" s="11"/>
    </row>
    <row r="198" customFormat="false" ht="12.8" hidden="false" customHeight="false" outlineLevel="0" collapsed="false">
      <c r="A198" s="11"/>
      <c r="B198" s="39"/>
      <c r="C198" s="40"/>
      <c r="D198" s="40"/>
      <c r="E198" s="40"/>
      <c r="F198" s="11"/>
    </row>
    <row r="199" customFormat="false" ht="12.8" hidden="false" customHeight="false" outlineLevel="0" collapsed="false">
      <c r="A199" s="11"/>
      <c r="B199" s="39"/>
      <c r="C199" s="40"/>
      <c r="D199" s="40"/>
      <c r="E199" s="40"/>
      <c r="F199" s="11"/>
    </row>
    <row r="200" customFormat="false" ht="12.8" hidden="false" customHeight="false" outlineLevel="0" collapsed="false">
      <c r="A200" s="11"/>
      <c r="B200" s="39"/>
      <c r="C200" s="40"/>
      <c r="D200" s="40"/>
      <c r="E200" s="40"/>
      <c r="F200" s="11"/>
    </row>
    <row r="201" customFormat="false" ht="12.8" hidden="false" customHeight="false" outlineLevel="0" collapsed="false">
      <c r="A201" s="11"/>
      <c r="B201" s="39"/>
      <c r="C201" s="40"/>
      <c r="D201" s="40"/>
      <c r="E201" s="40"/>
      <c r="F201" s="11"/>
    </row>
    <row r="202" customFormat="false" ht="12.8" hidden="false" customHeight="false" outlineLevel="0" collapsed="false">
      <c r="A202" s="11"/>
      <c r="B202" s="39"/>
      <c r="C202" s="40"/>
      <c r="D202" s="40"/>
      <c r="E202" s="40"/>
      <c r="F202" s="11"/>
    </row>
    <row r="203" customFormat="false" ht="12.8" hidden="false" customHeight="false" outlineLevel="0" collapsed="false">
      <c r="A203" s="11"/>
      <c r="B203" s="39"/>
      <c r="C203" s="40"/>
      <c r="D203" s="40"/>
      <c r="E203" s="40"/>
      <c r="F203" s="11"/>
    </row>
    <row r="204" customFormat="false" ht="12.8" hidden="false" customHeight="false" outlineLevel="0" collapsed="false">
      <c r="A204" s="11"/>
      <c r="B204" s="39"/>
      <c r="C204" s="40"/>
      <c r="D204" s="40"/>
      <c r="E204" s="40"/>
      <c r="F204" s="11"/>
    </row>
    <row r="205" customFormat="false" ht="12.8" hidden="false" customHeight="false" outlineLevel="0" collapsed="false">
      <c r="A205" s="11"/>
      <c r="B205" s="39"/>
      <c r="C205" s="40"/>
      <c r="D205" s="40"/>
      <c r="E205" s="40"/>
      <c r="F205" s="11"/>
    </row>
    <row r="206" customFormat="false" ht="12.8" hidden="false" customHeight="false" outlineLevel="0" collapsed="false">
      <c r="A206" s="11"/>
      <c r="B206" s="39"/>
      <c r="C206" s="40"/>
      <c r="D206" s="40"/>
      <c r="E206" s="40"/>
      <c r="F206" s="11"/>
    </row>
    <row r="207" customFormat="false" ht="12.8" hidden="false" customHeight="false" outlineLevel="0" collapsed="false">
      <c r="A207" s="11"/>
      <c r="B207" s="39"/>
      <c r="C207" s="40"/>
      <c r="D207" s="40"/>
      <c r="E207" s="40"/>
      <c r="F207" s="11"/>
    </row>
    <row r="208" customFormat="false" ht="12.8" hidden="false" customHeight="false" outlineLevel="0" collapsed="false">
      <c r="A208" s="11"/>
      <c r="B208" s="39"/>
      <c r="C208" s="40"/>
      <c r="D208" s="40"/>
      <c r="E208" s="40"/>
      <c r="F208" s="11"/>
    </row>
    <row r="209" customFormat="false" ht="12.8" hidden="false" customHeight="false" outlineLevel="0" collapsed="false">
      <c r="A209" s="11"/>
      <c r="B209" s="39"/>
      <c r="C209" s="40"/>
      <c r="D209" s="40"/>
      <c r="E209" s="40"/>
      <c r="F209" s="11"/>
    </row>
    <row r="210" customFormat="false" ht="12.8" hidden="false" customHeight="false" outlineLevel="0" collapsed="false">
      <c r="A210" s="11"/>
      <c r="B210" s="39"/>
      <c r="C210" s="40"/>
      <c r="D210" s="40"/>
      <c r="E210" s="40"/>
      <c r="F210" s="11"/>
    </row>
    <row r="211" customFormat="false" ht="12.8" hidden="false" customHeight="false" outlineLevel="0" collapsed="false">
      <c r="A211" s="11"/>
      <c r="B211" s="39"/>
      <c r="C211" s="40"/>
      <c r="D211" s="40"/>
      <c r="E211" s="40"/>
      <c r="F211" s="11"/>
    </row>
    <row r="212" customFormat="false" ht="12.8" hidden="false" customHeight="false" outlineLevel="0" collapsed="false">
      <c r="A212" s="11"/>
      <c r="B212" s="39"/>
      <c r="C212" s="40"/>
      <c r="D212" s="40"/>
      <c r="E212" s="40"/>
      <c r="F212" s="11"/>
    </row>
    <row r="213" customFormat="false" ht="12.8" hidden="false" customHeight="false" outlineLevel="0" collapsed="false">
      <c r="A213" s="11"/>
      <c r="B213" s="39"/>
      <c r="C213" s="40"/>
      <c r="D213" s="40"/>
      <c r="E213" s="40"/>
      <c r="F213" s="11"/>
    </row>
    <row r="214" customFormat="false" ht="12.8" hidden="false" customHeight="false" outlineLevel="0" collapsed="false">
      <c r="A214" s="11"/>
      <c r="B214" s="39"/>
      <c r="C214" s="40"/>
      <c r="D214" s="40"/>
      <c r="E214" s="40"/>
      <c r="F214" s="11"/>
    </row>
    <row r="215" customFormat="false" ht="12.8" hidden="false" customHeight="false" outlineLevel="0" collapsed="false">
      <c r="A215" s="11"/>
      <c r="B215" s="39"/>
      <c r="C215" s="40"/>
      <c r="D215" s="40"/>
      <c r="E215" s="40"/>
      <c r="F215" s="11"/>
    </row>
    <row r="216" customFormat="false" ht="12.8" hidden="false" customHeight="false" outlineLevel="0" collapsed="false">
      <c r="A216" s="11"/>
      <c r="B216" s="39"/>
      <c r="C216" s="40"/>
      <c r="D216" s="40"/>
      <c r="E216" s="40"/>
      <c r="F216" s="11"/>
    </row>
    <row r="217" customFormat="false" ht="12.8" hidden="false" customHeight="false" outlineLevel="0" collapsed="false">
      <c r="A217" s="11"/>
      <c r="B217" s="39"/>
      <c r="C217" s="40"/>
      <c r="D217" s="40"/>
      <c r="E217" s="40"/>
      <c r="F217" s="11"/>
    </row>
    <row r="218" customFormat="false" ht="12.8" hidden="false" customHeight="false" outlineLevel="0" collapsed="false">
      <c r="A218" s="11"/>
      <c r="B218" s="39"/>
      <c r="C218" s="40"/>
      <c r="D218" s="40"/>
      <c r="E218" s="40"/>
      <c r="F218" s="11"/>
    </row>
    <row r="219" customFormat="false" ht="12.8" hidden="false" customHeight="false" outlineLevel="0" collapsed="false">
      <c r="A219" s="11"/>
      <c r="B219" s="39"/>
      <c r="C219" s="40"/>
      <c r="D219" s="40"/>
      <c r="E219" s="40"/>
      <c r="F219" s="11"/>
    </row>
    <row r="220" customFormat="false" ht="12.8" hidden="false" customHeight="false" outlineLevel="0" collapsed="false">
      <c r="A220" s="11"/>
      <c r="B220" s="39"/>
      <c r="C220" s="40"/>
      <c r="D220" s="40"/>
      <c r="E220" s="40"/>
      <c r="F220" s="11"/>
    </row>
    <row r="221" customFormat="false" ht="12.8" hidden="false" customHeight="false" outlineLevel="0" collapsed="false">
      <c r="A221" s="11"/>
      <c r="B221" s="39"/>
      <c r="C221" s="40"/>
      <c r="D221" s="40"/>
      <c r="E221" s="40"/>
      <c r="F221" s="11"/>
    </row>
    <row r="222" customFormat="false" ht="12.8" hidden="false" customHeight="false" outlineLevel="0" collapsed="false">
      <c r="A222" s="11"/>
      <c r="B222" s="39"/>
      <c r="C222" s="40"/>
      <c r="D222" s="40"/>
      <c r="E222" s="40"/>
      <c r="F222" s="11"/>
    </row>
    <row r="223" customFormat="false" ht="12.8" hidden="false" customHeight="false" outlineLevel="0" collapsed="false">
      <c r="A223" s="11"/>
      <c r="B223" s="39"/>
      <c r="C223" s="40"/>
      <c r="D223" s="40"/>
      <c r="E223" s="40"/>
      <c r="F223" s="11"/>
    </row>
    <row r="224" customFormat="false" ht="12.8" hidden="false" customHeight="false" outlineLevel="0" collapsed="false">
      <c r="A224" s="11"/>
      <c r="B224" s="39"/>
      <c r="C224" s="40"/>
      <c r="D224" s="40"/>
      <c r="E224" s="40"/>
      <c r="F224" s="11"/>
    </row>
    <row r="225" customFormat="false" ht="12.8" hidden="false" customHeight="false" outlineLevel="0" collapsed="false">
      <c r="A225" s="11"/>
      <c r="B225" s="39"/>
      <c r="C225" s="40"/>
      <c r="D225" s="40"/>
      <c r="E225" s="40"/>
      <c r="F225" s="11"/>
    </row>
    <row r="226" customFormat="false" ht="12.8" hidden="false" customHeight="false" outlineLevel="0" collapsed="false">
      <c r="A226" s="11"/>
      <c r="B226" s="39"/>
      <c r="C226" s="40"/>
      <c r="D226" s="40"/>
      <c r="E226" s="40"/>
      <c r="F226" s="11"/>
    </row>
    <row r="227" customFormat="false" ht="12.8" hidden="false" customHeight="false" outlineLevel="0" collapsed="false">
      <c r="A227" s="11"/>
      <c r="B227" s="39"/>
      <c r="C227" s="40"/>
      <c r="D227" s="40"/>
      <c r="E227" s="40"/>
      <c r="F227" s="11"/>
    </row>
    <row r="228" customFormat="false" ht="12.8" hidden="false" customHeight="false" outlineLevel="0" collapsed="false">
      <c r="A228" s="11"/>
      <c r="B228" s="39"/>
      <c r="C228" s="40"/>
      <c r="D228" s="40"/>
      <c r="E228" s="40"/>
      <c r="F228" s="11"/>
    </row>
    <row r="229" customFormat="false" ht="12.8" hidden="false" customHeight="false" outlineLevel="0" collapsed="false">
      <c r="A229" s="11"/>
      <c r="B229" s="39"/>
      <c r="C229" s="40"/>
      <c r="D229" s="40"/>
      <c r="E229" s="40"/>
      <c r="F229" s="11"/>
    </row>
    <row r="230" customFormat="false" ht="12.8" hidden="false" customHeight="false" outlineLevel="0" collapsed="false">
      <c r="A230" s="11"/>
      <c r="B230" s="39"/>
      <c r="C230" s="40"/>
      <c r="D230" s="40"/>
      <c r="E230" s="40"/>
      <c r="F230" s="11"/>
    </row>
    <row r="231" customFormat="false" ht="12.8" hidden="false" customHeight="false" outlineLevel="0" collapsed="false">
      <c r="A231" s="11"/>
      <c r="B231" s="39"/>
      <c r="C231" s="40"/>
      <c r="D231" s="40"/>
      <c r="E231" s="40"/>
      <c r="F231" s="11"/>
    </row>
    <row r="232" customFormat="false" ht="12.8" hidden="false" customHeight="false" outlineLevel="0" collapsed="false">
      <c r="A232" s="11"/>
      <c r="B232" s="39"/>
      <c r="C232" s="40"/>
      <c r="D232" s="40"/>
      <c r="E232" s="40"/>
      <c r="F232" s="11"/>
    </row>
    <row r="233" customFormat="false" ht="12.8" hidden="false" customHeight="false" outlineLevel="0" collapsed="false">
      <c r="A233" s="11"/>
      <c r="B233" s="39"/>
      <c r="C233" s="40"/>
      <c r="D233" s="40"/>
      <c r="E233" s="40"/>
      <c r="F233" s="11"/>
    </row>
    <row r="234" customFormat="false" ht="12.8" hidden="false" customHeight="false" outlineLevel="0" collapsed="false">
      <c r="A234" s="11"/>
      <c r="B234" s="39"/>
      <c r="C234" s="40"/>
      <c r="D234" s="40"/>
      <c r="E234" s="40"/>
      <c r="F234" s="11"/>
    </row>
    <row r="235" customFormat="false" ht="12.8" hidden="false" customHeight="false" outlineLevel="0" collapsed="false">
      <c r="A235" s="11"/>
      <c r="B235" s="39"/>
      <c r="C235" s="40"/>
      <c r="D235" s="40"/>
      <c r="E235" s="40"/>
      <c r="F235" s="11"/>
    </row>
    <row r="236" customFormat="false" ht="12.8" hidden="false" customHeight="false" outlineLevel="0" collapsed="false">
      <c r="A236" s="11"/>
      <c r="B236" s="39"/>
      <c r="C236" s="40"/>
      <c r="D236" s="40"/>
      <c r="E236" s="40"/>
      <c r="F236" s="11"/>
    </row>
    <row r="237" customFormat="false" ht="12.8" hidden="false" customHeight="false" outlineLevel="0" collapsed="false">
      <c r="A237" s="11"/>
      <c r="B237" s="39"/>
      <c r="C237" s="40"/>
      <c r="D237" s="40"/>
      <c r="E237" s="40"/>
      <c r="F237" s="11"/>
    </row>
    <row r="238" customFormat="false" ht="12.8" hidden="false" customHeight="false" outlineLevel="0" collapsed="false">
      <c r="A238" s="11"/>
      <c r="B238" s="39"/>
      <c r="C238" s="40"/>
      <c r="D238" s="40"/>
      <c r="E238" s="40"/>
      <c r="F238" s="11"/>
    </row>
    <row r="239" customFormat="false" ht="12.8" hidden="false" customHeight="false" outlineLevel="0" collapsed="false">
      <c r="A239" s="11"/>
      <c r="B239" s="39"/>
      <c r="C239" s="40"/>
      <c r="D239" s="40"/>
      <c r="E239" s="40"/>
      <c r="F239" s="11"/>
    </row>
    <row r="240" customFormat="false" ht="12.8" hidden="false" customHeight="false" outlineLevel="0" collapsed="false">
      <c r="A240" s="11"/>
      <c r="B240" s="39"/>
      <c r="C240" s="40"/>
      <c r="D240" s="40"/>
      <c r="E240" s="40"/>
      <c r="F240" s="11"/>
    </row>
    <row r="241" customFormat="false" ht="12.8" hidden="false" customHeight="false" outlineLevel="0" collapsed="false">
      <c r="A241" s="11"/>
      <c r="B241" s="39"/>
      <c r="C241" s="40"/>
      <c r="D241" s="40"/>
      <c r="E241" s="40"/>
      <c r="F241" s="11"/>
    </row>
    <row r="242" customFormat="false" ht="12.8" hidden="false" customHeight="false" outlineLevel="0" collapsed="false">
      <c r="A242" s="11"/>
      <c r="B242" s="39"/>
      <c r="C242" s="40"/>
      <c r="D242" s="40"/>
      <c r="E242" s="40"/>
      <c r="F242" s="11"/>
    </row>
    <row r="243" customFormat="false" ht="12.8" hidden="false" customHeight="false" outlineLevel="0" collapsed="false">
      <c r="A243" s="11"/>
      <c r="B243" s="39"/>
      <c r="C243" s="40"/>
      <c r="D243" s="40"/>
      <c r="E243" s="40"/>
      <c r="F243" s="11"/>
    </row>
    <row r="244" customFormat="false" ht="12.8" hidden="false" customHeight="false" outlineLevel="0" collapsed="false">
      <c r="A244" s="11"/>
      <c r="B244" s="39"/>
      <c r="C244" s="40"/>
      <c r="D244" s="40"/>
      <c r="E244" s="40"/>
      <c r="F244" s="11"/>
    </row>
    <row r="245" customFormat="false" ht="12.8" hidden="false" customHeight="false" outlineLevel="0" collapsed="false">
      <c r="A245" s="11"/>
      <c r="B245" s="39"/>
      <c r="C245" s="40"/>
      <c r="D245" s="40"/>
      <c r="E245" s="40"/>
      <c r="F245" s="11"/>
    </row>
    <row r="246" customFormat="false" ht="12.8" hidden="false" customHeight="false" outlineLevel="0" collapsed="false">
      <c r="A246" s="11"/>
      <c r="B246" s="39"/>
      <c r="C246" s="40"/>
      <c r="D246" s="40"/>
      <c r="E246" s="40"/>
      <c r="F246" s="11"/>
    </row>
    <row r="247" customFormat="false" ht="12.8" hidden="false" customHeight="false" outlineLevel="0" collapsed="false">
      <c r="A247" s="11"/>
      <c r="B247" s="39"/>
      <c r="C247" s="40"/>
      <c r="D247" s="40"/>
      <c r="E247" s="40"/>
      <c r="F247" s="11"/>
    </row>
    <row r="248" customFormat="false" ht="12.8" hidden="false" customHeight="false" outlineLevel="0" collapsed="false">
      <c r="A248" s="11"/>
      <c r="B248" s="39"/>
      <c r="C248" s="40"/>
      <c r="D248" s="40"/>
      <c r="E248" s="40"/>
      <c r="F248" s="11"/>
    </row>
    <row r="249" customFormat="false" ht="12.8" hidden="false" customHeight="false" outlineLevel="0" collapsed="false">
      <c r="A249" s="11"/>
      <c r="B249" s="39"/>
      <c r="C249" s="40"/>
      <c r="D249" s="40"/>
      <c r="E249" s="40"/>
      <c r="F249" s="11"/>
    </row>
    <row r="250" customFormat="false" ht="12.8" hidden="false" customHeight="false" outlineLevel="0" collapsed="false">
      <c r="A250" s="11"/>
      <c r="B250" s="39"/>
      <c r="C250" s="40"/>
      <c r="D250" s="40"/>
      <c r="E250" s="40"/>
      <c r="F250" s="11"/>
    </row>
    <row r="251" customFormat="false" ht="12.8" hidden="false" customHeight="false" outlineLevel="0" collapsed="false">
      <c r="A251" s="11"/>
      <c r="B251" s="39"/>
      <c r="C251" s="40"/>
      <c r="D251" s="40"/>
      <c r="E251" s="40"/>
      <c r="F251" s="11"/>
    </row>
    <row r="252" customFormat="false" ht="12.8" hidden="false" customHeight="false" outlineLevel="0" collapsed="false">
      <c r="A252" s="11"/>
      <c r="B252" s="39"/>
      <c r="C252" s="40"/>
      <c r="D252" s="40"/>
      <c r="E252" s="40"/>
      <c r="F252" s="11"/>
    </row>
    <row r="253" customFormat="false" ht="12.8" hidden="false" customHeight="false" outlineLevel="0" collapsed="false">
      <c r="A253" s="11"/>
      <c r="B253" s="39"/>
      <c r="C253" s="40"/>
      <c r="D253" s="40"/>
      <c r="E253" s="40"/>
      <c r="F253" s="11"/>
    </row>
    <row r="254" customFormat="false" ht="12.8" hidden="false" customHeight="false" outlineLevel="0" collapsed="false">
      <c r="A254" s="11"/>
      <c r="B254" s="39"/>
      <c r="C254" s="40"/>
      <c r="D254" s="40"/>
      <c r="E254" s="40"/>
      <c r="F254" s="11"/>
    </row>
    <row r="255" customFormat="false" ht="12.8" hidden="false" customHeight="false" outlineLevel="0" collapsed="false">
      <c r="A255" s="11"/>
      <c r="B255" s="39"/>
      <c r="C255" s="40"/>
      <c r="D255" s="40"/>
      <c r="E255" s="40"/>
      <c r="F255" s="11"/>
    </row>
    <row r="256" customFormat="false" ht="12.8" hidden="false" customHeight="false" outlineLevel="0" collapsed="false">
      <c r="A256" s="11"/>
      <c r="B256" s="39"/>
      <c r="C256" s="40"/>
      <c r="D256" s="40"/>
      <c r="E256" s="40"/>
      <c r="F256" s="11"/>
    </row>
    <row r="257" customFormat="false" ht="12.8" hidden="false" customHeight="false" outlineLevel="0" collapsed="false">
      <c r="A257" s="11"/>
      <c r="B257" s="39"/>
      <c r="C257" s="40"/>
      <c r="D257" s="40"/>
      <c r="E257" s="40"/>
      <c r="F257" s="11"/>
    </row>
    <row r="258" customFormat="false" ht="12.8" hidden="false" customHeight="false" outlineLevel="0" collapsed="false">
      <c r="A258" s="11"/>
      <c r="B258" s="39"/>
      <c r="C258" s="40"/>
      <c r="D258" s="40"/>
      <c r="E258" s="40"/>
      <c r="F258" s="11"/>
    </row>
    <row r="259" customFormat="false" ht="12.8" hidden="false" customHeight="false" outlineLevel="0" collapsed="false">
      <c r="A259" s="11"/>
      <c r="B259" s="39"/>
      <c r="C259" s="40"/>
      <c r="D259" s="40"/>
      <c r="E259" s="40"/>
      <c r="F259" s="11"/>
    </row>
    <row r="260" customFormat="false" ht="12.8" hidden="false" customHeight="false" outlineLevel="0" collapsed="false">
      <c r="A260" s="11"/>
      <c r="B260" s="39"/>
      <c r="C260" s="40"/>
      <c r="D260" s="40"/>
      <c r="E260" s="40"/>
      <c r="F260" s="11"/>
    </row>
    <row r="261" customFormat="false" ht="12.8" hidden="false" customHeight="false" outlineLevel="0" collapsed="false">
      <c r="A261" s="11"/>
      <c r="B261" s="39"/>
      <c r="C261" s="40"/>
      <c r="D261" s="40"/>
      <c r="E261" s="40"/>
      <c r="F261" s="11"/>
    </row>
    <row r="262" customFormat="false" ht="12.8" hidden="false" customHeight="false" outlineLevel="0" collapsed="false">
      <c r="A262" s="11"/>
      <c r="B262" s="39"/>
      <c r="C262" s="40"/>
      <c r="D262" s="40"/>
      <c r="E262" s="40"/>
      <c r="F262" s="11"/>
    </row>
    <row r="263" customFormat="false" ht="12.8" hidden="false" customHeight="false" outlineLevel="0" collapsed="false">
      <c r="A263" s="11"/>
      <c r="B263" s="39"/>
      <c r="C263" s="40"/>
      <c r="D263" s="40"/>
      <c r="E263" s="40"/>
      <c r="F263" s="11"/>
    </row>
    <row r="264" customFormat="false" ht="12.8" hidden="false" customHeight="false" outlineLevel="0" collapsed="false">
      <c r="A264" s="11"/>
      <c r="B264" s="39"/>
      <c r="C264" s="40"/>
      <c r="D264" s="40"/>
      <c r="E264" s="40"/>
      <c r="F264" s="11"/>
    </row>
    <row r="265" customFormat="false" ht="12.8" hidden="false" customHeight="false" outlineLevel="0" collapsed="false">
      <c r="A265" s="11"/>
      <c r="B265" s="39"/>
      <c r="C265" s="40"/>
      <c r="D265" s="40"/>
      <c r="E265" s="40"/>
      <c r="F265" s="11"/>
    </row>
    <row r="266" customFormat="false" ht="12.8" hidden="false" customHeight="false" outlineLevel="0" collapsed="false">
      <c r="A266" s="11"/>
      <c r="B266" s="39"/>
      <c r="C266" s="40"/>
      <c r="D266" s="40"/>
      <c r="E266" s="40"/>
      <c r="F266" s="11"/>
    </row>
    <row r="267" customFormat="false" ht="12.8" hidden="false" customHeight="false" outlineLevel="0" collapsed="false">
      <c r="A267" s="11"/>
      <c r="B267" s="39"/>
      <c r="C267" s="40"/>
      <c r="D267" s="40"/>
      <c r="E267" s="40"/>
      <c r="F267" s="11"/>
    </row>
    <row r="268" customFormat="false" ht="12.8" hidden="false" customHeight="false" outlineLevel="0" collapsed="false">
      <c r="A268" s="11"/>
      <c r="B268" s="39"/>
      <c r="C268" s="40"/>
      <c r="D268" s="40"/>
      <c r="E268" s="40"/>
      <c r="F268" s="11"/>
    </row>
    <row r="269" customFormat="false" ht="12.8" hidden="false" customHeight="false" outlineLevel="0" collapsed="false">
      <c r="A269" s="11"/>
      <c r="B269" s="39"/>
      <c r="C269" s="40"/>
      <c r="D269" s="40"/>
      <c r="E269" s="40"/>
      <c r="F269" s="11"/>
    </row>
    <row r="270" customFormat="false" ht="12.8" hidden="false" customHeight="false" outlineLevel="0" collapsed="false">
      <c r="A270" s="11"/>
      <c r="B270" s="39"/>
      <c r="C270" s="40"/>
      <c r="D270" s="40"/>
      <c r="E270" s="40"/>
      <c r="F270" s="11"/>
    </row>
    <row r="271" customFormat="false" ht="12.8" hidden="false" customHeight="false" outlineLevel="0" collapsed="false">
      <c r="A271" s="11"/>
      <c r="B271" s="39"/>
      <c r="C271" s="40"/>
      <c r="D271" s="40"/>
      <c r="E271" s="40"/>
      <c r="F271" s="11"/>
    </row>
    <row r="272" customFormat="false" ht="12.8" hidden="false" customHeight="false" outlineLevel="0" collapsed="false">
      <c r="A272" s="11"/>
      <c r="B272" s="39"/>
      <c r="C272" s="40"/>
      <c r="D272" s="40"/>
      <c r="E272" s="40"/>
      <c r="F272" s="11"/>
    </row>
    <row r="273" customFormat="false" ht="12.8" hidden="false" customHeight="false" outlineLevel="0" collapsed="false">
      <c r="A273" s="11"/>
      <c r="B273" s="39"/>
      <c r="C273" s="40"/>
      <c r="D273" s="40"/>
      <c r="E273" s="40"/>
      <c r="F273" s="11"/>
    </row>
    <row r="274" customFormat="false" ht="12.8" hidden="false" customHeight="false" outlineLevel="0" collapsed="false">
      <c r="A274" s="11"/>
      <c r="B274" s="39"/>
      <c r="C274" s="40"/>
      <c r="D274" s="40"/>
      <c r="E274" s="40"/>
      <c r="F274" s="11"/>
    </row>
    <row r="275" customFormat="false" ht="12.8" hidden="false" customHeight="false" outlineLevel="0" collapsed="false">
      <c r="A275" s="11"/>
      <c r="B275" s="39"/>
      <c r="C275" s="40"/>
      <c r="D275" s="40"/>
      <c r="E275" s="40"/>
      <c r="F275" s="11"/>
    </row>
    <row r="276" customFormat="false" ht="12.8" hidden="false" customHeight="false" outlineLevel="0" collapsed="false">
      <c r="A276" s="11"/>
      <c r="B276" s="39"/>
      <c r="C276" s="40"/>
      <c r="D276" s="40"/>
      <c r="E276" s="40"/>
      <c r="F276" s="11"/>
    </row>
    <row r="277" customFormat="false" ht="12.8" hidden="false" customHeight="false" outlineLevel="0" collapsed="false">
      <c r="A277" s="11"/>
      <c r="B277" s="39"/>
      <c r="C277" s="40"/>
      <c r="D277" s="40"/>
      <c r="E277" s="40"/>
      <c r="F277" s="11"/>
    </row>
    <row r="278" customFormat="false" ht="12.8" hidden="false" customHeight="false" outlineLevel="0" collapsed="false">
      <c r="A278" s="11"/>
      <c r="B278" s="39"/>
      <c r="C278" s="40"/>
      <c r="D278" s="40"/>
      <c r="E278" s="40"/>
      <c r="F278" s="11"/>
    </row>
    <row r="279" customFormat="false" ht="12.8" hidden="false" customHeight="false" outlineLevel="0" collapsed="false">
      <c r="A279" s="11"/>
      <c r="B279" s="39"/>
      <c r="C279" s="40"/>
      <c r="D279" s="40"/>
      <c r="E279" s="40"/>
      <c r="F279" s="11"/>
    </row>
    <row r="280" customFormat="false" ht="12.8" hidden="false" customHeight="false" outlineLevel="0" collapsed="false">
      <c r="A280" s="11"/>
      <c r="B280" s="39"/>
      <c r="C280" s="40"/>
      <c r="D280" s="40"/>
      <c r="E280" s="40"/>
      <c r="F280" s="11"/>
    </row>
    <row r="281" customFormat="false" ht="12.8" hidden="false" customHeight="false" outlineLevel="0" collapsed="false">
      <c r="A281" s="11"/>
      <c r="B281" s="39"/>
      <c r="C281" s="40"/>
      <c r="D281" s="40"/>
      <c r="E281" s="40"/>
      <c r="F281" s="11"/>
    </row>
    <row r="282" customFormat="false" ht="12.8" hidden="false" customHeight="false" outlineLevel="0" collapsed="false">
      <c r="A282" s="11"/>
      <c r="B282" s="39"/>
      <c r="C282" s="40"/>
      <c r="D282" s="40"/>
      <c r="E282" s="40"/>
      <c r="F282" s="11"/>
    </row>
    <row r="283" customFormat="false" ht="12.8" hidden="false" customHeight="false" outlineLevel="0" collapsed="false">
      <c r="A283" s="11"/>
      <c r="B283" s="39"/>
      <c r="C283" s="40"/>
      <c r="D283" s="40"/>
      <c r="E283" s="40"/>
      <c r="F283" s="11"/>
    </row>
    <row r="284" customFormat="false" ht="12.8" hidden="false" customHeight="false" outlineLevel="0" collapsed="false">
      <c r="A284" s="11"/>
      <c r="B284" s="39"/>
      <c r="C284" s="40"/>
      <c r="D284" s="40"/>
      <c r="E284" s="40"/>
      <c r="F284" s="11"/>
    </row>
    <row r="285" customFormat="false" ht="12.8" hidden="false" customHeight="false" outlineLevel="0" collapsed="false">
      <c r="A285" s="11"/>
      <c r="B285" s="39"/>
      <c r="C285" s="40"/>
      <c r="D285" s="40"/>
      <c r="E285" s="40"/>
      <c r="F285" s="11"/>
    </row>
    <row r="286" customFormat="false" ht="12.8" hidden="false" customHeight="false" outlineLevel="0" collapsed="false">
      <c r="A286" s="11"/>
      <c r="B286" s="39"/>
      <c r="C286" s="40"/>
      <c r="D286" s="40"/>
      <c r="E286" s="40"/>
      <c r="F286" s="11"/>
    </row>
    <row r="287" customFormat="false" ht="12.8" hidden="false" customHeight="false" outlineLevel="0" collapsed="false">
      <c r="A287" s="11"/>
      <c r="B287" s="39"/>
      <c r="C287" s="40"/>
      <c r="D287" s="40"/>
      <c r="E287" s="40"/>
      <c r="F287" s="11"/>
    </row>
    <row r="288" customFormat="false" ht="12.8" hidden="false" customHeight="false" outlineLevel="0" collapsed="false">
      <c r="A288" s="11"/>
      <c r="B288" s="39"/>
      <c r="C288" s="40"/>
      <c r="D288" s="40"/>
      <c r="E288" s="40"/>
      <c r="F288" s="11"/>
    </row>
    <row r="289" customFormat="false" ht="12.8" hidden="false" customHeight="false" outlineLevel="0" collapsed="false">
      <c r="A289" s="11"/>
      <c r="B289" s="39"/>
      <c r="C289" s="40"/>
      <c r="D289" s="40"/>
      <c r="E289" s="40"/>
      <c r="F289" s="11"/>
    </row>
    <row r="290" customFormat="false" ht="12.8" hidden="false" customHeight="false" outlineLevel="0" collapsed="false">
      <c r="A290" s="11"/>
      <c r="B290" s="39"/>
      <c r="C290" s="40"/>
      <c r="D290" s="40"/>
      <c r="E290" s="40"/>
      <c r="F290" s="11"/>
    </row>
    <row r="291" customFormat="false" ht="12.8" hidden="false" customHeight="false" outlineLevel="0" collapsed="false">
      <c r="A291" s="11"/>
      <c r="B291" s="39"/>
      <c r="C291" s="40"/>
      <c r="D291" s="40"/>
      <c r="E291" s="40"/>
      <c r="F291" s="11"/>
    </row>
    <row r="292" customFormat="false" ht="12.8" hidden="false" customHeight="false" outlineLevel="0" collapsed="false">
      <c r="A292" s="11"/>
      <c r="B292" s="39"/>
      <c r="C292" s="40"/>
      <c r="D292" s="40"/>
      <c r="E292" s="40"/>
      <c r="F292" s="11"/>
    </row>
    <row r="293" customFormat="false" ht="12.8" hidden="false" customHeight="false" outlineLevel="0" collapsed="false">
      <c r="A293" s="11"/>
      <c r="B293" s="39"/>
      <c r="C293" s="40"/>
      <c r="D293" s="40"/>
      <c r="E293" s="40"/>
      <c r="F293" s="11"/>
    </row>
    <row r="294" customFormat="false" ht="12.8" hidden="false" customHeight="false" outlineLevel="0" collapsed="false">
      <c r="A294" s="11"/>
      <c r="B294" s="39"/>
      <c r="C294" s="40"/>
      <c r="D294" s="40"/>
      <c r="E294" s="40"/>
      <c r="F294" s="11"/>
    </row>
    <row r="295" customFormat="false" ht="12.8" hidden="false" customHeight="false" outlineLevel="0" collapsed="false">
      <c r="A295" s="11"/>
      <c r="B295" s="39"/>
      <c r="C295" s="40"/>
      <c r="D295" s="40"/>
      <c r="E295" s="40"/>
      <c r="F295" s="11"/>
    </row>
    <row r="296" customFormat="false" ht="12.8" hidden="false" customHeight="false" outlineLevel="0" collapsed="false">
      <c r="A296" s="11"/>
      <c r="B296" s="39"/>
      <c r="C296" s="40"/>
      <c r="D296" s="40"/>
      <c r="E296" s="40"/>
      <c r="F296" s="11"/>
    </row>
    <row r="297" customFormat="false" ht="12.8" hidden="false" customHeight="false" outlineLevel="0" collapsed="false">
      <c r="A297" s="11"/>
      <c r="B297" s="39"/>
      <c r="C297" s="40"/>
      <c r="D297" s="40"/>
      <c r="E297" s="40"/>
      <c r="F297" s="11"/>
    </row>
    <row r="298" customFormat="false" ht="12.8" hidden="false" customHeight="false" outlineLevel="0" collapsed="false">
      <c r="A298" s="11"/>
      <c r="B298" s="39"/>
      <c r="C298" s="40"/>
      <c r="D298" s="40"/>
      <c r="E298" s="40"/>
      <c r="F298" s="11"/>
    </row>
    <row r="299" customFormat="false" ht="12.8" hidden="false" customHeight="false" outlineLevel="0" collapsed="false">
      <c r="A299" s="11"/>
      <c r="B299" s="39"/>
      <c r="C299" s="40"/>
      <c r="D299" s="40"/>
      <c r="E299" s="40"/>
      <c r="F299" s="11"/>
    </row>
    <row r="300" customFormat="false" ht="12.8" hidden="false" customHeight="false" outlineLevel="0" collapsed="false">
      <c r="A300" s="11"/>
      <c r="B300" s="39"/>
      <c r="C300" s="40"/>
      <c r="D300" s="40"/>
      <c r="E300" s="40"/>
      <c r="F300" s="11"/>
    </row>
    <row r="301" customFormat="false" ht="12.8" hidden="false" customHeight="false" outlineLevel="0" collapsed="false">
      <c r="A301" s="11"/>
      <c r="B301" s="39"/>
      <c r="C301" s="40"/>
      <c r="D301" s="40"/>
      <c r="E301" s="40"/>
      <c r="F301" s="11"/>
    </row>
    <row r="302" customFormat="false" ht="12.8" hidden="false" customHeight="false" outlineLevel="0" collapsed="false">
      <c r="A302" s="11"/>
      <c r="B302" s="39"/>
      <c r="C302" s="40"/>
      <c r="D302" s="40"/>
      <c r="E302" s="40"/>
      <c r="F302" s="11"/>
    </row>
    <row r="303" customFormat="false" ht="12.8" hidden="false" customHeight="false" outlineLevel="0" collapsed="false">
      <c r="A303" s="11"/>
      <c r="B303" s="39"/>
      <c r="C303" s="40"/>
      <c r="D303" s="40"/>
      <c r="E303" s="40"/>
      <c r="F303" s="11"/>
    </row>
    <row r="304" customFormat="false" ht="12.8" hidden="false" customHeight="false" outlineLevel="0" collapsed="false">
      <c r="A304" s="11"/>
      <c r="B304" s="39"/>
      <c r="C304" s="40"/>
      <c r="D304" s="40"/>
      <c r="E304" s="40"/>
      <c r="F304" s="11"/>
    </row>
    <row r="305" customFormat="false" ht="12.8" hidden="false" customHeight="false" outlineLevel="0" collapsed="false">
      <c r="A305" s="11"/>
      <c r="B305" s="39"/>
      <c r="C305" s="40"/>
      <c r="D305" s="40"/>
      <c r="E305" s="40"/>
      <c r="F305" s="11"/>
    </row>
    <row r="306" customFormat="false" ht="12.8" hidden="false" customHeight="false" outlineLevel="0" collapsed="false">
      <c r="A306" s="11"/>
      <c r="B306" s="39"/>
      <c r="C306" s="40"/>
      <c r="D306" s="40"/>
      <c r="E306" s="40"/>
      <c r="F306" s="11"/>
    </row>
    <row r="307" customFormat="false" ht="12.8" hidden="false" customHeight="false" outlineLevel="0" collapsed="false">
      <c r="A307" s="11"/>
      <c r="B307" s="39"/>
      <c r="C307" s="40"/>
      <c r="D307" s="40"/>
      <c r="E307" s="40"/>
      <c r="F307" s="11"/>
    </row>
    <row r="308" customFormat="false" ht="12.8" hidden="false" customHeight="false" outlineLevel="0" collapsed="false">
      <c r="A308" s="11"/>
      <c r="B308" s="39"/>
      <c r="C308" s="40"/>
      <c r="D308" s="40"/>
      <c r="E308" s="40"/>
      <c r="F308" s="11"/>
    </row>
    <row r="309" customFormat="false" ht="12.8" hidden="false" customHeight="false" outlineLevel="0" collapsed="false">
      <c r="A309" s="11"/>
      <c r="B309" s="39"/>
      <c r="C309" s="40"/>
      <c r="D309" s="40"/>
      <c r="E309" s="40"/>
      <c r="F309" s="11"/>
    </row>
    <row r="310" customFormat="false" ht="12.8" hidden="false" customHeight="false" outlineLevel="0" collapsed="false">
      <c r="A310" s="11"/>
      <c r="B310" s="39"/>
      <c r="C310" s="40"/>
      <c r="D310" s="40"/>
      <c r="E310" s="40"/>
      <c r="F310" s="11"/>
    </row>
    <row r="311" customFormat="false" ht="12.8" hidden="false" customHeight="false" outlineLevel="0" collapsed="false">
      <c r="A311" s="11"/>
      <c r="B311" s="39"/>
      <c r="C311" s="40"/>
      <c r="D311" s="40"/>
      <c r="E311" s="40"/>
      <c r="F311" s="11"/>
    </row>
    <row r="312" customFormat="false" ht="12.8" hidden="false" customHeight="false" outlineLevel="0" collapsed="false">
      <c r="A312" s="11"/>
      <c r="B312" s="39"/>
      <c r="C312" s="40"/>
      <c r="D312" s="40"/>
      <c r="E312" s="40"/>
      <c r="F312" s="11"/>
    </row>
    <row r="313" customFormat="false" ht="12.8" hidden="false" customHeight="false" outlineLevel="0" collapsed="false">
      <c r="A313" s="11"/>
      <c r="B313" s="39"/>
      <c r="C313" s="40"/>
      <c r="D313" s="40"/>
      <c r="E313" s="40"/>
      <c r="F313" s="11"/>
    </row>
    <row r="314" customFormat="false" ht="12.8" hidden="false" customHeight="false" outlineLevel="0" collapsed="false">
      <c r="A314" s="11"/>
      <c r="B314" s="39"/>
      <c r="C314" s="40"/>
      <c r="D314" s="40"/>
      <c r="E314" s="40"/>
      <c r="F314" s="11"/>
    </row>
    <row r="315" customFormat="false" ht="12.8" hidden="false" customHeight="false" outlineLevel="0" collapsed="false">
      <c r="A315" s="11"/>
      <c r="B315" s="39"/>
      <c r="C315" s="40"/>
      <c r="D315" s="40"/>
      <c r="E315" s="40"/>
      <c r="F315" s="11"/>
    </row>
    <row r="316" customFormat="false" ht="12.8" hidden="false" customHeight="false" outlineLevel="0" collapsed="false">
      <c r="A316" s="11"/>
      <c r="B316" s="39"/>
      <c r="C316" s="40"/>
      <c r="D316" s="40"/>
      <c r="E316" s="40"/>
      <c r="F316" s="11"/>
    </row>
    <row r="317" customFormat="false" ht="12.8" hidden="false" customHeight="false" outlineLevel="0" collapsed="false">
      <c r="A317" s="11"/>
      <c r="B317" s="39"/>
      <c r="C317" s="40"/>
      <c r="D317" s="40"/>
      <c r="E317" s="40"/>
      <c r="F317" s="11"/>
    </row>
    <row r="318" customFormat="false" ht="12.8" hidden="false" customHeight="false" outlineLevel="0" collapsed="false">
      <c r="A318" s="11"/>
      <c r="B318" s="39"/>
      <c r="C318" s="40"/>
      <c r="D318" s="40"/>
      <c r="E318" s="40"/>
      <c r="F318" s="11"/>
    </row>
    <row r="319" customFormat="false" ht="12.8" hidden="false" customHeight="false" outlineLevel="0" collapsed="false">
      <c r="A319" s="11"/>
      <c r="B319" s="39"/>
      <c r="C319" s="40"/>
      <c r="D319" s="40"/>
      <c r="E319" s="40"/>
      <c r="F319" s="11"/>
    </row>
    <row r="320" customFormat="false" ht="12.8" hidden="false" customHeight="false" outlineLevel="0" collapsed="false">
      <c r="A320" s="11"/>
      <c r="B320" s="39"/>
      <c r="C320" s="40"/>
      <c r="D320" s="40"/>
      <c r="E320" s="40"/>
      <c r="F320" s="11"/>
    </row>
    <row r="321" customFormat="false" ht="12.8" hidden="false" customHeight="false" outlineLevel="0" collapsed="false">
      <c r="A321" s="11"/>
      <c r="B321" s="39"/>
      <c r="C321" s="40"/>
      <c r="D321" s="40"/>
      <c r="E321" s="40"/>
      <c r="F321" s="11"/>
    </row>
    <row r="322" customFormat="false" ht="12.8" hidden="false" customHeight="false" outlineLevel="0" collapsed="false">
      <c r="A322" s="11"/>
      <c r="B322" s="39"/>
      <c r="C322" s="40"/>
      <c r="D322" s="40"/>
      <c r="E322" s="40"/>
      <c r="F322" s="11"/>
    </row>
    <row r="323" customFormat="false" ht="12.8" hidden="false" customHeight="false" outlineLevel="0" collapsed="false">
      <c r="A323" s="11"/>
      <c r="B323" s="39"/>
      <c r="C323" s="40"/>
      <c r="D323" s="40"/>
      <c r="E323" s="40"/>
      <c r="F323" s="11"/>
    </row>
    <row r="324" customFormat="false" ht="12.8" hidden="false" customHeight="false" outlineLevel="0" collapsed="false">
      <c r="A324" s="11"/>
      <c r="B324" s="39"/>
      <c r="C324" s="40"/>
      <c r="D324" s="40"/>
      <c r="E324" s="40"/>
      <c r="F324" s="11"/>
    </row>
    <row r="325" customFormat="false" ht="12.8" hidden="false" customHeight="false" outlineLevel="0" collapsed="false">
      <c r="A325" s="11"/>
      <c r="B325" s="39"/>
      <c r="C325" s="40"/>
      <c r="D325" s="40"/>
      <c r="E325" s="40"/>
      <c r="F325" s="11"/>
    </row>
    <row r="326" customFormat="false" ht="12.8" hidden="false" customHeight="false" outlineLevel="0" collapsed="false">
      <c r="A326" s="11"/>
      <c r="B326" s="39"/>
      <c r="C326" s="40"/>
      <c r="D326" s="40"/>
      <c r="E326" s="40"/>
      <c r="F326" s="11"/>
    </row>
    <row r="327" customFormat="false" ht="12.8" hidden="false" customHeight="false" outlineLevel="0" collapsed="false">
      <c r="A327" s="11"/>
      <c r="B327" s="39"/>
      <c r="C327" s="40"/>
      <c r="D327" s="40"/>
      <c r="E327" s="40"/>
      <c r="F327" s="11"/>
    </row>
    <row r="328" customFormat="false" ht="12.8" hidden="false" customHeight="false" outlineLevel="0" collapsed="false">
      <c r="A328" s="11"/>
      <c r="B328" s="39"/>
      <c r="C328" s="40"/>
      <c r="D328" s="40"/>
      <c r="E328" s="40"/>
      <c r="F328" s="11"/>
    </row>
    <row r="329" customFormat="false" ht="12.8" hidden="false" customHeight="false" outlineLevel="0" collapsed="false">
      <c r="A329" s="11"/>
      <c r="B329" s="39"/>
      <c r="C329" s="40"/>
      <c r="D329" s="40"/>
      <c r="E329" s="40"/>
      <c r="F329" s="11"/>
    </row>
    <row r="330" customFormat="false" ht="12.8" hidden="false" customHeight="false" outlineLevel="0" collapsed="false">
      <c r="A330" s="11"/>
      <c r="B330" s="39"/>
      <c r="C330" s="40"/>
      <c r="D330" s="40"/>
      <c r="E330" s="40"/>
      <c r="F330" s="11"/>
    </row>
    <row r="331" customFormat="false" ht="12.8" hidden="false" customHeight="false" outlineLevel="0" collapsed="false">
      <c r="A331" s="11"/>
      <c r="B331" s="39"/>
      <c r="C331" s="40"/>
      <c r="D331" s="40"/>
      <c r="E331" s="40"/>
      <c r="F331" s="11"/>
    </row>
    <row r="332" customFormat="false" ht="12.8" hidden="false" customHeight="false" outlineLevel="0" collapsed="false">
      <c r="A332" s="11"/>
      <c r="B332" s="39"/>
      <c r="C332" s="40"/>
      <c r="D332" s="40"/>
      <c r="E332" s="40"/>
      <c r="F332" s="11"/>
    </row>
    <row r="333" customFormat="false" ht="12.8" hidden="false" customHeight="false" outlineLevel="0" collapsed="false">
      <c r="A333" s="11"/>
      <c r="B333" s="39"/>
      <c r="C333" s="40"/>
      <c r="D333" s="40"/>
      <c r="E333" s="40"/>
      <c r="F333" s="11"/>
    </row>
    <row r="334" customFormat="false" ht="12.8" hidden="false" customHeight="false" outlineLevel="0" collapsed="false">
      <c r="A334" s="11"/>
      <c r="B334" s="39"/>
      <c r="C334" s="40"/>
      <c r="D334" s="40"/>
      <c r="E334" s="40"/>
      <c r="F334" s="11"/>
    </row>
    <row r="335" customFormat="false" ht="12.8" hidden="false" customHeight="false" outlineLevel="0" collapsed="false">
      <c r="A335" s="11"/>
      <c r="B335" s="39"/>
      <c r="C335" s="40"/>
      <c r="D335" s="40"/>
      <c r="E335" s="40"/>
      <c r="F335" s="11"/>
    </row>
    <row r="336" customFormat="false" ht="12.8" hidden="false" customHeight="false" outlineLevel="0" collapsed="false">
      <c r="A336" s="11"/>
      <c r="B336" s="39"/>
      <c r="C336" s="40"/>
      <c r="D336" s="40"/>
      <c r="E336" s="40"/>
      <c r="F336" s="11"/>
    </row>
    <row r="337" customFormat="false" ht="12.8" hidden="false" customHeight="false" outlineLevel="0" collapsed="false">
      <c r="A337" s="11"/>
      <c r="B337" s="39"/>
      <c r="C337" s="40"/>
      <c r="D337" s="40"/>
      <c r="E337" s="40"/>
      <c r="F337" s="11"/>
    </row>
    <row r="338" customFormat="false" ht="12.8" hidden="false" customHeight="false" outlineLevel="0" collapsed="false">
      <c r="A338" s="11"/>
      <c r="B338" s="39"/>
      <c r="C338" s="40"/>
      <c r="D338" s="40"/>
      <c r="E338" s="40"/>
      <c r="F338" s="11"/>
    </row>
    <row r="339" customFormat="false" ht="12.8" hidden="false" customHeight="false" outlineLevel="0" collapsed="false">
      <c r="A339" s="11"/>
      <c r="B339" s="39"/>
      <c r="C339" s="40"/>
      <c r="D339" s="40"/>
      <c r="E339" s="40"/>
      <c r="F339" s="11"/>
    </row>
    <row r="340" customFormat="false" ht="12.8" hidden="false" customHeight="false" outlineLevel="0" collapsed="false">
      <c r="A340" s="11"/>
      <c r="B340" s="39"/>
      <c r="C340" s="40"/>
      <c r="D340" s="40"/>
      <c r="E340" s="40"/>
      <c r="F340" s="11"/>
    </row>
    <row r="341" customFormat="false" ht="12.8" hidden="false" customHeight="false" outlineLevel="0" collapsed="false">
      <c r="A341" s="11"/>
      <c r="B341" s="39"/>
      <c r="C341" s="40"/>
      <c r="D341" s="40"/>
      <c r="E341" s="40"/>
      <c r="F341" s="11"/>
    </row>
    <row r="342" customFormat="false" ht="12.8" hidden="false" customHeight="false" outlineLevel="0" collapsed="false">
      <c r="A342" s="11"/>
      <c r="B342" s="39"/>
      <c r="C342" s="40"/>
      <c r="D342" s="40"/>
      <c r="E342" s="40"/>
      <c r="F342" s="11"/>
    </row>
    <row r="343" customFormat="false" ht="12.8" hidden="false" customHeight="false" outlineLevel="0" collapsed="false">
      <c r="A343" s="11"/>
      <c r="B343" s="39"/>
      <c r="C343" s="40"/>
      <c r="D343" s="40"/>
      <c r="E343" s="40"/>
      <c r="F343" s="11"/>
    </row>
    <row r="344" customFormat="false" ht="12.8" hidden="false" customHeight="false" outlineLevel="0" collapsed="false">
      <c r="A344" s="11"/>
      <c r="B344" s="39"/>
      <c r="C344" s="40"/>
      <c r="D344" s="40"/>
      <c r="E344" s="40"/>
      <c r="F344" s="11"/>
    </row>
    <row r="345" customFormat="false" ht="12.8" hidden="false" customHeight="false" outlineLevel="0" collapsed="false">
      <c r="A345" s="11"/>
      <c r="B345" s="39"/>
      <c r="C345" s="40"/>
      <c r="D345" s="40"/>
      <c r="E345" s="40"/>
      <c r="F345" s="11"/>
    </row>
    <row r="346" customFormat="false" ht="12.8" hidden="false" customHeight="false" outlineLevel="0" collapsed="false">
      <c r="A346" s="11"/>
      <c r="B346" s="39"/>
      <c r="C346" s="40"/>
      <c r="D346" s="40"/>
      <c r="E346" s="40"/>
      <c r="F346" s="11"/>
    </row>
    <row r="347" customFormat="false" ht="12.8" hidden="false" customHeight="false" outlineLevel="0" collapsed="false">
      <c r="A347" s="11"/>
      <c r="B347" s="39"/>
      <c r="C347" s="40"/>
      <c r="D347" s="40"/>
      <c r="E347" s="40"/>
      <c r="F347" s="11"/>
    </row>
    <row r="348" customFormat="false" ht="12.8" hidden="false" customHeight="false" outlineLevel="0" collapsed="false">
      <c r="A348" s="11"/>
      <c r="B348" s="39"/>
      <c r="C348" s="40"/>
      <c r="D348" s="40"/>
      <c r="E348" s="40"/>
      <c r="F348" s="11"/>
    </row>
    <row r="349" customFormat="false" ht="12.8" hidden="false" customHeight="false" outlineLevel="0" collapsed="false">
      <c r="A349" s="11"/>
      <c r="B349" s="39"/>
      <c r="C349" s="40"/>
      <c r="D349" s="40"/>
      <c r="E349" s="40"/>
      <c r="F349" s="11"/>
    </row>
    <row r="350" customFormat="false" ht="12.8" hidden="false" customHeight="false" outlineLevel="0" collapsed="false">
      <c r="A350" s="11"/>
      <c r="B350" s="39"/>
      <c r="C350" s="40"/>
      <c r="D350" s="40"/>
      <c r="E350" s="40"/>
      <c r="F350" s="11"/>
    </row>
    <row r="351" customFormat="false" ht="12.8" hidden="false" customHeight="false" outlineLevel="0" collapsed="false">
      <c r="A351" s="11"/>
      <c r="B351" s="39"/>
      <c r="C351" s="40"/>
      <c r="D351" s="40"/>
      <c r="E351" s="40"/>
      <c r="F351" s="11"/>
    </row>
    <row r="352" customFormat="false" ht="12.8" hidden="false" customHeight="false" outlineLevel="0" collapsed="false">
      <c r="A352" s="11"/>
      <c r="B352" s="39"/>
      <c r="C352" s="40"/>
      <c r="D352" s="40"/>
      <c r="E352" s="40"/>
      <c r="F352" s="11"/>
    </row>
    <row r="353" customFormat="false" ht="12.8" hidden="false" customHeight="false" outlineLevel="0" collapsed="false">
      <c r="A353" s="11"/>
      <c r="B353" s="39"/>
      <c r="C353" s="40"/>
      <c r="D353" s="40"/>
      <c r="E353" s="40"/>
      <c r="F353" s="11"/>
    </row>
    <row r="354" customFormat="false" ht="12.8" hidden="false" customHeight="false" outlineLevel="0" collapsed="false">
      <c r="A354" s="11"/>
      <c r="B354" s="39"/>
      <c r="C354" s="40"/>
      <c r="D354" s="40"/>
      <c r="E354" s="40"/>
      <c r="F354" s="11"/>
    </row>
    <row r="355" customFormat="false" ht="12.8" hidden="false" customHeight="false" outlineLevel="0" collapsed="false">
      <c r="A355" s="11"/>
      <c r="B355" s="39"/>
      <c r="C355" s="40"/>
      <c r="D355" s="40"/>
      <c r="E355" s="40"/>
      <c r="F355" s="11"/>
    </row>
    <row r="356" customFormat="false" ht="12.8" hidden="false" customHeight="false" outlineLevel="0" collapsed="false">
      <c r="A356" s="11"/>
      <c r="B356" s="39"/>
      <c r="C356" s="40"/>
      <c r="D356" s="40"/>
      <c r="E356" s="40"/>
      <c r="F356" s="11"/>
    </row>
    <row r="357" customFormat="false" ht="12.8" hidden="false" customHeight="false" outlineLevel="0" collapsed="false">
      <c r="A357" s="11"/>
      <c r="B357" s="39"/>
      <c r="C357" s="40"/>
      <c r="D357" s="40"/>
      <c r="E357" s="40"/>
      <c r="F357" s="11"/>
    </row>
    <row r="358" customFormat="false" ht="12.8" hidden="false" customHeight="false" outlineLevel="0" collapsed="false">
      <c r="A358" s="11"/>
      <c r="B358" s="39"/>
      <c r="C358" s="40"/>
      <c r="D358" s="40"/>
      <c r="E358" s="40"/>
      <c r="F358" s="11"/>
    </row>
    <row r="359" customFormat="false" ht="12.8" hidden="false" customHeight="false" outlineLevel="0" collapsed="false">
      <c r="A359" s="11"/>
      <c r="B359" s="39"/>
      <c r="C359" s="40"/>
      <c r="D359" s="40"/>
      <c r="E359" s="40"/>
      <c r="F359" s="11"/>
    </row>
    <row r="360" customFormat="false" ht="12.8" hidden="false" customHeight="false" outlineLevel="0" collapsed="false">
      <c r="A360" s="11"/>
      <c r="B360" s="39"/>
      <c r="C360" s="40"/>
      <c r="D360" s="40"/>
      <c r="E360" s="40"/>
      <c r="F360" s="11"/>
    </row>
    <row r="361" customFormat="false" ht="12.8" hidden="false" customHeight="false" outlineLevel="0" collapsed="false">
      <c r="A361" s="11"/>
      <c r="B361" s="39"/>
      <c r="C361" s="40"/>
      <c r="D361" s="40"/>
      <c r="E361" s="40"/>
      <c r="F361" s="11"/>
    </row>
    <row r="362" customFormat="false" ht="12.8" hidden="false" customHeight="false" outlineLevel="0" collapsed="false">
      <c r="A362" s="11"/>
      <c r="B362" s="39"/>
      <c r="C362" s="40"/>
      <c r="D362" s="40"/>
      <c r="E362" s="40"/>
      <c r="F362" s="11"/>
    </row>
    <row r="363" customFormat="false" ht="12.8" hidden="false" customHeight="false" outlineLevel="0" collapsed="false">
      <c r="A363" s="11"/>
      <c r="B363" s="39"/>
      <c r="C363" s="40"/>
      <c r="D363" s="40"/>
      <c r="E363" s="40"/>
      <c r="F363" s="11"/>
    </row>
    <row r="364" customFormat="false" ht="12.8" hidden="false" customHeight="false" outlineLevel="0" collapsed="false">
      <c r="A364" s="11"/>
      <c r="B364" s="39"/>
      <c r="C364" s="40"/>
      <c r="D364" s="40"/>
      <c r="E364" s="40"/>
      <c r="F364" s="11"/>
    </row>
    <row r="365" customFormat="false" ht="12.8" hidden="false" customHeight="false" outlineLevel="0" collapsed="false">
      <c r="A365" s="11"/>
      <c r="B365" s="39"/>
      <c r="C365" s="40"/>
      <c r="D365" s="40"/>
      <c r="E365" s="40"/>
      <c r="F365" s="11"/>
    </row>
    <row r="366" customFormat="false" ht="12.8" hidden="false" customHeight="false" outlineLevel="0" collapsed="false">
      <c r="A366" s="11"/>
      <c r="B366" s="39"/>
      <c r="C366" s="40"/>
      <c r="D366" s="40"/>
      <c r="E366" s="40"/>
      <c r="F366" s="11"/>
    </row>
    <row r="367" customFormat="false" ht="12.8" hidden="false" customHeight="false" outlineLevel="0" collapsed="false">
      <c r="A367" s="11"/>
      <c r="B367" s="39"/>
      <c r="C367" s="40"/>
      <c r="D367" s="40"/>
      <c r="E367" s="40"/>
      <c r="F367" s="11"/>
    </row>
    <row r="368" customFormat="false" ht="12.8" hidden="false" customHeight="false" outlineLevel="0" collapsed="false">
      <c r="A368" s="11"/>
      <c r="B368" s="39"/>
      <c r="C368" s="40"/>
      <c r="D368" s="40"/>
      <c r="E368" s="40"/>
      <c r="F368" s="11"/>
    </row>
    <row r="369" customFormat="false" ht="12.8" hidden="false" customHeight="false" outlineLevel="0" collapsed="false">
      <c r="A369" s="11"/>
      <c r="B369" s="39"/>
      <c r="C369" s="40"/>
      <c r="D369" s="40"/>
      <c r="E369" s="40"/>
      <c r="F369" s="11"/>
    </row>
    <row r="370" customFormat="false" ht="12.8" hidden="false" customHeight="false" outlineLevel="0" collapsed="false">
      <c r="A370" s="11"/>
      <c r="B370" s="39"/>
      <c r="C370" s="40"/>
      <c r="D370" s="40"/>
      <c r="E370" s="40"/>
      <c r="F370" s="11"/>
    </row>
    <row r="371" customFormat="false" ht="12.8" hidden="false" customHeight="false" outlineLevel="0" collapsed="false">
      <c r="A371" s="11"/>
      <c r="B371" s="39"/>
      <c r="C371" s="40"/>
      <c r="D371" s="40"/>
      <c r="E371" s="40"/>
      <c r="F371" s="11"/>
    </row>
    <row r="372" customFormat="false" ht="12.8" hidden="false" customHeight="false" outlineLevel="0" collapsed="false">
      <c r="A372" s="11"/>
      <c r="B372" s="39"/>
      <c r="C372" s="40"/>
      <c r="D372" s="40"/>
      <c r="E372" s="40"/>
      <c r="F372" s="11"/>
    </row>
    <row r="373" customFormat="false" ht="12.8" hidden="false" customHeight="false" outlineLevel="0" collapsed="false">
      <c r="A373" s="11"/>
      <c r="B373" s="39"/>
      <c r="C373" s="40"/>
      <c r="D373" s="40"/>
      <c r="E373" s="40"/>
      <c r="F373" s="11"/>
    </row>
    <row r="374" customFormat="false" ht="12.8" hidden="false" customHeight="false" outlineLevel="0" collapsed="false">
      <c r="A374" s="11"/>
      <c r="B374" s="39"/>
      <c r="C374" s="40"/>
      <c r="D374" s="40"/>
      <c r="E374" s="40"/>
      <c r="F374" s="11"/>
    </row>
    <row r="375" customFormat="false" ht="12.8" hidden="false" customHeight="false" outlineLevel="0" collapsed="false">
      <c r="A375" s="11"/>
      <c r="B375" s="39"/>
      <c r="C375" s="40"/>
      <c r="D375" s="40"/>
      <c r="E375" s="40"/>
      <c r="F375" s="11"/>
    </row>
    <row r="376" customFormat="false" ht="12.8" hidden="false" customHeight="false" outlineLevel="0" collapsed="false">
      <c r="A376" s="11"/>
      <c r="B376" s="39"/>
      <c r="C376" s="40"/>
      <c r="D376" s="40"/>
      <c r="E376" s="40"/>
      <c r="F376" s="11"/>
    </row>
    <row r="377" customFormat="false" ht="12.8" hidden="false" customHeight="false" outlineLevel="0" collapsed="false">
      <c r="A377" s="11"/>
      <c r="B377" s="39"/>
      <c r="C377" s="40"/>
      <c r="D377" s="40"/>
      <c r="E377" s="40"/>
      <c r="F377" s="11"/>
    </row>
    <row r="378" customFormat="false" ht="12.8" hidden="false" customHeight="false" outlineLevel="0" collapsed="false">
      <c r="A378" s="11"/>
      <c r="B378" s="39"/>
      <c r="C378" s="40"/>
      <c r="D378" s="40"/>
      <c r="E378" s="40"/>
      <c r="F378" s="11"/>
    </row>
    <row r="379" customFormat="false" ht="12.8" hidden="false" customHeight="false" outlineLevel="0" collapsed="false">
      <c r="A379" s="11"/>
      <c r="B379" s="39"/>
      <c r="C379" s="40"/>
      <c r="D379" s="40"/>
      <c r="E379" s="40"/>
      <c r="F379" s="11"/>
    </row>
    <row r="380" customFormat="false" ht="12.8" hidden="false" customHeight="false" outlineLevel="0" collapsed="false">
      <c r="A380" s="11"/>
      <c r="B380" s="39"/>
      <c r="C380" s="40"/>
      <c r="D380" s="40"/>
      <c r="E380" s="40"/>
      <c r="F380" s="11"/>
    </row>
    <row r="381" customFormat="false" ht="12.8" hidden="false" customHeight="false" outlineLevel="0" collapsed="false">
      <c r="A381" s="11"/>
      <c r="B381" s="39"/>
      <c r="C381" s="40"/>
      <c r="D381" s="40"/>
      <c r="E381" s="40"/>
      <c r="F381" s="11"/>
    </row>
    <row r="382" customFormat="false" ht="12.8" hidden="false" customHeight="false" outlineLevel="0" collapsed="false">
      <c r="A382" s="11"/>
      <c r="B382" s="39"/>
      <c r="C382" s="40"/>
      <c r="D382" s="40"/>
      <c r="E382" s="40"/>
      <c r="F382" s="11"/>
    </row>
    <row r="383" customFormat="false" ht="12.8" hidden="false" customHeight="false" outlineLevel="0" collapsed="false">
      <c r="A383" s="11"/>
      <c r="B383" s="39"/>
      <c r="C383" s="40"/>
      <c r="D383" s="40"/>
      <c r="E383" s="40"/>
      <c r="F383" s="11"/>
    </row>
    <row r="384" customFormat="false" ht="12.8" hidden="false" customHeight="false" outlineLevel="0" collapsed="false">
      <c r="A384" s="11"/>
      <c r="B384" s="39"/>
      <c r="C384" s="40"/>
      <c r="D384" s="40"/>
      <c r="E384" s="40"/>
      <c r="F384" s="11"/>
    </row>
    <row r="385" customFormat="false" ht="12.8" hidden="false" customHeight="false" outlineLevel="0" collapsed="false">
      <c r="A385" s="11"/>
      <c r="B385" s="39"/>
      <c r="C385" s="40"/>
      <c r="D385" s="40"/>
      <c r="E385" s="40"/>
      <c r="F385" s="11"/>
    </row>
    <row r="386" customFormat="false" ht="12.8" hidden="false" customHeight="false" outlineLevel="0" collapsed="false">
      <c r="A386" s="11"/>
      <c r="B386" s="39"/>
      <c r="C386" s="40"/>
      <c r="D386" s="40"/>
      <c r="E386" s="40"/>
      <c r="F386" s="11"/>
    </row>
    <row r="387" customFormat="false" ht="12.8" hidden="false" customHeight="false" outlineLevel="0" collapsed="false">
      <c r="A387" s="11"/>
      <c r="B387" s="39"/>
      <c r="C387" s="40"/>
      <c r="D387" s="40"/>
      <c r="E387" s="40"/>
      <c r="F387" s="11"/>
    </row>
    <row r="388" customFormat="false" ht="12.8" hidden="false" customHeight="false" outlineLevel="0" collapsed="false">
      <c r="A388" s="11"/>
      <c r="B388" s="39"/>
      <c r="C388" s="40"/>
      <c r="D388" s="40"/>
      <c r="E388" s="40"/>
      <c r="F388" s="11"/>
    </row>
    <row r="389" customFormat="false" ht="12.8" hidden="false" customHeight="false" outlineLevel="0" collapsed="false">
      <c r="A389" s="11"/>
      <c r="B389" s="39"/>
      <c r="C389" s="40"/>
      <c r="D389" s="40"/>
      <c r="E389" s="40"/>
      <c r="F389" s="11"/>
    </row>
    <row r="390" customFormat="false" ht="12.8" hidden="false" customHeight="false" outlineLevel="0" collapsed="false">
      <c r="A390" s="11"/>
      <c r="B390" s="39"/>
      <c r="C390" s="40"/>
      <c r="D390" s="40"/>
      <c r="E390" s="40"/>
      <c r="F390" s="11"/>
    </row>
    <row r="391" customFormat="false" ht="12.8" hidden="false" customHeight="false" outlineLevel="0" collapsed="false">
      <c r="A391" s="11"/>
      <c r="B391" s="39"/>
      <c r="C391" s="40"/>
      <c r="D391" s="40"/>
      <c r="E391" s="40"/>
      <c r="F391" s="11"/>
    </row>
    <row r="392" customFormat="false" ht="12.8" hidden="false" customHeight="false" outlineLevel="0" collapsed="false">
      <c r="A392" s="11"/>
      <c r="B392" s="39"/>
      <c r="C392" s="40"/>
      <c r="D392" s="40"/>
      <c r="E392" s="40"/>
      <c r="F392" s="11"/>
    </row>
    <row r="393" customFormat="false" ht="12.8" hidden="false" customHeight="false" outlineLevel="0" collapsed="false">
      <c r="A393" s="11"/>
      <c r="B393" s="39"/>
      <c r="C393" s="40"/>
      <c r="D393" s="40"/>
      <c r="E393" s="40"/>
      <c r="F393" s="11"/>
    </row>
    <row r="394" customFormat="false" ht="12.8" hidden="false" customHeight="false" outlineLevel="0" collapsed="false">
      <c r="A394" s="11"/>
      <c r="B394" s="39"/>
      <c r="C394" s="40"/>
      <c r="D394" s="40"/>
      <c r="E394" s="40"/>
      <c r="F394" s="11"/>
    </row>
    <row r="395" customFormat="false" ht="12.8" hidden="false" customHeight="false" outlineLevel="0" collapsed="false">
      <c r="A395" s="11"/>
      <c r="B395" s="39"/>
      <c r="C395" s="40"/>
      <c r="D395" s="40"/>
      <c r="E395" s="40"/>
      <c r="F395" s="11"/>
    </row>
    <row r="396" customFormat="false" ht="12.8" hidden="false" customHeight="false" outlineLevel="0" collapsed="false">
      <c r="A396" s="11"/>
      <c r="B396" s="39"/>
      <c r="C396" s="40"/>
      <c r="D396" s="40"/>
      <c r="E396" s="40"/>
      <c r="F396" s="11"/>
    </row>
    <row r="397" customFormat="false" ht="12.8" hidden="false" customHeight="false" outlineLevel="0" collapsed="false">
      <c r="A397" s="11"/>
      <c r="B397" s="39"/>
      <c r="C397" s="40"/>
      <c r="D397" s="40"/>
      <c r="E397" s="40"/>
      <c r="F397" s="11"/>
    </row>
    <row r="398" customFormat="false" ht="12.8" hidden="false" customHeight="false" outlineLevel="0" collapsed="false">
      <c r="A398" s="11"/>
      <c r="B398" s="39"/>
      <c r="C398" s="40"/>
      <c r="D398" s="40"/>
      <c r="E398" s="40"/>
      <c r="F398" s="11"/>
    </row>
    <row r="399" customFormat="false" ht="12.8" hidden="false" customHeight="false" outlineLevel="0" collapsed="false">
      <c r="A399" s="11"/>
      <c r="B399" s="39"/>
      <c r="C399" s="40"/>
      <c r="D399" s="40"/>
      <c r="E399" s="40"/>
      <c r="F399" s="11"/>
    </row>
    <row r="400" customFormat="false" ht="12.8" hidden="false" customHeight="false" outlineLevel="0" collapsed="false">
      <c r="A400" s="11"/>
      <c r="B400" s="39"/>
      <c r="C400" s="40"/>
      <c r="D400" s="40"/>
      <c r="E400" s="40"/>
      <c r="F400" s="11"/>
    </row>
    <row r="401" customFormat="false" ht="12.8" hidden="false" customHeight="false" outlineLevel="0" collapsed="false">
      <c r="A401" s="11"/>
      <c r="B401" s="39"/>
      <c r="C401" s="40"/>
      <c r="D401" s="40"/>
      <c r="E401" s="40"/>
      <c r="F401" s="11"/>
    </row>
    <row r="402" customFormat="false" ht="12.8" hidden="false" customHeight="false" outlineLevel="0" collapsed="false">
      <c r="A402" s="11"/>
      <c r="B402" s="39"/>
      <c r="C402" s="40"/>
      <c r="D402" s="40"/>
      <c r="E402" s="40"/>
      <c r="F402" s="11"/>
    </row>
    <row r="403" customFormat="false" ht="12.8" hidden="false" customHeight="false" outlineLevel="0" collapsed="false">
      <c r="A403" s="11"/>
      <c r="B403" s="39"/>
      <c r="C403" s="40"/>
      <c r="D403" s="40"/>
      <c r="E403" s="40"/>
      <c r="F403" s="11"/>
    </row>
    <row r="404" customFormat="false" ht="12.8" hidden="false" customHeight="false" outlineLevel="0" collapsed="false">
      <c r="A404" s="11"/>
      <c r="B404" s="39"/>
      <c r="C404" s="40"/>
      <c r="D404" s="40"/>
      <c r="E404" s="40"/>
      <c r="F404" s="11"/>
    </row>
    <row r="405" customFormat="false" ht="12.8" hidden="false" customHeight="false" outlineLevel="0" collapsed="false">
      <c r="A405" s="11"/>
      <c r="B405" s="39"/>
      <c r="C405" s="40"/>
      <c r="D405" s="40"/>
      <c r="E405" s="40"/>
      <c r="F405" s="11"/>
    </row>
    <row r="406" customFormat="false" ht="12.8" hidden="false" customHeight="false" outlineLevel="0" collapsed="false">
      <c r="A406" s="11"/>
      <c r="B406" s="39"/>
      <c r="C406" s="40"/>
      <c r="D406" s="40"/>
      <c r="E406" s="40"/>
      <c r="F406" s="11"/>
    </row>
    <row r="407" customFormat="false" ht="12.8" hidden="false" customHeight="false" outlineLevel="0" collapsed="false">
      <c r="A407" s="11"/>
      <c r="B407" s="39"/>
      <c r="C407" s="40"/>
      <c r="D407" s="40"/>
      <c r="E407" s="40"/>
      <c r="F407" s="11"/>
    </row>
    <row r="408" customFormat="false" ht="12.8" hidden="false" customHeight="false" outlineLevel="0" collapsed="false">
      <c r="A408" s="11"/>
      <c r="B408" s="39"/>
      <c r="C408" s="40"/>
      <c r="D408" s="40"/>
      <c r="E408" s="40"/>
      <c r="F408" s="11"/>
    </row>
    <row r="409" customFormat="false" ht="12.8" hidden="false" customHeight="false" outlineLevel="0" collapsed="false">
      <c r="A409" s="11"/>
      <c r="B409" s="39"/>
      <c r="C409" s="40"/>
      <c r="D409" s="40"/>
      <c r="E409" s="40"/>
      <c r="F409" s="11"/>
    </row>
    <row r="410" customFormat="false" ht="12.8" hidden="false" customHeight="false" outlineLevel="0" collapsed="false">
      <c r="A410" s="11"/>
      <c r="B410" s="39"/>
      <c r="C410" s="40"/>
      <c r="D410" s="40"/>
      <c r="E410" s="40"/>
      <c r="F410" s="11"/>
    </row>
    <row r="411" customFormat="false" ht="12.8" hidden="false" customHeight="false" outlineLevel="0" collapsed="false">
      <c r="A411" s="11"/>
      <c r="B411" s="39"/>
      <c r="C411" s="40"/>
      <c r="D411" s="40"/>
      <c r="E411" s="40"/>
      <c r="F411" s="11"/>
    </row>
    <row r="412" customFormat="false" ht="12.8" hidden="false" customHeight="false" outlineLevel="0" collapsed="false">
      <c r="A412" s="11"/>
      <c r="B412" s="39"/>
      <c r="C412" s="40"/>
      <c r="D412" s="40"/>
      <c r="E412" s="40"/>
      <c r="F412" s="11"/>
    </row>
    <row r="413" customFormat="false" ht="12.8" hidden="false" customHeight="false" outlineLevel="0" collapsed="false">
      <c r="A413" s="11"/>
      <c r="B413" s="39"/>
      <c r="C413" s="40"/>
      <c r="D413" s="40"/>
      <c r="E413" s="40"/>
      <c r="F413" s="11"/>
    </row>
    <row r="414" customFormat="false" ht="12.8" hidden="false" customHeight="false" outlineLevel="0" collapsed="false">
      <c r="A414" s="11"/>
      <c r="B414" s="39"/>
      <c r="C414" s="40"/>
      <c r="D414" s="40"/>
      <c r="E414" s="40"/>
      <c r="F414" s="11"/>
    </row>
    <row r="415" customFormat="false" ht="12.8" hidden="false" customHeight="false" outlineLevel="0" collapsed="false">
      <c r="A415" s="11"/>
      <c r="B415" s="39"/>
      <c r="C415" s="40"/>
      <c r="D415" s="40"/>
      <c r="E415" s="40"/>
      <c r="F415" s="11"/>
    </row>
    <row r="416" customFormat="false" ht="12.8" hidden="false" customHeight="false" outlineLevel="0" collapsed="false">
      <c r="A416" s="11"/>
      <c r="B416" s="39"/>
      <c r="C416" s="40"/>
      <c r="D416" s="40"/>
      <c r="E416" s="40"/>
      <c r="F416" s="11"/>
    </row>
    <row r="417" customFormat="false" ht="12.8" hidden="false" customHeight="false" outlineLevel="0" collapsed="false">
      <c r="A417" s="11"/>
      <c r="B417" s="39"/>
      <c r="C417" s="40"/>
      <c r="D417" s="40"/>
      <c r="E417" s="40"/>
      <c r="F417" s="11"/>
    </row>
    <row r="418" customFormat="false" ht="12.8" hidden="false" customHeight="false" outlineLevel="0" collapsed="false">
      <c r="A418" s="11"/>
      <c r="B418" s="39"/>
      <c r="C418" s="40"/>
      <c r="D418" s="40"/>
      <c r="E418" s="40"/>
      <c r="F418" s="11"/>
    </row>
    <row r="419" customFormat="false" ht="12.8" hidden="false" customHeight="false" outlineLevel="0" collapsed="false">
      <c r="A419" s="11"/>
      <c r="B419" s="39"/>
      <c r="C419" s="40"/>
      <c r="D419" s="40"/>
      <c r="E419" s="40"/>
      <c r="F419" s="11"/>
    </row>
    <row r="420" customFormat="false" ht="12.8" hidden="false" customHeight="false" outlineLevel="0" collapsed="false">
      <c r="A420" s="11"/>
      <c r="B420" s="39"/>
      <c r="C420" s="40"/>
      <c r="D420" s="40"/>
      <c r="E420" s="40"/>
      <c r="F420" s="11"/>
    </row>
    <row r="421" customFormat="false" ht="12.8" hidden="false" customHeight="false" outlineLevel="0" collapsed="false">
      <c r="A421" s="11"/>
      <c r="B421" s="39"/>
      <c r="C421" s="40"/>
      <c r="D421" s="40"/>
      <c r="E421" s="40"/>
      <c r="F421" s="11"/>
    </row>
    <row r="422" customFormat="false" ht="12.8" hidden="false" customHeight="false" outlineLevel="0" collapsed="false">
      <c r="A422" s="11"/>
      <c r="B422" s="39"/>
      <c r="C422" s="40"/>
      <c r="D422" s="40"/>
      <c r="E422" s="40"/>
      <c r="F422" s="11"/>
    </row>
    <row r="423" customFormat="false" ht="12.8" hidden="false" customHeight="false" outlineLevel="0" collapsed="false">
      <c r="A423" s="11"/>
      <c r="B423" s="39"/>
      <c r="C423" s="40"/>
      <c r="D423" s="40"/>
      <c r="E423" s="40"/>
      <c r="F423" s="11"/>
    </row>
    <row r="424" customFormat="false" ht="12.8" hidden="false" customHeight="false" outlineLevel="0" collapsed="false">
      <c r="A424" s="11"/>
      <c r="B424" s="39"/>
      <c r="C424" s="40"/>
      <c r="D424" s="40"/>
      <c r="E424" s="40"/>
      <c r="F424" s="11"/>
    </row>
    <row r="425" customFormat="false" ht="12.8" hidden="false" customHeight="false" outlineLevel="0" collapsed="false">
      <c r="A425" s="11"/>
      <c r="B425" s="39"/>
      <c r="C425" s="40"/>
      <c r="D425" s="40"/>
      <c r="E425" s="40"/>
      <c r="F425" s="11"/>
    </row>
    <row r="426" customFormat="false" ht="12.8" hidden="false" customHeight="false" outlineLevel="0" collapsed="false">
      <c r="A426" s="11"/>
      <c r="B426" s="39"/>
      <c r="C426" s="40"/>
      <c r="D426" s="40"/>
      <c r="E426" s="40"/>
      <c r="F426" s="11"/>
    </row>
    <row r="427" customFormat="false" ht="12.8" hidden="false" customHeight="false" outlineLevel="0" collapsed="false">
      <c r="A427" s="11"/>
      <c r="B427" s="39"/>
      <c r="C427" s="40"/>
      <c r="D427" s="40"/>
      <c r="E427" s="40"/>
      <c r="F427" s="11"/>
    </row>
    <row r="428" customFormat="false" ht="12.8" hidden="false" customHeight="false" outlineLevel="0" collapsed="false">
      <c r="A428" s="11"/>
      <c r="B428" s="39"/>
      <c r="C428" s="40"/>
      <c r="D428" s="40"/>
      <c r="E428" s="40"/>
      <c r="F428" s="11"/>
    </row>
    <row r="429" customFormat="false" ht="12.8" hidden="false" customHeight="false" outlineLevel="0" collapsed="false">
      <c r="A429" s="11"/>
      <c r="B429" s="39"/>
      <c r="C429" s="40"/>
      <c r="D429" s="40"/>
      <c r="E429" s="40"/>
      <c r="F429" s="11"/>
    </row>
    <row r="430" customFormat="false" ht="12.8" hidden="false" customHeight="false" outlineLevel="0" collapsed="false">
      <c r="A430" s="11"/>
      <c r="B430" s="39"/>
      <c r="C430" s="40"/>
      <c r="D430" s="40"/>
      <c r="E430" s="40"/>
      <c r="F430" s="11"/>
    </row>
    <row r="431" customFormat="false" ht="12.8" hidden="false" customHeight="false" outlineLevel="0" collapsed="false">
      <c r="A431" s="11"/>
      <c r="B431" s="39"/>
      <c r="C431" s="40"/>
      <c r="D431" s="40"/>
      <c r="E431" s="40"/>
      <c r="F431" s="11"/>
    </row>
    <row r="432" customFormat="false" ht="12.8" hidden="false" customHeight="false" outlineLevel="0" collapsed="false">
      <c r="A432" s="11"/>
      <c r="B432" s="39"/>
      <c r="C432" s="40"/>
      <c r="D432" s="40"/>
      <c r="E432" s="40"/>
      <c r="F432" s="11"/>
    </row>
    <row r="433" customFormat="false" ht="12.8" hidden="false" customHeight="false" outlineLevel="0" collapsed="false">
      <c r="A433" s="11"/>
      <c r="B433" s="39"/>
      <c r="C433" s="40"/>
      <c r="D433" s="40"/>
      <c r="E433" s="40"/>
      <c r="F433" s="11"/>
    </row>
    <row r="434" customFormat="false" ht="12.8" hidden="false" customHeight="false" outlineLevel="0" collapsed="false">
      <c r="A434" s="11"/>
      <c r="B434" s="39"/>
      <c r="C434" s="40"/>
      <c r="D434" s="40"/>
      <c r="E434" s="40"/>
      <c r="F434" s="11"/>
    </row>
    <row r="435" customFormat="false" ht="12.8" hidden="false" customHeight="false" outlineLevel="0" collapsed="false">
      <c r="A435" s="11"/>
      <c r="B435" s="39"/>
      <c r="C435" s="40"/>
      <c r="D435" s="40"/>
      <c r="E435" s="40"/>
      <c r="F435" s="11"/>
    </row>
    <row r="436" customFormat="false" ht="12.8" hidden="false" customHeight="false" outlineLevel="0" collapsed="false">
      <c r="A436" s="11"/>
      <c r="B436" s="39"/>
      <c r="C436" s="40"/>
      <c r="D436" s="40"/>
      <c r="E436" s="40"/>
      <c r="F436" s="11"/>
    </row>
    <row r="437" customFormat="false" ht="12.8" hidden="false" customHeight="false" outlineLevel="0" collapsed="false">
      <c r="A437" s="11"/>
      <c r="B437" s="39"/>
      <c r="C437" s="40"/>
      <c r="D437" s="40"/>
      <c r="E437" s="40"/>
      <c r="F437" s="11"/>
    </row>
    <row r="438" customFormat="false" ht="12.8" hidden="false" customHeight="false" outlineLevel="0" collapsed="false">
      <c r="A438" s="11"/>
      <c r="B438" s="39"/>
      <c r="C438" s="40"/>
      <c r="D438" s="40"/>
      <c r="E438" s="40"/>
      <c r="F438" s="11"/>
    </row>
    <row r="439" customFormat="false" ht="12.8" hidden="false" customHeight="false" outlineLevel="0" collapsed="false">
      <c r="A439" s="11"/>
      <c r="B439" s="39"/>
      <c r="C439" s="40"/>
      <c r="D439" s="40"/>
      <c r="E439" s="40"/>
      <c r="F439" s="11"/>
    </row>
    <row r="440" customFormat="false" ht="12.8" hidden="false" customHeight="false" outlineLevel="0" collapsed="false">
      <c r="A440" s="11"/>
      <c r="B440" s="39"/>
      <c r="C440" s="40"/>
      <c r="D440" s="40"/>
      <c r="E440" s="40"/>
      <c r="F440" s="11"/>
    </row>
    <row r="441" customFormat="false" ht="12.8" hidden="false" customHeight="false" outlineLevel="0" collapsed="false">
      <c r="A441" s="11"/>
      <c r="B441" s="39"/>
      <c r="C441" s="40"/>
      <c r="D441" s="40"/>
      <c r="E441" s="40"/>
      <c r="F441" s="11"/>
    </row>
    <row r="442" customFormat="false" ht="12.8" hidden="false" customHeight="false" outlineLevel="0" collapsed="false">
      <c r="A442" s="11"/>
      <c r="B442" s="39"/>
      <c r="C442" s="40"/>
      <c r="D442" s="40"/>
      <c r="E442" s="40"/>
      <c r="F442" s="11"/>
    </row>
    <row r="443" customFormat="false" ht="12.8" hidden="false" customHeight="false" outlineLevel="0" collapsed="false">
      <c r="A443" s="11"/>
      <c r="B443" s="39"/>
      <c r="C443" s="40"/>
      <c r="D443" s="40"/>
      <c r="E443" s="40"/>
      <c r="F443" s="11"/>
    </row>
    <row r="444" customFormat="false" ht="12.8" hidden="false" customHeight="false" outlineLevel="0" collapsed="false">
      <c r="A444" s="11"/>
      <c r="B444" s="39"/>
      <c r="C444" s="40"/>
      <c r="D444" s="40"/>
      <c r="E444" s="40"/>
      <c r="F444" s="11"/>
    </row>
    <row r="445" customFormat="false" ht="12.8" hidden="false" customHeight="false" outlineLevel="0" collapsed="false">
      <c r="A445" s="11"/>
      <c r="B445" s="39"/>
      <c r="C445" s="40"/>
      <c r="D445" s="40"/>
      <c r="E445" s="40"/>
      <c r="F445" s="11"/>
    </row>
    <row r="446" customFormat="false" ht="12.8" hidden="false" customHeight="false" outlineLevel="0" collapsed="false">
      <c r="A446" s="11"/>
      <c r="B446" s="39"/>
      <c r="C446" s="40"/>
      <c r="D446" s="40"/>
      <c r="E446" s="40"/>
      <c r="F446" s="11"/>
    </row>
    <row r="447" customFormat="false" ht="12.8" hidden="false" customHeight="false" outlineLevel="0" collapsed="false">
      <c r="A447" s="11"/>
      <c r="B447" s="39"/>
      <c r="C447" s="40"/>
      <c r="D447" s="40"/>
      <c r="E447" s="40"/>
      <c r="F447" s="11"/>
    </row>
    <row r="448" customFormat="false" ht="12.8" hidden="false" customHeight="false" outlineLevel="0" collapsed="false">
      <c r="A448" s="11"/>
      <c r="B448" s="39"/>
      <c r="C448" s="40"/>
      <c r="D448" s="40"/>
      <c r="E448" s="40"/>
      <c r="F448" s="11"/>
    </row>
    <row r="449" customFormat="false" ht="12.8" hidden="false" customHeight="false" outlineLevel="0" collapsed="false">
      <c r="A449" s="11"/>
      <c r="B449" s="39"/>
      <c r="C449" s="40"/>
      <c r="D449" s="40"/>
      <c r="E449" s="40"/>
      <c r="F449" s="11"/>
    </row>
    <row r="450" customFormat="false" ht="12.8" hidden="false" customHeight="false" outlineLevel="0" collapsed="false">
      <c r="A450" s="11"/>
      <c r="B450" s="39"/>
      <c r="C450" s="40"/>
      <c r="D450" s="40"/>
      <c r="E450" s="40"/>
      <c r="F450" s="11"/>
    </row>
    <row r="451" customFormat="false" ht="12.8" hidden="false" customHeight="false" outlineLevel="0" collapsed="false">
      <c r="A451" s="11"/>
      <c r="B451" s="39"/>
      <c r="C451" s="40"/>
      <c r="D451" s="40"/>
      <c r="E451" s="40"/>
      <c r="F451" s="11"/>
    </row>
    <row r="452" customFormat="false" ht="12.8" hidden="false" customHeight="false" outlineLevel="0" collapsed="false">
      <c r="A452" s="11"/>
      <c r="B452" s="39"/>
      <c r="C452" s="40"/>
      <c r="D452" s="40"/>
      <c r="E452" s="40"/>
      <c r="F452" s="11"/>
    </row>
    <row r="453" customFormat="false" ht="12.8" hidden="false" customHeight="false" outlineLevel="0" collapsed="false">
      <c r="A453" s="11"/>
      <c r="B453" s="39"/>
      <c r="C453" s="40"/>
      <c r="D453" s="40"/>
      <c r="E453" s="40"/>
      <c r="F453" s="11"/>
    </row>
    <row r="454" customFormat="false" ht="12.8" hidden="false" customHeight="false" outlineLevel="0" collapsed="false">
      <c r="A454" s="11"/>
      <c r="B454" s="39"/>
      <c r="C454" s="40"/>
      <c r="D454" s="40"/>
      <c r="E454" s="40"/>
      <c r="F454" s="11"/>
    </row>
    <row r="455" customFormat="false" ht="12.8" hidden="false" customHeight="false" outlineLevel="0" collapsed="false">
      <c r="A455" s="11"/>
      <c r="B455" s="39"/>
      <c r="C455" s="40"/>
      <c r="D455" s="40"/>
      <c r="E455" s="40"/>
      <c r="F455" s="11"/>
    </row>
    <row r="456" customFormat="false" ht="12.8" hidden="false" customHeight="false" outlineLevel="0" collapsed="false">
      <c r="A456" s="11"/>
      <c r="B456" s="39"/>
      <c r="C456" s="40"/>
      <c r="D456" s="40"/>
      <c r="E456" s="40"/>
      <c r="F456" s="11"/>
    </row>
    <row r="457" customFormat="false" ht="12.8" hidden="false" customHeight="false" outlineLevel="0" collapsed="false">
      <c r="A457" s="11"/>
      <c r="B457" s="39"/>
      <c r="C457" s="40"/>
      <c r="D457" s="40"/>
      <c r="E457" s="40"/>
      <c r="F457" s="11"/>
    </row>
    <row r="458" customFormat="false" ht="12.8" hidden="false" customHeight="false" outlineLevel="0" collapsed="false">
      <c r="A458" s="11"/>
      <c r="B458" s="39"/>
      <c r="C458" s="40"/>
      <c r="D458" s="40"/>
      <c r="E458" s="40"/>
      <c r="F458" s="11"/>
    </row>
    <row r="459" customFormat="false" ht="12.8" hidden="false" customHeight="false" outlineLevel="0" collapsed="false">
      <c r="A459" s="11"/>
      <c r="B459" s="39"/>
      <c r="C459" s="40"/>
      <c r="D459" s="40"/>
      <c r="E459" s="40"/>
      <c r="F459" s="11"/>
    </row>
    <row r="460" customFormat="false" ht="12.8" hidden="false" customHeight="false" outlineLevel="0" collapsed="false">
      <c r="A460" s="11"/>
      <c r="B460" s="39"/>
      <c r="C460" s="40"/>
      <c r="D460" s="40"/>
      <c r="E460" s="40"/>
      <c r="F460" s="11"/>
    </row>
    <row r="461" customFormat="false" ht="12.8" hidden="false" customHeight="false" outlineLevel="0" collapsed="false">
      <c r="A461" s="11"/>
      <c r="B461" s="39"/>
      <c r="C461" s="40"/>
      <c r="D461" s="40"/>
      <c r="E461" s="40"/>
      <c r="F461" s="11"/>
    </row>
    <row r="462" customFormat="false" ht="12.8" hidden="false" customHeight="false" outlineLevel="0" collapsed="false">
      <c r="A462" s="11"/>
      <c r="B462" s="39"/>
      <c r="C462" s="40"/>
      <c r="D462" s="40"/>
      <c r="E462" s="40"/>
      <c r="F462" s="11"/>
    </row>
    <row r="463" customFormat="false" ht="12.8" hidden="false" customHeight="false" outlineLevel="0" collapsed="false">
      <c r="A463" s="11"/>
      <c r="B463" s="39"/>
      <c r="C463" s="40"/>
      <c r="D463" s="40"/>
      <c r="E463" s="40"/>
      <c r="F463" s="11"/>
    </row>
    <row r="464" customFormat="false" ht="12.8" hidden="false" customHeight="false" outlineLevel="0" collapsed="false">
      <c r="A464" s="11"/>
      <c r="B464" s="39"/>
      <c r="C464" s="40"/>
      <c r="D464" s="40"/>
      <c r="E464" s="40"/>
      <c r="F464" s="11"/>
    </row>
    <row r="465" customFormat="false" ht="12.8" hidden="false" customHeight="false" outlineLevel="0" collapsed="false">
      <c r="A465" s="11"/>
      <c r="B465" s="39"/>
      <c r="C465" s="40"/>
      <c r="D465" s="40"/>
      <c r="E465" s="40"/>
      <c r="F465" s="11"/>
    </row>
    <row r="466" customFormat="false" ht="12.8" hidden="false" customHeight="false" outlineLevel="0" collapsed="false">
      <c r="A466" s="11"/>
      <c r="B466" s="39"/>
      <c r="C466" s="40"/>
      <c r="D466" s="40"/>
      <c r="E466" s="40"/>
      <c r="F466" s="11"/>
    </row>
    <row r="467" customFormat="false" ht="12.8" hidden="false" customHeight="false" outlineLevel="0" collapsed="false">
      <c r="A467" s="11"/>
      <c r="B467" s="39"/>
      <c r="C467" s="40"/>
      <c r="D467" s="40"/>
      <c r="E467" s="40"/>
      <c r="F467" s="11"/>
    </row>
    <row r="468" customFormat="false" ht="12.8" hidden="false" customHeight="false" outlineLevel="0" collapsed="false">
      <c r="A468" s="11"/>
      <c r="B468" s="39"/>
      <c r="C468" s="40"/>
      <c r="D468" s="40"/>
      <c r="E468" s="40"/>
      <c r="F468" s="11"/>
    </row>
    <row r="469" customFormat="false" ht="12.8" hidden="false" customHeight="false" outlineLevel="0" collapsed="false">
      <c r="A469" s="11"/>
      <c r="B469" s="39"/>
      <c r="C469" s="40"/>
      <c r="D469" s="40"/>
      <c r="E469" s="40"/>
      <c r="F469" s="11"/>
    </row>
    <row r="470" customFormat="false" ht="12.8" hidden="false" customHeight="false" outlineLevel="0" collapsed="false">
      <c r="A470" s="11"/>
      <c r="B470" s="39"/>
      <c r="C470" s="40"/>
      <c r="D470" s="40"/>
      <c r="E470" s="40"/>
      <c r="F470" s="11"/>
    </row>
    <row r="471" customFormat="false" ht="12.8" hidden="false" customHeight="false" outlineLevel="0" collapsed="false">
      <c r="A471" s="11"/>
      <c r="B471" s="39"/>
      <c r="C471" s="40"/>
      <c r="D471" s="40"/>
      <c r="E471" s="40"/>
      <c r="F471" s="11"/>
    </row>
    <row r="472" customFormat="false" ht="12.8" hidden="false" customHeight="false" outlineLevel="0" collapsed="false">
      <c r="A472" s="11"/>
      <c r="B472" s="39"/>
      <c r="C472" s="40"/>
      <c r="D472" s="40"/>
      <c r="E472" s="40"/>
      <c r="F472" s="11"/>
    </row>
    <row r="473" customFormat="false" ht="12.8" hidden="false" customHeight="false" outlineLevel="0" collapsed="false">
      <c r="A473" s="11"/>
      <c r="B473" s="39"/>
      <c r="C473" s="40"/>
      <c r="D473" s="40"/>
      <c r="E473" s="40"/>
      <c r="F473" s="11"/>
    </row>
    <row r="474" customFormat="false" ht="12.8" hidden="false" customHeight="false" outlineLevel="0" collapsed="false">
      <c r="A474" s="11"/>
      <c r="B474" s="39"/>
      <c r="C474" s="40"/>
      <c r="D474" s="40"/>
      <c r="E474" s="40"/>
      <c r="F474" s="11"/>
    </row>
    <row r="475" customFormat="false" ht="12.8" hidden="false" customHeight="false" outlineLevel="0" collapsed="false">
      <c r="A475" s="11"/>
      <c r="B475" s="39"/>
      <c r="C475" s="40"/>
      <c r="D475" s="40"/>
      <c r="E475" s="40"/>
      <c r="F475" s="11"/>
    </row>
    <row r="476" customFormat="false" ht="12.8" hidden="false" customHeight="false" outlineLevel="0" collapsed="false">
      <c r="A476" s="11"/>
      <c r="B476" s="39"/>
      <c r="C476" s="40"/>
      <c r="D476" s="40"/>
      <c r="E476" s="40"/>
      <c r="F476" s="11"/>
    </row>
    <row r="477" customFormat="false" ht="12.8" hidden="false" customHeight="false" outlineLevel="0" collapsed="false">
      <c r="A477" s="11"/>
      <c r="B477" s="39"/>
      <c r="C477" s="40"/>
      <c r="D477" s="40"/>
      <c r="E477" s="40"/>
      <c r="F477" s="11"/>
    </row>
    <row r="478" customFormat="false" ht="12.8" hidden="false" customHeight="false" outlineLevel="0" collapsed="false">
      <c r="A478" s="11"/>
      <c r="B478" s="39"/>
      <c r="C478" s="40"/>
      <c r="D478" s="40"/>
      <c r="E478" s="40"/>
      <c r="F478" s="11"/>
    </row>
    <row r="479" customFormat="false" ht="12.8" hidden="false" customHeight="false" outlineLevel="0" collapsed="false">
      <c r="A479" s="11"/>
      <c r="B479" s="39"/>
      <c r="C479" s="40"/>
      <c r="D479" s="40"/>
      <c r="E479" s="40"/>
      <c r="F479" s="11"/>
    </row>
    <row r="480" customFormat="false" ht="12.8" hidden="false" customHeight="false" outlineLevel="0" collapsed="false">
      <c r="A480" s="11"/>
      <c r="B480" s="39"/>
      <c r="C480" s="40"/>
      <c r="D480" s="40"/>
      <c r="E480" s="40"/>
      <c r="F480" s="11"/>
    </row>
    <row r="481" customFormat="false" ht="12.8" hidden="false" customHeight="false" outlineLevel="0" collapsed="false">
      <c r="A481" s="11"/>
      <c r="B481" s="39"/>
      <c r="C481" s="40"/>
      <c r="D481" s="40"/>
      <c r="E481" s="40"/>
      <c r="F481" s="11"/>
    </row>
    <row r="482" customFormat="false" ht="12.8" hidden="false" customHeight="false" outlineLevel="0" collapsed="false">
      <c r="A482" s="11"/>
      <c r="B482" s="39"/>
      <c r="C482" s="40"/>
      <c r="D482" s="40"/>
      <c r="E482" s="40"/>
      <c r="F482" s="11"/>
    </row>
    <row r="483" customFormat="false" ht="12.8" hidden="false" customHeight="false" outlineLevel="0" collapsed="false">
      <c r="A483" s="11"/>
      <c r="B483" s="39"/>
      <c r="C483" s="40"/>
      <c r="D483" s="40"/>
      <c r="E483" s="40"/>
      <c r="F483" s="11"/>
    </row>
    <row r="484" customFormat="false" ht="12.8" hidden="false" customHeight="false" outlineLevel="0" collapsed="false">
      <c r="A484" s="11"/>
      <c r="B484" s="39"/>
      <c r="C484" s="40"/>
      <c r="D484" s="40"/>
      <c r="E484" s="40"/>
      <c r="F484" s="11"/>
    </row>
    <row r="485" customFormat="false" ht="12.8" hidden="false" customHeight="false" outlineLevel="0" collapsed="false">
      <c r="A485" s="11"/>
      <c r="B485" s="39"/>
      <c r="C485" s="40"/>
      <c r="D485" s="40"/>
      <c r="E485" s="40"/>
      <c r="F485" s="11"/>
    </row>
    <row r="486" customFormat="false" ht="12.8" hidden="false" customHeight="false" outlineLevel="0" collapsed="false">
      <c r="A486" s="11"/>
      <c r="B486" s="39"/>
      <c r="C486" s="40"/>
      <c r="D486" s="40"/>
      <c r="E486" s="40"/>
      <c r="F486" s="11"/>
    </row>
    <row r="487" customFormat="false" ht="12.8" hidden="false" customHeight="false" outlineLevel="0" collapsed="false">
      <c r="A487" s="11"/>
      <c r="B487" s="39"/>
      <c r="C487" s="40"/>
      <c r="D487" s="40"/>
      <c r="E487" s="40"/>
      <c r="F487" s="11"/>
    </row>
    <row r="488" customFormat="false" ht="12.8" hidden="false" customHeight="false" outlineLevel="0" collapsed="false">
      <c r="A488" s="11"/>
      <c r="B488" s="39"/>
      <c r="C488" s="40"/>
      <c r="D488" s="40"/>
      <c r="E488" s="40"/>
      <c r="F488" s="11"/>
    </row>
    <row r="489" customFormat="false" ht="12.8" hidden="false" customHeight="false" outlineLevel="0" collapsed="false">
      <c r="A489" s="11"/>
      <c r="B489" s="39"/>
      <c r="C489" s="40"/>
      <c r="D489" s="40"/>
      <c r="E489" s="40"/>
      <c r="F489" s="11"/>
    </row>
    <row r="490" customFormat="false" ht="12.8" hidden="false" customHeight="false" outlineLevel="0" collapsed="false">
      <c r="A490" s="11"/>
      <c r="B490" s="39"/>
      <c r="C490" s="40"/>
      <c r="D490" s="40"/>
      <c r="E490" s="40"/>
      <c r="F490" s="11"/>
    </row>
    <row r="491" customFormat="false" ht="12.8" hidden="false" customHeight="false" outlineLevel="0" collapsed="false">
      <c r="A491" s="11"/>
      <c r="B491" s="39"/>
      <c r="C491" s="40"/>
      <c r="D491" s="40"/>
      <c r="E491" s="40"/>
      <c r="F491" s="11"/>
    </row>
    <row r="492" customFormat="false" ht="12.8" hidden="false" customHeight="false" outlineLevel="0" collapsed="false">
      <c r="A492" s="11"/>
      <c r="B492" s="39"/>
      <c r="C492" s="40"/>
      <c r="D492" s="40"/>
      <c r="E492" s="40"/>
      <c r="F492" s="11"/>
    </row>
    <row r="493" customFormat="false" ht="12.8" hidden="false" customHeight="false" outlineLevel="0" collapsed="false">
      <c r="A493" s="11"/>
      <c r="B493" s="39"/>
      <c r="C493" s="40"/>
      <c r="D493" s="40"/>
      <c r="E493" s="40"/>
      <c r="F493" s="11"/>
    </row>
    <row r="494" customFormat="false" ht="12.8" hidden="false" customHeight="false" outlineLevel="0" collapsed="false">
      <c r="A494" s="11"/>
      <c r="B494" s="39"/>
      <c r="C494" s="40"/>
      <c r="D494" s="40"/>
      <c r="E494" s="40"/>
      <c r="F494" s="11"/>
    </row>
    <row r="495" customFormat="false" ht="12.8" hidden="false" customHeight="false" outlineLevel="0" collapsed="false">
      <c r="A495" s="11"/>
      <c r="B495" s="39"/>
      <c r="C495" s="40"/>
      <c r="D495" s="40"/>
      <c r="E495" s="40"/>
      <c r="F495" s="11"/>
    </row>
    <row r="496" customFormat="false" ht="12.8" hidden="false" customHeight="false" outlineLevel="0" collapsed="false">
      <c r="A496" s="11"/>
      <c r="B496" s="39"/>
      <c r="C496" s="40"/>
      <c r="D496" s="40"/>
      <c r="E496" s="40"/>
      <c r="F496" s="11"/>
    </row>
    <row r="497" customFormat="false" ht="12.8" hidden="false" customHeight="false" outlineLevel="0" collapsed="false">
      <c r="A497" s="11"/>
      <c r="B497" s="39"/>
      <c r="C497" s="40"/>
      <c r="D497" s="40"/>
      <c r="E497" s="40"/>
      <c r="F497" s="11"/>
    </row>
    <row r="498" customFormat="false" ht="12.8" hidden="false" customHeight="false" outlineLevel="0" collapsed="false">
      <c r="A498" s="11"/>
      <c r="B498" s="39"/>
      <c r="C498" s="40"/>
      <c r="D498" s="40"/>
      <c r="E498" s="40"/>
      <c r="F498" s="11"/>
    </row>
    <row r="499" customFormat="false" ht="12.8" hidden="false" customHeight="false" outlineLevel="0" collapsed="false">
      <c r="A499" s="11"/>
      <c r="B499" s="39"/>
      <c r="C499" s="40"/>
      <c r="D499" s="40"/>
      <c r="E499" s="40"/>
      <c r="F499" s="11"/>
    </row>
    <row r="500" customFormat="false" ht="12.8" hidden="false" customHeight="false" outlineLevel="0" collapsed="false">
      <c r="A500" s="11"/>
      <c r="B500" s="39"/>
      <c r="C500" s="40"/>
      <c r="D500" s="40"/>
      <c r="E500" s="40"/>
      <c r="F500" s="11"/>
    </row>
    <row r="501" customFormat="false" ht="12.8" hidden="false" customHeight="false" outlineLevel="0" collapsed="false">
      <c r="A501" s="11"/>
      <c r="B501" s="39"/>
      <c r="C501" s="40"/>
      <c r="D501" s="40"/>
      <c r="E501" s="40"/>
      <c r="F501" s="11"/>
    </row>
    <row r="502" customFormat="false" ht="12.8" hidden="false" customHeight="false" outlineLevel="0" collapsed="false">
      <c r="A502" s="11"/>
      <c r="B502" s="39"/>
      <c r="C502" s="40"/>
      <c r="D502" s="40"/>
      <c r="E502" s="40"/>
      <c r="F502" s="11"/>
    </row>
    <row r="503" customFormat="false" ht="12.8" hidden="false" customHeight="false" outlineLevel="0" collapsed="false">
      <c r="A503" s="11"/>
      <c r="B503" s="39"/>
      <c r="C503" s="40"/>
      <c r="D503" s="40"/>
      <c r="E503" s="40"/>
      <c r="F503" s="11"/>
    </row>
    <row r="504" customFormat="false" ht="12.8" hidden="false" customHeight="false" outlineLevel="0" collapsed="false">
      <c r="A504" s="11"/>
      <c r="B504" s="39"/>
      <c r="C504" s="40"/>
      <c r="D504" s="40"/>
      <c r="E504" s="40"/>
      <c r="F504" s="11"/>
    </row>
    <row r="505" customFormat="false" ht="12.8" hidden="false" customHeight="false" outlineLevel="0" collapsed="false">
      <c r="A505" s="11"/>
      <c r="B505" s="39"/>
      <c r="C505" s="40"/>
      <c r="D505" s="40"/>
      <c r="E505" s="40"/>
      <c r="F505" s="11"/>
    </row>
    <row r="506" customFormat="false" ht="12.8" hidden="false" customHeight="false" outlineLevel="0" collapsed="false">
      <c r="A506" s="11"/>
      <c r="B506" s="39"/>
      <c r="C506" s="40"/>
      <c r="D506" s="40"/>
      <c r="E506" s="40"/>
      <c r="F506" s="11"/>
    </row>
    <row r="507" customFormat="false" ht="12.8" hidden="false" customHeight="false" outlineLevel="0" collapsed="false">
      <c r="A507" s="11"/>
      <c r="B507" s="11"/>
      <c r="C507" s="11"/>
      <c r="D507" s="11"/>
      <c r="E507" s="11"/>
      <c r="F507" s="11"/>
    </row>
    <row r="508" customFormat="false" ht="12.8" hidden="false" customHeight="false" outlineLevel="0" collapsed="false">
      <c r="A508" s="11"/>
      <c r="B508" s="11"/>
      <c r="C508" s="11"/>
      <c r="D508" s="11"/>
      <c r="E508" s="11"/>
      <c r="F508" s="11"/>
    </row>
    <row r="509" customFormat="false" ht="12.8" hidden="false" customHeight="false" outlineLevel="0" collapsed="false">
      <c r="A509" s="11"/>
      <c r="B509" s="11"/>
      <c r="C509" s="11"/>
      <c r="D509" s="11"/>
      <c r="E509" s="11"/>
      <c r="F509" s="11"/>
    </row>
    <row r="510" customFormat="false" ht="12.8" hidden="false" customHeight="false" outlineLevel="0" collapsed="false">
      <c r="A510" s="11"/>
      <c r="B510" s="11"/>
      <c r="C510" s="11"/>
      <c r="D510" s="11"/>
      <c r="E510" s="11"/>
      <c r="F510" s="11"/>
    </row>
    <row r="511" customFormat="false" ht="12.8" hidden="false" customHeight="false" outlineLevel="0" collapsed="false">
      <c r="A511" s="11"/>
      <c r="B511" s="11"/>
      <c r="C511" s="11"/>
      <c r="D511" s="11"/>
      <c r="E511" s="11"/>
      <c r="F511" s="11"/>
    </row>
    <row r="512" customFormat="false" ht="12.8" hidden="false" customHeight="false" outlineLevel="0" collapsed="false">
      <c r="A512" s="11"/>
      <c r="B512" s="11"/>
      <c r="C512" s="11"/>
      <c r="D512" s="11"/>
      <c r="E512" s="11"/>
      <c r="F512" s="11"/>
    </row>
    <row r="513" customFormat="false" ht="12.8" hidden="false" customHeight="false" outlineLevel="0" collapsed="false">
      <c r="A513" s="11"/>
      <c r="B513" s="11"/>
      <c r="C513" s="11"/>
      <c r="D513" s="11"/>
      <c r="E513" s="11"/>
      <c r="F513" s="11"/>
    </row>
    <row r="514" customFormat="false" ht="12.8" hidden="false" customHeight="false" outlineLevel="0" collapsed="false">
      <c r="A514" s="11"/>
      <c r="B514" s="11"/>
      <c r="C514" s="11"/>
      <c r="D514" s="11"/>
      <c r="E514" s="11"/>
      <c r="F514" s="11"/>
    </row>
    <row r="515" customFormat="false" ht="12.8" hidden="false" customHeight="false" outlineLevel="0" collapsed="false">
      <c r="A515" s="11"/>
      <c r="B515" s="11"/>
      <c r="C515" s="11"/>
      <c r="D515" s="11"/>
      <c r="E515" s="11"/>
      <c r="F515" s="11"/>
    </row>
    <row r="516" customFormat="false" ht="12.8" hidden="false" customHeight="false" outlineLevel="0" collapsed="false">
      <c r="A516" s="11"/>
      <c r="B516" s="11"/>
      <c r="C516" s="11"/>
      <c r="D516" s="11"/>
      <c r="E516" s="11"/>
      <c r="F516" s="11"/>
    </row>
    <row r="517" customFormat="false" ht="12.8" hidden="false" customHeight="false" outlineLevel="0" collapsed="false">
      <c r="A517" s="11"/>
      <c r="B517" s="11"/>
      <c r="C517" s="11"/>
      <c r="D517" s="11"/>
      <c r="E517" s="11"/>
      <c r="F517" s="11"/>
    </row>
    <row r="518" customFormat="false" ht="12.8" hidden="false" customHeight="false" outlineLevel="0" collapsed="false">
      <c r="A518" s="11"/>
      <c r="B518" s="11"/>
      <c r="C518" s="11"/>
      <c r="D518" s="11"/>
      <c r="E518" s="11"/>
      <c r="F518" s="11"/>
    </row>
    <row r="519" customFormat="false" ht="12.8" hidden="false" customHeight="false" outlineLevel="0" collapsed="false">
      <c r="A519" s="11"/>
      <c r="B519" s="11"/>
      <c r="C519" s="11"/>
      <c r="D519" s="11"/>
      <c r="E519" s="11"/>
      <c r="F519" s="11"/>
    </row>
    <row r="520" customFormat="false" ht="12.8" hidden="false" customHeight="false" outlineLevel="0" collapsed="false">
      <c r="A520" s="11"/>
      <c r="B520" s="11"/>
      <c r="C520" s="11"/>
      <c r="D520" s="11"/>
      <c r="E520" s="11"/>
      <c r="F520" s="11"/>
    </row>
    <row r="521" customFormat="false" ht="12.8" hidden="false" customHeight="false" outlineLevel="0" collapsed="false">
      <c r="A521" s="11"/>
      <c r="B521" s="11"/>
      <c r="C521" s="11"/>
      <c r="D521" s="11"/>
      <c r="E521" s="11"/>
      <c r="F521" s="11"/>
    </row>
    <row r="522" customFormat="false" ht="12.8" hidden="false" customHeight="false" outlineLevel="0" collapsed="false">
      <c r="A522" s="11"/>
      <c r="B522" s="11"/>
      <c r="C522" s="11"/>
      <c r="D522" s="11"/>
      <c r="E522" s="11"/>
      <c r="F522" s="11"/>
    </row>
    <row r="523" customFormat="false" ht="12.8" hidden="false" customHeight="false" outlineLevel="0" collapsed="false">
      <c r="A523" s="11"/>
      <c r="B523" s="11"/>
      <c r="C523" s="11"/>
      <c r="D523" s="11"/>
      <c r="E523" s="11"/>
      <c r="F523" s="11"/>
    </row>
    <row r="524" customFormat="false" ht="12.8" hidden="false" customHeight="false" outlineLevel="0" collapsed="false">
      <c r="A524" s="11"/>
      <c r="B524" s="11"/>
      <c r="C524" s="11"/>
      <c r="D524" s="11"/>
      <c r="E524" s="11"/>
      <c r="F524" s="11"/>
    </row>
    <row r="525" customFormat="false" ht="12.8" hidden="false" customHeight="false" outlineLevel="0" collapsed="false">
      <c r="A525" s="11"/>
      <c r="B525" s="11"/>
      <c r="C525" s="11"/>
      <c r="D525" s="11"/>
      <c r="E525" s="11"/>
      <c r="F525" s="11"/>
    </row>
    <row r="526" customFormat="false" ht="12.8" hidden="false" customHeight="false" outlineLevel="0" collapsed="false">
      <c r="A526" s="11"/>
      <c r="B526" s="11"/>
      <c r="C526" s="11"/>
      <c r="D526" s="11"/>
      <c r="E526" s="11"/>
      <c r="F526" s="11"/>
    </row>
    <row r="527" customFormat="false" ht="12.8" hidden="false" customHeight="false" outlineLevel="0" collapsed="false">
      <c r="A527" s="11"/>
      <c r="B527" s="11"/>
      <c r="C527" s="11"/>
      <c r="D527" s="11"/>
      <c r="E527" s="11"/>
      <c r="F527" s="11"/>
    </row>
    <row r="528" customFormat="false" ht="12.8" hidden="false" customHeight="false" outlineLevel="0" collapsed="false">
      <c r="A528" s="11"/>
      <c r="B528" s="11"/>
      <c r="C528" s="11"/>
      <c r="D528" s="11"/>
      <c r="E528" s="11"/>
      <c r="F528" s="11"/>
    </row>
    <row r="529" customFormat="false" ht="12.8" hidden="false" customHeight="false" outlineLevel="0" collapsed="false">
      <c r="A529" s="11"/>
      <c r="B529" s="11"/>
      <c r="C529" s="11"/>
      <c r="D529" s="11"/>
      <c r="E529" s="11"/>
      <c r="F529" s="11"/>
    </row>
    <row r="530" customFormat="false" ht="12.8" hidden="false" customHeight="false" outlineLevel="0" collapsed="false">
      <c r="A530" s="11"/>
      <c r="B530" s="11"/>
      <c r="C530" s="11"/>
      <c r="D530" s="11"/>
      <c r="E530" s="11"/>
      <c r="F530" s="11"/>
    </row>
    <row r="531" customFormat="false" ht="12.8" hidden="false" customHeight="false" outlineLevel="0" collapsed="false">
      <c r="A531" s="11"/>
      <c r="B531" s="11"/>
      <c r="C531" s="11"/>
      <c r="D531" s="11"/>
      <c r="E531" s="11"/>
      <c r="F531" s="11"/>
    </row>
    <row r="532" customFormat="false" ht="12.8" hidden="false" customHeight="false" outlineLevel="0" collapsed="false">
      <c r="A532" s="11"/>
      <c r="B532" s="11"/>
      <c r="C532" s="11"/>
      <c r="D532" s="11"/>
      <c r="E532" s="11"/>
      <c r="F532" s="11"/>
    </row>
    <row r="533" customFormat="false" ht="12.8" hidden="false" customHeight="false" outlineLevel="0" collapsed="false">
      <c r="A533" s="11"/>
      <c r="B533" s="11"/>
      <c r="C533" s="11"/>
      <c r="D533" s="11"/>
      <c r="E533" s="11"/>
      <c r="F533" s="11"/>
    </row>
    <row r="534" customFormat="false" ht="12.8" hidden="false" customHeight="false" outlineLevel="0" collapsed="false">
      <c r="A534" s="11"/>
      <c r="B534" s="11"/>
      <c r="C534" s="11"/>
      <c r="D534" s="11"/>
      <c r="E534" s="11"/>
      <c r="F534" s="11"/>
    </row>
    <row r="535" customFormat="false" ht="12.8" hidden="false" customHeight="false" outlineLevel="0" collapsed="false">
      <c r="A535" s="11"/>
      <c r="B535" s="11"/>
      <c r="C535" s="11"/>
      <c r="D535" s="11"/>
      <c r="E535" s="11"/>
      <c r="F535" s="11"/>
    </row>
    <row r="536" customFormat="false" ht="12.8" hidden="false" customHeight="false" outlineLevel="0" collapsed="false">
      <c r="A536" s="11"/>
      <c r="B536" s="11"/>
      <c r="C536" s="11"/>
      <c r="D536" s="11"/>
      <c r="E536" s="11"/>
      <c r="F536" s="11"/>
    </row>
    <row r="537" customFormat="false" ht="12.8" hidden="false" customHeight="false" outlineLevel="0" collapsed="false">
      <c r="A537" s="11"/>
      <c r="B537" s="11"/>
      <c r="C537" s="11"/>
      <c r="D537" s="11"/>
      <c r="E537" s="11"/>
      <c r="F537" s="11"/>
    </row>
    <row r="538" customFormat="false" ht="12.8" hidden="false" customHeight="false" outlineLevel="0" collapsed="false">
      <c r="A538" s="11"/>
      <c r="B538" s="11"/>
      <c r="C538" s="11"/>
      <c r="D538" s="11"/>
      <c r="E538" s="11"/>
      <c r="F538" s="11"/>
    </row>
    <row r="539" customFormat="false" ht="12.8" hidden="false" customHeight="false" outlineLevel="0" collapsed="false">
      <c r="A539" s="11"/>
      <c r="B539" s="11"/>
      <c r="C539" s="11"/>
      <c r="D539" s="11"/>
      <c r="E539" s="11"/>
      <c r="F539" s="11"/>
    </row>
    <row r="540" customFormat="false" ht="12.8" hidden="false" customHeight="false" outlineLevel="0" collapsed="false">
      <c r="A540" s="11"/>
      <c r="B540" s="11"/>
      <c r="C540" s="11"/>
      <c r="D540" s="11"/>
      <c r="E540" s="11"/>
      <c r="F540" s="11"/>
    </row>
    <row r="541" customFormat="false" ht="12.8" hidden="false" customHeight="false" outlineLevel="0" collapsed="false">
      <c r="A541" s="11"/>
      <c r="B541" s="11"/>
      <c r="C541" s="11"/>
      <c r="D541" s="11"/>
      <c r="E541" s="11"/>
      <c r="F541" s="11"/>
    </row>
    <row r="542" customFormat="false" ht="12.8" hidden="false" customHeight="false" outlineLevel="0" collapsed="false">
      <c r="A542" s="11"/>
      <c r="B542" s="11"/>
      <c r="C542" s="11"/>
      <c r="D542" s="11"/>
      <c r="E542" s="11"/>
      <c r="F542" s="11"/>
    </row>
    <row r="543" customFormat="false" ht="12.8" hidden="false" customHeight="false" outlineLevel="0" collapsed="false">
      <c r="A543" s="11"/>
      <c r="B543" s="11"/>
      <c r="C543" s="11"/>
      <c r="D543" s="11"/>
      <c r="E543" s="11"/>
      <c r="F543" s="11"/>
    </row>
    <row r="544" customFormat="false" ht="12.8" hidden="false" customHeight="false" outlineLevel="0" collapsed="false">
      <c r="A544" s="11"/>
      <c r="B544" s="11"/>
      <c r="C544" s="11"/>
      <c r="D544" s="11"/>
      <c r="E544" s="11"/>
      <c r="F544" s="11"/>
    </row>
    <row r="545" customFormat="false" ht="12.8" hidden="false" customHeight="false" outlineLevel="0" collapsed="false">
      <c r="A545" s="11"/>
      <c r="B545" s="11"/>
      <c r="C545" s="11"/>
      <c r="D545" s="11"/>
      <c r="E545" s="11"/>
      <c r="F545" s="11"/>
    </row>
    <row r="546" customFormat="false" ht="12.8" hidden="false" customHeight="false" outlineLevel="0" collapsed="false">
      <c r="A546" s="11"/>
      <c r="B546" s="11"/>
      <c r="C546" s="11"/>
      <c r="D546" s="11"/>
      <c r="E546" s="11"/>
      <c r="F546" s="11"/>
    </row>
    <row r="547" customFormat="false" ht="12.8" hidden="false" customHeight="false" outlineLevel="0" collapsed="false">
      <c r="A547" s="11"/>
      <c r="B547" s="11"/>
      <c r="C547" s="11"/>
      <c r="D547" s="11"/>
      <c r="E547" s="11"/>
      <c r="F547" s="11"/>
    </row>
    <row r="548" customFormat="false" ht="12.8" hidden="false" customHeight="false" outlineLevel="0" collapsed="false">
      <c r="A548" s="11"/>
      <c r="B548" s="11"/>
      <c r="C548" s="11"/>
      <c r="D548" s="11"/>
      <c r="E548" s="11"/>
      <c r="F548" s="11"/>
    </row>
    <row r="549" customFormat="false" ht="12.8" hidden="false" customHeight="false" outlineLevel="0" collapsed="false">
      <c r="A549" s="11"/>
      <c r="B549" s="11"/>
      <c r="C549" s="11"/>
      <c r="D549" s="11"/>
      <c r="E549" s="11"/>
      <c r="F549" s="11"/>
    </row>
    <row r="550" customFormat="false" ht="12.8" hidden="false" customHeight="false" outlineLevel="0" collapsed="false">
      <c r="A550" s="11"/>
      <c r="B550" s="11"/>
      <c r="C550" s="11"/>
      <c r="D550" s="11"/>
      <c r="E550" s="11"/>
      <c r="F550" s="11"/>
    </row>
    <row r="551" customFormat="false" ht="12.8" hidden="false" customHeight="false" outlineLevel="0" collapsed="false">
      <c r="A551" s="11"/>
      <c r="B551" s="11"/>
      <c r="C551" s="11"/>
      <c r="D551" s="11"/>
      <c r="E551" s="11"/>
      <c r="F551" s="11"/>
    </row>
    <row r="552" customFormat="false" ht="12.8" hidden="false" customHeight="false" outlineLevel="0" collapsed="false">
      <c r="A552" s="11"/>
      <c r="B552" s="11"/>
      <c r="C552" s="11"/>
      <c r="D552" s="11"/>
      <c r="E552" s="11"/>
      <c r="F552" s="11"/>
    </row>
    <row r="553" customFormat="false" ht="12.8" hidden="false" customHeight="false" outlineLevel="0" collapsed="false">
      <c r="A553" s="11"/>
      <c r="B553" s="11"/>
      <c r="C553" s="11"/>
      <c r="D553" s="11"/>
      <c r="E553" s="11"/>
      <c r="F553" s="11"/>
    </row>
    <row r="554" customFormat="false" ht="12.8" hidden="false" customHeight="false" outlineLevel="0" collapsed="false">
      <c r="A554" s="11"/>
      <c r="B554" s="11"/>
      <c r="C554" s="11"/>
      <c r="D554" s="11"/>
      <c r="E554" s="11"/>
      <c r="F554" s="11"/>
    </row>
    <row r="555" customFormat="false" ht="12.8" hidden="false" customHeight="false" outlineLevel="0" collapsed="false">
      <c r="A555" s="11"/>
      <c r="B555" s="11"/>
      <c r="C555" s="11"/>
      <c r="D555" s="11"/>
      <c r="E555" s="11"/>
      <c r="F555" s="11"/>
    </row>
    <row r="556" customFormat="false" ht="12.8" hidden="false" customHeight="false" outlineLevel="0" collapsed="false">
      <c r="A556" s="11"/>
      <c r="B556" s="11"/>
      <c r="C556" s="11"/>
      <c r="D556" s="11"/>
      <c r="E556" s="11"/>
      <c r="F556" s="11"/>
    </row>
    <row r="557" customFormat="false" ht="12.8" hidden="false" customHeight="false" outlineLevel="0" collapsed="false">
      <c r="A557" s="11"/>
      <c r="B557" s="11"/>
      <c r="C557" s="11"/>
      <c r="D557" s="11"/>
      <c r="E557" s="11"/>
      <c r="F557" s="11"/>
    </row>
    <row r="558" customFormat="false" ht="12.8" hidden="false" customHeight="false" outlineLevel="0" collapsed="false">
      <c r="A558" s="11"/>
      <c r="B558" s="11"/>
      <c r="C558" s="11"/>
      <c r="D558" s="11"/>
      <c r="E558" s="11"/>
      <c r="F558" s="11"/>
    </row>
    <row r="559" customFormat="false" ht="12.8" hidden="false" customHeight="false" outlineLevel="0" collapsed="false">
      <c r="A559" s="11"/>
      <c r="B559" s="11"/>
      <c r="C559" s="11"/>
      <c r="D559" s="11"/>
      <c r="E559" s="11"/>
      <c r="F559" s="11"/>
    </row>
    <row r="560" customFormat="false" ht="12.8" hidden="false" customHeight="false" outlineLevel="0" collapsed="false">
      <c r="A560" s="11"/>
      <c r="B560" s="11"/>
      <c r="C560" s="11"/>
      <c r="D560" s="11"/>
      <c r="E560" s="11"/>
      <c r="F560" s="11"/>
    </row>
    <row r="561" customFormat="false" ht="12.8" hidden="false" customHeight="false" outlineLevel="0" collapsed="false">
      <c r="A561" s="11"/>
      <c r="B561" s="11"/>
      <c r="C561" s="11"/>
      <c r="D561" s="11"/>
      <c r="E561" s="11"/>
      <c r="F561" s="11"/>
    </row>
    <row r="562" customFormat="false" ht="12.8" hidden="false" customHeight="false" outlineLevel="0" collapsed="false">
      <c r="A562" s="11"/>
      <c r="B562" s="11"/>
      <c r="C562" s="11"/>
      <c r="D562" s="11"/>
      <c r="E562" s="11"/>
      <c r="F562" s="11"/>
    </row>
    <row r="563" customFormat="false" ht="12.8" hidden="false" customHeight="false" outlineLevel="0" collapsed="false">
      <c r="A563" s="11"/>
      <c r="B563" s="11"/>
      <c r="C563" s="11"/>
      <c r="D563" s="11"/>
      <c r="E563" s="11"/>
      <c r="F563" s="11"/>
    </row>
    <row r="564" customFormat="false" ht="12.8" hidden="false" customHeight="false" outlineLevel="0" collapsed="false">
      <c r="A564" s="11"/>
      <c r="B564" s="11"/>
      <c r="C564" s="11"/>
      <c r="D564" s="11"/>
      <c r="E564" s="11"/>
      <c r="F564" s="11"/>
    </row>
    <row r="565" customFormat="false" ht="12.8" hidden="false" customHeight="false" outlineLevel="0" collapsed="false">
      <c r="A565" s="11"/>
      <c r="B565" s="11"/>
      <c r="C565" s="11"/>
      <c r="D565" s="11"/>
      <c r="E565" s="11"/>
      <c r="F565" s="11"/>
    </row>
    <row r="566" customFormat="false" ht="12.8" hidden="false" customHeight="false" outlineLevel="0" collapsed="false">
      <c r="A566" s="11"/>
      <c r="B566" s="11"/>
      <c r="C566" s="11"/>
      <c r="D566" s="11"/>
      <c r="E566" s="11"/>
      <c r="F566" s="11"/>
    </row>
    <row r="567" customFormat="false" ht="12.8" hidden="false" customHeight="false" outlineLevel="0" collapsed="false">
      <c r="A567" s="11"/>
      <c r="B567" s="11"/>
      <c r="C567" s="11"/>
      <c r="D567" s="11"/>
      <c r="E567" s="11"/>
      <c r="F567" s="11"/>
    </row>
    <row r="568" customFormat="false" ht="12.8" hidden="false" customHeight="false" outlineLevel="0" collapsed="false">
      <c r="A568" s="11"/>
      <c r="B568" s="11"/>
      <c r="C568" s="11"/>
      <c r="D568" s="11"/>
      <c r="E568" s="11"/>
      <c r="F568" s="11"/>
    </row>
    <row r="569" customFormat="false" ht="12.8" hidden="false" customHeight="false" outlineLevel="0" collapsed="false">
      <c r="A569" s="11"/>
      <c r="B569" s="11"/>
      <c r="C569" s="11"/>
      <c r="D569" s="11"/>
      <c r="E569" s="11"/>
      <c r="F569" s="11"/>
    </row>
    <row r="570" customFormat="false" ht="12.8" hidden="false" customHeight="false" outlineLevel="0" collapsed="false">
      <c r="A570" s="11"/>
      <c r="B570" s="11"/>
      <c r="C570" s="11"/>
      <c r="D570" s="11"/>
      <c r="E570" s="11"/>
      <c r="F570" s="11"/>
    </row>
    <row r="571" customFormat="false" ht="12.8" hidden="false" customHeight="false" outlineLevel="0" collapsed="false">
      <c r="A571" s="11"/>
      <c r="B571" s="11"/>
      <c r="C571" s="11"/>
      <c r="D571" s="11"/>
      <c r="E571" s="11"/>
      <c r="F571" s="11"/>
    </row>
    <row r="572" customFormat="false" ht="12.8" hidden="false" customHeight="false" outlineLevel="0" collapsed="false">
      <c r="A572" s="11"/>
      <c r="B572" s="11"/>
      <c r="C572" s="11"/>
      <c r="D572" s="11"/>
      <c r="E572" s="11"/>
      <c r="F572" s="11"/>
    </row>
    <row r="573" customFormat="false" ht="12.8" hidden="false" customHeight="false" outlineLevel="0" collapsed="false">
      <c r="A573" s="11"/>
      <c r="B573" s="11"/>
      <c r="C573" s="11"/>
      <c r="D573" s="11"/>
      <c r="E573" s="11"/>
      <c r="F573" s="11"/>
    </row>
    <row r="574" customFormat="false" ht="12.8" hidden="false" customHeight="false" outlineLevel="0" collapsed="false">
      <c r="A574" s="11"/>
      <c r="B574" s="11"/>
      <c r="C574" s="11"/>
      <c r="D574" s="11"/>
      <c r="E574" s="11"/>
      <c r="F574" s="11"/>
    </row>
    <row r="575" customFormat="false" ht="12.8" hidden="false" customHeight="false" outlineLevel="0" collapsed="false">
      <c r="A575" s="11"/>
      <c r="B575" s="11"/>
      <c r="C575" s="11"/>
      <c r="D575" s="11"/>
      <c r="E575" s="11"/>
      <c r="F575" s="11"/>
    </row>
    <row r="576" customFormat="false" ht="12.8" hidden="false" customHeight="false" outlineLevel="0" collapsed="false">
      <c r="A576" s="11"/>
      <c r="B576" s="11"/>
      <c r="C576" s="11"/>
      <c r="D576" s="11"/>
      <c r="E576" s="11"/>
      <c r="F576" s="11"/>
    </row>
    <row r="577" customFormat="false" ht="12.8" hidden="false" customHeight="false" outlineLevel="0" collapsed="false">
      <c r="A577" s="11"/>
      <c r="B577" s="11"/>
      <c r="C577" s="11"/>
      <c r="D577" s="11"/>
      <c r="E577" s="11"/>
      <c r="F577" s="11"/>
    </row>
    <row r="578" customFormat="false" ht="12.8" hidden="false" customHeight="false" outlineLevel="0" collapsed="false">
      <c r="A578" s="11"/>
      <c r="B578" s="11"/>
      <c r="C578" s="11"/>
      <c r="D578" s="11"/>
      <c r="E578" s="11"/>
      <c r="F578" s="11"/>
    </row>
    <row r="579" customFormat="false" ht="12.8" hidden="false" customHeight="false" outlineLevel="0" collapsed="false">
      <c r="A579" s="11"/>
      <c r="B579" s="11"/>
      <c r="C579" s="11"/>
      <c r="D579" s="11"/>
      <c r="E579" s="11"/>
      <c r="F579" s="11"/>
    </row>
    <row r="580" customFormat="false" ht="12.8" hidden="false" customHeight="false" outlineLevel="0" collapsed="false">
      <c r="A580" s="11"/>
      <c r="B580" s="11"/>
      <c r="C580" s="11"/>
      <c r="D580" s="11"/>
      <c r="E580" s="11"/>
      <c r="F580" s="11"/>
    </row>
    <row r="581" customFormat="false" ht="12.8" hidden="false" customHeight="false" outlineLevel="0" collapsed="false">
      <c r="A581" s="11"/>
      <c r="B581" s="11"/>
      <c r="C581" s="11"/>
      <c r="D581" s="11"/>
      <c r="E581" s="11"/>
      <c r="F581" s="11"/>
    </row>
    <row r="582" customFormat="false" ht="12.8" hidden="false" customHeight="false" outlineLevel="0" collapsed="false">
      <c r="A582" s="11"/>
      <c r="B582" s="11"/>
      <c r="C582" s="11"/>
      <c r="D582" s="11"/>
      <c r="E582" s="11"/>
      <c r="F582" s="11"/>
    </row>
    <row r="583" customFormat="false" ht="12.8" hidden="false" customHeight="false" outlineLevel="0" collapsed="false">
      <c r="A583" s="11"/>
      <c r="B583" s="11"/>
      <c r="C583" s="11"/>
      <c r="D583" s="11"/>
      <c r="E583" s="11"/>
      <c r="F583" s="11"/>
    </row>
    <row r="584" customFormat="false" ht="12.8" hidden="false" customHeight="false" outlineLevel="0" collapsed="false">
      <c r="A584" s="11"/>
      <c r="B584" s="11"/>
      <c r="C584" s="11"/>
      <c r="D584" s="11"/>
      <c r="E584" s="11"/>
      <c r="F584" s="11"/>
    </row>
    <row r="585" customFormat="false" ht="12.8" hidden="false" customHeight="false" outlineLevel="0" collapsed="false">
      <c r="A585" s="11"/>
      <c r="B585" s="11"/>
      <c r="C585" s="11"/>
      <c r="D585" s="11"/>
      <c r="E585" s="11"/>
      <c r="F585" s="11"/>
    </row>
    <row r="586" customFormat="false" ht="12.8" hidden="false" customHeight="false" outlineLevel="0" collapsed="false">
      <c r="A586" s="11"/>
      <c r="B586" s="11"/>
      <c r="C586" s="11"/>
      <c r="D586" s="11"/>
      <c r="E586" s="11"/>
      <c r="F586" s="11"/>
    </row>
    <row r="587" customFormat="false" ht="12.8" hidden="false" customHeight="false" outlineLevel="0" collapsed="false">
      <c r="A587" s="11"/>
      <c r="B587" s="11"/>
      <c r="C587" s="11"/>
      <c r="D587" s="11"/>
      <c r="E587" s="11"/>
      <c r="F587" s="11"/>
    </row>
    <row r="588" customFormat="false" ht="12.8" hidden="false" customHeight="false" outlineLevel="0" collapsed="false">
      <c r="A588" s="11"/>
      <c r="B588" s="11"/>
      <c r="C588" s="11"/>
      <c r="D588" s="11"/>
      <c r="E588" s="11"/>
      <c r="F588" s="11"/>
    </row>
    <row r="589" customFormat="false" ht="12.8" hidden="false" customHeight="false" outlineLevel="0" collapsed="false">
      <c r="A589" s="11"/>
      <c r="B589" s="11"/>
      <c r="C589" s="11"/>
      <c r="D589" s="11"/>
      <c r="E589" s="11"/>
      <c r="F589" s="11"/>
    </row>
    <row r="590" customFormat="false" ht="12.8" hidden="false" customHeight="false" outlineLevel="0" collapsed="false">
      <c r="A590" s="11"/>
      <c r="B590" s="11"/>
      <c r="C590" s="11"/>
      <c r="D590" s="11"/>
      <c r="E590" s="11"/>
      <c r="F590" s="11"/>
    </row>
    <row r="591" customFormat="false" ht="12.8" hidden="false" customHeight="false" outlineLevel="0" collapsed="false">
      <c r="A591" s="11"/>
      <c r="B591" s="11"/>
      <c r="C591" s="11"/>
      <c r="D591" s="11"/>
      <c r="E591" s="11"/>
      <c r="F591" s="11"/>
    </row>
    <row r="592" customFormat="false" ht="12.8" hidden="false" customHeight="false" outlineLevel="0" collapsed="false">
      <c r="A592" s="11"/>
      <c r="B592" s="11"/>
      <c r="C592" s="11"/>
      <c r="D592" s="11"/>
      <c r="E592" s="11"/>
      <c r="F592" s="11"/>
    </row>
    <row r="593" customFormat="false" ht="12.8" hidden="false" customHeight="false" outlineLevel="0" collapsed="false">
      <c r="A593" s="11"/>
      <c r="B593" s="11"/>
      <c r="C593" s="11"/>
      <c r="D593" s="11"/>
      <c r="E593" s="11"/>
      <c r="F593" s="11"/>
    </row>
    <row r="594" customFormat="false" ht="12.8" hidden="false" customHeight="false" outlineLevel="0" collapsed="false">
      <c r="A594" s="11"/>
      <c r="B594" s="11"/>
      <c r="C594" s="11"/>
      <c r="D594" s="11"/>
      <c r="E594" s="11"/>
      <c r="F594" s="11"/>
    </row>
    <row r="595" customFormat="false" ht="12.8" hidden="false" customHeight="false" outlineLevel="0" collapsed="false">
      <c r="A595" s="11"/>
      <c r="B595" s="11"/>
      <c r="C595" s="11"/>
      <c r="D595" s="11"/>
      <c r="E595" s="11"/>
      <c r="F595" s="11"/>
    </row>
    <row r="596" customFormat="false" ht="12.8" hidden="false" customHeight="false" outlineLevel="0" collapsed="false">
      <c r="A596" s="11"/>
      <c r="B596" s="11"/>
      <c r="C596" s="11"/>
      <c r="D596" s="11"/>
      <c r="E596" s="11"/>
      <c r="F596" s="11"/>
    </row>
    <row r="597" customFormat="false" ht="12.8" hidden="false" customHeight="false" outlineLevel="0" collapsed="false">
      <c r="A597" s="11"/>
      <c r="B597" s="11"/>
      <c r="C597" s="11"/>
      <c r="D597" s="11"/>
      <c r="E597" s="11"/>
      <c r="F597" s="11"/>
    </row>
    <row r="598" customFormat="false" ht="12.8" hidden="false" customHeight="false" outlineLevel="0" collapsed="false">
      <c r="A598" s="11"/>
      <c r="B598" s="11"/>
      <c r="C598" s="11"/>
      <c r="D598" s="11"/>
      <c r="E598" s="11"/>
      <c r="F598" s="11"/>
    </row>
    <row r="599" customFormat="false" ht="12.8" hidden="false" customHeight="false" outlineLevel="0" collapsed="false">
      <c r="A599" s="11"/>
      <c r="B599" s="11"/>
      <c r="C599" s="11"/>
      <c r="D599" s="11"/>
      <c r="E599" s="11"/>
      <c r="F599" s="11"/>
    </row>
    <row r="600" customFormat="false" ht="12.8" hidden="false" customHeight="false" outlineLevel="0" collapsed="false">
      <c r="A600" s="11"/>
      <c r="B600" s="11"/>
      <c r="C600" s="11"/>
      <c r="D600" s="11"/>
      <c r="E600" s="11"/>
      <c r="F600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12.26"/>
    <col collapsed="false" customWidth="true" hidden="false" outlineLevel="0" max="3" min="3" style="0" width="18.39"/>
    <col collapsed="false" customWidth="true" hidden="false" outlineLevel="0" max="4" min="4" style="0" width="27.58"/>
    <col collapsed="false" customWidth="true" hidden="false" outlineLevel="0" max="5" min="5" style="0" width="29.62"/>
  </cols>
  <sheetData>
    <row r="1" customFormat="false" ht="15" hidden="false" customHeight="false" outlineLevel="0" collapsed="false">
      <c r="A1" s="10" t="s">
        <v>1233</v>
      </c>
      <c r="B1" s="11"/>
      <c r="C1" s="11"/>
      <c r="D1" s="11"/>
      <c r="E1" s="11"/>
      <c r="F1" s="11"/>
    </row>
    <row r="2" customFormat="false" ht="12.8" hidden="false" customHeight="false" outlineLevel="0" collapsed="false">
      <c r="A2" s="12" t="s">
        <v>1234</v>
      </c>
      <c r="B2" s="11"/>
      <c r="C2" s="11"/>
      <c r="D2" s="11"/>
      <c r="E2" s="11"/>
      <c r="F2" s="11"/>
    </row>
    <row r="3" customFormat="false" ht="12.8" hidden="false" customHeight="false" outlineLevel="0" collapsed="false">
      <c r="A3" s="13"/>
      <c r="B3" s="14" t="s">
        <v>1227</v>
      </c>
      <c r="C3" s="15"/>
      <c r="D3" s="15"/>
      <c r="E3" s="16"/>
      <c r="F3" s="11"/>
    </row>
    <row r="4" customFormat="false" ht="12.8" hidden="false" customHeight="false" outlineLevel="0" collapsed="false">
      <c r="A4" s="17" t="s">
        <v>10</v>
      </c>
      <c r="B4" s="18" t="s">
        <v>1228</v>
      </c>
      <c r="C4" s="19" t="s">
        <v>1229</v>
      </c>
      <c r="D4" s="19" t="s">
        <v>1230</v>
      </c>
      <c r="E4" s="20" t="s">
        <v>1231</v>
      </c>
      <c r="F4" s="11"/>
    </row>
    <row r="5" customFormat="false" ht="12.8" hidden="false" customHeight="false" outlineLevel="0" collapsed="false">
      <c r="A5" s="41" t="s">
        <v>731</v>
      </c>
      <c r="B5" s="22" t="n">
        <v>6</v>
      </c>
      <c r="C5" s="23" t="n">
        <v>15.8130708734828</v>
      </c>
      <c r="D5" s="23" t="n">
        <v>57.6008646435214</v>
      </c>
      <c r="E5" s="24" t="n">
        <v>56.5</v>
      </c>
      <c r="F5" s="11"/>
    </row>
    <row r="6" customFormat="false" ht="12.8" hidden="false" customHeight="false" outlineLevel="0" collapsed="false">
      <c r="A6" s="42" t="s">
        <v>15</v>
      </c>
      <c r="B6" s="26" t="n">
        <v>9</v>
      </c>
      <c r="C6" s="27" t="n">
        <v>7.34380534833753</v>
      </c>
      <c r="D6" s="27" t="n">
        <v>20.5086143152749</v>
      </c>
      <c r="E6" s="28" t="n">
        <v>60.5555555555556</v>
      </c>
      <c r="F6" s="11"/>
    </row>
    <row r="7" customFormat="false" ht="12.8" hidden="false" customHeight="false" outlineLevel="0" collapsed="false">
      <c r="A7" s="42" t="s">
        <v>482</v>
      </c>
      <c r="B7" s="29" t="n">
        <v>5</v>
      </c>
      <c r="C7" s="30" t="n">
        <v>4.82058203145898</v>
      </c>
      <c r="D7" s="30" t="n">
        <v>15.2585694610108</v>
      </c>
      <c r="E7" s="31" t="n">
        <v>79.2</v>
      </c>
      <c r="F7" s="11"/>
    </row>
    <row r="8" customFormat="false" ht="12.8" hidden="false" customHeight="false" outlineLevel="0" collapsed="false">
      <c r="A8" s="42" t="s">
        <v>211</v>
      </c>
      <c r="B8" s="29" t="n">
        <v>9</v>
      </c>
      <c r="C8" s="30" t="n">
        <v>6.27959126906952</v>
      </c>
      <c r="D8" s="30" t="n">
        <v>19.0403317016396</v>
      </c>
      <c r="E8" s="31" t="n">
        <v>62.7777777777778</v>
      </c>
      <c r="F8" s="11"/>
    </row>
    <row r="9" customFormat="false" ht="12.8" hidden="false" customHeight="false" outlineLevel="0" collapsed="false">
      <c r="A9" s="42" t="s">
        <v>54</v>
      </c>
      <c r="B9" s="29" t="n">
        <v>6</v>
      </c>
      <c r="C9" s="30" t="n">
        <v>24.6788479344169</v>
      </c>
      <c r="D9" s="30" t="n">
        <v>37.8054166673258</v>
      </c>
      <c r="E9" s="31" t="n">
        <v>57.8333333333333</v>
      </c>
      <c r="F9" s="11"/>
    </row>
    <row r="10" customFormat="false" ht="12.8" hidden="false" customHeight="false" outlineLevel="0" collapsed="false">
      <c r="A10" s="42" t="s">
        <v>503</v>
      </c>
      <c r="B10" s="29" t="n">
        <v>9</v>
      </c>
      <c r="C10" s="30" t="n">
        <v>7.11002954024974</v>
      </c>
      <c r="D10" s="30" t="n">
        <v>21.3805013156021</v>
      </c>
      <c r="E10" s="31" t="n">
        <v>51.1111111111111</v>
      </c>
      <c r="F10" s="11"/>
    </row>
    <row r="11" customFormat="false" ht="12.8" hidden="false" customHeight="false" outlineLevel="0" collapsed="false">
      <c r="A11" s="42" t="s">
        <v>514</v>
      </c>
      <c r="B11" s="29" t="n">
        <v>9</v>
      </c>
      <c r="C11" s="30" t="n">
        <v>5.38575850186441</v>
      </c>
      <c r="D11" s="30" t="n">
        <v>17.7726812290459</v>
      </c>
      <c r="E11" s="31" t="n">
        <v>71.7777777777778</v>
      </c>
      <c r="F11" s="11"/>
    </row>
    <row r="12" customFormat="false" ht="12.8" hidden="false" customHeight="false" outlineLevel="0" collapsed="false">
      <c r="A12" s="42" t="s">
        <v>1054</v>
      </c>
      <c r="B12" s="29" t="n">
        <v>9</v>
      </c>
      <c r="C12" s="30" t="n">
        <v>13.9353863343446</v>
      </c>
      <c r="D12" s="30" t="n">
        <v>76.3686596965877</v>
      </c>
      <c r="E12" s="31" t="n">
        <v>58</v>
      </c>
      <c r="F12" s="11"/>
    </row>
    <row r="13" customFormat="false" ht="12.8" hidden="false" customHeight="false" outlineLevel="0" collapsed="false">
      <c r="A13" s="42" t="s">
        <v>81</v>
      </c>
      <c r="B13" s="29" t="n">
        <v>10</v>
      </c>
      <c r="C13" s="30" t="n">
        <v>14.0186049705424</v>
      </c>
      <c r="D13" s="30" t="n">
        <v>11.8734407589829</v>
      </c>
      <c r="E13" s="31" t="n">
        <v>57.8</v>
      </c>
      <c r="F13" s="11"/>
    </row>
    <row r="14" customFormat="false" ht="12.8" hidden="false" customHeight="false" outlineLevel="0" collapsed="false">
      <c r="A14" s="42" t="s">
        <v>734</v>
      </c>
      <c r="B14" s="29" t="n">
        <v>9</v>
      </c>
      <c r="C14" s="30" t="n">
        <v>8.61186654835165</v>
      </c>
      <c r="D14" s="30" t="n">
        <v>28.2092022564841</v>
      </c>
      <c r="E14" s="31" t="n">
        <v>66.5555555555556</v>
      </c>
      <c r="F14" s="11"/>
    </row>
    <row r="15" customFormat="false" ht="12.8" hidden="false" customHeight="false" outlineLevel="0" collapsed="false">
      <c r="A15" s="42" t="s">
        <v>214</v>
      </c>
      <c r="B15" s="29" t="n">
        <v>5</v>
      </c>
      <c r="C15" s="30" t="n">
        <v>8.20715088665777</v>
      </c>
      <c r="D15" s="30" t="n">
        <v>29.9146421036645</v>
      </c>
      <c r="E15" s="31" t="n">
        <v>62.2</v>
      </c>
      <c r="F15" s="11"/>
    </row>
    <row r="16" customFormat="false" ht="12.8" hidden="false" customHeight="false" outlineLevel="0" collapsed="false">
      <c r="A16" s="42" t="s">
        <v>136</v>
      </c>
      <c r="B16" s="29" t="n">
        <v>9</v>
      </c>
      <c r="C16" s="30" t="n">
        <v>23.1096131781352</v>
      </c>
      <c r="D16" s="30" t="n">
        <v>47.1177548430333</v>
      </c>
      <c r="E16" s="31" t="n">
        <v>55.8888888888889</v>
      </c>
      <c r="F16" s="11"/>
    </row>
    <row r="17" customFormat="false" ht="12.8" hidden="false" customHeight="false" outlineLevel="0" collapsed="false">
      <c r="A17" s="42" t="s">
        <v>905</v>
      </c>
      <c r="B17" s="29" t="n">
        <v>9</v>
      </c>
      <c r="C17" s="30" t="n">
        <v>5.09787035341895</v>
      </c>
      <c r="D17" s="30" t="n">
        <v>7.48754643328583</v>
      </c>
      <c r="E17" s="31" t="n">
        <v>52</v>
      </c>
      <c r="F17" s="11"/>
    </row>
    <row r="18" customFormat="false" ht="12.8" hidden="false" customHeight="false" outlineLevel="0" collapsed="false">
      <c r="A18" s="42" t="s">
        <v>163</v>
      </c>
      <c r="B18" s="29" t="n">
        <v>8</v>
      </c>
      <c r="C18" s="30" t="n">
        <v>11.9398061397349</v>
      </c>
      <c r="D18" s="30" t="n">
        <v>52.0056626473265</v>
      </c>
      <c r="E18" s="31" t="n">
        <v>64</v>
      </c>
      <c r="F18" s="11"/>
    </row>
    <row r="19" customFormat="false" ht="12.8" hidden="false" customHeight="false" outlineLevel="0" collapsed="false">
      <c r="A19" s="42" t="s">
        <v>908</v>
      </c>
      <c r="B19" s="29" t="n">
        <v>11</v>
      </c>
      <c r="C19" s="30" t="n">
        <v>12.9572643322315</v>
      </c>
      <c r="D19" s="30" t="n">
        <v>47.1396859160222</v>
      </c>
      <c r="E19" s="31" t="n">
        <v>66.2727272727273</v>
      </c>
      <c r="F19" s="11"/>
    </row>
    <row r="20" customFormat="false" ht="12.8" hidden="false" customHeight="false" outlineLevel="0" collapsed="false">
      <c r="A20" s="42" t="s">
        <v>467</v>
      </c>
      <c r="B20" s="29" t="n">
        <v>8</v>
      </c>
      <c r="C20" s="30" t="n">
        <v>25.9262675316392</v>
      </c>
      <c r="D20" s="30" t="n">
        <v>212.676580778868</v>
      </c>
      <c r="E20" s="31" t="n">
        <v>50.25</v>
      </c>
      <c r="F20" s="11"/>
    </row>
    <row r="21" customFormat="false" ht="12.8" hidden="false" customHeight="false" outlineLevel="0" collapsed="false">
      <c r="A21" s="42" t="s">
        <v>223</v>
      </c>
      <c r="B21" s="29" t="n">
        <v>9</v>
      </c>
      <c r="C21" s="30" t="n">
        <v>15.086049787052</v>
      </c>
      <c r="D21" s="30" t="n">
        <v>84.5894819534248</v>
      </c>
      <c r="E21" s="31" t="n">
        <v>72.4444444444444</v>
      </c>
      <c r="F21" s="11"/>
    </row>
    <row r="22" customFormat="false" ht="12.8" hidden="false" customHeight="false" outlineLevel="0" collapsed="false">
      <c r="A22" s="42" t="s">
        <v>200</v>
      </c>
      <c r="B22" s="29" t="n">
        <v>10</v>
      </c>
      <c r="C22" s="30" t="n">
        <v>6.38079228134169</v>
      </c>
      <c r="D22" s="30" t="n">
        <v>29.1241372012798</v>
      </c>
      <c r="E22" s="31" t="n">
        <v>61.5</v>
      </c>
      <c r="F22" s="11"/>
    </row>
    <row r="23" customFormat="false" ht="12.8" hidden="false" customHeight="false" outlineLevel="0" collapsed="false">
      <c r="A23" s="42" t="s">
        <v>627</v>
      </c>
      <c r="B23" s="29" t="n">
        <v>9</v>
      </c>
      <c r="C23" s="30" t="n">
        <v>11.2463509837187</v>
      </c>
      <c r="D23" s="30" t="n">
        <v>49.6691317634912</v>
      </c>
      <c r="E23" s="31" t="n">
        <v>64.4444444444444</v>
      </c>
      <c r="F23" s="11"/>
    </row>
    <row r="24" customFormat="false" ht="12.8" hidden="false" customHeight="false" outlineLevel="0" collapsed="false">
      <c r="A24" s="42" t="s">
        <v>618</v>
      </c>
      <c r="B24" s="29" t="n">
        <v>9</v>
      </c>
      <c r="C24" s="30" t="n">
        <v>8.2126867640264</v>
      </c>
      <c r="D24" s="30" t="n">
        <v>31.0422753698965</v>
      </c>
      <c r="E24" s="31" t="n">
        <v>58.8888888888889</v>
      </c>
      <c r="F24" s="11"/>
    </row>
    <row r="25" customFormat="false" ht="12.8" hidden="false" customHeight="false" outlineLevel="0" collapsed="false">
      <c r="A25" s="42" t="s">
        <v>231</v>
      </c>
      <c r="B25" s="29" t="n">
        <v>9</v>
      </c>
      <c r="C25" s="30" t="n">
        <v>2.66649392429958</v>
      </c>
      <c r="D25" s="30" t="n">
        <v>6.45737960513767</v>
      </c>
      <c r="E25" s="31" t="n">
        <v>68.1111111111111</v>
      </c>
      <c r="F25" s="11"/>
    </row>
    <row r="26" customFormat="false" ht="12.8" hidden="false" customHeight="false" outlineLevel="0" collapsed="false">
      <c r="A26" s="42" t="s">
        <v>1066</v>
      </c>
      <c r="B26" s="29" t="n">
        <v>9</v>
      </c>
      <c r="C26" s="30" t="n">
        <v>11.4131992321417</v>
      </c>
      <c r="D26" s="30" t="n">
        <v>34.721969515959</v>
      </c>
      <c r="E26" s="31" t="n">
        <v>69.5555555555556</v>
      </c>
      <c r="F26" s="11"/>
    </row>
    <row r="27" customFormat="false" ht="12.8" hidden="false" customHeight="false" outlineLevel="0" collapsed="false">
      <c r="A27" s="42" t="s">
        <v>397</v>
      </c>
      <c r="B27" s="29" t="n">
        <v>9</v>
      </c>
      <c r="C27" s="30" t="n">
        <v>5.88693485276962</v>
      </c>
      <c r="D27" s="30" t="n">
        <v>32.0915617051429</v>
      </c>
      <c r="E27" s="31" t="n">
        <v>69.6666666666667</v>
      </c>
      <c r="F27" s="11"/>
    </row>
    <row r="28" customFormat="false" ht="12.8" hidden="false" customHeight="false" outlineLevel="0" collapsed="false">
      <c r="A28" s="42" t="s">
        <v>743</v>
      </c>
      <c r="B28" s="29" t="n">
        <v>9</v>
      </c>
      <c r="C28" s="30" t="n">
        <v>15.0301882422516</v>
      </c>
      <c r="D28" s="30" t="n">
        <v>12.4567233360057</v>
      </c>
      <c r="E28" s="31" t="n">
        <v>61.5555555555556</v>
      </c>
      <c r="F28" s="11"/>
    </row>
    <row r="29" customFormat="false" ht="12.8" hidden="false" customHeight="false" outlineLevel="0" collapsed="false">
      <c r="A29" s="42" t="s">
        <v>786</v>
      </c>
      <c r="B29" s="29" t="n">
        <v>9</v>
      </c>
      <c r="C29" s="30" t="n">
        <v>11.206102712523</v>
      </c>
      <c r="D29" s="30" t="n">
        <v>10.6293626935013</v>
      </c>
      <c r="E29" s="31" t="n">
        <v>64.2222222222222</v>
      </c>
      <c r="F29" s="11"/>
    </row>
    <row r="30" customFormat="false" ht="12.8" hidden="false" customHeight="false" outlineLevel="0" collapsed="false">
      <c r="A30" s="42" t="s">
        <v>621</v>
      </c>
      <c r="B30" s="29" t="n">
        <v>8</v>
      </c>
      <c r="C30" s="30" t="n">
        <v>17.0522425636029</v>
      </c>
      <c r="D30" s="30" t="n">
        <v>111.22107935385</v>
      </c>
      <c r="E30" s="31" t="n">
        <v>52</v>
      </c>
      <c r="F30" s="11"/>
    </row>
    <row r="31" customFormat="false" ht="12.8" hidden="false" customHeight="false" outlineLevel="0" collapsed="false">
      <c r="A31" s="42" t="s">
        <v>151</v>
      </c>
      <c r="B31" s="29" t="n">
        <v>9</v>
      </c>
      <c r="C31" s="30" t="n">
        <v>12.8448024110285</v>
      </c>
      <c r="D31" s="30" t="n">
        <v>65.1910278900388</v>
      </c>
      <c r="E31" s="31" t="n">
        <v>65.3333333333333</v>
      </c>
      <c r="F31" s="11"/>
    </row>
    <row r="32" customFormat="false" ht="12.8" hidden="false" customHeight="false" outlineLevel="0" collapsed="false">
      <c r="A32" s="42" t="s">
        <v>517</v>
      </c>
      <c r="B32" s="29" t="n">
        <v>9</v>
      </c>
      <c r="C32" s="30" t="n">
        <v>5.35566044458048</v>
      </c>
      <c r="D32" s="30" t="n">
        <v>13.2481097632577</v>
      </c>
      <c r="E32" s="31" t="n">
        <v>67.7777777777778</v>
      </c>
      <c r="F32" s="11"/>
    </row>
    <row r="33" customFormat="false" ht="12.8" hidden="false" customHeight="false" outlineLevel="0" collapsed="false">
      <c r="A33" s="42" t="s">
        <v>90</v>
      </c>
      <c r="B33" s="29" t="n">
        <v>9</v>
      </c>
      <c r="C33" s="30" t="n">
        <v>11.6033643123006</v>
      </c>
      <c r="D33" s="30" t="n">
        <v>31.6636478852265</v>
      </c>
      <c r="E33" s="31" t="n">
        <v>62.1111111111111</v>
      </c>
      <c r="F33" s="11"/>
    </row>
    <row r="34" customFormat="false" ht="12.8" hidden="false" customHeight="false" outlineLevel="0" collapsed="false">
      <c r="A34" s="42" t="s">
        <v>520</v>
      </c>
      <c r="B34" s="29" t="n">
        <v>8</v>
      </c>
      <c r="C34" s="30" t="n">
        <v>6.17373957046747</v>
      </c>
      <c r="D34" s="30" t="n">
        <v>23.8367958353524</v>
      </c>
      <c r="E34" s="31" t="n">
        <v>58.875</v>
      </c>
      <c r="F34" s="11"/>
    </row>
    <row r="35" customFormat="false" ht="12.8" hidden="false" customHeight="false" outlineLevel="0" collapsed="false">
      <c r="A35" s="42" t="s">
        <v>411</v>
      </c>
      <c r="B35" s="29" t="n">
        <v>10</v>
      </c>
      <c r="C35" s="30" t="n">
        <v>4.8392610558783</v>
      </c>
      <c r="D35" s="30" t="n">
        <v>15.878733637438</v>
      </c>
      <c r="E35" s="31" t="n">
        <v>73.5</v>
      </c>
      <c r="F35" s="11"/>
    </row>
    <row r="36" customFormat="false" ht="12.8" hidden="false" customHeight="false" outlineLevel="0" collapsed="false">
      <c r="A36" s="42" t="s">
        <v>938</v>
      </c>
      <c r="B36" s="29" t="n">
        <v>9</v>
      </c>
      <c r="C36" s="30" t="n">
        <v>6.19061784256874</v>
      </c>
      <c r="D36" s="30" t="n">
        <v>17.4450373838723</v>
      </c>
      <c r="E36" s="31" t="n">
        <v>65.3333333333333</v>
      </c>
      <c r="F36" s="11"/>
    </row>
    <row r="37" customFormat="false" ht="12.8" hidden="false" customHeight="false" outlineLevel="0" collapsed="false">
      <c r="A37" s="42" t="s">
        <v>75</v>
      </c>
      <c r="B37" s="29" t="n">
        <v>19</v>
      </c>
      <c r="C37" s="30" t="n">
        <v>32.1394710410593</v>
      </c>
      <c r="D37" s="30" t="n">
        <v>96.9648290356604</v>
      </c>
      <c r="E37" s="31" t="n">
        <v>62.4210526315789</v>
      </c>
      <c r="F37" s="11"/>
    </row>
    <row r="38" customFormat="false" ht="12.8" hidden="false" customHeight="false" outlineLevel="0" collapsed="false">
      <c r="A38" s="42" t="s">
        <v>154</v>
      </c>
      <c r="B38" s="29" t="n">
        <v>10</v>
      </c>
      <c r="C38" s="30" t="n">
        <v>8.85184097371937</v>
      </c>
      <c r="D38" s="30" t="n">
        <v>41.6140325318656</v>
      </c>
      <c r="E38" s="31" t="n">
        <v>57.1</v>
      </c>
      <c r="F38" s="11"/>
    </row>
    <row r="39" customFormat="false" ht="12.8" hidden="false" customHeight="false" outlineLevel="0" collapsed="false">
      <c r="A39" s="42" t="s">
        <v>240</v>
      </c>
      <c r="B39" s="29" t="n">
        <v>28</v>
      </c>
      <c r="C39" s="30" t="n">
        <v>12.6866818657091</v>
      </c>
      <c r="D39" s="30" t="n">
        <v>57.1307246903473</v>
      </c>
      <c r="E39" s="31" t="n">
        <v>63.5</v>
      </c>
      <c r="F39" s="11"/>
    </row>
    <row r="40" customFormat="false" ht="12.8" hidden="false" customHeight="false" outlineLevel="0" collapsed="false">
      <c r="A40" s="42" t="s">
        <v>485</v>
      </c>
      <c r="B40" s="29" t="n">
        <v>9</v>
      </c>
      <c r="C40" s="30" t="n">
        <v>7.08288019638578</v>
      </c>
      <c r="D40" s="30" t="n">
        <v>10.4253222602863</v>
      </c>
      <c r="E40" s="31" t="n">
        <v>69</v>
      </c>
      <c r="F40" s="11"/>
    </row>
    <row r="41" customFormat="false" ht="12.8" hidden="false" customHeight="false" outlineLevel="0" collapsed="false">
      <c r="A41" s="42" t="s">
        <v>692</v>
      </c>
      <c r="B41" s="29" t="n">
        <v>51</v>
      </c>
      <c r="C41" s="30" t="n">
        <v>7.93117006537581</v>
      </c>
      <c r="D41" s="30" t="n">
        <v>29.66482663271</v>
      </c>
      <c r="E41" s="31" t="n">
        <v>59.5294117647059</v>
      </c>
      <c r="F41" s="11"/>
    </row>
    <row r="42" customFormat="false" ht="12.8" hidden="false" customHeight="false" outlineLevel="0" collapsed="false">
      <c r="A42" s="42" t="s">
        <v>816</v>
      </c>
      <c r="B42" s="29" t="n">
        <v>13</v>
      </c>
      <c r="C42" s="30" t="n">
        <v>7.72338194803368</v>
      </c>
      <c r="D42" s="30" t="n">
        <v>24.192074788376</v>
      </c>
      <c r="E42" s="31" t="n">
        <v>72.9230769230769</v>
      </c>
      <c r="F42" s="11"/>
    </row>
    <row r="43" customFormat="false" ht="12.8" hidden="false" customHeight="false" outlineLevel="0" collapsed="false">
      <c r="A43" s="42" t="s">
        <v>1197</v>
      </c>
      <c r="B43" s="29" t="n">
        <v>9</v>
      </c>
      <c r="C43" s="30" t="n">
        <v>9.52665930530547</v>
      </c>
      <c r="D43" s="30" t="n">
        <v>44.3584424641734</v>
      </c>
      <c r="E43" s="31" t="n">
        <v>72.1111111111111</v>
      </c>
      <c r="F43" s="11"/>
    </row>
    <row r="44" customFormat="false" ht="12.8" hidden="false" customHeight="false" outlineLevel="0" collapsed="false">
      <c r="A44" s="42" t="s">
        <v>166</v>
      </c>
      <c r="B44" s="29" t="n">
        <v>18</v>
      </c>
      <c r="C44" s="30" t="n">
        <v>7.82591506517238</v>
      </c>
      <c r="D44" s="30" t="n">
        <v>41.1778741616777</v>
      </c>
      <c r="E44" s="31" t="n">
        <v>61.3333333333333</v>
      </c>
      <c r="F44" s="11"/>
    </row>
    <row r="45" customFormat="false" ht="12.8" hidden="false" customHeight="false" outlineLevel="0" collapsed="false">
      <c r="A45" s="42" t="s">
        <v>941</v>
      </c>
      <c r="B45" s="29" t="n">
        <v>9</v>
      </c>
      <c r="C45" s="30" t="n">
        <v>5.65812998928133</v>
      </c>
      <c r="D45" s="30" t="n">
        <v>16.2824510815431</v>
      </c>
      <c r="E45" s="31" t="n">
        <v>61.7777777777778</v>
      </c>
      <c r="F45" s="11"/>
    </row>
    <row r="46" customFormat="false" ht="12.8" hidden="false" customHeight="false" outlineLevel="0" collapsed="false">
      <c r="A46" s="42" t="s">
        <v>57</v>
      </c>
      <c r="B46" s="29" t="n">
        <v>9</v>
      </c>
      <c r="C46" s="30" t="n">
        <v>8.65151548981309</v>
      </c>
      <c r="D46" s="30" t="n">
        <v>36.6861053353858</v>
      </c>
      <c r="E46" s="31" t="n">
        <v>65.7777777777778</v>
      </c>
      <c r="F46" s="11"/>
    </row>
    <row r="47" customFormat="false" ht="12.8" hidden="false" customHeight="false" outlineLevel="0" collapsed="false">
      <c r="A47" s="42" t="s">
        <v>1069</v>
      </c>
      <c r="B47" s="29" t="n">
        <v>6</v>
      </c>
      <c r="C47" s="30" t="n">
        <v>23.4949947968097</v>
      </c>
      <c r="D47" s="30" t="n">
        <v>69.1314690981379</v>
      </c>
      <c r="E47" s="31" t="n">
        <v>64</v>
      </c>
      <c r="F47" s="11"/>
    </row>
    <row r="48" customFormat="false" ht="12.8" hidden="false" customHeight="false" outlineLevel="0" collapsed="false">
      <c r="A48" s="42" t="s">
        <v>257</v>
      </c>
      <c r="B48" s="29" t="n">
        <v>9</v>
      </c>
      <c r="C48" s="30" t="n">
        <v>4.46120216571804</v>
      </c>
      <c r="D48" s="30" t="n">
        <v>14.000930569779</v>
      </c>
      <c r="E48" s="31" t="n">
        <v>67.7777777777778</v>
      </c>
      <c r="F48" s="11"/>
    </row>
    <row r="49" customFormat="false" ht="12.8" hidden="false" customHeight="false" outlineLevel="0" collapsed="false">
      <c r="A49" s="42" t="s">
        <v>263</v>
      </c>
      <c r="B49" s="29" t="n">
        <v>9</v>
      </c>
      <c r="C49" s="30" t="n">
        <v>4.58241250941572</v>
      </c>
      <c r="D49" s="30" t="n">
        <v>9.34237315590391</v>
      </c>
      <c r="E49" s="31" t="n">
        <v>65.7777777777778</v>
      </c>
      <c r="F49" s="11"/>
    </row>
    <row r="50" customFormat="false" ht="12.8" hidden="false" customHeight="false" outlineLevel="0" collapsed="false">
      <c r="A50" s="42" t="s">
        <v>363</v>
      </c>
      <c r="B50" s="29" t="n">
        <v>9</v>
      </c>
      <c r="C50" s="30" t="n">
        <v>5.64448705462833</v>
      </c>
      <c r="D50" s="30" t="n">
        <v>10.1952763323518</v>
      </c>
      <c r="E50" s="31" t="n">
        <v>66.8888888888889</v>
      </c>
      <c r="F50" s="11"/>
    </row>
    <row r="51" customFormat="false" ht="12.8" hidden="false" customHeight="false" outlineLevel="0" collapsed="false">
      <c r="A51" s="42" t="s">
        <v>489</v>
      </c>
      <c r="B51" s="29" t="n">
        <v>1</v>
      </c>
      <c r="C51" s="30" t="n">
        <v>5.44841948160674</v>
      </c>
      <c r="D51" s="30" t="n">
        <v>12.9949491304031</v>
      </c>
      <c r="E51" s="31" t="n">
        <v>57</v>
      </c>
      <c r="F51" s="11"/>
    </row>
    <row r="52" customFormat="false" ht="12.8" hidden="false" customHeight="false" outlineLevel="0" collapsed="false">
      <c r="A52" s="42" t="s">
        <v>26</v>
      </c>
      <c r="B52" s="29" t="n">
        <v>9</v>
      </c>
      <c r="C52" s="30" t="n">
        <v>6.45858890495754</v>
      </c>
      <c r="D52" s="30" t="n">
        <v>15.6107892963499</v>
      </c>
      <c r="E52" s="31" t="n">
        <v>64.6666666666667</v>
      </c>
      <c r="F52" s="11"/>
    </row>
    <row r="53" customFormat="false" ht="12.8" hidden="false" customHeight="false" outlineLevel="0" collapsed="false">
      <c r="A53" s="42" t="s">
        <v>1003</v>
      </c>
      <c r="B53" s="29" t="n">
        <v>9</v>
      </c>
      <c r="C53" s="30" t="n">
        <v>6.90248733243161</v>
      </c>
      <c r="D53" s="30" t="n">
        <v>22.7773326839977</v>
      </c>
      <c r="E53" s="31" t="n">
        <v>67</v>
      </c>
      <c r="F53" s="11"/>
    </row>
    <row r="54" customFormat="false" ht="12.8" hidden="false" customHeight="false" outlineLevel="0" collapsed="false">
      <c r="A54" s="42" t="s">
        <v>1219</v>
      </c>
      <c r="B54" s="29" t="n">
        <v>9</v>
      </c>
      <c r="C54" s="30" t="n">
        <v>8.03577906695099</v>
      </c>
      <c r="D54" s="30" t="n">
        <v>22.8252973257218</v>
      </c>
      <c r="E54" s="31" t="n">
        <v>65.6666666666667</v>
      </c>
      <c r="F54" s="11"/>
    </row>
    <row r="55" customFormat="false" ht="12.8" hidden="false" customHeight="false" outlineLevel="0" collapsed="false">
      <c r="A55" s="42" t="s">
        <v>944</v>
      </c>
      <c r="B55" s="29" t="n">
        <v>18</v>
      </c>
      <c r="C55" s="30" t="n">
        <v>6.9350470779173</v>
      </c>
      <c r="D55" s="30" t="n">
        <v>14.5808332303298</v>
      </c>
      <c r="E55" s="31" t="n">
        <v>63.5</v>
      </c>
      <c r="F55" s="11"/>
    </row>
    <row r="56" customFormat="false" ht="12.8" hidden="false" customHeight="false" outlineLevel="0" collapsed="false">
      <c r="A56" s="42" t="s">
        <v>60</v>
      </c>
      <c r="B56" s="29" t="n">
        <v>9</v>
      </c>
      <c r="C56" s="30" t="n">
        <v>9.96606222445604</v>
      </c>
      <c r="D56" s="30" t="n">
        <v>44.3585056175264</v>
      </c>
      <c r="E56" s="31" t="n">
        <v>64.2222222222222</v>
      </c>
      <c r="F56" s="11"/>
    </row>
    <row r="57" customFormat="false" ht="12.8" hidden="false" customHeight="false" outlineLevel="0" collapsed="false">
      <c r="A57" s="42" t="s">
        <v>343</v>
      </c>
      <c r="B57" s="29" t="n">
        <v>9</v>
      </c>
      <c r="C57" s="30" t="n">
        <v>5.58475894642318</v>
      </c>
      <c r="D57" s="30" t="n">
        <v>18.285162130051</v>
      </c>
      <c r="E57" s="31" t="n">
        <v>65.8888888888889</v>
      </c>
      <c r="F57" s="11"/>
    </row>
    <row r="58" customFormat="false" ht="12.8" hidden="false" customHeight="false" outlineLevel="0" collapsed="false">
      <c r="A58" s="42" t="s">
        <v>492</v>
      </c>
      <c r="B58" s="29" t="n">
        <v>9</v>
      </c>
      <c r="C58" s="30" t="n">
        <v>5.5752265483539</v>
      </c>
      <c r="D58" s="30" t="n">
        <v>14.543547788884</v>
      </c>
      <c r="E58" s="31" t="n">
        <v>64.3333333333333</v>
      </c>
      <c r="F58" s="11"/>
    </row>
    <row r="59" customFormat="false" ht="12.8" hidden="false" customHeight="false" outlineLevel="0" collapsed="false">
      <c r="A59" s="42" t="s">
        <v>128</v>
      </c>
      <c r="B59" s="29" t="n">
        <v>9</v>
      </c>
      <c r="C59" s="30" t="n">
        <v>7.94497449009479</v>
      </c>
      <c r="D59" s="30" t="n">
        <v>26.4426848599231</v>
      </c>
      <c r="E59" s="31" t="n">
        <v>64.7777777777778</v>
      </c>
      <c r="F59" s="11"/>
    </row>
    <row r="60" customFormat="false" ht="12.8" hidden="false" customHeight="false" outlineLevel="0" collapsed="false">
      <c r="A60" s="42" t="s">
        <v>949</v>
      </c>
      <c r="B60" s="29" t="n">
        <v>9</v>
      </c>
      <c r="C60" s="30" t="n">
        <v>2.61275998039448</v>
      </c>
      <c r="D60" s="30" t="n">
        <v>2.75043492603406</v>
      </c>
      <c r="E60" s="31" t="n">
        <v>63.8888888888889</v>
      </c>
      <c r="F60" s="11"/>
    </row>
    <row r="61" customFormat="false" ht="12.8" hidden="false" customHeight="false" outlineLevel="0" collapsed="false">
      <c r="A61" s="42" t="s">
        <v>880</v>
      </c>
      <c r="B61" s="29" t="n">
        <v>9</v>
      </c>
      <c r="C61" s="30" t="n">
        <v>8.91921628957345</v>
      </c>
      <c r="D61" s="30" t="n">
        <v>28.0440856106608</v>
      </c>
      <c r="E61" s="31" t="n">
        <v>68.6666666666667</v>
      </c>
      <c r="F61" s="11"/>
    </row>
    <row r="62" customFormat="false" ht="12.8" hidden="false" customHeight="false" outlineLevel="0" collapsed="false">
      <c r="A62" s="42" t="s">
        <v>1156</v>
      </c>
      <c r="B62" s="29" t="n">
        <v>9</v>
      </c>
      <c r="C62" s="30" t="n">
        <v>3.60951819824235</v>
      </c>
      <c r="D62" s="30" t="n">
        <v>5.08541206284842</v>
      </c>
      <c r="E62" s="31" t="n">
        <v>65.6666666666667</v>
      </c>
      <c r="F62" s="11"/>
    </row>
    <row r="63" customFormat="false" ht="12.8" hidden="false" customHeight="false" outlineLevel="0" collapsed="false">
      <c r="A63" s="42" t="s">
        <v>1175</v>
      </c>
      <c r="B63" s="29" t="n">
        <v>9</v>
      </c>
      <c r="C63" s="30" t="n">
        <v>6.29731016290247</v>
      </c>
      <c r="D63" s="30" t="n">
        <v>30.7664084194469</v>
      </c>
      <c r="E63" s="31" t="n">
        <v>67.5555555555556</v>
      </c>
      <c r="F63" s="11"/>
    </row>
    <row r="64" customFormat="false" ht="12.8" hidden="false" customHeight="false" outlineLevel="0" collapsed="false">
      <c r="A64" s="42" t="s">
        <v>1184</v>
      </c>
      <c r="B64" s="29" t="n">
        <v>9</v>
      </c>
      <c r="C64" s="30" t="n">
        <v>4.08466659254045</v>
      </c>
      <c r="D64" s="30" t="n">
        <v>9.79000724079636</v>
      </c>
      <c r="E64" s="31" t="n">
        <v>61</v>
      </c>
      <c r="F64" s="11"/>
    </row>
    <row r="65" customFormat="false" ht="12.8" hidden="false" customHeight="false" outlineLevel="0" collapsed="false">
      <c r="A65" s="42" t="s">
        <v>928</v>
      </c>
      <c r="B65" s="29" t="n">
        <v>9</v>
      </c>
      <c r="C65" s="30" t="n">
        <v>15.6386725583013</v>
      </c>
      <c r="D65" s="30" t="n">
        <v>13.4639655252554</v>
      </c>
      <c r="E65" s="31" t="n">
        <v>63.2222222222222</v>
      </c>
      <c r="F65" s="11"/>
    </row>
    <row r="66" customFormat="false" ht="12.8" hidden="false" customHeight="false" outlineLevel="0" collapsed="false">
      <c r="A66" s="42" t="s">
        <v>1205</v>
      </c>
      <c r="B66" s="29" t="n">
        <v>9</v>
      </c>
      <c r="C66" s="30" t="n">
        <v>7.38776051839942</v>
      </c>
      <c r="D66" s="30" t="n">
        <v>32.4270753215983</v>
      </c>
      <c r="E66" s="31" t="n">
        <v>64.6666666666667</v>
      </c>
      <c r="F66" s="11"/>
    </row>
    <row r="67" customFormat="false" ht="12.8" hidden="false" customHeight="false" outlineLevel="0" collapsed="false">
      <c r="A67" s="42" t="s">
        <v>822</v>
      </c>
      <c r="B67" s="29" t="n">
        <v>10</v>
      </c>
      <c r="C67" s="30" t="n">
        <v>5.50899662399629</v>
      </c>
      <c r="D67" s="30" t="n">
        <v>14.5977929204539</v>
      </c>
      <c r="E67" s="31" t="n">
        <v>73.3</v>
      </c>
      <c r="F67" s="11"/>
    </row>
    <row r="68" customFormat="false" ht="12.8" hidden="false" customHeight="false" outlineLevel="0" collapsed="false">
      <c r="A68" s="42" t="s">
        <v>680</v>
      </c>
      <c r="B68" s="29" t="n">
        <v>9</v>
      </c>
      <c r="C68" s="30" t="n">
        <v>7.9029909264522</v>
      </c>
      <c r="D68" s="30" t="n">
        <v>31.6900398093751</v>
      </c>
      <c r="E68" s="31" t="n">
        <v>73.7777777777778</v>
      </c>
      <c r="F68" s="11"/>
    </row>
    <row r="69" customFormat="false" ht="12.8" hidden="false" customHeight="false" outlineLevel="0" collapsed="false">
      <c r="A69" s="42" t="s">
        <v>983</v>
      </c>
      <c r="B69" s="29" t="n">
        <v>9</v>
      </c>
      <c r="C69" s="30" t="n">
        <v>4.84383412076871</v>
      </c>
      <c r="D69" s="30" t="n">
        <v>24.9805547889413</v>
      </c>
      <c r="E69" s="31" t="n">
        <v>63.8888888888889</v>
      </c>
      <c r="F69" s="11"/>
    </row>
    <row r="70" customFormat="false" ht="12.8" hidden="false" customHeight="false" outlineLevel="0" collapsed="false">
      <c r="A70" s="42" t="s">
        <v>1194</v>
      </c>
      <c r="B70" s="29" t="n">
        <v>2</v>
      </c>
      <c r="C70" s="30" t="n">
        <v>9.67479023183724</v>
      </c>
      <c r="D70" s="30" t="n">
        <v>228.657945616822</v>
      </c>
      <c r="E70" s="31" t="n">
        <v>64.5</v>
      </c>
      <c r="F70" s="11"/>
    </row>
    <row r="71" customFormat="false" ht="12.8" hidden="false" customHeight="false" outlineLevel="0" collapsed="false">
      <c r="A71" s="42" t="s">
        <v>1139</v>
      </c>
      <c r="B71" s="29" t="n">
        <v>8</v>
      </c>
      <c r="C71" s="30" t="n">
        <v>6.60277912712459</v>
      </c>
      <c r="D71" s="30" t="n">
        <v>17.7034485127241</v>
      </c>
      <c r="E71" s="31" t="n">
        <v>65.75</v>
      </c>
      <c r="F71" s="11"/>
    </row>
    <row r="72" customFormat="false" ht="12.8" hidden="false" customHeight="false" outlineLevel="0" collapsed="false">
      <c r="A72" s="42" t="s">
        <v>237</v>
      </c>
      <c r="B72" s="29" t="n">
        <v>9</v>
      </c>
      <c r="C72" s="30" t="n">
        <v>8.48245066224576</v>
      </c>
      <c r="D72" s="30" t="n">
        <v>20.5996444540002</v>
      </c>
      <c r="E72" s="31" t="n">
        <v>67.2222222222222</v>
      </c>
      <c r="F72" s="11"/>
    </row>
    <row r="73" customFormat="false" ht="12.8" hidden="false" customHeight="false" outlineLevel="0" collapsed="false">
      <c r="A73" s="42" t="s">
        <v>746</v>
      </c>
      <c r="B73" s="29" t="n">
        <v>9</v>
      </c>
      <c r="C73" s="30" t="n">
        <v>9.54124779355414</v>
      </c>
      <c r="D73" s="30" t="n">
        <v>46.9439722613544</v>
      </c>
      <c r="E73" s="31" t="n">
        <v>56</v>
      </c>
      <c r="F73" s="11"/>
    </row>
    <row r="74" customFormat="false" ht="12.8" hidden="false" customHeight="false" outlineLevel="0" collapsed="false">
      <c r="A74" s="42" t="s">
        <v>769</v>
      </c>
      <c r="B74" s="29" t="n">
        <v>9</v>
      </c>
      <c r="C74" s="30" t="n">
        <v>2.45137564735254</v>
      </c>
      <c r="D74" s="30" t="n">
        <v>8.34733593618678</v>
      </c>
      <c r="E74" s="31" t="n">
        <v>69.2222222222222</v>
      </c>
      <c r="F74" s="11"/>
    </row>
    <row r="75" customFormat="false" ht="12.8" hidden="false" customHeight="false" outlineLevel="0" collapsed="false">
      <c r="A75" s="42" t="s">
        <v>449</v>
      </c>
      <c r="B75" s="29" t="n">
        <v>7</v>
      </c>
      <c r="C75" s="30" t="n">
        <v>13.2141752168599</v>
      </c>
      <c r="D75" s="30" t="n">
        <v>75.8556501133091</v>
      </c>
      <c r="E75" s="31" t="n">
        <v>54.1428571428571</v>
      </c>
      <c r="F75" s="11"/>
    </row>
    <row r="76" customFormat="false" ht="12.8" hidden="false" customHeight="false" outlineLevel="0" collapsed="false">
      <c r="A76" s="42" t="s">
        <v>683</v>
      </c>
      <c r="B76" s="29" t="n">
        <v>8</v>
      </c>
      <c r="C76" s="30" t="n">
        <v>4.86083492207809</v>
      </c>
      <c r="D76" s="30" t="n">
        <v>9.21975963045091</v>
      </c>
      <c r="E76" s="31" t="n">
        <v>68.5</v>
      </c>
      <c r="F76" s="11"/>
    </row>
    <row r="77" customFormat="false" ht="12.8" hidden="false" customHeight="false" outlineLevel="0" collapsed="false">
      <c r="A77" s="42" t="s">
        <v>1090</v>
      </c>
      <c r="B77" s="29" t="n">
        <v>5</v>
      </c>
      <c r="C77" s="30" t="n">
        <v>12.6500732150051</v>
      </c>
      <c r="D77" s="30" t="n">
        <v>31.4347675329694</v>
      </c>
      <c r="E77" s="31" t="n">
        <v>54</v>
      </c>
      <c r="F77" s="11"/>
    </row>
    <row r="78" customFormat="false" ht="12.8" hidden="false" customHeight="false" outlineLevel="0" collapsed="false">
      <c r="A78" s="42" t="s">
        <v>114</v>
      </c>
      <c r="B78" s="29" t="n">
        <v>9</v>
      </c>
      <c r="C78" s="30" t="n">
        <v>4.25142152361522</v>
      </c>
      <c r="D78" s="30" t="n">
        <v>6.63718818515502</v>
      </c>
      <c r="E78" s="31" t="n">
        <v>70.2222222222222</v>
      </c>
      <c r="F78" s="11"/>
    </row>
    <row r="79" customFormat="false" ht="12.8" hidden="false" customHeight="false" outlineLevel="0" collapsed="false">
      <c r="A79" s="42" t="s">
        <v>630</v>
      </c>
      <c r="B79" s="29" t="n">
        <v>9</v>
      </c>
      <c r="C79" s="30" t="n">
        <v>5.13822075057251</v>
      </c>
      <c r="D79" s="30" t="n">
        <v>29.5397070086354</v>
      </c>
      <c r="E79" s="31" t="n">
        <v>52.4444444444444</v>
      </c>
      <c r="F79" s="11"/>
    </row>
    <row r="80" customFormat="false" ht="12.8" hidden="false" customHeight="false" outlineLevel="0" collapsed="false">
      <c r="A80" s="42" t="s">
        <v>615</v>
      </c>
      <c r="B80" s="29" t="n">
        <v>8</v>
      </c>
      <c r="C80" s="30" t="n">
        <v>10.8561411922017</v>
      </c>
      <c r="D80" s="30" t="n">
        <v>43.4415184576483</v>
      </c>
      <c r="E80" s="31" t="n">
        <v>82.125</v>
      </c>
      <c r="F80" s="11"/>
    </row>
    <row r="81" customFormat="false" ht="12.8" hidden="false" customHeight="false" outlineLevel="0" collapsed="false">
      <c r="A81" s="42" t="s">
        <v>117</v>
      </c>
      <c r="B81" s="29" t="n">
        <v>9</v>
      </c>
      <c r="C81" s="30" t="n">
        <v>14.7920883246478</v>
      </c>
      <c r="D81" s="30" t="n">
        <v>72.2177857606136</v>
      </c>
      <c r="E81" s="31" t="n">
        <v>58.8888888888889</v>
      </c>
      <c r="F81" s="11"/>
    </row>
    <row r="82" customFormat="false" ht="12.8" hidden="false" customHeight="false" outlineLevel="0" collapsed="false">
      <c r="A82" s="42" t="s">
        <v>952</v>
      </c>
      <c r="B82" s="29" t="n">
        <v>9</v>
      </c>
      <c r="C82" s="30" t="n">
        <v>10.9094925543298</v>
      </c>
      <c r="D82" s="30" t="n">
        <v>14.6206397472503</v>
      </c>
      <c r="E82" s="31" t="n">
        <v>61.3333333333333</v>
      </c>
      <c r="F82" s="11"/>
    </row>
    <row r="83" customFormat="false" ht="12.8" hidden="false" customHeight="false" outlineLevel="0" collapsed="false">
      <c r="A83" s="42" t="s">
        <v>752</v>
      </c>
      <c r="B83" s="29" t="n">
        <v>9</v>
      </c>
      <c r="C83" s="30" t="n">
        <v>8.42902445761055</v>
      </c>
      <c r="D83" s="30" t="n">
        <v>44.6945225169231</v>
      </c>
      <c r="E83" s="31" t="n">
        <v>67</v>
      </c>
      <c r="F83" s="11"/>
    </row>
    <row r="84" customFormat="false" ht="12.8" hidden="false" customHeight="false" outlineLevel="0" collapsed="false">
      <c r="A84" s="42" t="s">
        <v>249</v>
      </c>
      <c r="B84" s="29" t="n">
        <v>5</v>
      </c>
      <c r="C84" s="30" t="n">
        <v>10.485567493337</v>
      </c>
      <c r="D84" s="30" t="n">
        <v>22.4925981016051</v>
      </c>
      <c r="E84" s="31" t="n">
        <v>57</v>
      </c>
      <c r="F84" s="11"/>
    </row>
    <row r="85" customFormat="false" ht="12.8" hidden="false" customHeight="false" outlineLevel="0" collapsed="false">
      <c r="A85" s="42" t="s">
        <v>87</v>
      </c>
      <c r="B85" s="29" t="n">
        <v>9</v>
      </c>
      <c r="C85" s="30" t="n">
        <v>10.2496999420095</v>
      </c>
      <c r="D85" s="30" t="n">
        <v>30.1009980916407</v>
      </c>
      <c r="E85" s="31" t="n">
        <v>63.2222222222222</v>
      </c>
      <c r="F85" s="11"/>
    </row>
    <row r="86" customFormat="false" ht="12.8" hidden="false" customHeight="false" outlineLevel="0" collapsed="false">
      <c r="A86" s="42" t="s">
        <v>665</v>
      </c>
      <c r="B86" s="29" t="n">
        <v>10</v>
      </c>
      <c r="C86" s="30" t="n">
        <v>5.91210736785611</v>
      </c>
      <c r="D86" s="30" t="n">
        <v>14.7213220767588</v>
      </c>
      <c r="E86" s="31" t="n">
        <v>72.6</v>
      </c>
      <c r="F86" s="11"/>
    </row>
    <row r="87" customFormat="false" ht="12.8" hidden="false" customHeight="false" outlineLevel="0" collapsed="false">
      <c r="A87" s="42" t="s">
        <v>357</v>
      </c>
      <c r="B87" s="29" t="n">
        <v>9</v>
      </c>
      <c r="C87" s="30" t="n">
        <v>6.61603963393857</v>
      </c>
      <c r="D87" s="30" t="n">
        <v>23.40327244704</v>
      </c>
      <c r="E87" s="31" t="n">
        <v>65.2222222222222</v>
      </c>
      <c r="F87" s="11"/>
    </row>
    <row r="88" customFormat="false" ht="12.8" hidden="false" customHeight="false" outlineLevel="0" collapsed="false">
      <c r="A88" s="42" t="s">
        <v>105</v>
      </c>
      <c r="B88" s="29" t="n">
        <v>9</v>
      </c>
      <c r="C88" s="30" t="n">
        <v>23.1765555427766</v>
      </c>
      <c r="D88" s="30" t="n">
        <v>85.0050619507239</v>
      </c>
      <c r="E88" s="31" t="n">
        <v>51.2222222222222</v>
      </c>
      <c r="F88" s="11"/>
    </row>
    <row r="89" customFormat="false" ht="12.8" hidden="false" customHeight="false" outlineLevel="0" collapsed="false">
      <c r="A89" s="42" t="s">
        <v>251</v>
      </c>
      <c r="B89" s="29" t="n">
        <v>8</v>
      </c>
      <c r="C89" s="30" t="n">
        <v>9.0910519261049</v>
      </c>
      <c r="D89" s="30" t="n">
        <v>24.9853012946194</v>
      </c>
      <c r="E89" s="31" t="n">
        <v>66.125</v>
      </c>
      <c r="F89" s="11"/>
    </row>
    <row r="90" customFormat="false" ht="12.8" hidden="false" customHeight="false" outlineLevel="0" collapsed="false">
      <c r="A90" s="42" t="s">
        <v>755</v>
      </c>
      <c r="B90" s="29" t="n">
        <v>8</v>
      </c>
      <c r="C90" s="30" t="n">
        <v>10.0568599961403</v>
      </c>
      <c r="D90" s="30" t="n">
        <v>9.52527022895676</v>
      </c>
      <c r="E90" s="31" t="n">
        <v>57.5</v>
      </c>
      <c r="F90" s="11"/>
    </row>
    <row r="91" customFormat="false" ht="12.8" hidden="false" customHeight="false" outlineLevel="0" collapsed="false">
      <c r="A91" s="42" t="s">
        <v>757</v>
      </c>
      <c r="B91" s="29" t="n">
        <v>10</v>
      </c>
      <c r="C91" s="30" t="n">
        <v>6.46138978379732</v>
      </c>
      <c r="D91" s="30" t="n">
        <v>31.5437080959819</v>
      </c>
      <c r="E91" s="31" t="n">
        <v>69</v>
      </c>
      <c r="F91" s="11"/>
    </row>
    <row r="92" customFormat="false" ht="12.8" hidden="false" customHeight="false" outlineLevel="0" collapsed="false">
      <c r="A92" s="42" t="s">
        <v>1030</v>
      </c>
      <c r="B92" s="29" t="n">
        <v>9</v>
      </c>
      <c r="C92" s="30" t="n">
        <v>7.15133617218534</v>
      </c>
      <c r="D92" s="30" t="n">
        <v>25.5911890877706</v>
      </c>
      <c r="E92" s="31" t="n">
        <v>74.3333333333333</v>
      </c>
      <c r="F92" s="11"/>
    </row>
    <row r="93" customFormat="false" ht="12.8" hidden="false" customHeight="false" outlineLevel="0" collapsed="false">
      <c r="A93" s="42" t="s">
        <v>955</v>
      </c>
      <c r="B93" s="29" t="n">
        <v>10</v>
      </c>
      <c r="C93" s="30" t="n">
        <v>7.28296226100642</v>
      </c>
      <c r="D93" s="30" t="n">
        <v>14.0717412483492</v>
      </c>
      <c r="E93" s="31" t="n">
        <v>59.7</v>
      </c>
      <c r="F93" s="11"/>
    </row>
    <row r="94" customFormat="false" ht="12.8" hidden="false" customHeight="false" outlineLevel="0" collapsed="false">
      <c r="A94" s="42" t="s">
        <v>1207</v>
      </c>
      <c r="B94" s="29" t="n">
        <v>9</v>
      </c>
      <c r="C94" s="30" t="n">
        <v>8.41923625350779</v>
      </c>
      <c r="D94" s="30" t="n">
        <v>32.7782255092271</v>
      </c>
      <c r="E94" s="31" t="n">
        <v>64.5555555555556</v>
      </c>
      <c r="F94" s="11"/>
    </row>
    <row r="95" customFormat="false" ht="12.8" hidden="false" customHeight="false" outlineLevel="0" collapsed="false">
      <c r="A95" s="42" t="s">
        <v>72</v>
      </c>
      <c r="B95" s="29" t="n">
        <v>9</v>
      </c>
      <c r="C95" s="30" t="n">
        <v>21.6298306459405</v>
      </c>
      <c r="D95" s="30" t="n">
        <v>20.4944242916451</v>
      </c>
      <c r="E95" s="31" t="n">
        <v>54.3333333333333</v>
      </c>
      <c r="F95" s="11"/>
    </row>
    <row r="96" customFormat="false" ht="12.8" hidden="false" customHeight="false" outlineLevel="0" collapsed="false">
      <c r="A96" s="42" t="s">
        <v>169</v>
      </c>
      <c r="B96" s="29" t="n">
        <v>10</v>
      </c>
      <c r="C96" s="30" t="n">
        <v>13.5258728404711</v>
      </c>
      <c r="D96" s="30" t="n">
        <v>68.4147929959474</v>
      </c>
      <c r="E96" s="31" t="n">
        <v>59</v>
      </c>
      <c r="F96" s="11"/>
    </row>
    <row r="97" customFormat="false" ht="12.8" hidden="false" customHeight="false" outlineLevel="0" collapsed="false">
      <c r="A97" s="42" t="s">
        <v>624</v>
      </c>
      <c r="B97" s="29" t="n">
        <v>9</v>
      </c>
      <c r="C97" s="30" t="n">
        <v>8.73551305357837</v>
      </c>
      <c r="D97" s="30" t="n">
        <v>66.4099877139142</v>
      </c>
      <c r="E97" s="31" t="n">
        <v>64.6666666666667</v>
      </c>
      <c r="F97" s="11"/>
    </row>
    <row r="98" customFormat="false" ht="12.8" hidden="false" customHeight="false" outlineLevel="0" collapsed="false">
      <c r="A98" s="42" t="s">
        <v>96</v>
      </c>
      <c r="B98" s="29" t="n">
        <v>9</v>
      </c>
      <c r="C98" s="30" t="n">
        <v>7.06301893904201</v>
      </c>
      <c r="D98" s="30" t="n">
        <v>17.1309064228623</v>
      </c>
      <c r="E98" s="31" t="n">
        <v>72.4444444444444</v>
      </c>
      <c r="F98" s="11"/>
    </row>
    <row r="99" customFormat="false" ht="12.8" hidden="false" customHeight="false" outlineLevel="0" collapsed="false">
      <c r="A99" s="42" t="s">
        <v>1147</v>
      </c>
      <c r="B99" s="29" t="n">
        <v>9</v>
      </c>
      <c r="C99" s="30" t="n">
        <v>10.2101917519007</v>
      </c>
      <c r="D99" s="30" t="n">
        <v>43.0271344805426</v>
      </c>
      <c r="E99" s="31" t="n">
        <v>55.1111111111111</v>
      </c>
      <c r="F99" s="11"/>
    </row>
    <row r="100" customFormat="false" ht="12.8" hidden="false" customHeight="false" outlineLevel="0" collapsed="false">
      <c r="A100" s="42" t="s">
        <v>102</v>
      </c>
      <c r="B100" s="29" t="n">
        <v>9</v>
      </c>
      <c r="C100" s="30" t="n">
        <v>8.88314267172667</v>
      </c>
      <c r="D100" s="30" t="n">
        <v>30.688313592756</v>
      </c>
      <c r="E100" s="31" t="n">
        <v>69.1111111111111</v>
      </c>
      <c r="F100" s="11"/>
    </row>
    <row r="101" customFormat="false" ht="12.8" hidden="false" customHeight="false" outlineLevel="0" collapsed="false">
      <c r="A101" s="42" t="s">
        <v>1087</v>
      </c>
      <c r="B101" s="29" t="n">
        <v>4</v>
      </c>
      <c r="C101" s="30" t="n">
        <v>11.679121659423</v>
      </c>
      <c r="D101" s="30" t="n">
        <v>50.660635978666</v>
      </c>
      <c r="E101" s="31" t="n">
        <v>65.25</v>
      </c>
      <c r="F101" s="11"/>
    </row>
    <row r="102" customFormat="false" ht="12.8" hidden="false" customHeight="false" outlineLevel="0" collapsed="false">
      <c r="A102" s="42" t="s">
        <v>260</v>
      </c>
      <c r="B102" s="29" t="n">
        <v>4</v>
      </c>
      <c r="C102" s="30" t="n">
        <v>6.04354548952528</v>
      </c>
      <c r="D102" s="30" t="n">
        <v>21.2711090734383</v>
      </c>
      <c r="E102" s="31" t="n">
        <v>70.75</v>
      </c>
      <c r="F102" s="11"/>
    </row>
    <row r="103" customFormat="false" ht="12.8" hidden="false" customHeight="false" outlineLevel="0" collapsed="false">
      <c r="A103" s="42" t="s">
        <v>39</v>
      </c>
      <c r="B103" s="29" t="n">
        <v>10</v>
      </c>
      <c r="C103" s="30" t="n">
        <v>5.33889704814352</v>
      </c>
      <c r="D103" s="30" t="n">
        <v>11.759600951429</v>
      </c>
      <c r="E103" s="31" t="n">
        <v>68.1</v>
      </c>
      <c r="F103" s="11"/>
    </row>
    <row r="104" customFormat="false" ht="12.8" hidden="false" customHeight="false" outlineLevel="0" collapsed="false">
      <c r="A104" s="42" t="s">
        <v>29</v>
      </c>
      <c r="B104" s="29" t="n">
        <v>9</v>
      </c>
      <c r="C104" s="30" t="n">
        <v>12.7079392907557</v>
      </c>
      <c r="D104" s="30" t="n">
        <v>37.4200293116672</v>
      </c>
      <c r="E104" s="31" t="n">
        <v>68.5555555555556</v>
      </c>
      <c r="F104" s="11"/>
    </row>
    <row r="105" customFormat="false" ht="12.8" hidden="false" customHeight="false" outlineLevel="0" collapsed="false">
      <c r="A105" s="42" t="s">
        <v>173</v>
      </c>
      <c r="B105" s="29" t="n">
        <v>7</v>
      </c>
      <c r="C105" s="30" t="n">
        <v>4.29868128127823</v>
      </c>
      <c r="D105" s="30" t="n">
        <v>13.979745683814</v>
      </c>
      <c r="E105" s="31" t="n">
        <v>60.5714285714286</v>
      </c>
      <c r="F105" s="11"/>
    </row>
    <row r="106" customFormat="false" ht="12.8" hidden="false" customHeight="false" outlineLevel="0" collapsed="false">
      <c r="A106" s="42" t="s">
        <v>974</v>
      </c>
      <c r="B106" s="29" t="n">
        <v>6</v>
      </c>
      <c r="C106" s="30" t="n">
        <v>8.81391172968658</v>
      </c>
      <c r="D106" s="30" t="n">
        <v>24.756714130752</v>
      </c>
      <c r="E106" s="31" t="n">
        <v>62.3333333333333</v>
      </c>
      <c r="F106" s="11"/>
    </row>
    <row r="107" customFormat="false" ht="12.8" hidden="false" customHeight="false" outlineLevel="0" collapsed="false">
      <c r="A107" s="42" t="s">
        <v>807</v>
      </c>
      <c r="B107" s="29" t="n">
        <v>9</v>
      </c>
      <c r="C107" s="30" t="n">
        <v>6.39548282895369</v>
      </c>
      <c r="D107" s="30" t="n">
        <v>24.4535226089541</v>
      </c>
      <c r="E107" s="31" t="n">
        <v>62.4444444444444</v>
      </c>
      <c r="F107" s="11"/>
    </row>
    <row r="108" customFormat="false" ht="12.8" hidden="false" customHeight="false" outlineLevel="0" collapsed="false">
      <c r="A108" s="42" t="s">
        <v>636</v>
      </c>
      <c r="B108" s="29" t="n">
        <v>10</v>
      </c>
      <c r="C108" s="30" t="n">
        <v>7.41068482986556</v>
      </c>
      <c r="D108" s="30" t="n">
        <v>24.3190771240704</v>
      </c>
      <c r="E108" s="31" t="n">
        <v>71.5</v>
      </c>
      <c r="F108" s="11"/>
    </row>
    <row r="109" customFormat="false" ht="12.8" hidden="false" customHeight="false" outlineLevel="0" collapsed="false">
      <c r="A109" s="42" t="s">
        <v>157</v>
      </c>
      <c r="B109" s="29" t="n">
        <v>10</v>
      </c>
      <c r="C109" s="30" t="n">
        <v>18.5171787455532</v>
      </c>
      <c r="D109" s="30" t="n">
        <v>99.5064661441185</v>
      </c>
      <c r="E109" s="31" t="n">
        <v>50.6</v>
      </c>
      <c r="F109" s="11"/>
    </row>
    <row r="110" customFormat="false" ht="12.8" hidden="false" customHeight="false" outlineLevel="0" collapsed="false">
      <c r="A110" s="42" t="s">
        <v>108</v>
      </c>
      <c r="B110" s="29" t="n">
        <v>9</v>
      </c>
      <c r="C110" s="30" t="n">
        <v>23.0275158748363</v>
      </c>
      <c r="D110" s="30" t="n">
        <v>82.9643156970385</v>
      </c>
      <c r="E110" s="31" t="n">
        <v>65.2222222222222</v>
      </c>
      <c r="F110" s="11"/>
    </row>
    <row r="111" customFormat="false" ht="12.8" hidden="false" customHeight="false" outlineLevel="0" collapsed="false">
      <c r="A111" s="42" t="s">
        <v>266</v>
      </c>
      <c r="B111" s="29" t="n">
        <v>7</v>
      </c>
      <c r="C111" s="30" t="n">
        <v>12.3384176450222</v>
      </c>
      <c r="D111" s="30" t="n">
        <v>47.872490609808</v>
      </c>
      <c r="E111" s="31" t="n">
        <v>65.2857142857143</v>
      </c>
      <c r="F111" s="11"/>
    </row>
    <row r="112" customFormat="false" ht="12.8" hidden="false" customHeight="false" outlineLevel="0" collapsed="false">
      <c r="A112" s="42" t="s">
        <v>271</v>
      </c>
      <c r="B112" s="29" t="n">
        <v>10</v>
      </c>
      <c r="C112" s="30" t="n">
        <v>2.91313052930682</v>
      </c>
      <c r="D112" s="30" t="n">
        <v>22.257876259271</v>
      </c>
      <c r="E112" s="31" t="n">
        <v>71</v>
      </c>
      <c r="F112" s="11"/>
    </row>
    <row r="113" customFormat="false" ht="12.8" hidden="false" customHeight="false" outlineLevel="0" collapsed="false">
      <c r="A113" s="42" t="s">
        <v>581</v>
      </c>
      <c r="B113" s="29" t="n">
        <v>9</v>
      </c>
      <c r="C113" s="30" t="n">
        <v>5.75298176250885</v>
      </c>
      <c r="D113" s="30" t="n">
        <v>24.767825508765</v>
      </c>
      <c r="E113" s="31" t="n">
        <v>62.5555555555556</v>
      </c>
      <c r="F113" s="11"/>
    </row>
    <row r="114" customFormat="false" ht="12.8" hidden="false" customHeight="false" outlineLevel="0" collapsed="false">
      <c r="A114" s="42" t="s">
        <v>686</v>
      </c>
      <c r="B114" s="29" t="n">
        <v>9</v>
      </c>
      <c r="C114" s="30" t="n">
        <v>5.9448312009051</v>
      </c>
      <c r="D114" s="30" t="n">
        <v>18.4176719495462</v>
      </c>
      <c r="E114" s="31" t="n">
        <v>70.1111111111111</v>
      </c>
      <c r="F114" s="11"/>
    </row>
    <row r="115" customFormat="false" ht="12.8" hidden="false" customHeight="false" outlineLevel="0" collapsed="false">
      <c r="A115" s="42" t="s">
        <v>639</v>
      </c>
      <c r="B115" s="29" t="n">
        <v>9</v>
      </c>
      <c r="C115" s="30" t="n">
        <v>6.36536156268178</v>
      </c>
      <c r="D115" s="30" t="n">
        <v>12.5178443766555</v>
      </c>
      <c r="E115" s="31" t="n">
        <v>67.7777777777778</v>
      </c>
      <c r="F115" s="11"/>
    </row>
    <row r="116" customFormat="false" ht="12.8" hidden="false" customHeight="false" outlineLevel="0" collapsed="false">
      <c r="A116" s="42" t="s">
        <v>825</v>
      </c>
      <c r="B116" s="29" t="n">
        <v>9</v>
      </c>
      <c r="C116" s="30" t="n">
        <v>7.43835006303934</v>
      </c>
      <c r="D116" s="30" t="n">
        <v>37.432298805204</v>
      </c>
      <c r="E116" s="31" t="n">
        <v>70.6666666666667</v>
      </c>
      <c r="F116" s="11"/>
    </row>
    <row r="117" customFormat="false" ht="12.8" hidden="false" customHeight="false" outlineLevel="0" collapsed="false">
      <c r="A117" s="42" t="s">
        <v>966</v>
      </c>
      <c r="B117" s="29" t="n">
        <v>9</v>
      </c>
      <c r="C117" s="30" t="n">
        <v>8.20735387901649</v>
      </c>
      <c r="D117" s="30" t="n">
        <v>32.0822471446425</v>
      </c>
      <c r="E117" s="31" t="n">
        <v>65.6666666666667</v>
      </c>
      <c r="F117" s="11"/>
    </row>
    <row r="118" customFormat="false" ht="12.8" hidden="false" customHeight="false" outlineLevel="0" collapsed="false">
      <c r="A118" s="42" t="s">
        <v>139</v>
      </c>
      <c r="B118" s="29" t="n">
        <v>9</v>
      </c>
      <c r="C118" s="30" t="n">
        <v>14.2674049948255</v>
      </c>
      <c r="D118" s="30" t="n">
        <v>26.2273786097843</v>
      </c>
      <c r="E118" s="31" t="n">
        <v>47.8888888888889</v>
      </c>
      <c r="F118" s="11"/>
    </row>
    <row r="119" customFormat="false" ht="12.8" hidden="false" customHeight="false" outlineLevel="0" collapsed="false">
      <c r="A119" s="42" t="s">
        <v>1149</v>
      </c>
      <c r="B119" s="29" t="n">
        <v>4</v>
      </c>
      <c r="C119" s="30" t="n">
        <v>16.3639259468566</v>
      </c>
      <c r="D119" s="30" t="n">
        <v>95.376887065259</v>
      </c>
      <c r="E119" s="31" t="n">
        <v>65.5</v>
      </c>
      <c r="F119" s="11"/>
    </row>
    <row r="120" customFormat="false" ht="12.8" hidden="false" customHeight="false" outlineLevel="0" collapsed="false">
      <c r="A120" s="42" t="s">
        <v>689</v>
      </c>
      <c r="B120" s="29" t="n">
        <v>9</v>
      </c>
      <c r="C120" s="30" t="n">
        <v>5.92737785780816</v>
      </c>
      <c r="D120" s="30" t="n">
        <v>21.7094062517085</v>
      </c>
      <c r="E120" s="31" t="n">
        <v>70.7777777777778</v>
      </c>
      <c r="F120" s="11"/>
    </row>
    <row r="121" customFormat="false" ht="12.8" hidden="false" customHeight="false" outlineLevel="0" collapsed="false">
      <c r="A121" s="42" t="s">
        <v>1072</v>
      </c>
      <c r="B121" s="29" t="n">
        <v>9</v>
      </c>
      <c r="C121" s="30" t="n">
        <v>12.505041457006</v>
      </c>
      <c r="D121" s="30" t="n">
        <v>48.351344713309</v>
      </c>
      <c r="E121" s="31" t="n">
        <v>66.7777777777778</v>
      </c>
      <c r="F121" s="11"/>
    </row>
    <row r="122" customFormat="false" ht="12.8" hidden="false" customHeight="false" outlineLevel="0" collapsed="false">
      <c r="A122" s="42" t="s">
        <v>828</v>
      </c>
      <c r="B122" s="29" t="n">
        <v>10</v>
      </c>
      <c r="C122" s="30" t="n">
        <v>7.17120782299988</v>
      </c>
      <c r="D122" s="30" t="n">
        <v>42.0134914624732</v>
      </c>
      <c r="E122" s="31" t="n">
        <v>71.8</v>
      </c>
      <c r="F122" s="11"/>
    </row>
    <row r="123" customFormat="false" ht="12.8" hidden="false" customHeight="false" outlineLevel="0" collapsed="false">
      <c r="A123" s="42" t="s">
        <v>700</v>
      </c>
      <c r="B123" s="29" t="n">
        <v>9</v>
      </c>
      <c r="C123" s="30" t="n">
        <v>14.6890763153284</v>
      </c>
      <c r="D123" s="30" t="n">
        <v>76.0916121049005</v>
      </c>
      <c r="E123" s="31" t="n">
        <v>69.3333333333333</v>
      </c>
      <c r="F123" s="11"/>
    </row>
    <row r="124" customFormat="false" ht="12.8" hidden="false" customHeight="false" outlineLevel="0" collapsed="false">
      <c r="A124" s="42" t="s">
        <v>142</v>
      </c>
      <c r="B124" s="29" t="n">
        <v>9</v>
      </c>
      <c r="C124" s="30" t="n">
        <v>14.9939072546629</v>
      </c>
      <c r="D124" s="30" t="n">
        <v>29.5032115758536</v>
      </c>
      <c r="E124" s="31" t="n">
        <v>55.2222222222222</v>
      </c>
      <c r="F124" s="11"/>
    </row>
    <row r="125" customFormat="false" ht="12.8" hidden="false" customHeight="false" outlineLevel="0" collapsed="false">
      <c r="A125" s="42" t="s">
        <v>575</v>
      </c>
      <c r="B125" s="29" t="n">
        <v>9</v>
      </c>
      <c r="C125" s="30" t="n">
        <v>6.03031903571016</v>
      </c>
      <c r="D125" s="30" t="n">
        <v>19.4897279433596</v>
      </c>
      <c r="E125" s="31" t="n">
        <v>67.5555555555556</v>
      </c>
      <c r="F125" s="11"/>
    </row>
    <row r="126" customFormat="false" ht="12.8" hidden="false" customHeight="false" outlineLevel="0" collapsed="false">
      <c r="A126" s="42" t="s">
        <v>120</v>
      </c>
      <c r="B126" s="29" t="n">
        <v>8</v>
      </c>
      <c r="C126" s="30" t="n">
        <v>8.09458606446941</v>
      </c>
      <c r="D126" s="30" t="n">
        <v>42.2238745402258</v>
      </c>
      <c r="E126" s="31" t="n">
        <v>68.25</v>
      </c>
      <c r="F126" s="11"/>
    </row>
    <row r="127" customFormat="false" ht="12.8" hidden="false" customHeight="false" outlineLevel="0" collapsed="false">
      <c r="A127" s="42" t="s">
        <v>526</v>
      </c>
      <c r="B127" s="29" t="n">
        <v>9</v>
      </c>
      <c r="C127" s="30" t="n">
        <v>5.32973824521465</v>
      </c>
      <c r="D127" s="30" t="n">
        <v>14.37118669216</v>
      </c>
      <c r="E127" s="31" t="n">
        <v>70.2222222222222</v>
      </c>
      <c r="F127" s="11"/>
    </row>
    <row r="128" customFormat="false" ht="12.8" hidden="false" customHeight="false" outlineLevel="0" collapsed="false">
      <c r="A128" s="42" t="s">
        <v>695</v>
      </c>
      <c r="B128" s="29" t="n">
        <v>23</v>
      </c>
      <c r="C128" s="30" t="n">
        <v>10.5456196202566</v>
      </c>
      <c r="D128" s="30" t="n">
        <v>40.9962387442133</v>
      </c>
      <c r="E128" s="31" t="n">
        <v>71.1304347826087</v>
      </c>
      <c r="F128" s="11"/>
    </row>
    <row r="129" customFormat="false" ht="12.8" hidden="false" customHeight="false" outlineLevel="0" collapsed="false">
      <c r="A129" s="42" t="s">
        <v>569</v>
      </c>
      <c r="B129" s="29" t="n">
        <v>9</v>
      </c>
      <c r="C129" s="30" t="n">
        <v>6.54962838362126</v>
      </c>
      <c r="D129" s="30" t="n">
        <v>26.6146891803444</v>
      </c>
      <c r="E129" s="31" t="n">
        <v>62.4444444444444</v>
      </c>
      <c r="F129" s="11"/>
    </row>
    <row r="130" customFormat="false" ht="12.8" hidden="false" customHeight="false" outlineLevel="0" collapsed="false">
      <c r="A130" s="42" t="s">
        <v>1006</v>
      </c>
      <c r="B130" s="29" t="n">
        <v>9</v>
      </c>
      <c r="C130" s="30" t="n">
        <v>10.5045240720602</v>
      </c>
      <c r="D130" s="30" t="n">
        <v>29.1209351407147</v>
      </c>
      <c r="E130" s="31" t="n">
        <v>59.4444444444444</v>
      </c>
      <c r="F130" s="11"/>
    </row>
    <row r="131" customFormat="false" ht="12.8" hidden="false" customHeight="false" outlineLevel="0" collapsed="false">
      <c r="A131" s="42" t="s">
        <v>277</v>
      </c>
      <c r="B131" s="29" t="n">
        <v>9</v>
      </c>
      <c r="C131" s="30" t="n">
        <v>3.76957587798047</v>
      </c>
      <c r="D131" s="30" t="n">
        <v>15.2003300659696</v>
      </c>
      <c r="E131" s="31" t="n">
        <v>63.1111111111111</v>
      </c>
      <c r="F131" s="11"/>
    </row>
    <row r="132" customFormat="false" ht="12.8" hidden="false" customHeight="false" outlineLevel="0" collapsed="false">
      <c r="A132" s="42" t="s">
        <v>280</v>
      </c>
      <c r="B132" s="29" t="n">
        <v>9</v>
      </c>
      <c r="C132" s="30" t="n">
        <v>13.504278008524</v>
      </c>
      <c r="D132" s="30" t="n">
        <v>66.8428937777817</v>
      </c>
      <c r="E132" s="31" t="n">
        <v>61.7777777777778</v>
      </c>
      <c r="F132" s="11"/>
    </row>
    <row r="133" customFormat="false" ht="12.8" hidden="false" customHeight="false" outlineLevel="0" collapsed="false">
      <c r="A133" s="42" t="s">
        <v>217</v>
      </c>
      <c r="B133" s="29" t="n">
        <v>9</v>
      </c>
      <c r="C133" s="30" t="n">
        <v>6.55837150995349</v>
      </c>
      <c r="D133" s="30" t="n">
        <v>13.672914163093</v>
      </c>
      <c r="E133" s="31" t="n">
        <v>73.5555555555556</v>
      </c>
      <c r="F133" s="11"/>
    </row>
    <row r="134" customFormat="false" ht="12.8" hidden="false" customHeight="false" outlineLevel="0" collapsed="false">
      <c r="A134" s="42" t="s">
        <v>783</v>
      </c>
      <c r="B134" s="29" t="n">
        <v>9</v>
      </c>
      <c r="C134" s="30" t="n">
        <v>16.1860743086554</v>
      </c>
      <c r="D134" s="30" t="n">
        <v>68.529465631588</v>
      </c>
      <c r="E134" s="31" t="n">
        <v>71.4444444444444</v>
      </c>
      <c r="F134" s="11"/>
    </row>
    <row r="135" customFormat="false" ht="12.8" hidden="false" customHeight="false" outlineLevel="0" collapsed="false">
      <c r="A135" s="42" t="s">
        <v>84</v>
      </c>
      <c r="B135" s="29" t="n">
        <v>9</v>
      </c>
      <c r="C135" s="30" t="n">
        <v>8.46775808125727</v>
      </c>
      <c r="D135" s="30" t="n">
        <v>19.6629770518711</v>
      </c>
      <c r="E135" s="31" t="n">
        <v>72.4444444444444</v>
      </c>
      <c r="F135" s="11"/>
    </row>
    <row r="136" customFormat="false" ht="12.8" hidden="false" customHeight="false" outlineLevel="0" collapsed="false">
      <c r="A136" s="42" t="s">
        <v>229</v>
      </c>
      <c r="B136" s="29" t="n">
        <v>9</v>
      </c>
      <c r="C136" s="30" t="n">
        <v>7.5714231360293</v>
      </c>
      <c r="D136" s="30" t="n">
        <v>27.3749334538058</v>
      </c>
      <c r="E136" s="31" t="n">
        <v>73.8888888888889</v>
      </c>
      <c r="F136" s="11"/>
    </row>
    <row r="137" customFormat="false" ht="12.8" hidden="false" customHeight="false" outlineLevel="0" collapsed="false">
      <c r="A137" s="42" t="s">
        <v>246</v>
      </c>
      <c r="B137" s="29" t="n">
        <v>9</v>
      </c>
      <c r="C137" s="30" t="n">
        <v>6.81302561815017</v>
      </c>
      <c r="D137" s="30" t="n">
        <v>33.6656225019636</v>
      </c>
      <c r="E137" s="31" t="n">
        <v>70.2222222222222</v>
      </c>
      <c r="F137" s="11"/>
    </row>
    <row r="138" customFormat="false" ht="12.8" hidden="false" customHeight="false" outlineLevel="0" collapsed="false">
      <c r="A138" s="42" t="s">
        <v>703</v>
      </c>
      <c r="B138" s="29" t="n">
        <v>9</v>
      </c>
      <c r="C138" s="30" t="n">
        <v>16.084406945596</v>
      </c>
      <c r="D138" s="30" t="n">
        <v>98.6432597869097</v>
      </c>
      <c r="E138" s="31" t="n">
        <v>70.6666666666667</v>
      </c>
      <c r="F138" s="11"/>
    </row>
    <row r="139" customFormat="false" ht="12.8" hidden="false" customHeight="false" outlineLevel="0" collapsed="false">
      <c r="A139" s="42" t="s">
        <v>254</v>
      </c>
      <c r="B139" s="29" t="n">
        <v>9</v>
      </c>
      <c r="C139" s="30" t="n">
        <v>5.37261003976215</v>
      </c>
      <c r="D139" s="30" t="n">
        <v>14.8201593654562</v>
      </c>
      <c r="E139" s="31" t="n">
        <v>72.8888888888889</v>
      </c>
      <c r="F139" s="11"/>
    </row>
    <row r="140" customFormat="false" ht="12.8" hidden="false" customHeight="false" outlineLevel="0" collapsed="false">
      <c r="A140" s="42" t="s">
        <v>314</v>
      </c>
      <c r="B140" s="29" t="n">
        <v>9</v>
      </c>
      <c r="C140" s="30" t="n">
        <v>7.10138375099678</v>
      </c>
      <c r="D140" s="30" t="n">
        <v>20.2201007122772</v>
      </c>
      <c r="E140" s="31" t="n">
        <v>73.1111111111111</v>
      </c>
      <c r="F140" s="11"/>
    </row>
    <row r="141" customFormat="false" ht="12.8" hidden="false" customHeight="false" outlineLevel="0" collapsed="false">
      <c r="A141" s="42" t="s">
        <v>332</v>
      </c>
      <c r="B141" s="29" t="n">
        <v>9</v>
      </c>
      <c r="C141" s="30" t="n">
        <v>5.75350989599803</v>
      </c>
      <c r="D141" s="30" t="n">
        <v>12.8426268809522</v>
      </c>
      <c r="E141" s="31" t="n">
        <v>73.2222222222222</v>
      </c>
      <c r="F141" s="11"/>
    </row>
    <row r="142" customFormat="false" ht="12.8" hidden="false" customHeight="false" outlineLevel="0" collapsed="false">
      <c r="A142" s="42" t="s">
        <v>1001</v>
      </c>
      <c r="B142" s="29" t="n">
        <v>9</v>
      </c>
      <c r="C142" s="30" t="n">
        <v>13.9595205244538</v>
      </c>
      <c r="D142" s="30" t="n">
        <v>54.7120353975102</v>
      </c>
      <c r="E142" s="31" t="n">
        <v>71.5555555555556</v>
      </c>
      <c r="F142" s="11"/>
    </row>
    <row r="143" customFormat="false" ht="12.8" hidden="false" customHeight="false" outlineLevel="0" collapsed="false">
      <c r="A143" s="42" t="s">
        <v>547</v>
      </c>
      <c r="B143" s="29" t="n">
        <v>9</v>
      </c>
      <c r="C143" s="30" t="n">
        <v>8.56176410565118</v>
      </c>
      <c r="D143" s="30" t="n">
        <v>29.6215299910809</v>
      </c>
      <c r="E143" s="31" t="n">
        <v>71.6666666666667</v>
      </c>
      <c r="F143" s="11"/>
    </row>
    <row r="144" customFormat="false" ht="12.8" hidden="false" customHeight="false" outlineLevel="0" collapsed="false">
      <c r="A144" s="42" t="s">
        <v>370</v>
      </c>
      <c r="B144" s="29" t="n">
        <v>9</v>
      </c>
      <c r="C144" s="30" t="n">
        <v>5.91098943458265</v>
      </c>
      <c r="D144" s="30" t="n">
        <v>20.1392851867293</v>
      </c>
      <c r="E144" s="31" t="n">
        <v>69.5555555555556</v>
      </c>
      <c r="F144" s="11"/>
    </row>
    <row r="145" customFormat="false" ht="12.8" hidden="false" customHeight="false" outlineLevel="0" collapsed="false">
      <c r="A145" s="42" t="s">
        <v>1203</v>
      </c>
      <c r="B145" s="29" t="n">
        <v>9</v>
      </c>
      <c r="C145" s="30" t="n">
        <v>4.74022078262044</v>
      </c>
      <c r="D145" s="30" t="n">
        <v>10.6536087953029</v>
      </c>
      <c r="E145" s="31" t="n">
        <v>69.5555555555556</v>
      </c>
      <c r="F145" s="11"/>
    </row>
    <row r="146" customFormat="false" ht="12.8" hidden="false" customHeight="false" outlineLevel="0" collapsed="false">
      <c r="A146" s="42" t="s">
        <v>430</v>
      </c>
      <c r="B146" s="29" t="n">
        <v>9</v>
      </c>
      <c r="C146" s="30" t="n">
        <v>6.17194022171467</v>
      </c>
      <c r="D146" s="30" t="n">
        <v>13.5560728831595</v>
      </c>
      <c r="E146" s="31" t="n">
        <v>70.4444444444444</v>
      </c>
      <c r="F146" s="11"/>
    </row>
    <row r="147" customFormat="false" ht="12.8" hidden="false" customHeight="false" outlineLevel="0" collapsed="false">
      <c r="A147" s="42" t="s">
        <v>435</v>
      </c>
      <c r="B147" s="29" t="n">
        <v>9</v>
      </c>
      <c r="C147" s="30" t="n">
        <v>10.8402268228128</v>
      </c>
      <c r="D147" s="30" t="n">
        <v>36.369140528106</v>
      </c>
      <c r="E147" s="31" t="n">
        <v>72</v>
      </c>
      <c r="F147" s="11"/>
    </row>
    <row r="148" customFormat="false" ht="12.8" hidden="false" customHeight="false" outlineLevel="0" collapsed="false">
      <c r="A148" s="42" t="s">
        <v>394</v>
      </c>
      <c r="B148" s="29" t="n">
        <v>9</v>
      </c>
      <c r="C148" s="30" t="n">
        <v>6.05144702512642</v>
      </c>
      <c r="D148" s="30" t="n">
        <v>15.0498170838139</v>
      </c>
      <c r="E148" s="31" t="n">
        <v>74.1111111111111</v>
      </c>
      <c r="F148" s="11"/>
    </row>
    <row r="149" customFormat="false" ht="12.8" hidden="false" customHeight="false" outlineLevel="0" collapsed="false">
      <c r="A149" s="42" t="s">
        <v>535</v>
      </c>
      <c r="B149" s="29" t="n">
        <v>9</v>
      </c>
      <c r="C149" s="30" t="n">
        <v>7.01696664951017</v>
      </c>
      <c r="D149" s="30" t="n">
        <v>21.3050609113409</v>
      </c>
      <c r="E149" s="31" t="n">
        <v>72.8888888888889</v>
      </c>
      <c r="F149" s="11"/>
    </row>
    <row r="150" customFormat="false" ht="12.8" hidden="false" customHeight="false" outlineLevel="0" collapsed="false">
      <c r="A150" s="42" t="s">
        <v>986</v>
      </c>
      <c r="B150" s="29" t="n">
        <v>9</v>
      </c>
      <c r="C150" s="30" t="n">
        <v>6.3019713554243</v>
      </c>
      <c r="D150" s="30" t="n">
        <v>23.6908554149682</v>
      </c>
      <c r="E150" s="31" t="n">
        <v>72.2222222222222</v>
      </c>
      <c r="F150" s="11"/>
    </row>
    <row r="151" customFormat="false" ht="12.8" hidden="false" customHeight="false" outlineLevel="0" collapsed="false">
      <c r="A151" s="42" t="s">
        <v>1037</v>
      </c>
      <c r="B151" s="29" t="n">
        <v>7</v>
      </c>
      <c r="C151" s="30" t="n">
        <v>6.56220171582338</v>
      </c>
      <c r="D151" s="30" t="n">
        <v>23.530330036246</v>
      </c>
      <c r="E151" s="31" t="n">
        <v>59.5714285714286</v>
      </c>
      <c r="F151" s="11"/>
    </row>
    <row r="152" customFormat="false" ht="12.8" hidden="false" customHeight="false" outlineLevel="0" collapsed="false">
      <c r="A152" s="42" t="s">
        <v>461</v>
      </c>
      <c r="B152" s="29" t="n">
        <v>6</v>
      </c>
      <c r="C152" s="30" t="n">
        <v>8.74833938738601</v>
      </c>
      <c r="D152" s="30" t="n">
        <v>25.9343063082372</v>
      </c>
      <c r="E152" s="31" t="n">
        <v>60</v>
      </c>
      <c r="F152" s="11"/>
    </row>
    <row r="153" customFormat="false" ht="12.8" hidden="false" customHeight="false" outlineLevel="0" collapsed="false">
      <c r="A153" s="42" t="s">
        <v>196</v>
      </c>
      <c r="B153" s="29" t="n">
        <v>10</v>
      </c>
      <c r="C153" s="30" t="n">
        <v>10.6551594580529</v>
      </c>
      <c r="D153" s="30" t="n">
        <v>41.4755241121307</v>
      </c>
      <c r="E153" s="31" t="n">
        <v>62.5</v>
      </c>
      <c r="F153" s="11"/>
    </row>
    <row r="154" customFormat="false" ht="12.8" hidden="false" customHeight="false" outlineLevel="0" collapsed="false">
      <c r="A154" s="42" t="s">
        <v>1162</v>
      </c>
      <c r="B154" s="29" t="n">
        <v>9</v>
      </c>
      <c r="C154" s="30" t="n">
        <v>20.6039799627597</v>
      </c>
      <c r="D154" s="30" t="n">
        <v>16.1429148610556</v>
      </c>
      <c r="E154" s="31" t="n">
        <v>62.8888888888889</v>
      </c>
      <c r="F154" s="11"/>
    </row>
    <row r="155" customFormat="false" ht="12.8" hidden="false" customHeight="false" outlineLevel="0" collapsed="false">
      <c r="A155" s="42" t="s">
        <v>913</v>
      </c>
      <c r="B155" s="29" t="n">
        <v>10</v>
      </c>
      <c r="C155" s="30" t="n">
        <v>12.3704456901062</v>
      </c>
      <c r="D155" s="30" t="n">
        <v>18.7453494089485</v>
      </c>
      <c r="E155" s="31" t="n">
        <v>46.6</v>
      </c>
      <c r="F155" s="11"/>
    </row>
    <row r="156" customFormat="false" ht="12.8" hidden="false" customHeight="false" outlineLevel="0" collapsed="false">
      <c r="A156" s="42" t="s">
        <v>205</v>
      </c>
      <c r="B156" s="29" t="n">
        <v>9</v>
      </c>
      <c r="C156" s="30" t="n">
        <v>7.50392747074369</v>
      </c>
      <c r="D156" s="30" t="n">
        <v>34.2641303220367</v>
      </c>
      <c r="E156" s="31" t="n">
        <v>57.5555555555556</v>
      </c>
      <c r="F156" s="11"/>
    </row>
    <row r="157" customFormat="false" ht="12.8" hidden="false" customHeight="false" outlineLevel="0" collapsed="false">
      <c r="A157" s="42" t="s">
        <v>283</v>
      </c>
      <c r="B157" s="29" t="n">
        <v>9</v>
      </c>
      <c r="C157" s="30" t="n">
        <v>5.59205677403018</v>
      </c>
      <c r="D157" s="30" t="n">
        <v>15.0056933636564</v>
      </c>
      <c r="E157" s="31" t="n">
        <v>67.4444444444444</v>
      </c>
      <c r="F157" s="11"/>
    </row>
    <row r="158" customFormat="false" ht="12.8" hidden="false" customHeight="false" outlineLevel="0" collapsed="false">
      <c r="A158" s="42" t="s">
        <v>32</v>
      </c>
      <c r="B158" s="29" t="n">
        <v>9</v>
      </c>
      <c r="C158" s="30" t="n">
        <v>6.67523328973526</v>
      </c>
      <c r="D158" s="30" t="n">
        <v>18.4480523910554</v>
      </c>
      <c r="E158" s="31" t="n">
        <v>65.4444444444444</v>
      </c>
      <c r="F158" s="11"/>
    </row>
    <row r="159" customFormat="false" ht="12.8" hidden="false" customHeight="false" outlineLevel="0" collapsed="false">
      <c r="A159" s="42" t="s">
        <v>1096</v>
      </c>
      <c r="B159" s="29" t="n">
        <v>9</v>
      </c>
      <c r="C159" s="30" t="n">
        <v>5.51699287615725</v>
      </c>
      <c r="D159" s="30" t="n">
        <v>11.5254783324312</v>
      </c>
      <c r="E159" s="31" t="n">
        <v>62.6666666666667</v>
      </c>
      <c r="F159" s="11"/>
    </row>
    <row r="160" customFormat="false" ht="12.8" hidden="false" customHeight="false" outlineLevel="0" collapsed="false">
      <c r="A160" s="42" t="s">
        <v>831</v>
      </c>
      <c r="B160" s="29" t="n">
        <v>9</v>
      </c>
      <c r="C160" s="30" t="n">
        <v>4.79901727997792</v>
      </c>
      <c r="D160" s="30" t="n">
        <v>16.3691348224349</v>
      </c>
      <c r="E160" s="31" t="n">
        <v>74.8888888888889</v>
      </c>
      <c r="F160" s="11"/>
    </row>
    <row r="161" customFormat="false" ht="12.8" hidden="false" customHeight="false" outlineLevel="0" collapsed="false">
      <c r="A161" s="42" t="s">
        <v>642</v>
      </c>
      <c r="B161" s="29" t="n">
        <v>9</v>
      </c>
      <c r="C161" s="30" t="n">
        <v>2.57094277875389</v>
      </c>
      <c r="D161" s="30" t="n">
        <v>4.90856900539027</v>
      </c>
      <c r="E161" s="31" t="n">
        <v>63.8888888888889</v>
      </c>
      <c r="F161" s="11"/>
    </row>
    <row r="162" customFormat="false" ht="12.8" hidden="false" customHeight="false" outlineLevel="0" collapsed="false">
      <c r="A162" s="42" t="s">
        <v>760</v>
      </c>
      <c r="B162" s="29" t="n">
        <v>9</v>
      </c>
      <c r="C162" s="30" t="n">
        <v>4.83639489002033</v>
      </c>
      <c r="D162" s="30" t="n">
        <v>15.8461322468165</v>
      </c>
      <c r="E162" s="31" t="n">
        <v>69.4444444444444</v>
      </c>
      <c r="F162" s="11"/>
    </row>
    <row r="163" customFormat="false" ht="12.8" hidden="false" customHeight="false" outlineLevel="0" collapsed="false">
      <c r="A163" s="42" t="s">
        <v>810</v>
      </c>
      <c r="B163" s="29" t="n">
        <v>9</v>
      </c>
      <c r="C163" s="30" t="n">
        <v>12.2088544931325</v>
      </c>
      <c r="D163" s="30" t="n">
        <v>20.288986962483</v>
      </c>
      <c r="E163" s="31" t="n">
        <v>56.5555555555556</v>
      </c>
      <c r="F163" s="11"/>
    </row>
    <row r="164" customFormat="false" ht="12.8" hidden="false" customHeight="false" outlineLevel="0" collapsed="false">
      <c r="A164" s="42" t="s">
        <v>957</v>
      </c>
      <c r="B164" s="29" t="n">
        <v>10</v>
      </c>
      <c r="C164" s="30" t="n">
        <v>5.65507358079903</v>
      </c>
      <c r="D164" s="30" t="n">
        <v>21.3966069484781</v>
      </c>
      <c r="E164" s="31" t="n">
        <v>66.2</v>
      </c>
      <c r="F164" s="11"/>
    </row>
    <row r="165" customFormat="false" ht="12.8" hidden="false" customHeight="false" outlineLevel="0" collapsed="false">
      <c r="A165" s="42" t="s">
        <v>726</v>
      </c>
      <c r="B165" s="29" t="n">
        <v>7</v>
      </c>
      <c r="C165" s="30" t="n">
        <v>10.6501241109833</v>
      </c>
      <c r="D165" s="30" t="n">
        <v>34.306105048968</v>
      </c>
      <c r="E165" s="31" t="n">
        <v>54.1428571428571</v>
      </c>
      <c r="F165" s="11"/>
    </row>
    <row r="166" customFormat="false" ht="12.8" hidden="false" customHeight="false" outlineLevel="0" collapsed="false">
      <c r="A166" s="42" t="s">
        <v>145</v>
      </c>
      <c r="B166" s="29" t="n">
        <v>9</v>
      </c>
      <c r="C166" s="30" t="n">
        <v>26.7895113319675</v>
      </c>
      <c r="D166" s="30" t="n">
        <v>39.2401388271051</v>
      </c>
      <c r="E166" s="31" t="n">
        <v>61.3333333333333</v>
      </c>
      <c r="F166" s="11"/>
    </row>
    <row r="167" customFormat="false" ht="12.8" hidden="false" customHeight="false" outlineLevel="0" collapsed="false">
      <c r="A167" s="42" t="s">
        <v>566</v>
      </c>
      <c r="B167" s="29" t="n">
        <v>9</v>
      </c>
      <c r="C167" s="30" t="n">
        <v>3.20835466568547</v>
      </c>
      <c r="D167" s="30" t="n">
        <v>9.27403472214296</v>
      </c>
      <c r="E167" s="31" t="n">
        <v>67.1111111111111</v>
      </c>
      <c r="F167" s="11"/>
    </row>
    <row r="168" customFormat="false" ht="12.8" hidden="false" customHeight="false" outlineLevel="0" collapsed="false">
      <c r="A168" s="42" t="s">
        <v>286</v>
      </c>
      <c r="B168" s="29" t="n">
        <v>9</v>
      </c>
      <c r="C168" s="30" t="n">
        <v>6.52685163727553</v>
      </c>
      <c r="D168" s="30" t="n">
        <v>28.3066456527929</v>
      </c>
      <c r="E168" s="31" t="n">
        <v>62.7777777777778</v>
      </c>
      <c r="F168" s="11"/>
    </row>
    <row r="169" customFormat="false" ht="12.8" hidden="false" customHeight="false" outlineLevel="0" collapsed="false">
      <c r="A169" s="42" t="s">
        <v>160</v>
      </c>
      <c r="B169" s="29" t="n">
        <v>9</v>
      </c>
      <c r="C169" s="30" t="n">
        <v>9.52000386426171</v>
      </c>
      <c r="D169" s="30" t="n">
        <v>28.7858838191029</v>
      </c>
      <c r="E169" s="31" t="n">
        <v>44</v>
      </c>
      <c r="F169" s="11"/>
    </row>
    <row r="170" customFormat="false" ht="12.8" hidden="false" customHeight="false" outlineLevel="0" collapsed="false">
      <c r="A170" s="42" t="s">
        <v>181</v>
      </c>
      <c r="B170" s="29" t="n">
        <v>9</v>
      </c>
      <c r="C170" s="30" t="n">
        <v>9.77255801151258</v>
      </c>
      <c r="D170" s="30" t="n">
        <v>29.063183525715</v>
      </c>
      <c r="E170" s="31" t="n">
        <v>69.3333333333333</v>
      </c>
      <c r="F170" s="11"/>
    </row>
    <row r="171" customFormat="false" ht="12.8" hidden="false" customHeight="false" outlineLevel="0" collapsed="false">
      <c r="A171" s="42" t="s">
        <v>645</v>
      </c>
      <c r="B171" s="29" t="n">
        <v>9</v>
      </c>
      <c r="C171" s="30" t="n">
        <v>6.85234219880445</v>
      </c>
      <c r="D171" s="30" t="n">
        <v>27.3895987889116</v>
      </c>
      <c r="E171" s="31" t="n">
        <v>75.7777777777778</v>
      </c>
      <c r="F171" s="11"/>
    </row>
    <row r="172" customFormat="false" ht="12.8" hidden="false" customHeight="false" outlineLevel="0" collapsed="false">
      <c r="A172" s="42" t="s">
        <v>289</v>
      </c>
      <c r="B172" s="29" t="n">
        <v>10</v>
      </c>
      <c r="C172" s="30" t="n">
        <v>4.57120444298706</v>
      </c>
      <c r="D172" s="30" t="n">
        <v>10.6443420715412</v>
      </c>
      <c r="E172" s="31" t="n">
        <v>70.9</v>
      </c>
      <c r="F172" s="11"/>
    </row>
    <row r="173" customFormat="false" ht="12.8" hidden="false" customHeight="false" outlineLevel="0" collapsed="false">
      <c r="A173" s="42" t="s">
        <v>584</v>
      </c>
      <c r="B173" s="29" t="n">
        <v>9</v>
      </c>
      <c r="C173" s="30" t="n">
        <v>6.68382339564507</v>
      </c>
      <c r="D173" s="30" t="n">
        <v>17.3410071741589</v>
      </c>
      <c r="E173" s="31" t="n">
        <v>77.1111111111111</v>
      </c>
      <c r="F173" s="11"/>
    </row>
    <row r="174" customFormat="false" ht="12.8" hidden="false" customHeight="false" outlineLevel="0" collapsed="false">
      <c r="A174" s="42" t="s">
        <v>648</v>
      </c>
      <c r="B174" s="29" t="n">
        <v>9</v>
      </c>
      <c r="C174" s="30" t="n">
        <v>5.83795140230195</v>
      </c>
      <c r="D174" s="30" t="n">
        <v>31.194704749129</v>
      </c>
      <c r="E174" s="31" t="n">
        <v>72.5555555555556</v>
      </c>
      <c r="F174" s="11"/>
    </row>
    <row r="175" customFormat="false" ht="12.8" hidden="false" customHeight="false" outlineLevel="0" collapsed="false">
      <c r="A175" s="42" t="s">
        <v>123</v>
      </c>
      <c r="B175" s="29" t="n">
        <v>9</v>
      </c>
      <c r="C175" s="30" t="n">
        <v>13.8803862285786</v>
      </c>
      <c r="D175" s="30" t="n">
        <v>36.4911396267734</v>
      </c>
      <c r="E175" s="31" t="n">
        <v>66.8888888888889</v>
      </c>
      <c r="F175" s="11"/>
    </row>
    <row r="176" customFormat="false" ht="12.8" hidden="false" customHeight="false" outlineLevel="0" collapsed="false">
      <c r="A176" s="42" t="s">
        <v>126</v>
      </c>
      <c r="B176" s="29" t="n">
        <v>9</v>
      </c>
      <c r="C176" s="30" t="n">
        <v>19.4263152623045</v>
      </c>
      <c r="D176" s="30" t="n">
        <v>100.042782597125</v>
      </c>
      <c r="E176" s="31" t="n">
        <v>52.6666666666667</v>
      </c>
      <c r="F176" s="11"/>
    </row>
    <row r="177" customFormat="false" ht="12.8" hidden="false" customHeight="false" outlineLevel="0" collapsed="false">
      <c r="A177" s="42" t="s">
        <v>532</v>
      </c>
      <c r="B177" s="29" t="n">
        <v>9</v>
      </c>
      <c r="C177" s="30" t="n">
        <v>4.82442816155252</v>
      </c>
      <c r="D177" s="30" t="n">
        <v>19.4612730042611</v>
      </c>
      <c r="E177" s="31" t="n">
        <v>65</v>
      </c>
      <c r="F177" s="11"/>
    </row>
    <row r="178" customFormat="false" ht="12.8" hidden="false" customHeight="false" outlineLevel="0" collapsed="false">
      <c r="A178" s="42" t="s">
        <v>590</v>
      </c>
      <c r="B178" s="29" t="n">
        <v>9</v>
      </c>
      <c r="C178" s="30" t="n">
        <v>7.75460907583281</v>
      </c>
      <c r="D178" s="30" t="n">
        <v>18.539601226707</v>
      </c>
      <c r="E178" s="31" t="n">
        <v>66.4444444444444</v>
      </c>
      <c r="F178" s="11"/>
    </row>
    <row r="179" customFormat="false" ht="12.8" hidden="false" customHeight="false" outlineLevel="0" collapsed="false">
      <c r="A179" s="42" t="s">
        <v>297</v>
      </c>
      <c r="B179" s="29" t="n">
        <v>8</v>
      </c>
      <c r="C179" s="30" t="n">
        <v>9.43915684953693</v>
      </c>
      <c r="D179" s="30" t="n">
        <v>37.5596610834174</v>
      </c>
      <c r="E179" s="31" t="n">
        <v>64.625</v>
      </c>
      <c r="F179" s="11"/>
    </row>
    <row r="180" customFormat="false" ht="12.8" hidden="false" customHeight="false" outlineLevel="0" collapsed="false">
      <c r="A180" s="42" t="s">
        <v>529</v>
      </c>
      <c r="B180" s="29" t="n">
        <v>9</v>
      </c>
      <c r="C180" s="30" t="n">
        <v>7.04759395888684</v>
      </c>
      <c r="D180" s="30" t="n">
        <v>19.5007242917791</v>
      </c>
      <c r="E180" s="31" t="n">
        <v>69.6666666666667</v>
      </c>
      <c r="F180" s="11"/>
    </row>
    <row r="181" customFormat="false" ht="12.8" hidden="false" customHeight="false" outlineLevel="0" collapsed="false">
      <c r="A181" s="42" t="s">
        <v>740</v>
      </c>
      <c r="B181" s="29" t="n">
        <v>9</v>
      </c>
      <c r="C181" s="30" t="n">
        <v>14.9772249666907</v>
      </c>
      <c r="D181" s="30" t="n">
        <v>18.649103815891</v>
      </c>
      <c r="E181" s="31" t="n">
        <v>68.2222222222222</v>
      </c>
      <c r="F181" s="11"/>
    </row>
    <row r="182" customFormat="false" ht="12.8" hidden="false" customHeight="false" outlineLevel="0" collapsed="false">
      <c r="A182" s="42" t="s">
        <v>651</v>
      </c>
      <c r="B182" s="29" t="n">
        <v>4</v>
      </c>
      <c r="C182" s="30" t="n">
        <v>9.45714901563225</v>
      </c>
      <c r="D182" s="30" t="n">
        <v>28.5790151559634</v>
      </c>
      <c r="E182" s="31" t="n">
        <v>72.5</v>
      </c>
      <c r="F182" s="11"/>
    </row>
    <row r="183" customFormat="false" ht="12.8" hidden="false" customHeight="false" outlineLevel="0" collapsed="false">
      <c r="A183" s="42" t="s">
        <v>834</v>
      </c>
      <c r="B183" s="29" t="n">
        <v>10</v>
      </c>
      <c r="C183" s="30" t="n">
        <v>5.46004688740507</v>
      </c>
      <c r="D183" s="30" t="n">
        <v>13.322106920431</v>
      </c>
      <c r="E183" s="31" t="n">
        <v>72.7</v>
      </c>
      <c r="F183" s="11"/>
    </row>
    <row r="184" customFormat="false" ht="12.8" hidden="false" customHeight="false" outlineLevel="0" collapsed="false">
      <c r="A184" s="42" t="s">
        <v>443</v>
      </c>
      <c r="B184" s="29" t="n">
        <v>10</v>
      </c>
      <c r="C184" s="30" t="n">
        <v>4.13209235879298</v>
      </c>
      <c r="D184" s="30" t="n">
        <v>9.47626220080825</v>
      </c>
      <c r="E184" s="31" t="n">
        <v>74.8</v>
      </c>
      <c r="F184" s="11"/>
    </row>
    <row r="185" customFormat="false" ht="12.8" hidden="false" customHeight="false" outlineLevel="0" collapsed="false">
      <c r="A185" s="42" t="s">
        <v>176</v>
      </c>
      <c r="B185" s="29" t="n">
        <v>10</v>
      </c>
      <c r="C185" s="30" t="n">
        <v>8.21814154450724</v>
      </c>
      <c r="D185" s="30" t="n">
        <v>57.6336809964512</v>
      </c>
      <c r="E185" s="31" t="n">
        <v>54.7</v>
      </c>
      <c r="F185" s="11"/>
    </row>
    <row r="186" customFormat="false" ht="12.8" hidden="false" customHeight="false" outlineLevel="0" collapsed="false">
      <c r="A186" s="42" t="s">
        <v>437</v>
      </c>
      <c r="B186" s="29" t="n">
        <v>9</v>
      </c>
      <c r="C186" s="30" t="n">
        <v>6.36188304051129</v>
      </c>
      <c r="D186" s="30" t="n">
        <v>33.3596937939362</v>
      </c>
      <c r="E186" s="31" t="n">
        <v>64.8888888888889</v>
      </c>
      <c r="F186" s="11"/>
    </row>
    <row r="187" customFormat="false" ht="12.8" hidden="false" customHeight="false" outlineLevel="0" collapsed="false">
      <c r="A187" s="42" t="s">
        <v>900</v>
      </c>
      <c r="B187" s="29" t="n">
        <v>9</v>
      </c>
      <c r="C187" s="30" t="n">
        <v>3.84255924262924</v>
      </c>
      <c r="D187" s="30" t="n">
        <v>12.4459138552882</v>
      </c>
      <c r="E187" s="31" t="n">
        <v>61.5555555555556</v>
      </c>
      <c r="F187" s="11"/>
    </row>
    <row r="188" customFormat="false" ht="12.8" hidden="false" customHeight="false" outlineLevel="0" collapsed="false">
      <c r="A188" s="42" t="s">
        <v>243</v>
      </c>
      <c r="B188" s="29" t="n">
        <v>23</v>
      </c>
      <c r="C188" s="30" t="n">
        <v>3.5856341258627</v>
      </c>
      <c r="D188" s="30" t="n">
        <v>7.18293191493962</v>
      </c>
      <c r="E188" s="31" t="n">
        <v>76.0434782608696</v>
      </c>
      <c r="F188" s="11"/>
    </row>
    <row r="189" customFormat="false" ht="12.8" hidden="false" customHeight="false" outlineLevel="0" collapsed="false">
      <c r="A189" s="42" t="s">
        <v>300</v>
      </c>
      <c r="B189" s="29" t="n">
        <v>9</v>
      </c>
      <c r="C189" s="30" t="n">
        <v>8.21777001901785</v>
      </c>
      <c r="D189" s="30" t="n">
        <v>24.5395769490574</v>
      </c>
      <c r="E189" s="31" t="n">
        <v>53.8888888888889</v>
      </c>
      <c r="F189" s="11"/>
    </row>
    <row r="190" customFormat="false" ht="12.8" hidden="false" customHeight="false" outlineLevel="0" collapsed="false">
      <c r="A190" s="42" t="s">
        <v>599</v>
      </c>
      <c r="B190" s="29" t="n">
        <v>9</v>
      </c>
      <c r="C190" s="30" t="n">
        <v>10.1872363102083</v>
      </c>
      <c r="D190" s="30" t="n">
        <v>30.2970870350345</v>
      </c>
      <c r="E190" s="31" t="n">
        <v>64.3333333333333</v>
      </c>
      <c r="F190" s="11"/>
    </row>
    <row r="191" customFormat="false" ht="12.8" hidden="false" customHeight="false" outlineLevel="0" collapsed="false">
      <c r="A191" s="42" t="s">
        <v>1222</v>
      </c>
      <c r="B191" s="29" t="n">
        <v>9</v>
      </c>
      <c r="C191" s="30" t="n">
        <v>17.0651211810716</v>
      </c>
      <c r="D191" s="30" t="n">
        <v>84.112996653177</v>
      </c>
      <c r="E191" s="31" t="n">
        <v>61.4444444444444</v>
      </c>
      <c r="F191" s="11"/>
    </row>
    <row r="192" customFormat="false" ht="12.8" hidden="false" customHeight="false" outlineLevel="0" collapsed="false">
      <c r="A192" s="42" t="s">
        <v>51</v>
      </c>
      <c r="B192" s="29" t="n">
        <v>9</v>
      </c>
      <c r="C192" s="30" t="n">
        <v>10.1454240481553</v>
      </c>
      <c r="D192" s="30" t="n">
        <v>37.8218284589644</v>
      </c>
      <c r="E192" s="31" t="n">
        <v>73.3333333333333</v>
      </c>
      <c r="F192" s="11"/>
    </row>
    <row r="193" customFormat="false" ht="12.8" hidden="false" customHeight="false" outlineLevel="0" collapsed="false">
      <c r="A193" s="42" t="s">
        <v>470</v>
      </c>
      <c r="B193" s="29" t="n">
        <v>9</v>
      </c>
      <c r="C193" s="30" t="n">
        <v>6.07853961628339</v>
      </c>
      <c r="D193" s="30" t="n">
        <v>74.6579008165981</v>
      </c>
      <c r="E193" s="31" t="n">
        <v>62.4444444444444</v>
      </c>
      <c r="F193" s="11"/>
    </row>
    <row r="194" customFormat="false" ht="12.8" hidden="false" customHeight="false" outlineLevel="0" collapsed="false">
      <c r="A194" s="42" t="s">
        <v>883</v>
      </c>
      <c r="B194" s="29" t="n">
        <v>9</v>
      </c>
      <c r="C194" s="30" t="n">
        <v>10.053026741649</v>
      </c>
      <c r="D194" s="30" t="n">
        <v>36.5724673808154</v>
      </c>
      <c r="E194" s="31" t="n">
        <v>50.1111111111111</v>
      </c>
      <c r="F194" s="11"/>
    </row>
    <row r="195" customFormat="false" ht="12.8" hidden="false" customHeight="false" outlineLevel="0" collapsed="false">
      <c r="A195" s="42" t="s">
        <v>749</v>
      </c>
      <c r="B195" s="29" t="n">
        <v>10</v>
      </c>
      <c r="C195" s="30" t="n">
        <v>8.12439955028984</v>
      </c>
      <c r="D195" s="30" t="n">
        <v>50.4688368493144</v>
      </c>
      <c r="E195" s="31" t="n">
        <v>65.7</v>
      </c>
      <c r="F195" s="11"/>
    </row>
    <row r="196" customFormat="false" ht="12.8" hidden="false" customHeight="false" outlineLevel="0" collapsed="false">
      <c r="A196" s="42" t="s">
        <v>311</v>
      </c>
      <c r="B196" s="29" t="n">
        <v>9</v>
      </c>
      <c r="C196" s="30" t="n">
        <v>6.05971525898195</v>
      </c>
      <c r="D196" s="30" t="n">
        <v>14.8384526854154</v>
      </c>
      <c r="E196" s="31" t="n">
        <v>61.6666666666667</v>
      </c>
      <c r="F196" s="11"/>
    </row>
    <row r="197" customFormat="false" ht="12.8" hidden="false" customHeight="false" outlineLevel="0" collapsed="false">
      <c r="A197" s="42" t="s">
        <v>989</v>
      </c>
      <c r="B197" s="29" t="n">
        <v>10</v>
      </c>
      <c r="C197" s="30" t="n">
        <v>9.06175688808716</v>
      </c>
      <c r="D197" s="30" t="n">
        <v>21.2225829982976</v>
      </c>
      <c r="E197" s="31" t="n">
        <v>60</v>
      </c>
      <c r="F197" s="11"/>
    </row>
    <row r="198" customFormat="false" ht="12.8" hidden="false" customHeight="false" outlineLevel="0" collapsed="false">
      <c r="A198" s="42" t="s">
        <v>303</v>
      </c>
      <c r="B198" s="29" t="n">
        <v>9</v>
      </c>
      <c r="C198" s="30" t="n">
        <v>3.14614190900415</v>
      </c>
      <c r="D198" s="30" t="n">
        <v>6.01900192941953</v>
      </c>
      <c r="E198" s="31" t="n">
        <v>65.4444444444444</v>
      </c>
      <c r="F198" s="11"/>
    </row>
    <row r="199" customFormat="false" ht="12.8" hidden="false" customHeight="false" outlineLevel="0" collapsed="false">
      <c r="A199" s="42" t="s">
        <v>306</v>
      </c>
      <c r="B199" s="29" t="n">
        <v>9</v>
      </c>
      <c r="C199" s="30" t="n">
        <v>8.08600057086449</v>
      </c>
      <c r="D199" s="30" t="n">
        <v>31.9745994287626</v>
      </c>
      <c r="E199" s="31" t="n">
        <v>74.8888888888889</v>
      </c>
      <c r="F199" s="11"/>
    </row>
    <row r="200" customFormat="false" ht="12.8" hidden="false" customHeight="false" outlineLevel="0" collapsed="false">
      <c r="A200" s="42" t="s">
        <v>423</v>
      </c>
      <c r="B200" s="29" t="n">
        <v>9</v>
      </c>
      <c r="C200" s="30" t="n">
        <v>6.1252294184085</v>
      </c>
      <c r="D200" s="30" t="n">
        <v>29.5995446814369</v>
      </c>
      <c r="E200" s="31" t="n">
        <v>67.6666666666667</v>
      </c>
      <c r="F200" s="11"/>
    </row>
    <row r="201" customFormat="false" ht="12.8" hidden="false" customHeight="false" outlineLevel="0" collapsed="false">
      <c r="A201" s="42" t="s">
        <v>220</v>
      </c>
      <c r="B201" s="29" t="n">
        <v>9</v>
      </c>
      <c r="C201" s="30" t="n">
        <v>6.51137365909738</v>
      </c>
      <c r="D201" s="30" t="n">
        <v>23.0889207933322</v>
      </c>
      <c r="E201" s="31" t="n">
        <v>63.8888888888889</v>
      </c>
      <c r="F201" s="11"/>
    </row>
    <row r="202" customFormat="false" ht="12.8" hidden="false" customHeight="false" outlineLevel="0" collapsed="false">
      <c r="A202" s="42" t="s">
        <v>473</v>
      </c>
      <c r="B202" s="29" t="n">
        <v>9</v>
      </c>
      <c r="C202" s="30" t="n">
        <v>18.5886795125971</v>
      </c>
      <c r="D202" s="30" t="n">
        <v>89.819349034724</v>
      </c>
      <c r="E202" s="31" t="n">
        <v>57.2222222222222</v>
      </c>
      <c r="F202" s="11"/>
    </row>
    <row r="203" customFormat="false" ht="12.8" hidden="false" customHeight="false" outlineLevel="0" collapsed="false">
      <c r="A203" s="42" t="s">
        <v>316</v>
      </c>
      <c r="B203" s="29" t="n">
        <v>7</v>
      </c>
      <c r="C203" s="30" t="n">
        <v>7.94051340556929</v>
      </c>
      <c r="D203" s="30" t="n">
        <v>19.7725645834464</v>
      </c>
      <c r="E203" s="31" t="n">
        <v>55.5714285714286</v>
      </c>
      <c r="F203" s="11"/>
    </row>
    <row r="204" customFormat="false" ht="12.8" hidden="false" customHeight="false" outlineLevel="0" collapsed="false">
      <c r="A204" s="42" t="s">
        <v>452</v>
      </c>
      <c r="B204" s="29" t="n">
        <v>8</v>
      </c>
      <c r="C204" s="30" t="n">
        <v>8.64044107913838</v>
      </c>
      <c r="D204" s="30" t="n">
        <v>22.7631650373603</v>
      </c>
      <c r="E204" s="31" t="n">
        <v>53.625</v>
      </c>
      <c r="F204" s="11"/>
    </row>
    <row r="205" customFormat="false" ht="12.8" hidden="false" customHeight="false" outlineLevel="0" collapsed="false">
      <c r="A205" s="42" t="s">
        <v>479</v>
      </c>
      <c r="B205" s="29" t="n">
        <v>8</v>
      </c>
      <c r="C205" s="30" t="n">
        <v>7.15982663836267</v>
      </c>
      <c r="D205" s="30" t="n">
        <v>24.3766750045213</v>
      </c>
      <c r="E205" s="31" t="n">
        <v>68</v>
      </c>
      <c r="F205" s="11"/>
    </row>
    <row r="206" customFormat="false" ht="12.8" hidden="false" customHeight="false" outlineLevel="0" collapsed="false">
      <c r="A206" s="42" t="s">
        <v>319</v>
      </c>
      <c r="B206" s="29" t="n">
        <v>9</v>
      </c>
      <c r="C206" s="30" t="n">
        <v>4.70902999011843</v>
      </c>
      <c r="D206" s="30" t="n">
        <v>7.31269490992312</v>
      </c>
      <c r="E206" s="31" t="n">
        <v>63.7777777777778</v>
      </c>
      <c r="F206" s="11"/>
    </row>
    <row r="207" customFormat="false" ht="12.8" hidden="false" customHeight="false" outlineLevel="0" collapsed="false">
      <c r="A207" s="42" t="s">
        <v>886</v>
      </c>
      <c r="B207" s="29" t="n">
        <v>9</v>
      </c>
      <c r="C207" s="30" t="n">
        <v>8.14426033773496</v>
      </c>
      <c r="D207" s="30" t="n">
        <v>21.9050454840258</v>
      </c>
      <c r="E207" s="31" t="n">
        <v>60.1111111111111</v>
      </c>
      <c r="F207" s="11"/>
    </row>
    <row r="208" customFormat="false" ht="12.8" hidden="false" customHeight="false" outlineLevel="0" collapsed="false">
      <c r="A208" s="42" t="s">
        <v>455</v>
      </c>
      <c r="B208" s="29" t="n">
        <v>9</v>
      </c>
      <c r="C208" s="30" t="n">
        <v>10.1604911426946</v>
      </c>
      <c r="D208" s="30" t="n">
        <v>21.8057166594501</v>
      </c>
      <c r="E208" s="31" t="n">
        <v>60.3333333333333</v>
      </c>
      <c r="F208" s="11"/>
    </row>
    <row r="209" customFormat="false" ht="12.8" hidden="false" customHeight="false" outlineLevel="0" collapsed="false">
      <c r="A209" s="42" t="s">
        <v>497</v>
      </c>
      <c r="B209" s="29" t="n">
        <v>8</v>
      </c>
      <c r="C209" s="30" t="n">
        <v>9.25490291059299</v>
      </c>
      <c r="D209" s="30" t="n">
        <v>25.4121774351675</v>
      </c>
      <c r="E209" s="31" t="n">
        <v>70.75</v>
      </c>
      <c r="F209" s="11"/>
    </row>
    <row r="210" customFormat="false" ht="12.8" hidden="false" customHeight="false" outlineLevel="0" collapsed="false">
      <c r="A210" s="42" t="s">
        <v>93</v>
      </c>
      <c r="B210" s="29" t="n">
        <v>9</v>
      </c>
      <c r="C210" s="30" t="n">
        <v>20.1193274658235</v>
      </c>
      <c r="D210" s="30" t="n">
        <v>65.8453133189542</v>
      </c>
      <c r="E210" s="31" t="n">
        <v>57.7777777777778</v>
      </c>
      <c r="F210" s="11"/>
    </row>
    <row r="211" customFormat="false" ht="12.8" hidden="false" customHeight="false" outlineLevel="0" collapsed="false">
      <c r="A211" s="42" t="s">
        <v>148</v>
      </c>
      <c r="B211" s="29" t="n">
        <v>9</v>
      </c>
      <c r="C211" s="30" t="n">
        <v>15.9030713509155</v>
      </c>
      <c r="D211" s="30" t="n">
        <v>20.7950753104875</v>
      </c>
      <c r="E211" s="31" t="n">
        <v>56.8888888888889</v>
      </c>
      <c r="F211" s="11"/>
    </row>
    <row r="212" customFormat="false" ht="12.8" hidden="false" customHeight="false" outlineLevel="0" collapsed="false">
      <c r="A212" s="42" t="s">
        <v>960</v>
      </c>
      <c r="B212" s="29" t="n">
        <v>9</v>
      </c>
      <c r="C212" s="30" t="n">
        <v>5.87068539797328</v>
      </c>
      <c r="D212" s="30" t="n">
        <v>17.0338839212022</v>
      </c>
      <c r="E212" s="31" t="n">
        <v>56.1111111111111</v>
      </c>
      <c r="F212" s="11"/>
    </row>
    <row r="213" customFormat="false" ht="12.8" hidden="false" customHeight="false" outlineLevel="0" collapsed="false">
      <c r="A213" s="42" t="s">
        <v>476</v>
      </c>
      <c r="B213" s="29" t="n">
        <v>9</v>
      </c>
      <c r="C213" s="30" t="n">
        <v>6.69858425864781</v>
      </c>
      <c r="D213" s="30" t="n">
        <v>39.7681397629705</v>
      </c>
      <c r="E213" s="31" t="n">
        <v>70.2222222222222</v>
      </c>
      <c r="F213" s="11"/>
    </row>
    <row r="214" customFormat="false" ht="12.8" hidden="false" customHeight="false" outlineLevel="0" collapsed="false">
      <c r="A214" s="42" t="s">
        <v>523</v>
      </c>
      <c r="B214" s="29" t="n">
        <v>9</v>
      </c>
      <c r="C214" s="30" t="n">
        <v>5.13303579266634</v>
      </c>
      <c r="D214" s="30" t="n">
        <v>13.6931788679525</v>
      </c>
      <c r="E214" s="31" t="n">
        <v>80.7777777777778</v>
      </c>
      <c r="F214" s="11"/>
    </row>
    <row r="215" customFormat="false" ht="12.8" hidden="false" customHeight="false" outlineLevel="0" collapsed="false">
      <c r="A215" s="42" t="s">
        <v>934</v>
      </c>
      <c r="B215" s="29" t="n">
        <v>9</v>
      </c>
      <c r="C215" s="30" t="n">
        <v>4.10580818383619</v>
      </c>
      <c r="D215" s="30" t="n">
        <v>9.07695219692289</v>
      </c>
      <c r="E215" s="31" t="n">
        <v>64.3333333333333</v>
      </c>
      <c r="F215" s="11"/>
    </row>
    <row r="216" customFormat="false" ht="12.8" hidden="false" customHeight="false" outlineLevel="0" collapsed="false">
      <c r="A216" s="42" t="s">
        <v>963</v>
      </c>
      <c r="B216" s="29" t="n">
        <v>9</v>
      </c>
      <c r="C216" s="30" t="n">
        <v>10.3588488694551</v>
      </c>
      <c r="D216" s="30" t="n">
        <v>25.6340107269452</v>
      </c>
      <c r="E216" s="31" t="n">
        <v>60.8888888888889</v>
      </c>
      <c r="F216" s="11"/>
    </row>
    <row r="217" customFormat="false" ht="12.8" hidden="false" customHeight="false" outlineLevel="0" collapsed="false">
      <c r="A217" s="42" t="s">
        <v>1009</v>
      </c>
      <c r="B217" s="29" t="n">
        <v>9</v>
      </c>
      <c r="C217" s="30" t="n">
        <v>12.628082962099</v>
      </c>
      <c r="D217" s="30" t="n">
        <v>47.3036277194202</v>
      </c>
      <c r="E217" s="31" t="n">
        <v>61</v>
      </c>
      <c r="F217" s="11"/>
    </row>
    <row r="218" customFormat="false" ht="12.8" hidden="false" customHeight="false" outlineLevel="0" collapsed="false">
      <c r="A218" s="42" t="s">
        <v>633</v>
      </c>
      <c r="B218" s="29" t="n">
        <v>4</v>
      </c>
      <c r="C218" s="30" t="n">
        <v>11.3752811321243</v>
      </c>
      <c r="D218" s="30" t="n">
        <v>51.4381185267512</v>
      </c>
      <c r="E218" s="31" t="n">
        <v>71.5</v>
      </c>
      <c r="F218" s="11"/>
    </row>
    <row r="219" customFormat="false" ht="12.8" hidden="false" customHeight="false" outlineLevel="0" collapsed="false">
      <c r="A219" s="42" t="s">
        <v>1119</v>
      </c>
      <c r="B219" s="29" t="n">
        <v>9</v>
      </c>
      <c r="C219" s="30" t="n">
        <v>9.04569972425332</v>
      </c>
      <c r="D219" s="30" t="n">
        <v>26.9989227449685</v>
      </c>
      <c r="E219" s="31" t="n">
        <v>67.3333333333333</v>
      </c>
      <c r="F219" s="11"/>
    </row>
    <row r="220" customFormat="false" ht="12.8" hidden="false" customHeight="false" outlineLevel="0" collapsed="false">
      <c r="A220" s="42" t="s">
        <v>322</v>
      </c>
      <c r="B220" s="29" t="n">
        <v>8</v>
      </c>
      <c r="C220" s="30" t="n">
        <v>3.98617108202585</v>
      </c>
      <c r="D220" s="30" t="n">
        <v>12.1139382184465</v>
      </c>
      <c r="E220" s="31" t="n">
        <v>62.875</v>
      </c>
      <c r="F220" s="11"/>
    </row>
    <row r="221" customFormat="false" ht="12.8" hidden="false" customHeight="false" outlineLevel="0" collapsed="false">
      <c r="A221" s="42" t="s">
        <v>763</v>
      </c>
      <c r="B221" s="29" t="n">
        <v>7</v>
      </c>
      <c r="C221" s="30" t="n">
        <v>11.0513728401689</v>
      </c>
      <c r="D221" s="30" t="n">
        <v>16.9088027825233</v>
      </c>
      <c r="E221" s="31" t="n">
        <v>67.5714285714286</v>
      </c>
      <c r="F221" s="11"/>
    </row>
    <row r="222" customFormat="false" ht="12.8" hidden="false" customHeight="false" outlineLevel="0" collapsed="false">
      <c r="A222" s="42" t="s">
        <v>325</v>
      </c>
      <c r="B222" s="29" t="n">
        <v>9</v>
      </c>
      <c r="C222" s="30" t="n">
        <v>10.5273240010318</v>
      </c>
      <c r="D222" s="30" t="n">
        <v>29.6633219511458</v>
      </c>
      <c r="E222" s="31" t="n">
        <v>63</v>
      </c>
      <c r="F222" s="11"/>
    </row>
    <row r="223" customFormat="false" ht="12.8" hidden="false" customHeight="false" outlineLevel="0" collapsed="false">
      <c r="A223" s="42" t="s">
        <v>993</v>
      </c>
      <c r="B223" s="29" t="n">
        <v>9</v>
      </c>
      <c r="C223" s="30" t="n">
        <v>6.74537976380634</v>
      </c>
      <c r="D223" s="30" t="n">
        <v>30.1653272897165</v>
      </c>
      <c r="E223" s="31" t="n">
        <v>57.4444444444444</v>
      </c>
      <c r="F223" s="11"/>
    </row>
    <row r="224" customFormat="false" ht="12.8" hidden="false" customHeight="false" outlineLevel="0" collapsed="false">
      <c r="A224" s="42" t="s">
        <v>328</v>
      </c>
      <c r="B224" s="29" t="n">
        <v>5</v>
      </c>
      <c r="C224" s="30" t="n">
        <v>8.08720164016515</v>
      </c>
      <c r="D224" s="30" t="n">
        <v>34.2101700181781</v>
      </c>
      <c r="E224" s="31" t="n">
        <v>67.6</v>
      </c>
      <c r="F224" s="11"/>
    </row>
    <row r="225" customFormat="false" ht="12.8" hidden="false" customHeight="false" outlineLevel="0" collapsed="false">
      <c r="A225" s="42" t="s">
        <v>1012</v>
      </c>
      <c r="B225" s="29" t="n">
        <v>9</v>
      </c>
      <c r="C225" s="30" t="n">
        <v>11.2137208454521</v>
      </c>
      <c r="D225" s="30" t="n">
        <v>32.0926723762206</v>
      </c>
      <c r="E225" s="31" t="n">
        <v>67.4444444444444</v>
      </c>
      <c r="F225" s="11"/>
    </row>
    <row r="226" customFormat="false" ht="12.8" hidden="false" customHeight="false" outlineLevel="0" collapsed="false">
      <c r="A226" s="42" t="s">
        <v>925</v>
      </c>
      <c r="B226" s="29" t="n">
        <v>6</v>
      </c>
      <c r="C226" s="30" t="n">
        <v>6.08390363707382</v>
      </c>
      <c r="D226" s="30" t="n">
        <v>6.82424953635292</v>
      </c>
      <c r="E226" s="31" t="n">
        <v>61</v>
      </c>
      <c r="F226" s="11"/>
    </row>
    <row r="227" customFormat="false" ht="12.8" hidden="false" customHeight="false" outlineLevel="0" collapsed="false">
      <c r="A227" s="42" t="s">
        <v>578</v>
      </c>
      <c r="B227" s="29" t="n">
        <v>9</v>
      </c>
      <c r="C227" s="30" t="n">
        <v>7.38844319050438</v>
      </c>
      <c r="D227" s="30" t="n">
        <v>23.2609853765989</v>
      </c>
      <c r="E227" s="31" t="n">
        <v>78.3333333333333</v>
      </c>
      <c r="F227" s="11"/>
    </row>
    <row r="228" customFormat="false" ht="12.8" hidden="false" customHeight="false" outlineLevel="0" collapsed="false">
      <c r="A228" s="42" t="s">
        <v>903</v>
      </c>
      <c r="B228" s="29" t="n">
        <v>9</v>
      </c>
      <c r="C228" s="30" t="n">
        <v>11.762138254372</v>
      </c>
      <c r="D228" s="30" t="n">
        <v>40.7497791303767</v>
      </c>
      <c r="E228" s="31" t="n">
        <v>64.8888888888889</v>
      </c>
      <c r="F228" s="11"/>
    </row>
    <row r="229" customFormat="false" ht="12.8" hidden="false" customHeight="false" outlineLevel="0" collapsed="false">
      <c r="A229" s="42" t="s">
        <v>1015</v>
      </c>
      <c r="B229" s="29" t="n">
        <v>7</v>
      </c>
      <c r="C229" s="30" t="n">
        <v>5.97489073158041</v>
      </c>
      <c r="D229" s="30" t="n">
        <v>19.4201557600249</v>
      </c>
      <c r="E229" s="31" t="n">
        <v>61</v>
      </c>
      <c r="F229" s="11"/>
    </row>
    <row r="230" customFormat="false" ht="12.8" hidden="false" customHeight="false" outlineLevel="0" collapsed="false">
      <c r="A230" s="42" t="s">
        <v>500</v>
      </c>
      <c r="B230" s="29" t="n">
        <v>9</v>
      </c>
      <c r="C230" s="30" t="n">
        <v>8.33665253811447</v>
      </c>
      <c r="D230" s="30" t="n">
        <v>27.5052841477405</v>
      </c>
      <c r="E230" s="31" t="n">
        <v>65.5555555555556</v>
      </c>
      <c r="F230" s="11"/>
    </row>
    <row r="231" customFormat="false" ht="12.8" hidden="false" customHeight="false" outlineLevel="0" collapsed="false">
      <c r="A231" s="42" t="s">
        <v>509</v>
      </c>
      <c r="B231" s="29" t="n">
        <v>31</v>
      </c>
      <c r="C231" s="30" t="n">
        <v>10.3775586002358</v>
      </c>
      <c r="D231" s="30" t="n">
        <v>27.5323655227411</v>
      </c>
      <c r="E231" s="31" t="n">
        <v>69.741935483871</v>
      </c>
      <c r="F231" s="11"/>
    </row>
    <row r="232" customFormat="false" ht="12.8" hidden="false" customHeight="false" outlineLevel="0" collapsed="false">
      <c r="A232" s="42" t="s">
        <v>1124</v>
      </c>
      <c r="B232" s="29" t="n">
        <v>9</v>
      </c>
      <c r="C232" s="30" t="n">
        <v>15.7967971140879</v>
      </c>
      <c r="D232" s="30" t="n">
        <v>39.3126815449046</v>
      </c>
      <c r="E232" s="31" t="n">
        <v>61</v>
      </c>
      <c r="F232" s="11"/>
    </row>
    <row r="233" customFormat="false" ht="12.8" hidden="false" customHeight="false" outlineLevel="0" collapsed="false">
      <c r="A233" s="42" t="s">
        <v>538</v>
      </c>
      <c r="B233" s="29" t="n">
        <v>10</v>
      </c>
      <c r="C233" s="30" t="n">
        <v>5.84302240697976</v>
      </c>
      <c r="D233" s="30" t="n">
        <v>18.2248281990321</v>
      </c>
      <c r="E233" s="31" t="n">
        <v>69.5</v>
      </c>
      <c r="F233" s="11"/>
    </row>
    <row r="234" customFormat="false" ht="12.8" hidden="false" customHeight="false" outlineLevel="0" collapsed="false">
      <c r="A234" s="42" t="s">
        <v>931</v>
      </c>
      <c r="B234" s="29" t="n">
        <v>3</v>
      </c>
      <c r="C234" s="30" t="n">
        <v>11.9372839692825</v>
      </c>
      <c r="D234" s="30" t="n">
        <v>15.669943166629</v>
      </c>
      <c r="E234" s="31" t="n">
        <v>73.6666666666667</v>
      </c>
      <c r="F234" s="11"/>
    </row>
    <row r="235" customFormat="false" ht="12.8" hidden="false" customHeight="false" outlineLevel="0" collapsed="false">
      <c r="A235" s="42" t="s">
        <v>653</v>
      </c>
      <c r="B235" s="29" t="n">
        <v>8</v>
      </c>
      <c r="C235" s="30" t="n">
        <v>10.6169268626977</v>
      </c>
      <c r="D235" s="30" t="n">
        <v>68.663556179522</v>
      </c>
      <c r="E235" s="31" t="n">
        <v>63.25</v>
      </c>
      <c r="F235" s="11"/>
    </row>
    <row r="236" customFormat="false" ht="12.8" hidden="false" customHeight="false" outlineLevel="0" collapsed="false">
      <c r="A236" s="42" t="s">
        <v>977</v>
      </c>
      <c r="B236" s="29" t="n">
        <v>9</v>
      </c>
      <c r="C236" s="30" t="n">
        <v>8.9592073762283</v>
      </c>
      <c r="D236" s="30" t="n">
        <v>13.4267254412172</v>
      </c>
      <c r="E236" s="31" t="n">
        <v>69.1111111111111</v>
      </c>
      <c r="F236" s="11"/>
    </row>
    <row r="237" customFormat="false" ht="12.8" hidden="false" customHeight="false" outlineLevel="0" collapsed="false">
      <c r="A237" s="42" t="s">
        <v>458</v>
      </c>
      <c r="B237" s="29" t="n">
        <v>8</v>
      </c>
      <c r="C237" s="30" t="n">
        <v>5.96818412656667</v>
      </c>
      <c r="D237" s="30" t="n">
        <v>7.51361956745051</v>
      </c>
      <c r="E237" s="31" t="n">
        <v>64</v>
      </c>
      <c r="F237" s="11"/>
    </row>
    <row r="238" customFormat="false" ht="12.8" hidden="false" customHeight="false" outlineLevel="0" collapsed="false">
      <c r="A238" s="42" t="s">
        <v>594</v>
      </c>
      <c r="B238" s="29" t="n">
        <v>11</v>
      </c>
      <c r="C238" s="30" t="n">
        <v>23.4318293092701</v>
      </c>
      <c r="D238" s="30" t="n">
        <v>53.2713077604406</v>
      </c>
      <c r="E238" s="31" t="n">
        <v>60.4545454545455</v>
      </c>
      <c r="F238" s="11"/>
    </row>
    <row r="239" customFormat="false" ht="12.8" hidden="false" customHeight="false" outlineLevel="0" collapsed="false">
      <c r="A239" s="42" t="s">
        <v>416</v>
      </c>
      <c r="B239" s="29" t="n">
        <v>11</v>
      </c>
      <c r="C239" s="30" t="n">
        <v>2.43979993529905</v>
      </c>
      <c r="D239" s="30" t="n">
        <v>3.46709822270945</v>
      </c>
      <c r="E239" s="31" t="n">
        <v>54.7272727272727</v>
      </c>
      <c r="F239" s="11"/>
    </row>
    <row r="240" customFormat="false" ht="12.8" hidden="false" customHeight="false" outlineLevel="0" collapsed="false">
      <c r="A240" s="42" t="s">
        <v>1127</v>
      </c>
      <c r="B240" s="29" t="n">
        <v>9</v>
      </c>
      <c r="C240" s="30" t="n">
        <v>10.1988930526043</v>
      </c>
      <c r="D240" s="30" t="n">
        <v>24.7216763160322</v>
      </c>
      <c r="E240" s="31" t="n">
        <v>61.1111111111111</v>
      </c>
      <c r="F240" s="11"/>
    </row>
    <row r="241" customFormat="false" ht="12.8" hidden="false" customHeight="false" outlineLevel="0" collapsed="false">
      <c r="A241" s="42" t="s">
        <v>837</v>
      </c>
      <c r="B241" s="29" t="n">
        <v>10</v>
      </c>
      <c r="C241" s="30" t="n">
        <v>8.16181108188453</v>
      </c>
      <c r="D241" s="30" t="n">
        <v>26.4357964999745</v>
      </c>
      <c r="E241" s="31" t="n">
        <v>64.8</v>
      </c>
      <c r="F241" s="11"/>
    </row>
    <row r="242" customFormat="false" ht="12.8" hidden="false" customHeight="false" outlineLevel="0" collapsed="false">
      <c r="A242" s="42" t="s">
        <v>179</v>
      </c>
      <c r="B242" s="29" t="n">
        <v>9</v>
      </c>
      <c r="C242" s="30" t="n">
        <v>4.00797911161697</v>
      </c>
      <c r="D242" s="30" t="n">
        <v>9.84266465948018</v>
      </c>
      <c r="E242" s="31" t="n">
        <v>50.2222222222222</v>
      </c>
      <c r="F242" s="11"/>
    </row>
    <row r="243" customFormat="false" ht="12.8" hidden="false" customHeight="false" outlineLevel="0" collapsed="false">
      <c r="A243" s="42" t="s">
        <v>1216</v>
      </c>
      <c r="B243" s="29" t="n">
        <v>15</v>
      </c>
      <c r="C243" s="30" t="n">
        <v>12.0475718225631</v>
      </c>
      <c r="D243" s="30" t="n">
        <v>40.5533765862494</v>
      </c>
      <c r="E243" s="31" t="n">
        <v>54.1333333333333</v>
      </c>
      <c r="F243" s="11"/>
    </row>
    <row r="244" customFormat="false" ht="12.8" hidden="false" customHeight="false" outlineLevel="0" collapsed="false">
      <c r="A244" s="42" t="s">
        <v>866</v>
      </c>
      <c r="B244" s="29" t="n">
        <v>9</v>
      </c>
      <c r="C244" s="30" t="n">
        <v>7.43150337716323</v>
      </c>
      <c r="D244" s="30" t="n">
        <v>32.6357767390633</v>
      </c>
      <c r="E244" s="31" t="n">
        <v>77.7777777777778</v>
      </c>
      <c r="F244" s="11"/>
    </row>
    <row r="245" customFormat="false" ht="12.8" hidden="false" customHeight="false" outlineLevel="0" collapsed="false">
      <c r="A245" s="42" t="s">
        <v>766</v>
      </c>
      <c r="B245" s="29" t="n">
        <v>9</v>
      </c>
      <c r="C245" s="30" t="n">
        <v>3.7965505167891</v>
      </c>
      <c r="D245" s="30" t="n">
        <v>20.8063184417093</v>
      </c>
      <c r="E245" s="31" t="n">
        <v>63.3333333333333</v>
      </c>
      <c r="F245" s="11"/>
    </row>
    <row r="246" customFormat="false" ht="12.8" hidden="false" customHeight="false" outlineLevel="0" collapsed="false">
      <c r="A246" s="42" t="s">
        <v>541</v>
      </c>
      <c r="B246" s="29" t="n">
        <v>9</v>
      </c>
      <c r="C246" s="30" t="n">
        <v>9.14247498951013</v>
      </c>
      <c r="D246" s="30" t="n">
        <v>25.2976710382111</v>
      </c>
      <c r="E246" s="31" t="n">
        <v>71.8888888888889</v>
      </c>
      <c r="F246" s="11"/>
    </row>
    <row r="247" customFormat="false" ht="12.8" hidden="false" customHeight="false" outlineLevel="0" collapsed="false">
      <c r="A247" s="42" t="s">
        <v>706</v>
      </c>
      <c r="B247" s="29" t="n">
        <v>9</v>
      </c>
      <c r="C247" s="30" t="n">
        <v>8.1481293889707</v>
      </c>
      <c r="D247" s="30" t="n">
        <v>36.6428458858701</v>
      </c>
      <c r="E247" s="31" t="n">
        <v>53.6666666666667</v>
      </c>
      <c r="F247" s="11"/>
    </row>
    <row r="248" customFormat="false" ht="12.8" hidden="false" customHeight="false" outlineLevel="0" collapsed="false">
      <c r="A248" s="42" t="s">
        <v>335</v>
      </c>
      <c r="B248" s="29" t="n">
        <v>9</v>
      </c>
      <c r="C248" s="30" t="n">
        <v>7.06011048253537</v>
      </c>
      <c r="D248" s="30" t="n">
        <v>16.901279781161</v>
      </c>
      <c r="E248" s="31" t="n">
        <v>76.7777777777778</v>
      </c>
      <c r="F248" s="11"/>
    </row>
    <row r="249" customFormat="false" ht="12.8" hidden="false" customHeight="false" outlineLevel="0" collapsed="false">
      <c r="A249" s="42" t="s">
        <v>868</v>
      </c>
      <c r="B249" s="29" t="n">
        <v>9</v>
      </c>
      <c r="C249" s="30" t="n">
        <v>4.82696974064239</v>
      </c>
      <c r="D249" s="30" t="n">
        <v>15.541191411334</v>
      </c>
      <c r="E249" s="31" t="n">
        <v>77.1111111111111</v>
      </c>
      <c r="F249" s="11"/>
    </row>
    <row r="250" customFormat="false" ht="12.8" hidden="false" customHeight="false" outlineLevel="0" collapsed="false">
      <c r="A250" s="42" t="s">
        <v>1166</v>
      </c>
      <c r="B250" s="29" t="n">
        <v>9</v>
      </c>
      <c r="C250" s="30" t="n">
        <v>6.08265344081368</v>
      </c>
      <c r="D250" s="30" t="n">
        <v>19.1639699709595</v>
      </c>
      <c r="E250" s="31" t="n">
        <v>56</v>
      </c>
      <c r="F250" s="11"/>
    </row>
    <row r="251" customFormat="false" ht="12.8" hidden="false" customHeight="false" outlineLevel="0" collapsed="false">
      <c r="A251" s="42" t="s">
        <v>871</v>
      </c>
      <c r="B251" s="29" t="n">
        <v>9</v>
      </c>
      <c r="C251" s="30" t="n">
        <v>4.18578616374071</v>
      </c>
      <c r="D251" s="30" t="n">
        <v>4.47519005460117</v>
      </c>
      <c r="E251" s="31" t="n">
        <v>73.5555555555556</v>
      </c>
      <c r="F251" s="11"/>
    </row>
    <row r="252" customFormat="false" ht="12.8" hidden="false" customHeight="false" outlineLevel="0" collapsed="false">
      <c r="A252" s="42" t="s">
        <v>340</v>
      </c>
      <c r="B252" s="29" t="n">
        <v>9</v>
      </c>
      <c r="C252" s="30" t="n">
        <v>9.45834192414026</v>
      </c>
      <c r="D252" s="30" t="n">
        <v>36.7492786420382</v>
      </c>
      <c r="E252" s="31" t="n">
        <v>74.8888888888889</v>
      </c>
      <c r="F252" s="11"/>
    </row>
    <row r="253" customFormat="false" ht="12.8" hidden="false" customHeight="false" outlineLevel="0" collapsed="false">
      <c r="A253" s="42" t="s">
        <v>1018</v>
      </c>
      <c r="B253" s="29" t="n">
        <v>9</v>
      </c>
      <c r="C253" s="30" t="n">
        <v>7.12198999681465</v>
      </c>
      <c r="D253" s="30" t="n">
        <v>18.7302371473636</v>
      </c>
      <c r="E253" s="31" t="n">
        <v>60.6666666666667</v>
      </c>
      <c r="F253" s="11"/>
    </row>
    <row r="254" customFormat="false" ht="12.8" hidden="false" customHeight="false" outlineLevel="0" collapsed="false">
      <c r="A254" s="42" t="s">
        <v>66</v>
      </c>
      <c r="B254" s="29" t="n">
        <v>9</v>
      </c>
      <c r="C254" s="30" t="n">
        <v>37.8400256731984</v>
      </c>
      <c r="D254" s="30" t="n">
        <v>81.6193574024489</v>
      </c>
      <c r="E254" s="31" t="n">
        <v>44.8888888888889</v>
      </c>
      <c r="F254" s="11"/>
    </row>
    <row r="255" customFormat="false" ht="12.8" hidden="false" customHeight="false" outlineLevel="0" collapsed="false">
      <c r="A255" s="42" t="s">
        <v>346</v>
      </c>
      <c r="B255" s="29" t="n">
        <v>7</v>
      </c>
      <c r="C255" s="30" t="n">
        <v>7.4751815606682</v>
      </c>
      <c r="D255" s="30" t="n">
        <v>38.9922526318118</v>
      </c>
      <c r="E255" s="31" t="n">
        <v>65.2857142857143</v>
      </c>
      <c r="F255" s="11"/>
    </row>
    <row r="256" customFormat="false" ht="12.8" hidden="false" customHeight="false" outlineLevel="0" collapsed="false">
      <c r="A256" s="42" t="s">
        <v>349</v>
      </c>
      <c r="B256" s="29" t="n">
        <v>10</v>
      </c>
      <c r="C256" s="30" t="n">
        <v>6.31051380988123</v>
      </c>
      <c r="D256" s="30" t="n">
        <v>19.8557036950205</v>
      </c>
      <c r="E256" s="31" t="n">
        <v>66</v>
      </c>
      <c r="F256" s="11"/>
    </row>
    <row r="257" customFormat="false" ht="12.8" hidden="false" customHeight="false" outlineLevel="0" collapsed="false">
      <c r="A257" s="42" t="s">
        <v>916</v>
      </c>
      <c r="B257" s="29" t="n">
        <v>9</v>
      </c>
      <c r="C257" s="30" t="n">
        <v>4.81480447477163</v>
      </c>
      <c r="D257" s="30" t="n">
        <v>10.5232615198952</v>
      </c>
      <c r="E257" s="31" t="n">
        <v>65.7777777777778</v>
      </c>
      <c r="F257" s="11"/>
    </row>
    <row r="258" customFormat="false" ht="12.8" hidden="false" customHeight="false" outlineLevel="0" collapsed="false">
      <c r="A258" s="42" t="s">
        <v>1130</v>
      </c>
      <c r="B258" s="29" t="n">
        <v>9</v>
      </c>
      <c r="C258" s="30" t="n">
        <v>15.81862141828</v>
      </c>
      <c r="D258" s="30" t="n">
        <v>66.4654776734754</v>
      </c>
      <c r="E258" s="31" t="n">
        <v>57.1111111111111</v>
      </c>
      <c r="F258" s="11"/>
    </row>
    <row r="259" customFormat="false" ht="12.8" hidden="false" customHeight="false" outlineLevel="0" collapsed="false">
      <c r="A259" s="42" t="s">
        <v>1099</v>
      </c>
      <c r="B259" s="29" t="n">
        <v>9</v>
      </c>
      <c r="C259" s="30" t="n">
        <v>8.17136321829465</v>
      </c>
      <c r="D259" s="30" t="n">
        <v>19.3002948438897</v>
      </c>
      <c r="E259" s="31" t="n">
        <v>62</v>
      </c>
      <c r="F259" s="11"/>
    </row>
    <row r="260" customFormat="false" ht="12.8" hidden="false" customHeight="false" outlineLevel="0" collapsed="false">
      <c r="A260" s="42" t="s">
        <v>274</v>
      </c>
      <c r="B260" s="29" t="n">
        <v>8</v>
      </c>
      <c r="C260" s="30" t="n">
        <v>4.37442271884957</v>
      </c>
      <c r="D260" s="30" t="n">
        <v>7.62003164383342</v>
      </c>
      <c r="E260" s="31" t="n">
        <v>67.625</v>
      </c>
      <c r="F260" s="11"/>
    </row>
    <row r="261" customFormat="false" ht="12.8" hidden="false" customHeight="false" outlineLevel="0" collapsed="false">
      <c r="A261" s="42" t="s">
        <v>352</v>
      </c>
      <c r="B261" s="29" t="n">
        <v>9</v>
      </c>
      <c r="C261" s="30" t="n">
        <v>4.68727818044938</v>
      </c>
      <c r="D261" s="30" t="n">
        <v>11.070883673177</v>
      </c>
      <c r="E261" s="31" t="n">
        <v>72.1111111111111</v>
      </c>
      <c r="F261" s="11"/>
    </row>
    <row r="262" customFormat="false" ht="12.8" hidden="false" customHeight="false" outlineLevel="0" collapsed="false">
      <c r="A262" s="42" t="s">
        <v>919</v>
      </c>
      <c r="B262" s="29" t="n">
        <v>9</v>
      </c>
      <c r="C262" s="30" t="n">
        <v>8.35765461745378</v>
      </c>
      <c r="D262" s="30" t="n">
        <v>19.8183098485104</v>
      </c>
      <c r="E262" s="31" t="n">
        <v>48.5555555555556</v>
      </c>
      <c r="F262" s="11"/>
    </row>
    <row r="263" customFormat="false" ht="12.8" hidden="false" customHeight="false" outlineLevel="0" collapsed="false">
      <c r="A263" s="42" t="s">
        <v>99</v>
      </c>
      <c r="B263" s="29" t="n">
        <v>9</v>
      </c>
      <c r="C263" s="30" t="n">
        <v>11.4069266254662</v>
      </c>
      <c r="D263" s="30" t="n">
        <v>37.5820360230249</v>
      </c>
      <c r="E263" s="31" t="n">
        <v>70.1111111111111</v>
      </c>
      <c r="F263" s="11"/>
    </row>
    <row r="264" customFormat="false" ht="12.8" hidden="false" customHeight="false" outlineLevel="0" collapsed="false">
      <c r="A264" s="42" t="s">
        <v>602</v>
      </c>
      <c r="B264" s="29" t="n">
        <v>18</v>
      </c>
      <c r="C264" s="30" t="n">
        <v>10.3324070702587</v>
      </c>
      <c r="D264" s="30" t="n">
        <v>33.7264924548712</v>
      </c>
      <c r="E264" s="31" t="n">
        <v>55.6666666666667</v>
      </c>
      <c r="F264" s="11"/>
    </row>
    <row r="265" customFormat="false" ht="12.8" hidden="false" customHeight="false" outlineLevel="0" collapsed="false">
      <c r="A265" s="42" t="s">
        <v>35</v>
      </c>
      <c r="B265" s="29" t="n">
        <v>10</v>
      </c>
      <c r="C265" s="30" t="n">
        <v>9.04552643194892</v>
      </c>
      <c r="D265" s="30" t="n">
        <v>34.4523904923494</v>
      </c>
      <c r="E265" s="31" t="n">
        <v>65</v>
      </c>
      <c r="F265" s="11"/>
    </row>
    <row r="266" customFormat="false" ht="12.8" hidden="false" customHeight="false" outlineLevel="0" collapsed="false">
      <c r="A266" s="42" t="s">
        <v>354</v>
      </c>
      <c r="B266" s="29" t="n">
        <v>9</v>
      </c>
      <c r="C266" s="30" t="n">
        <v>7.27079005063849</v>
      </c>
      <c r="D266" s="30" t="n">
        <v>18.6881277127211</v>
      </c>
      <c r="E266" s="31" t="n">
        <v>54.6666666666667</v>
      </c>
      <c r="F266" s="11"/>
    </row>
    <row r="267" customFormat="false" ht="12.8" hidden="false" customHeight="false" outlineLevel="0" collapsed="false">
      <c r="A267" s="42" t="s">
        <v>1169</v>
      </c>
      <c r="B267" s="29" t="n">
        <v>9</v>
      </c>
      <c r="C267" s="30" t="n">
        <v>5.75498716413981</v>
      </c>
      <c r="D267" s="30" t="n">
        <v>10.4413801283916</v>
      </c>
      <c r="E267" s="31" t="n">
        <v>61.7777777777778</v>
      </c>
      <c r="F267" s="11"/>
    </row>
    <row r="268" customFormat="false" ht="12.8" hidden="false" customHeight="false" outlineLevel="0" collapsed="false">
      <c r="A268" s="42" t="s">
        <v>840</v>
      </c>
      <c r="B268" s="29" t="n">
        <v>10</v>
      </c>
      <c r="C268" s="30" t="n">
        <v>9.27432264263486</v>
      </c>
      <c r="D268" s="30" t="n">
        <v>23.573568155717</v>
      </c>
      <c r="E268" s="31" t="n">
        <v>70.4</v>
      </c>
      <c r="F268" s="11"/>
    </row>
    <row r="269" customFormat="false" ht="12.8" hidden="false" customHeight="false" outlineLevel="0" collapsed="false">
      <c r="A269" s="42" t="s">
        <v>360</v>
      </c>
      <c r="B269" s="29" t="n">
        <v>9</v>
      </c>
      <c r="C269" s="30" t="n">
        <v>3.79422640425228</v>
      </c>
      <c r="D269" s="30" t="n">
        <v>15.9309965771502</v>
      </c>
      <c r="E269" s="31" t="n">
        <v>71.6666666666667</v>
      </c>
      <c r="F269" s="11"/>
    </row>
    <row r="270" customFormat="false" ht="12.8" hidden="false" customHeight="false" outlineLevel="0" collapsed="false">
      <c r="A270" s="42" t="s">
        <v>845</v>
      </c>
      <c r="B270" s="29" t="n">
        <v>6</v>
      </c>
      <c r="C270" s="30" t="n">
        <v>5.73031619494788</v>
      </c>
      <c r="D270" s="30" t="n">
        <v>10.6502399650211</v>
      </c>
      <c r="E270" s="31" t="n">
        <v>73.6666666666667</v>
      </c>
      <c r="F270" s="11"/>
    </row>
    <row r="271" customFormat="false" ht="12.8" hidden="false" customHeight="false" outlineLevel="0" collapsed="false">
      <c r="A271" s="42" t="s">
        <v>668</v>
      </c>
      <c r="B271" s="29" t="n">
        <v>10</v>
      </c>
      <c r="C271" s="30" t="n">
        <v>6.08529719070021</v>
      </c>
      <c r="D271" s="30" t="n">
        <v>45.6710475267941</v>
      </c>
      <c r="E271" s="31" t="n">
        <v>63.5</v>
      </c>
      <c r="F271" s="11"/>
    </row>
    <row r="272" customFormat="false" ht="12.8" hidden="false" customHeight="false" outlineLevel="0" collapsed="false">
      <c r="A272" s="42" t="s">
        <v>1144</v>
      </c>
      <c r="B272" s="29" t="n">
        <v>9</v>
      </c>
      <c r="C272" s="30" t="n">
        <v>10.6616402063223</v>
      </c>
      <c r="D272" s="30" t="n">
        <v>42.6954914608076</v>
      </c>
      <c r="E272" s="31" t="n">
        <v>52.3333333333333</v>
      </c>
      <c r="F272" s="11"/>
    </row>
    <row r="273" customFormat="false" ht="12.8" hidden="false" customHeight="false" outlineLevel="0" collapsed="false">
      <c r="A273" s="42" t="s">
        <v>1057</v>
      </c>
      <c r="B273" s="29" t="n">
        <v>9</v>
      </c>
      <c r="C273" s="30" t="n">
        <v>9.12276434449529</v>
      </c>
      <c r="D273" s="30" t="n">
        <v>46.4486127395903</v>
      </c>
      <c r="E273" s="31" t="n">
        <v>71</v>
      </c>
      <c r="F273" s="11"/>
    </row>
    <row r="274" customFormat="false" ht="12.8" hidden="false" customHeight="false" outlineLevel="0" collapsed="false">
      <c r="A274" s="42" t="s">
        <v>772</v>
      </c>
      <c r="B274" s="29" t="n">
        <v>9</v>
      </c>
      <c r="C274" s="30" t="n">
        <v>11.9274779923074</v>
      </c>
      <c r="D274" s="30" t="n">
        <v>46.8651265099174</v>
      </c>
      <c r="E274" s="31" t="n">
        <v>67.2222222222222</v>
      </c>
      <c r="F274" s="11"/>
    </row>
    <row r="275" customFormat="false" ht="12.8" hidden="false" customHeight="false" outlineLevel="0" collapsed="false">
      <c r="A275" s="42" t="s">
        <v>969</v>
      </c>
      <c r="B275" s="29" t="n">
        <v>9</v>
      </c>
      <c r="C275" s="30" t="n">
        <v>7.75350103045273</v>
      </c>
      <c r="D275" s="30" t="n">
        <v>19.1687152860372</v>
      </c>
      <c r="E275" s="31" t="n">
        <v>67.3333333333333</v>
      </c>
      <c r="F275" s="11"/>
    </row>
    <row r="276" customFormat="false" ht="12.8" hidden="false" customHeight="false" outlineLevel="0" collapsed="false">
      <c r="A276" s="42" t="s">
        <v>131</v>
      </c>
      <c r="B276" s="29" t="n">
        <v>9</v>
      </c>
      <c r="C276" s="30" t="n">
        <v>36.8196157573831</v>
      </c>
      <c r="D276" s="30" t="n">
        <v>197.121022121003</v>
      </c>
      <c r="E276" s="31" t="n">
        <v>58.1111111111111</v>
      </c>
      <c r="F276" s="11"/>
    </row>
    <row r="277" customFormat="false" ht="12.8" hidden="false" customHeight="false" outlineLevel="0" collapsed="false">
      <c r="A277" s="42" t="s">
        <v>775</v>
      </c>
      <c r="B277" s="29" t="n">
        <v>10</v>
      </c>
      <c r="C277" s="30" t="n">
        <v>7.73146590288196</v>
      </c>
      <c r="D277" s="30" t="n">
        <v>28.8132363558589</v>
      </c>
      <c r="E277" s="31" t="n">
        <v>63.8</v>
      </c>
      <c r="F277" s="11"/>
    </row>
    <row r="278" customFormat="false" ht="12.8" hidden="false" customHeight="false" outlineLevel="0" collapsed="false">
      <c r="A278" s="42" t="s">
        <v>843</v>
      </c>
      <c r="B278" s="29" t="n">
        <v>9</v>
      </c>
      <c r="C278" s="30" t="n">
        <v>4.71371621814187</v>
      </c>
      <c r="D278" s="30" t="n">
        <v>18.4900549676278</v>
      </c>
      <c r="E278" s="31" t="n">
        <v>60.4444444444444</v>
      </c>
      <c r="F278" s="11"/>
    </row>
    <row r="279" customFormat="false" ht="12.8" hidden="false" customHeight="false" outlineLevel="0" collapsed="false">
      <c r="A279" s="42" t="s">
        <v>711</v>
      </c>
      <c r="B279" s="29" t="n">
        <v>8</v>
      </c>
      <c r="C279" s="30" t="n">
        <v>21.6990085429874</v>
      </c>
      <c r="D279" s="30" t="n">
        <v>51.686848532011</v>
      </c>
      <c r="E279" s="31" t="n">
        <v>57.875</v>
      </c>
      <c r="F279" s="11"/>
    </row>
    <row r="280" customFormat="false" ht="12.8" hidden="false" customHeight="false" outlineLevel="0" collapsed="false">
      <c r="A280" s="42" t="s">
        <v>1075</v>
      </c>
      <c r="B280" s="29" t="n">
        <v>9</v>
      </c>
      <c r="C280" s="30" t="n">
        <v>4.52688725309477</v>
      </c>
      <c r="D280" s="30" t="n">
        <v>9.07365264177952</v>
      </c>
      <c r="E280" s="31" t="n">
        <v>61.2222222222222</v>
      </c>
      <c r="F280" s="11"/>
    </row>
    <row r="281" customFormat="false" ht="12.8" hidden="false" customHeight="false" outlineLevel="0" collapsed="false">
      <c r="A281" s="42" t="s">
        <v>892</v>
      </c>
      <c r="B281" s="29" t="n">
        <v>10</v>
      </c>
      <c r="C281" s="30" t="n">
        <v>14.7639545826646</v>
      </c>
      <c r="D281" s="30" t="n">
        <v>66.9310358314842</v>
      </c>
      <c r="E281" s="31" t="n">
        <v>65.2</v>
      </c>
      <c r="F281" s="11"/>
    </row>
    <row r="282" customFormat="false" ht="12.8" hidden="false" customHeight="false" outlineLevel="0" collapsed="false">
      <c r="A282" s="42" t="s">
        <v>1133</v>
      </c>
      <c r="B282" s="29" t="n">
        <v>9</v>
      </c>
      <c r="C282" s="30" t="n">
        <v>8.73399365384669</v>
      </c>
      <c r="D282" s="30" t="n">
        <v>39.7775297225512</v>
      </c>
      <c r="E282" s="31" t="n">
        <v>59.5555555555556</v>
      </c>
      <c r="F282" s="11"/>
    </row>
    <row r="283" customFormat="false" ht="12.8" hidden="false" customHeight="false" outlineLevel="0" collapsed="false">
      <c r="A283" s="42" t="s">
        <v>656</v>
      </c>
      <c r="B283" s="29" t="n">
        <v>10</v>
      </c>
      <c r="C283" s="30" t="n">
        <v>10.6720585148576</v>
      </c>
      <c r="D283" s="30" t="n">
        <v>61.8517484509517</v>
      </c>
      <c r="E283" s="31" t="n">
        <v>78.8</v>
      </c>
      <c r="F283" s="11"/>
    </row>
    <row r="284" customFormat="false" ht="12.8" hidden="false" customHeight="false" outlineLevel="0" collapsed="false">
      <c r="A284" s="42" t="s">
        <v>801</v>
      </c>
      <c r="B284" s="29" t="n">
        <v>9</v>
      </c>
      <c r="C284" s="30" t="n">
        <v>8.17673200043834</v>
      </c>
      <c r="D284" s="30" t="n">
        <v>32.7063432100239</v>
      </c>
      <c r="E284" s="31" t="n">
        <v>49.1111111111111</v>
      </c>
      <c r="F284" s="11"/>
    </row>
    <row r="285" customFormat="false" ht="12.8" hidden="false" customHeight="false" outlineLevel="0" collapsed="false">
      <c r="A285" s="42" t="s">
        <v>1111</v>
      </c>
      <c r="B285" s="29" t="n">
        <v>10</v>
      </c>
      <c r="C285" s="30" t="n">
        <v>5.78622261524142</v>
      </c>
      <c r="D285" s="30" t="n">
        <v>13.2129464341663</v>
      </c>
      <c r="E285" s="31" t="n">
        <v>62.4</v>
      </c>
      <c r="F285" s="11"/>
    </row>
    <row r="286" customFormat="false" ht="12.8" hidden="false" customHeight="false" outlineLevel="0" collapsed="false">
      <c r="A286" s="42" t="s">
        <v>184</v>
      </c>
      <c r="B286" s="29" t="n">
        <v>9</v>
      </c>
      <c r="C286" s="30" t="n">
        <v>9.84848436188547</v>
      </c>
      <c r="D286" s="30" t="n">
        <v>33.4360438663406</v>
      </c>
      <c r="E286" s="31" t="n">
        <v>59.6666666666667</v>
      </c>
      <c r="F286" s="11"/>
    </row>
    <row r="287" customFormat="false" ht="12.8" hidden="false" customHeight="false" outlineLevel="0" collapsed="false">
      <c r="A287" s="42" t="s">
        <v>605</v>
      </c>
      <c r="B287" s="29" t="n">
        <v>9</v>
      </c>
      <c r="C287" s="30" t="n">
        <v>7.10252632673998</v>
      </c>
      <c r="D287" s="30" t="n">
        <v>27.1834057213683</v>
      </c>
      <c r="E287" s="31" t="n">
        <v>71.2222222222222</v>
      </c>
      <c r="F287" s="11"/>
    </row>
    <row r="288" customFormat="false" ht="12.8" hidden="false" customHeight="false" outlineLevel="0" collapsed="false">
      <c r="A288" s="42" t="s">
        <v>419</v>
      </c>
      <c r="B288" s="29" t="n">
        <v>9</v>
      </c>
      <c r="C288" s="30" t="n">
        <v>5.05487206871529</v>
      </c>
      <c r="D288" s="30" t="n">
        <v>17.2994657357259</v>
      </c>
      <c r="E288" s="31" t="n">
        <v>72.6666666666667</v>
      </c>
      <c r="F288" s="11"/>
    </row>
    <row r="289" customFormat="false" ht="12.8" hidden="false" customHeight="false" outlineLevel="0" collapsed="false">
      <c r="A289" s="42" t="s">
        <v>671</v>
      </c>
      <c r="B289" s="29" t="n">
        <v>8</v>
      </c>
      <c r="C289" s="30" t="n">
        <v>9.62856542561558</v>
      </c>
      <c r="D289" s="30" t="n">
        <v>49.9842835196102</v>
      </c>
      <c r="E289" s="31" t="n">
        <v>53.625</v>
      </c>
      <c r="F289" s="11"/>
    </row>
    <row r="290" customFormat="false" ht="12.8" hidden="false" customHeight="false" outlineLevel="0" collapsed="false">
      <c r="A290" s="42" t="s">
        <v>368</v>
      </c>
      <c r="B290" s="29" t="n">
        <v>9</v>
      </c>
      <c r="C290" s="30" t="n">
        <v>7.81072260153263</v>
      </c>
      <c r="D290" s="30" t="n">
        <v>30.3861725550034</v>
      </c>
      <c r="E290" s="31" t="n">
        <v>64.5555555555556</v>
      </c>
      <c r="F290" s="11"/>
    </row>
    <row r="291" customFormat="false" ht="12.8" hidden="false" customHeight="false" outlineLevel="0" collapsed="false">
      <c r="A291" s="42" t="s">
        <v>804</v>
      </c>
      <c r="B291" s="29" t="n">
        <v>4</v>
      </c>
      <c r="C291" s="30" t="n">
        <v>9.73450482913967</v>
      </c>
      <c r="D291" s="30" t="n">
        <v>10.3642135831088</v>
      </c>
      <c r="E291" s="31" t="n">
        <v>57.75</v>
      </c>
      <c r="F291" s="11"/>
    </row>
    <row r="292" customFormat="false" ht="12.8" hidden="false" customHeight="false" outlineLevel="0" collapsed="false">
      <c r="A292" s="42" t="s">
        <v>714</v>
      </c>
      <c r="B292" s="29" t="n">
        <v>9</v>
      </c>
      <c r="C292" s="30" t="n">
        <v>8.5531088362396</v>
      </c>
      <c r="D292" s="30" t="n">
        <v>32.121225985657</v>
      </c>
      <c r="E292" s="31" t="n">
        <v>63</v>
      </c>
      <c r="F292" s="11"/>
    </row>
    <row r="293" customFormat="false" ht="12.8" hidden="false" customHeight="false" outlineLevel="0" collapsed="false">
      <c r="A293" s="42" t="s">
        <v>677</v>
      </c>
      <c r="B293" s="29" t="n">
        <v>14</v>
      </c>
      <c r="C293" s="30" t="n">
        <v>18.8615277002196</v>
      </c>
      <c r="D293" s="30" t="n">
        <v>134.749714457199</v>
      </c>
      <c r="E293" s="31" t="n">
        <v>54.1428571428571</v>
      </c>
      <c r="F293" s="11"/>
    </row>
    <row r="294" customFormat="false" ht="12.8" hidden="false" customHeight="false" outlineLevel="0" collapsed="false">
      <c r="A294" s="42" t="s">
        <v>674</v>
      </c>
      <c r="B294" s="29" t="n">
        <v>9</v>
      </c>
      <c r="C294" s="30" t="n">
        <v>7.09152851849556</v>
      </c>
      <c r="D294" s="30" t="n">
        <v>18.3653741311618</v>
      </c>
      <c r="E294" s="31" t="n">
        <v>65.5555555555556</v>
      </c>
      <c r="F294" s="11"/>
    </row>
    <row r="295" customFormat="false" ht="12.8" hidden="false" customHeight="false" outlineLevel="0" collapsed="false">
      <c r="A295" s="42" t="s">
        <v>777</v>
      </c>
      <c r="B295" s="29" t="n">
        <v>9</v>
      </c>
      <c r="C295" s="30" t="n">
        <v>10.2776368680428</v>
      </c>
      <c r="D295" s="30" t="n">
        <v>45.238781996909</v>
      </c>
      <c r="E295" s="31" t="n">
        <v>64.1111111111111</v>
      </c>
      <c r="F295" s="11"/>
    </row>
    <row r="296" customFormat="false" ht="12.8" hidden="false" customHeight="false" outlineLevel="0" collapsed="false">
      <c r="A296" s="42" t="s">
        <v>813</v>
      </c>
      <c r="B296" s="29" t="n">
        <v>8</v>
      </c>
      <c r="C296" s="30" t="n">
        <v>12.0111960237436</v>
      </c>
      <c r="D296" s="30" t="n">
        <v>60.7204580856664</v>
      </c>
      <c r="E296" s="31" t="n">
        <v>59.75</v>
      </c>
      <c r="F296" s="11"/>
    </row>
    <row r="297" customFormat="false" ht="12.8" hidden="false" customHeight="false" outlineLevel="0" collapsed="false">
      <c r="A297" s="42" t="s">
        <v>971</v>
      </c>
      <c r="B297" s="29" t="n">
        <v>9</v>
      </c>
      <c r="C297" s="30" t="n">
        <v>13.7676557236484</v>
      </c>
      <c r="D297" s="30" t="n">
        <v>17.9021783434514</v>
      </c>
      <c r="E297" s="31" t="n">
        <v>60.5555555555556</v>
      </c>
      <c r="F297" s="11"/>
    </row>
    <row r="298" customFormat="false" ht="12.8" hidden="false" customHeight="false" outlineLevel="0" collapsed="false">
      <c r="A298" s="42" t="s">
        <v>1178</v>
      </c>
      <c r="B298" s="29" t="n">
        <v>9</v>
      </c>
      <c r="C298" s="30" t="n">
        <v>6.83627691847547</v>
      </c>
      <c r="D298" s="30" t="n">
        <v>20.8702675855242</v>
      </c>
      <c r="E298" s="31" t="n">
        <v>63.3333333333333</v>
      </c>
      <c r="F298" s="11"/>
    </row>
    <row r="299" customFormat="false" ht="12.8" hidden="false" customHeight="false" outlineLevel="0" collapsed="false">
      <c r="A299" s="42" t="s">
        <v>549</v>
      </c>
      <c r="B299" s="29" t="n">
        <v>9</v>
      </c>
      <c r="C299" s="30" t="n">
        <v>4.56706516047532</v>
      </c>
      <c r="D299" s="30" t="n">
        <v>12.3466402814112</v>
      </c>
      <c r="E299" s="31" t="n">
        <v>71.5555555555556</v>
      </c>
      <c r="F299" s="11"/>
    </row>
    <row r="300" customFormat="false" ht="12.8" hidden="false" customHeight="false" outlineLevel="0" collapsed="false">
      <c r="A300" s="42" t="s">
        <v>848</v>
      </c>
      <c r="B300" s="29" t="n">
        <v>8</v>
      </c>
      <c r="C300" s="30" t="n">
        <v>11.6336147269934</v>
      </c>
      <c r="D300" s="30" t="n">
        <v>37.5356981769434</v>
      </c>
      <c r="E300" s="31" t="n">
        <v>61.875</v>
      </c>
      <c r="F300" s="11"/>
    </row>
    <row r="301" customFormat="false" ht="12.8" hidden="false" customHeight="false" outlineLevel="0" collapsed="false">
      <c r="A301" s="42" t="s">
        <v>851</v>
      </c>
      <c r="B301" s="29" t="n">
        <v>9</v>
      </c>
      <c r="C301" s="30" t="n">
        <v>4.85724961565717</v>
      </c>
      <c r="D301" s="30" t="n">
        <v>8.12222441494255</v>
      </c>
      <c r="E301" s="31" t="n">
        <v>71.8888888888889</v>
      </c>
      <c r="F301" s="11"/>
    </row>
    <row r="302" customFormat="false" ht="12.8" hidden="false" customHeight="false" outlineLevel="0" collapsed="false">
      <c r="A302" s="42" t="s">
        <v>373</v>
      </c>
      <c r="B302" s="29" t="n">
        <v>10</v>
      </c>
      <c r="C302" s="30" t="n">
        <v>8.69077876477946</v>
      </c>
      <c r="D302" s="30" t="n">
        <v>19.7069118324673</v>
      </c>
      <c r="E302" s="31" t="n">
        <v>57.7</v>
      </c>
      <c r="F302" s="11"/>
    </row>
    <row r="303" customFormat="false" ht="12.8" hidden="false" customHeight="false" outlineLevel="0" collapsed="false">
      <c r="A303" s="42" t="s">
        <v>876</v>
      </c>
      <c r="B303" s="29" t="n">
        <v>9</v>
      </c>
      <c r="C303" s="30" t="n">
        <v>12.0486309420678</v>
      </c>
      <c r="D303" s="30" t="n">
        <v>28.0507448361089</v>
      </c>
      <c r="E303" s="31" t="n">
        <v>86.2222222222222</v>
      </c>
      <c r="F303" s="11"/>
    </row>
    <row r="304" customFormat="false" ht="12.8" hidden="false" customHeight="false" outlineLevel="0" collapsed="false">
      <c r="A304" s="42" t="s">
        <v>376</v>
      </c>
      <c r="B304" s="29" t="n">
        <v>9</v>
      </c>
      <c r="C304" s="30" t="n">
        <v>6.48472265281698</v>
      </c>
      <c r="D304" s="30" t="n">
        <v>18.7290730237072</v>
      </c>
      <c r="E304" s="31" t="n">
        <v>61.7777777777778</v>
      </c>
      <c r="F304" s="11"/>
    </row>
    <row r="305" customFormat="false" ht="12.8" hidden="false" customHeight="false" outlineLevel="0" collapsed="false">
      <c r="A305" s="42" t="s">
        <v>269</v>
      </c>
      <c r="B305" s="29" t="n">
        <v>9</v>
      </c>
      <c r="C305" s="30" t="n">
        <v>4.6812805753356</v>
      </c>
      <c r="D305" s="30" t="n">
        <v>15.046490120445</v>
      </c>
      <c r="E305" s="31" t="n">
        <v>64.5555555555556</v>
      </c>
      <c r="F305" s="11"/>
    </row>
    <row r="306" customFormat="false" ht="12.8" hidden="false" customHeight="false" outlineLevel="0" collapsed="false">
      <c r="A306" s="42" t="s">
        <v>780</v>
      </c>
      <c r="B306" s="29" t="n">
        <v>9</v>
      </c>
      <c r="C306" s="30" t="n">
        <v>7.68336842471842</v>
      </c>
      <c r="D306" s="30" t="n">
        <v>34.6137675375666</v>
      </c>
      <c r="E306" s="31" t="n">
        <v>71</v>
      </c>
      <c r="F306" s="11"/>
    </row>
    <row r="307" customFormat="false" ht="12.8" hidden="false" customHeight="false" outlineLevel="0" collapsed="false">
      <c r="A307" s="42" t="s">
        <v>659</v>
      </c>
      <c r="B307" s="29" t="n">
        <v>8</v>
      </c>
      <c r="C307" s="30" t="n">
        <v>7.70045156771935</v>
      </c>
      <c r="D307" s="30" t="n">
        <v>16.3487613808932</v>
      </c>
      <c r="E307" s="31" t="n">
        <v>71.375</v>
      </c>
      <c r="F307" s="11"/>
    </row>
    <row r="308" customFormat="false" ht="12.8" hidden="false" customHeight="false" outlineLevel="0" collapsed="false">
      <c r="A308" s="42" t="s">
        <v>1033</v>
      </c>
      <c r="B308" s="29" t="n">
        <v>8</v>
      </c>
      <c r="C308" s="30" t="n">
        <v>8.88500084513327</v>
      </c>
      <c r="D308" s="30" t="n">
        <v>33.9262171612066</v>
      </c>
      <c r="E308" s="31" t="n">
        <v>58.375</v>
      </c>
      <c r="F308" s="11"/>
    </row>
    <row r="309" customFormat="false" ht="12.8" hidden="false" customHeight="false" outlineLevel="0" collapsed="false">
      <c r="A309" s="42" t="s">
        <v>1021</v>
      </c>
      <c r="B309" s="29" t="n">
        <v>9</v>
      </c>
      <c r="C309" s="30" t="n">
        <v>7.99364482673022</v>
      </c>
      <c r="D309" s="30" t="n">
        <v>24.4468764013087</v>
      </c>
      <c r="E309" s="31" t="n">
        <v>72.4444444444444</v>
      </c>
      <c r="F309" s="11"/>
    </row>
    <row r="310" customFormat="false" ht="12.8" hidden="false" customHeight="false" outlineLevel="0" collapsed="false">
      <c r="A310" s="42" t="s">
        <v>544</v>
      </c>
      <c r="B310" s="29" t="n">
        <v>9</v>
      </c>
      <c r="C310" s="30" t="n">
        <v>5.34045947290588</v>
      </c>
      <c r="D310" s="30" t="n">
        <v>19.7229501121715</v>
      </c>
      <c r="E310" s="31" t="n">
        <v>57.3333333333333</v>
      </c>
      <c r="F310" s="11"/>
    </row>
    <row r="311" customFormat="false" ht="12.8" hidden="false" customHeight="false" outlineLevel="0" collapsed="false">
      <c r="A311" s="42" t="s">
        <v>716</v>
      </c>
      <c r="B311" s="29" t="n">
        <v>9</v>
      </c>
      <c r="C311" s="30" t="n">
        <v>12.7755962712105</v>
      </c>
      <c r="D311" s="30" t="n">
        <v>74.1410938479007</v>
      </c>
      <c r="E311" s="31" t="n">
        <v>70.1111111111111</v>
      </c>
      <c r="F311" s="11"/>
    </row>
    <row r="312" customFormat="false" ht="12.8" hidden="false" customHeight="false" outlineLevel="0" collapsed="false">
      <c r="A312" s="42" t="s">
        <v>1048</v>
      </c>
      <c r="B312" s="29" t="n">
        <v>5</v>
      </c>
      <c r="C312" s="30" t="n">
        <v>23.5006043039115</v>
      </c>
      <c r="D312" s="30" t="n">
        <v>48.1327531600386</v>
      </c>
      <c r="E312" s="31" t="n">
        <v>50.6</v>
      </c>
      <c r="F312" s="11"/>
    </row>
    <row r="313" customFormat="false" ht="12.8" hidden="false" customHeight="false" outlineLevel="0" collapsed="false">
      <c r="A313" s="42" t="s">
        <v>922</v>
      </c>
      <c r="B313" s="29" t="n">
        <v>10</v>
      </c>
      <c r="C313" s="30" t="n">
        <v>11.2400309596589</v>
      </c>
      <c r="D313" s="30" t="n">
        <v>25.4147092448143</v>
      </c>
      <c r="E313" s="31" t="n">
        <v>61.1</v>
      </c>
      <c r="F313" s="11"/>
    </row>
    <row r="314" customFormat="false" ht="12.8" hidden="false" customHeight="false" outlineLevel="0" collapsed="false">
      <c r="A314" s="42" t="s">
        <v>133</v>
      </c>
      <c r="B314" s="29" t="n">
        <v>9</v>
      </c>
      <c r="C314" s="30" t="n">
        <v>9.75881237003682</v>
      </c>
      <c r="D314" s="30" t="n">
        <v>45.0020403135168</v>
      </c>
      <c r="E314" s="31" t="n">
        <v>68.3333333333333</v>
      </c>
      <c r="F314" s="11"/>
    </row>
    <row r="315" customFormat="false" ht="12.8" hidden="false" customHeight="false" outlineLevel="0" collapsed="false">
      <c r="A315" s="42" t="s">
        <v>555</v>
      </c>
      <c r="B315" s="29" t="n">
        <v>9</v>
      </c>
      <c r="C315" s="30" t="n">
        <v>4.98127625934571</v>
      </c>
      <c r="D315" s="30" t="n">
        <v>16.6949232347222</v>
      </c>
      <c r="E315" s="31" t="n">
        <v>67.5555555555556</v>
      </c>
      <c r="F315" s="11"/>
    </row>
    <row r="316" customFormat="false" ht="12.8" hidden="false" customHeight="false" outlineLevel="0" collapsed="false">
      <c r="A316" s="42" t="s">
        <v>996</v>
      </c>
      <c r="B316" s="29" t="n">
        <v>9</v>
      </c>
      <c r="C316" s="30" t="n">
        <v>8.38229895368</v>
      </c>
      <c r="D316" s="30" t="n">
        <v>16.5827583953181</v>
      </c>
      <c r="E316" s="31" t="n">
        <v>69.7777777777778</v>
      </c>
      <c r="F316" s="11"/>
    </row>
    <row r="317" customFormat="false" ht="12.8" hidden="false" customHeight="false" outlineLevel="0" collapsed="false">
      <c r="A317" s="42" t="s">
        <v>1024</v>
      </c>
      <c r="B317" s="29" t="n">
        <v>9</v>
      </c>
      <c r="C317" s="30" t="n">
        <v>6.87306597240368</v>
      </c>
      <c r="D317" s="30" t="n">
        <v>24.1225052688125</v>
      </c>
      <c r="E317" s="31" t="n">
        <v>62.4444444444444</v>
      </c>
      <c r="F317" s="11"/>
    </row>
    <row r="318" customFormat="false" ht="12.8" hidden="false" customHeight="false" outlineLevel="0" collapsed="false">
      <c r="A318" s="42" t="s">
        <v>234</v>
      </c>
      <c r="B318" s="29" t="n">
        <v>26</v>
      </c>
      <c r="C318" s="30" t="n">
        <v>6.73670081350037</v>
      </c>
      <c r="D318" s="30" t="n">
        <v>37.0123692069555</v>
      </c>
      <c r="E318" s="31" t="n">
        <v>62.1923076923077</v>
      </c>
      <c r="F318" s="11"/>
    </row>
    <row r="319" customFormat="false" ht="12.8" hidden="false" customHeight="false" outlineLevel="0" collapsed="false">
      <c r="A319" s="42" t="s">
        <v>1039</v>
      </c>
      <c r="B319" s="29" t="n">
        <v>9</v>
      </c>
      <c r="C319" s="30" t="n">
        <v>10.0841093942267</v>
      </c>
      <c r="D319" s="30" t="n">
        <v>19.4116126573237</v>
      </c>
      <c r="E319" s="31" t="n">
        <v>71.7777777777778</v>
      </c>
      <c r="F319" s="11"/>
    </row>
    <row r="320" customFormat="false" ht="12.8" hidden="false" customHeight="false" outlineLevel="0" collapsed="false">
      <c r="A320" s="42" t="s">
        <v>854</v>
      </c>
      <c r="B320" s="29" t="n">
        <v>9</v>
      </c>
      <c r="C320" s="30" t="n">
        <v>4.59157080858966</v>
      </c>
      <c r="D320" s="30" t="n">
        <v>29.4885751373559</v>
      </c>
      <c r="E320" s="31" t="n">
        <v>68.5555555555556</v>
      </c>
      <c r="F320" s="11"/>
    </row>
    <row r="321" customFormat="false" ht="12.8" hidden="false" customHeight="false" outlineLevel="0" collapsed="false">
      <c r="A321" s="42" t="s">
        <v>446</v>
      </c>
      <c r="B321" s="29" t="n">
        <v>9</v>
      </c>
      <c r="C321" s="30" t="n">
        <v>7.41535845560621</v>
      </c>
      <c r="D321" s="30" t="n">
        <v>40.3470727699922</v>
      </c>
      <c r="E321" s="31" t="n">
        <v>54.2222222222222</v>
      </c>
      <c r="F321" s="11"/>
    </row>
    <row r="322" customFormat="false" ht="12.8" hidden="false" customHeight="false" outlineLevel="0" collapsed="false">
      <c r="A322" s="42" t="s">
        <v>545</v>
      </c>
      <c r="B322" s="29" t="n">
        <v>9</v>
      </c>
      <c r="C322" s="30" t="n">
        <v>5.0922078441345</v>
      </c>
      <c r="D322" s="30" t="n">
        <v>14.3855262761816</v>
      </c>
      <c r="E322" s="31" t="n">
        <v>57.5555555555556</v>
      </c>
      <c r="F322" s="11"/>
    </row>
    <row r="323" customFormat="false" ht="12.8" hidden="false" customHeight="false" outlineLevel="0" collapsed="false">
      <c r="A323" s="42" t="s">
        <v>998</v>
      </c>
      <c r="B323" s="29" t="n">
        <v>8</v>
      </c>
      <c r="C323" s="30" t="n">
        <v>4.72210025266515</v>
      </c>
      <c r="D323" s="30" t="n">
        <v>12.2917358487245</v>
      </c>
      <c r="E323" s="31" t="n">
        <v>47.75</v>
      </c>
      <c r="F323" s="11"/>
    </row>
    <row r="324" customFormat="false" ht="12.8" hidden="false" customHeight="false" outlineLevel="0" collapsed="false">
      <c r="A324" s="42" t="s">
        <v>379</v>
      </c>
      <c r="B324" s="29" t="n">
        <v>9</v>
      </c>
      <c r="C324" s="30" t="n">
        <v>3.57541099194292</v>
      </c>
      <c r="D324" s="30" t="n">
        <v>15.2146275536232</v>
      </c>
      <c r="E324" s="31" t="n">
        <v>69.7777777777778</v>
      </c>
      <c r="F324" s="11"/>
    </row>
    <row r="325" customFormat="false" ht="12.8" hidden="false" customHeight="false" outlineLevel="0" collapsed="false">
      <c r="A325" s="42" t="s">
        <v>1172</v>
      </c>
      <c r="B325" s="29" t="n">
        <v>5</v>
      </c>
      <c r="C325" s="30" t="n">
        <v>8.24588314795742</v>
      </c>
      <c r="D325" s="30" t="n">
        <v>16.0742304685755</v>
      </c>
      <c r="E325" s="31" t="n">
        <v>67.4</v>
      </c>
      <c r="F325" s="11"/>
    </row>
    <row r="326" customFormat="false" ht="12.8" hidden="false" customHeight="false" outlineLevel="0" collapsed="false">
      <c r="A326" s="42" t="s">
        <v>1102</v>
      </c>
      <c r="B326" s="29" t="n">
        <v>9</v>
      </c>
      <c r="C326" s="30" t="n">
        <v>6.53894199322079</v>
      </c>
      <c r="D326" s="30" t="n">
        <v>14.4193139106925</v>
      </c>
      <c r="E326" s="31" t="n">
        <v>66.2222222222222</v>
      </c>
      <c r="F326" s="11"/>
    </row>
    <row r="327" customFormat="false" ht="12.8" hidden="false" customHeight="false" outlineLevel="0" collapsed="false">
      <c r="A327" s="42" t="s">
        <v>1045</v>
      </c>
      <c r="B327" s="29" t="n">
        <v>9</v>
      </c>
      <c r="C327" s="30" t="n">
        <v>8.73827306943779</v>
      </c>
      <c r="D327" s="30" t="n">
        <v>15.2626146014711</v>
      </c>
      <c r="E327" s="31" t="n">
        <v>69.4444444444444</v>
      </c>
      <c r="F327" s="11"/>
    </row>
    <row r="328" customFormat="false" ht="12.8" hidden="false" customHeight="false" outlineLevel="0" collapsed="false">
      <c r="A328" s="42" t="s">
        <v>558</v>
      </c>
      <c r="B328" s="29" t="n">
        <v>9</v>
      </c>
      <c r="C328" s="30" t="n">
        <v>9.91071101913655</v>
      </c>
      <c r="D328" s="30" t="n">
        <v>26.7475938305637</v>
      </c>
      <c r="E328" s="31" t="n">
        <v>65.2222222222222</v>
      </c>
      <c r="F328" s="11"/>
    </row>
    <row r="329" customFormat="false" ht="12.8" hidden="false" customHeight="false" outlineLevel="0" collapsed="false">
      <c r="A329" s="42" t="s">
        <v>187</v>
      </c>
      <c r="B329" s="29" t="n">
        <v>9</v>
      </c>
      <c r="C329" s="30" t="n">
        <v>6.95813900026052</v>
      </c>
      <c r="D329" s="30" t="n">
        <v>46.2350419272636</v>
      </c>
      <c r="E329" s="31" t="n">
        <v>56.8888888888889</v>
      </c>
      <c r="F329" s="11"/>
    </row>
    <row r="330" customFormat="false" ht="12.8" hidden="false" customHeight="false" outlineLevel="0" collapsed="false">
      <c r="A330" s="42" t="s">
        <v>1060</v>
      </c>
      <c r="B330" s="29" t="n">
        <v>9</v>
      </c>
      <c r="C330" s="30" t="n">
        <v>8.63039010755192</v>
      </c>
      <c r="D330" s="30" t="n">
        <v>23.4738514423264</v>
      </c>
      <c r="E330" s="31" t="n">
        <v>70.7777777777778</v>
      </c>
      <c r="F330" s="11"/>
    </row>
    <row r="331" customFormat="false" ht="12.8" hidden="false" customHeight="false" outlineLevel="0" collapsed="false">
      <c r="A331" s="42" t="s">
        <v>382</v>
      </c>
      <c r="B331" s="29" t="n">
        <v>9</v>
      </c>
      <c r="C331" s="30" t="n">
        <v>20.6000880086679</v>
      </c>
      <c r="D331" s="30" t="n">
        <v>70.5213243876462</v>
      </c>
      <c r="E331" s="31" t="n">
        <v>65.8888888888889</v>
      </c>
      <c r="F331" s="11"/>
    </row>
    <row r="332" customFormat="false" ht="12.8" hidden="false" customHeight="false" outlineLevel="0" collapsed="false">
      <c r="A332" s="42" t="s">
        <v>385</v>
      </c>
      <c r="B332" s="29" t="n">
        <v>8</v>
      </c>
      <c r="C332" s="30" t="n">
        <v>8.50545939060373</v>
      </c>
      <c r="D332" s="30" t="n">
        <v>27.3916919569775</v>
      </c>
      <c r="E332" s="31" t="n">
        <v>52.375</v>
      </c>
      <c r="F332" s="11"/>
    </row>
    <row r="333" customFormat="false" ht="12.8" hidden="false" customHeight="false" outlineLevel="0" collapsed="false">
      <c r="A333" s="42" t="s">
        <v>495</v>
      </c>
      <c r="B333" s="29" t="n">
        <v>9</v>
      </c>
      <c r="C333" s="30" t="n">
        <v>8.04286377226088</v>
      </c>
      <c r="D333" s="30" t="n">
        <v>24.6075050086749</v>
      </c>
      <c r="E333" s="31" t="n">
        <v>61.1111111111111</v>
      </c>
      <c r="F333" s="11"/>
    </row>
    <row r="334" customFormat="false" ht="12.8" hidden="false" customHeight="false" outlineLevel="0" collapsed="false">
      <c r="A334" s="42" t="s">
        <v>1105</v>
      </c>
      <c r="B334" s="29" t="n">
        <v>9</v>
      </c>
      <c r="C334" s="30" t="n">
        <v>8.61395936433102</v>
      </c>
      <c r="D334" s="30" t="n">
        <v>26.0796707180677</v>
      </c>
      <c r="E334" s="31" t="n">
        <v>68</v>
      </c>
      <c r="F334" s="11"/>
    </row>
    <row r="335" customFormat="false" ht="12.8" hidden="false" customHeight="false" outlineLevel="0" collapsed="false">
      <c r="A335" s="42" t="s">
        <v>1051</v>
      </c>
      <c r="B335" s="29" t="n">
        <v>9</v>
      </c>
      <c r="C335" s="30" t="n">
        <v>9.49723185179811</v>
      </c>
      <c r="D335" s="30" t="n">
        <v>9.75731861093798</v>
      </c>
      <c r="E335" s="31" t="n">
        <v>66.3333333333333</v>
      </c>
      <c r="F335" s="11"/>
    </row>
    <row r="336" customFormat="false" ht="12.8" hidden="false" customHeight="false" outlineLevel="0" collapsed="false">
      <c r="A336" s="42" t="s">
        <v>561</v>
      </c>
      <c r="B336" s="29" t="n">
        <v>9</v>
      </c>
      <c r="C336" s="30" t="n">
        <v>5.82677996102196</v>
      </c>
      <c r="D336" s="30" t="n">
        <v>10.9381971686538</v>
      </c>
      <c r="E336" s="31" t="n">
        <v>72.7777777777778</v>
      </c>
      <c r="F336" s="11"/>
    </row>
    <row r="337" customFormat="false" ht="12.8" hidden="false" customHeight="false" outlineLevel="0" collapsed="false">
      <c r="A337" s="42" t="s">
        <v>63</v>
      </c>
      <c r="B337" s="29" t="n">
        <v>8</v>
      </c>
      <c r="C337" s="30" t="n">
        <v>13.4226176941557</v>
      </c>
      <c r="D337" s="30" t="n">
        <v>69.0606015596806</v>
      </c>
      <c r="E337" s="31" t="n">
        <v>69.75</v>
      </c>
      <c r="F337" s="11"/>
    </row>
    <row r="338" customFormat="false" ht="12.8" hidden="false" customHeight="false" outlineLevel="0" collapsed="false">
      <c r="A338" s="42" t="s">
        <v>388</v>
      </c>
      <c r="B338" s="29" t="n">
        <v>9</v>
      </c>
      <c r="C338" s="30" t="n">
        <v>11.6533782700493</v>
      </c>
      <c r="D338" s="30" t="n">
        <v>26.7469148250313</v>
      </c>
      <c r="E338" s="31" t="n">
        <v>73.8888888888889</v>
      </c>
      <c r="F338" s="11"/>
    </row>
    <row r="339" customFormat="false" ht="12.8" hidden="false" customHeight="false" outlineLevel="0" collapsed="false">
      <c r="A339" s="42" t="s">
        <v>391</v>
      </c>
      <c r="B339" s="29" t="n">
        <v>1</v>
      </c>
      <c r="C339" s="30" t="n">
        <v>7.78124052536738</v>
      </c>
      <c r="D339" s="30" t="n">
        <v>30.1215397663423</v>
      </c>
      <c r="E339" s="31" t="n">
        <v>53</v>
      </c>
      <c r="F339" s="11"/>
    </row>
    <row r="340" customFormat="false" ht="12.8" hidden="false" customHeight="false" outlineLevel="0" collapsed="false">
      <c r="A340" s="42" t="s">
        <v>111</v>
      </c>
      <c r="B340" s="29" t="n">
        <v>9</v>
      </c>
      <c r="C340" s="30" t="n">
        <v>16.6152841812243</v>
      </c>
      <c r="D340" s="30" t="n">
        <v>48.8428546315004</v>
      </c>
      <c r="E340" s="31" t="n">
        <v>55.8888888888889</v>
      </c>
      <c r="F340" s="11"/>
    </row>
    <row r="341" customFormat="false" ht="12.8" hidden="false" customHeight="false" outlineLevel="0" collapsed="false">
      <c r="A341" s="42" t="s">
        <v>889</v>
      </c>
      <c r="B341" s="29" t="n">
        <v>13</v>
      </c>
      <c r="C341" s="30" t="n">
        <v>13.0289768133588</v>
      </c>
      <c r="D341" s="30" t="n">
        <v>56.5025005746713</v>
      </c>
      <c r="E341" s="31" t="n">
        <v>54.5384615384615</v>
      </c>
      <c r="F341" s="11"/>
    </row>
    <row r="342" customFormat="false" ht="12.8" hidden="false" customHeight="false" outlineLevel="0" collapsed="false">
      <c r="A342" s="42" t="s">
        <v>426</v>
      </c>
      <c r="B342" s="29" t="n">
        <v>9</v>
      </c>
      <c r="C342" s="30" t="n">
        <v>5.93312873391005</v>
      </c>
      <c r="D342" s="30" t="n">
        <v>16.7572917322694</v>
      </c>
      <c r="E342" s="31" t="n">
        <v>67.8888888888889</v>
      </c>
      <c r="F342" s="11"/>
    </row>
    <row r="343" customFormat="false" ht="12.8" hidden="false" customHeight="false" outlineLevel="0" collapsed="false">
      <c r="A343" s="42" t="s">
        <v>294</v>
      </c>
      <c r="B343" s="29" t="n">
        <v>13</v>
      </c>
      <c r="C343" s="30" t="n">
        <v>7.66965930930343</v>
      </c>
      <c r="D343" s="30" t="n">
        <v>27.7610447932607</v>
      </c>
      <c r="E343" s="31" t="n">
        <v>67.2307692307692</v>
      </c>
      <c r="F343" s="11"/>
    </row>
    <row r="344" customFormat="false" ht="12.8" hidden="false" customHeight="false" outlineLevel="0" collapsed="false">
      <c r="A344" s="42" t="s">
        <v>1078</v>
      </c>
      <c r="B344" s="29" t="n">
        <v>9</v>
      </c>
      <c r="C344" s="30" t="n">
        <v>13.6438726075333</v>
      </c>
      <c r="D344" s="30" t="n">
        <v>38.6547697540065</v>
      </c>
      <c r="E344" s="31" t="n">
        <v>55.2222222222222</v>
      </c>
      <c r="F344" s="11"/>
    </row>
    <row r="345" customFormat="false" ht="12.8" hidden="false" customHeight="false" outlineLevel="0" collapsed="false">
      <c r="A345" s="42" t="s">
        <v>400</v>
      </c>
      <c r="B345" s="29" t="n">
        <v>8</v>
      </c>
      <c r="C345" s="30" t="n">
        <v>9.60353551426941</v>
      </c>
      <c r="D345" s="30" t="n">
        <v>32.1217814292411</v>
      </c>
      <c r="E345" s="31" t="n">
        <v>64.5</v>
      </c>
      <c r="F345" s="11"/>
    </row>
    <row r="346" customFormat="false" ht="12.8" hidden="false" customHeight="false" outlineLevel="0" collapsed="false">
      <c r="A346" s="42" t="s">
        <v>729</v>
      </c>
      <c r="B346" s="29" t="n">
        <v>9</v>
      </c>
      <c r="C346" s="30" t="n">
        <v>6.16465588482662</v>
      </c>
      <c r="D346" s="30" t="n">
        <v>15.0615864124927</v>
      </c>
      <c r="E346" s="31" t="n">
        <v>60.4444444444444</v>
      </c>
      <c r="F346" s="11"/>
    </row>
    <row r="347" customFormat="false" ht="12.8" hidden="false" customHeight="false" outlineLevel="0" collapsed="false">
      <c r="A347" s="42" t="s">
        <v>1027</v>
      </c>
      <c r="B347" s="29" t="n">
        <v>9</v>
      </c>
      <c r="C347" s="30" t="n">
        <v>9.23303548313421</v>
      </c>
      <c r="D347" s="30" t="n">
        <v>30.089509593541</v>
      </c>
      <c r="E347" s="31" t="n">
        <v>64.2222222222222</v>
      </c>
      <c r="F347" s="11"/>
    </row>
    <row r="348" customFormat="false" ht="12.8" hidden="false" customHeight="false" outlineLevel="0" collapsed="false">
      <c r="A348" s="42" t="s">
        <v>208</v>
      </c>
      <c r="B348" s="29" t="n">
        <v>4</v>
      </c>
      <c r="C348" s="30" t="n">
        <v>19.2401494101478</v>
      </c>
      <c r="D348" s="30" t="n">
        <v>59.8657948765702</v>
      </c>
      <c r="E348" s="31" t="n">
        <v>51.25</v>
      </c>
      <c r="F348" s="11"/>
    </row>
    <row r="349" customFormat="false" ht="12.8" hidden="false" customHeight="false" outlineLevel="0" collapsed="false">
      <c r="A349" s="42" t="s">
        <v>857</v>
      </c>
      <c r="B349" s="29" t="n">
        <v>9</v>
      </c>
      <c r="C349" s="30" t="n">
        <v>3.45827041853601</v>
      </c>
      <c r="D349" s="30" t="n">
        <v>7.50441543765162</v>
      </c>
      <c r="E349" s="31" t="n">
        <v>74.3333333333333</v>
      </c>
      <c r="F349" s="11"/>
    </row>
    <row r="350" customFormat="false" ht="12.8" hidden="false" customHeight="false" outlineLevel="0" collapsed="false">
      <c r="A350" s="42" t="s">
        <v>1093</v>
      </c>
      <c r="B350" s="29" t="n">
        <v>3</v>
      </c>
      <c r="C350" s="30" t="n">
        <v>24.0367182405212</v>
      </c>
      <c r="D350" s="30" t="n">
        <v>33.3281417650423</v>
      </c>
      <c r="E350" s="31" t="n">
        <v>58.3333333333333</v>
      </c>
      <c r="F350" s="11"/>
    </row>
    <row r="351" customFormat="false" ht="12.8" hidden="false" customHeight="false" outlineLevel="0" collapsed="false">
      <c r="A351" s="42" t="s">
        <v>608</v>
      </c>
      <c r="B351" s="29" t="n">
        <v>5</v>
      </c>
      <c r="C351" s="30" t="n">
        <v>6.95976521601233</v>
      </c>
      <c r="D351" s="30" t="n">
        <v>9.59075867342727</v>
      </c>
      <c r="E351" s="31" t="n">
        <v>53</v>
      </c>
      <c r="F351" s="11"/>
    </row>
    <row r="352" customFormat="false" ht="12.8" hidden="false" customHeight="false" outlineLevel="0" collapsed="false">
      <c r="A352" s="42" t="s">
        <v>190</v>
      </c>
      <c r="B352" s="29" t="n">
        <v>4</v>
      </c>
      <c r="C352" s="30" t="n">
        <v>18.4364321238693</v>
      </c>
      <c r="D352" s="30" t="n">
        <v>50.6977236295801</v>
      </c>
      <c r="E352" s="31" t="n">
        <v>63.5</v>
      </c>
      <c r="F352" s="11"/>
    </row>
    <row r="353" customFormat="false" ht="12.8" hidden="false" customHeight="false" outlineLevel="0" collapsed="false">
      <c r="A353" s="42" t="s">
        <v>69</v>
      </c>
      <c r="B353" s="29" t="n">
        <v>5</v>
      </c>
      <c r="C353" s="30" t="n">
        <v>4.15066820605833</v>
      </c>
      <c r="D353" s="30" t="n">
        <v>15.5699353936168</v>
      </c>
      <c r="E353" s="31" t="n">
        <v>63.8</v>
      </c>
      <c r="F353" s="11"/>
    </row>
    <row r="354" customFormat="false" ht="12.8" hidden="false" customHeight="false" outlineLevel="0" collapsed="false">
      <c r="A354" s="42" t="s">
        <v>1187</v>
      </c>
      <c r="B354" s="29" t="n">
        <v>10</v>
      </c>
      <c r="C354" s="30" t="n">
        <v>3.76656925462674</v>
      </c>
      <c r="D354" s="30" t="n">
        <v>11.2153542001241</v>
      </c>
      <c r="E354" s="31" t="n">
        <v>67.2</v>
      </c>
      <c r="F354" s="11"/>
    </row>
    <row r="355" customFormat="false" ht="12.8" hidden="false" customHeight="false" outlineLevel="0" collapsed="false">
      <c r="A355" s="42" t="s">
        <v>432</v>
      </c>
      <c r="B355" s="29" t="n">
        <v>9</v>
      </c>
      <c r="C355" s="30" t="n">
        <v>4.46581711198305</v>
      </c>
      <c r="D355" s="30" t="n">
        <v>16.4051925826719</v>
      </c>
      <c r="E355" s="31" t="n">
        <v>67.5555555555556</v>
      </c>
      <c r="F355" s="11"/>
    </row>
    <row r="356" customFormat="false" ht="12.8" hidden="false" customHeight="false" outlineLevel="0" collapsed="false">
      <c r="A356" s="42" t="s">
        <v>587</v>
      </c>
      <c r="B356" s="29" t="n">
        <v>9</v>
      </c>
      <c r="C356" s="30" t="n">
        <v>6.38794536580033</v>
      </c>
      <c r="D356" s="30" t="n">
        <v>18.9578158457219</v>
      </c>
      <c r="E356" s="31" t="n">
        <v>69.2222222222222</v>
      </c>
      <c r="F356" s="11"/>
    </row>
    <row r="357" customFormat="false" ht="12.8" hidden="false" customHeight="false" outlineLevel="0" collapsed="false">
      <c r="A357" s="42" t="s">
        <v>895</v>
      </c>
      <c r="B357" s="29" t="n">
        <v>10</v>
      </c>
      <c r="C357" s="30" t="n">
        <v>14.9360823241549</v>
      </c>
      <c r="D357" s="30" t="n">
        <v>58.0634297305682</v>
      </c>
      <c r="E357" s="31" t="n">
        <v>65.8</v>
      </c>
      <c r="F357" s="11"/>
    </row>
    <row r="358" customFormat="false" ht="12.8" hidden="false" customHeight="false" outlineLevel="0" collapsed="false">
      <c r="A358" s="42" t="s">
        <v>1200</v>
      </c>
      <c r="B358" s="29" t="n">
        <v>9</v>
      </c>
      <c r="C358" s="30" t="n">
        <v>1.50529342097372</v>
      </c>
      <c r="D358" s="30" t="n">
        <v>1.67449670173021</v>
      </c>
      <c r="E358" s="31" t="n">
        <v>75.3333333333333</v>
      </c>
      <c r="F358" s="11"/>
    </row>
    <row r="359" customFormat="false" ht="12.8" hidden="false" customHeight="false" outlineLevel="0" collapsed="false">
      <c r="A359" s="42" t="s">
        <v>506</v>
      </c>
      <c r="B359" s="29" t="n">
        <v>9</v>
      </c>
      <c r="C359" s="30" t="n">
        <v>25.5851867076021</v>
      </c>
      <c r="D359" s="30" t="n">
        <v>67.434646722644</v>
      </c>
      <c r="E359" s="31" t="n">
        <v>55.5555555555556</v>
      </c>
      <c r="F359" s="11"/>
    </row>
    <row r="360" customFormat="false" ht="12.8" hidden="false" customHeight="false" outlineLevel="0" collapsed="false">
      <c r="A360" s="42" t="s">
        <v>1153</v>
      </c>
      <c r="B360" s="29" t="n">
        <v>6</v>
      </c>
      <c r="C360" s="30" t="n">
        <v>4.11428924619589</v>
      </c>
      <c r="D360" s="30" t="n">
        <v>18.9563556208994</v>
      </c>
      <c r="E360" s="31" t="n">
        <v>57.8333333333333</v>
      </c>
      <c r="F360" s="11"/>
    </row>
    <row r="361" customFormat="false" ht="12.8" hidden="false" customHeight="false" outlineLevel="0" collapsed="false">
      <c r="A361" s="42" t="s">
        <v>1159</v>
      </c>
      <c r="B361" s="29" t="n">
        <v>18</v>
      </c>
      <c r="C361" s="30" t="n">
        <v>18.4901732647635</v>
      </c>
      <c r="D361" s="30" t="n">
        <v>44.9101470900207</v>
      </c>
      <c r="E361" s="31" t="n">
        <v>60.7222222222222</v>
      </c>
      <c r="F361" s="11"/>
    </row>
    <row r="362" customFormat="false" ht="12.8" hidden="false" customHeight="false" outlineLevel="0" collapsed="false">
      <c r="A362" s="42" t="s">
        <v>1136</v>
      </c>
      <c r="B362" s="29" t="n">
        <v>9</v>
      </c>
      <c r="C362" s="30" t="n">
        <v>11.5077239262539</v>
      </c>
      <c r="D362" s="30" t="n">
        <v>62.1735639380069</v>
      </c>
      <c r="E362" s="31" t="n">
        <v>50.5555555555556</v>
      </c>
      <c r="F362" s="11"/>
    </row>
    <row r="363" customFormat="false" ht="12.8" hidden="false" customHeight="false" outlineLevel="0" collapsed="false">
      <c r="A363" s="42" t="s">
        <v>563</v>
      </c>
      <c r="B363" s="29" t="n">
        <v>9</v>
      </c>
      <c r="C363" s="30" t="n">
        <v>7.45583320434141</v>
      </c>
      <c r="D363" s="30" t="n">
        <v>26.7926052947408</v>
      </c>
      <c r="E363" s="31" t="n">
        <v>62.4444444444444</v>
      </c>
      <c r="F363" s="11"/>
    </row>
    <row r="364" customFormat="false" ht="12.8" hidden="false" customHeight="false" outlineLevel="0" collapsed="false">
      <c r="A364" s="42" t="s">
        <v>789</v>
      </c>
      <c r="B364" s="29" t="n">
        <v>6</v>
      </c>
      <c r="C364" s="30" t="n">
        <v>12.107418957786</v>
      </c>
      <c r="D364" s="30" t="n">
        <v>26.1696140867691</v>
      </c>
      <c r="E364" s="31" t="n">
        <v>61.6666666666667</v>
      </c>
      <c r="F364" s="11"/>
    </row>
    <row r="365" customFormat="false" ht="12.8" hidden="false" customHeight="false" outlineLevel="0" collapsed="false">
      <c r="A365" s="42" t="s">
        <v>464</v>
      </c>
      <c r="B365" s="29" t="n">
        <v>9</v>
      </c>
      <c r="C365" s="30" t="n">
        <v>11.8969896088848</v>
      </c>
      <c r="D365" s="30" t="n">
        <v>44.5251272761651</v>
      </c>
      <c r="E365" s="31" t="n">
        <v>64.6666666666667</v>
      </c>
      <c r="F365" s="11"/>
    </row>
    <row r="366" customFormat="false" ht="12.8" hidden="false" customHeight="false" outlineLevel="0" collapsed="false">
      <c r="A366" s="42" t="s">
        <v>792</v>
      </c>
      <c r="B366" s="29" t="n">
        <v>3</v>
      </c>
      <c r="C366" s="30" t="n">
        <v>6.7102744033477</v>
      </c>
      <c r="D366" s="30" t="n">
        <v>27.0373744343347</v>
      </c>
      <c r="E366" s="31" t="n">
        <v>61</v>
      </c>
      <c r="F366" s="11"/>
    </row>
    <row r="367" customFormat="false" ht="12.8" hidden="false" customHeight="false" outlineLevel="0" collapsed="false">
      <c r="A367" s="42" t="s">
        <v>1084</v>
      </c>
      <c r="B367" s="29" t="n">
        <v>9</v>
      </c>
      <c r="C367" s="30" t="n">
        <v>7.61717290188301</v>
      </c>
      <c r="D367" s="30" t="n">
        <v>26.938036372054</v>
      </c>
      <c r="E367" s="31" t="n">
        <v>64.3333333333333</v>
      </c>
      <c r="F367" s="11"/>
    </row>
    <row r="368" customFormat="false" ht="12.8" hidden="false" customHeight="false" outlineLevel="0" collapsed="false">
      <c r="A368" s="42" t="s">
        <v>819</v>
      </c>
      <c r="B368" s="29" t="n">
        <v>9</v>
      </c>
      <c r="C368" s="30" t="n">
        <v>6.06325541627494</v>
      </c>
      <c r="D368" s="30" t="n">
        <v>28.0246415417944</v>
      </c>
      <c r="E368" s="31" t="n">
        <v>70</v>
      </c>
      <c r="F368" s="11"/>
    </row>
    <row r="369" customFormat="false" ht="12.8" hidden="false" customHeight="false" outlineLevel="0" collapsed="false">
      <c r="A369" s="42" t="s">
        <v>1081</v>
      </c>
      <c r="B369" s="29" t="n">
        <v>9</v>
      </c>
      <c r="C369" s="30" t="n">
        <v>22.0048232192278</v>
      </c>
      <c r="D369" s="30" t="n">
        <v>58.9251793314498</v>
      </c>
      <c r="E369" s="31" t="n">
        <v>62.6666666666667</v>
      </c>
      <c r="F369" s="11"/>
    </row>
    <row r="370" customFormat="false" ht="12.8" hidden="false" customHeight="false" outlineLevel="0" collapsed="false">
      <c r="A370" s="42" t="s">
        <v>860</v>
      </c>
      <c r="B370" s="29" t="n">
        <v>2</v>
      </c>
      <c r="C370" s="30" t="n">
        <v>5.6300770140326</v>
      </c>
      <c r="D370" s="30" t="n">
        <v>30.7616854268061</v>
      </c>
      <c r="E370" s="31" t="n">
        <v>75.5</v>
      </c>
      <c r="F370" s="11"/>
    </row>
    <row r="371" customFormat="false" ht="12.8" hidden="false" customHeight="false" outlineLevel="0" collapsed="false">
      <c r="A371" s="42" t="s">
        <v>226</v>
      </c>
      <c r="B371" s="29" t="n">
        <v>9</v>
      </c>
      <c r="C371" s="30" t="n">
        <v>7.41569452650251</v>
      </c>
      <c r="D371" s="30" t="n">
        <v>24.8151168295475</v>
      </c>
      <c r="E371" s="31" t="n">
        <v>57.8888888888889</v>
      </c>
      <c r="F371" s="11"/>
    </row>
    <row r="372" customFormat="false" ht="12.8" hidden="false" customHeight="false" outlineLevel="0" collapsed="false">
      <c r="A372" s="42" t="s">
        <v>1108</v>
      </c>
      <c r="B372" s="29" t="n">
        <v>10</v>
      </c>
      <c r="C372" s="30" t="n">
        <v>8.64904140065313</v>
      </c>
      <c r="D372" s="30" t="n">
        <v>19.5565575522615</v>
      </c>
      <c r="E372" s="31" t="n">
        <v>70</v>
      </c>
      <c r="F372" s="11"/>
    </row>
    <row r="373" customFormat="false" ht="12.8" hidden="false" customHeight="false" outlineLevel="0" collapsed="false">
      <c r="A373" s="42" t="s">
        <v>404</v>
      </c>
      <c r="B373" s="29" t="n">
        <v>8</v>
      </c>
      <c r="C373" s="30" t="n">
        <v>5.51090016567307</v>
      </c>
      <c r="D373" s="30" t="n">
        <v>19.689162844036</v>
      </c>
      <c r="E373" s="31" t="n">
        <v>64.125</v>
      </c>
      <c r="F373" s="11"/>
    </row>
    <row r="374" customFormat="false" ht="12.8" hidden="false" customHeight="false" outlineLevel="0" collapsed="false">
      <c r="A374" s="42" t="s">
        <v>198</v>
      </c>
      <c r="B374" s="29" t="n">
        <v>5</v>
      </c>
      <c r="C374" s="30" t="n">
        <v>8.02592260489759</v>
      </c>
      <c r="D374" s="30" t="n">
        <v>29.7902966377074</v>
      </c>
      <c r="E374" s="31" t="n">
        <v>57.6</v>
      </c>
      <c r="F374" s="11"/>
    </row>
    <row r="375" customFormat="false" ht="12.8" hidden="false" customHeight="false" outlineLevel="0" collapsed="false">
      <c r="A375" s="42" t="s">
        <v>1181</v>
      </c>
      <c r="B375" s="29" t="n">
        <v>10</v>
      </c>
      <c r="C375" s="30" t="n">
        <v>2.94458456337666</v>
      </c>
      <c r="D375" s="30" t="n">
        <v>9.26080499353499</v>
      </c>
      <c r="E375" s="31" t="n">
        <v>67.1</v>
      </c>
      <c r="F375" s="11"/>
    </row>
    <row r="376" customFormat="false" ht="12.8" hidden="false" customHeight="false" outlineLevel="0" collapsed="false">
      <c r="A376" s="42" t="s">
        <v>1191</v>
      </c>
      <c r="B376" s="29" t="n">
        <v>8</v>
      </c>
      <c r="C376" s="30" t="n">
        <v>5.25549634556029</v>
      </c>
      <c r="D376" s="30" t="n">
        <v>22.739866898708</v>
      </c>
      <c r="E376" s="31" t="n">
        <v>68.875</v>
      </c>
      <c r="F376" s="11"/>
    </row>
    <row r="377" customFormat="false" ht="12.8" hidden="false" customHeight="false" outlineLevel="0" collapsed="false">
      <c r="A377" s="42" t="s">
        <v>795</v>
      </c>
      <c r="B377" s="29" t="n">
        <v>10</v>
      </c>
      <c r="C377" s="30" t="n">
        <v>8.26242358918712</v>
      </c>
      <c r="D377" s="30" t="n">
        <v>34.6001669201365</v>
      </c>
      <c r="E377" s="31" t="n">
        <v>66.9</v>
      </c>
      <c r="F377" s="11"/>
    </row>
    <row r="378" customFormat="false" ht="12.8" hidden="false" customHeight="false" outlineLevel="0" collapsed="false">
      <c r="A378" s="42" t="s">
        <v>863</v>
      </c>
      <c r="B378" s="29" t="n">
        <v>9</v>
      </c>
      <c r="C378" s="30" t="n">
        <v>6.34739941120014</v>
      </c>
      <c r="D378" s="30" t="n">
        <v>22.1715684295775</v>
      </c>
      <c r="E378" s="31" t="n">
        <v>67.5555555555556</v>
      </c>
      <c r="F378" s="11"/>
    </row>
    <row r="379" customFormat="false" ht="12.8" hidden="false" customHeight="false" outlineLevel="0" collapsed="false">
      <c r="A379" s="42" t="s">
        <v>440</v>
      </c>
      <c r="B379" s="29" t="n">
        <v>10</v>
      </c>
      <c r="C379" s="30" t="n">
        <v>6.51713121914201</v>
      </c>
      <c r="D379" s="30" t="n">
        <v>28.1742319064211</v>
      </c>
      <c r="E379" s="31" t="n">
        <v>77.8</v>
      </c>
      <c r="F379" s="11"/>
    </row>
    <row r="380" customFormat="false" ht="12.8" hidden="false" customHeight="false" outlineLevel="0" collapsed="false">
      <c r="A380" s="42" t="s">
        <v>193</v>
      </c>
      <c r="B380" s="29" t="n">
        <v>7</v>
      </c>
      <c r="C380" s="30" t="n">
        <v>9.54349961718421</v>
      </c>
      <c r="D380" s="30" t="n">
        <v>40.1104334021234</v>
      </c>
      <c r="E380" s="31" t="n">
        <v>56.2857142857143</v>
      </c>
      <c r="F380" s="11"/>
    </row>
    <row r="381" customFormat="false" ht="12.8" hidden="false" customHeight="false" outlineLevel="0" collapsed="false">
      <c r="A381" s="42" t="s">
        <v>1042</v>
      </c>
      <c r="B381" s="29" t="n">
        <v>9</v>
      </c>
      <c r="C381" s="30" t="n">
        <v>8.70289394032594</v>
      </c>
      <c r="D381" s="30" t="n">
        <v>20.9637636623041</v>
      </c>
      <c r="E381" s="31" t="n">
        <v>54.2222222222222</v>
      </c>
      <c r="F381" s="11"/>
    </row>
    <row r="382" customFormat="false" ht="12.8" hidden="false" customHeight="false" outlineLevel="0" collapsed="false">
      <c r="A382" s="42" t="s">
        <v>1210</v>
      </c>
      <c r="B382" s="29" t="n">
        <v>9</v>
      </c>
      <c r="C382" s="30" t="n">
        <v>24.5313937692248</v>
      </c>
      <c r="D382" s="30" t="n">
        <v>131.532015804583</v>
      </c>
      <c r="E382" s="31" t="n">
        <v>60.1111111111111</v>
      </c>
      <c r="F382" s="11"/>
    </row>
    <row r="383" customFormat="false" ht="12.8" hidden="false" customHeight="false" outlineLevel="0" collapsed="false">
      <c r="A383" s="42" t="s">
        <v>737</v>
      </c>
      <c r="B383" s="29" t="n">
        <v>9</v>
      </c>
      <c r="C383" s="30" t="n">
        <v>10.3007221523857</v>
      </c>
      <c r="D383" s="30" t="n">
        <v>44.5774649829611</v>
      </c>
      <c r="E383" s="31" t="n">
        <v>61.7777777777778</v>
      </c>
      <c r="F383" s="11"/>
    </row>
    <row r="384" customFormat="false" ht="12.8" hidden="false" customHeight="false" outlineLevel="0" collapsed="false">
      <c r="A384" s="42" t="s">
        <v>980</v>
      </c>
      <c r="B384" s="29" t="n">
        <v>9</v>
      </c>
      <c r="C384" s="30" t="n">
        <v>3.62098840786127</v>
      </c>
      <c r="D384" s="30" t="n">
        <v>3.30651335752735</v>
      </c>
      <c r="E384" s="31" t="n">
        <v>62.4444444444444</v>
      </c>
      <c r="F384" s="11"/>
    </row>
    <row r="385" customFormat="false" ht="12.8" hidden="false" customHeight="false" outlineLevel="0" collapsed="false">
      <c r="A385" s="42" t="s">
        <v>663</v>
      </c>
      <c r="B385" s="29" t="n">
        <v>11</v>
      </c>
      <c r="C385" s="30" t="n">
        <v>7.15076662605802</v>
      </c>
      <c r="D385" s="30" t="n">
        <v>40.0158269880999</v>
      </c>
      <c r="E385" s="31" t="n">
        <v>69.9090909090909</v>
      </c>
      <c r="F385" s="11"/>
    </row>
    <row r="386" customFormat="false" ht="12.8" hidden="false" customHeight="false" outlineLevel="0" collapsed="false">
      <c r="A386" s="42" t="s">
        <v>572</v>
      </c>
      <c r="B386" s="29" t="n">
        <v>9</v>
      </c>
      <c r="C386" s="30" t="n">
        <v>5.3158766853663</v>
      </c>
      <c r="D386" s="30" t="n">
        <v>16.7524286261883</v>
      </c>
      <c r="E386" s="31" t="n">
        <v>74</v>
      </c>
      <c r="F386" s="11"/>
    </row>
    <row r="387" customFormat="false" ht="12.8" hidden="false" customHeight="false" outlineLevel="0" collapsed="false">
      <c r="A387" s="42" t="s">
        <v>407</v>
      </c>
      <c r="B387" s="29" t="n">
        <v>9</v>
      </c>
      <c r="C387" s="30" t="n">
        <v>5.53889380724627</v>
      </c>
      <c r="D387" s="30" t="n">
        <v>11.852973443772</v>
      </c>
      <c r="E387" s="31" t="n">
        <v>68.4444444444444</v>
      </c>
      <c r="F387" s="11"/>
    </row>
    <row r="388" customFormat="false" ht="12.8" hidden="false" customHeight="false" outlineLevel="0" collapsed="false">
      <c r="A388" s="42" t="s">
        <v>1114</v>
      </c>
      <c r="B388" s="29" t="n">
        <v>8</v>
      </c>
      <c r="C388" s="30" t="n">
        <v>4.89218078681397</v>
      </c>
      <c r="D388" s="30" t="n">
        <v>18.800469914311</v>
      </c>
      <c r="E388" s="31" t="n">
        <v>64.625</v>
      </c>
      <c r="F388" s="11"/>
    </row>
    <row r="389" customFormat="false" ht="12.8" hidden="false" customHeight="false" outlineLevel="0" collapsed="false">
      <c r="A389" s="42" t="s">
        <v>1213</v>
      </c>
      <c r="B389" s="29" t="n">
        <v>9</v>
      </c>
      <c r="C389" s="30" t="n">
        <v>12.1197637768616</v>
      </c>
      <c r="D389" s="30" t="n">
        <v>44.368261831423</v>
      </c>
      <c r="E389" s="31" t="n">
        <v>68.6666666666667</v>
      </c>
      <c r="F389" s="11"/>
    </row>
    <row r="390" customFormat="false" ht="12.8" hidden="false" customHeight="false" outlineLevel="0" collapsed="false">
      <c r="A390" s="42" t="s">
        <v>552</v>
      </c>
      <c r="B390" s="29" t="n">
        <v>9</v>
      </c>
      <c r="C390" s="30" t="n">
        <v>7.12427535638721</v>
      </c>
      <c r="D390" s="30" t="n">
        <v>33.8742109803329</v>
      </c>
      <c r="E390" s="31" t="n">
        <v>71.7777777777778</v>
      </c>
      <c r="F390" s="11"/>
    </row>
    <row r="391" customFormat="false" ht="12.8" hidden="false" customHeight="false" outlineLevel="0" collapsed="false">
      <c r="A391" s="42" t="s">
        <v>1063</v>
      </c>
      <c r="B391" s="29" t="n">
        <v>9</v>
      </c>
      <c r="C391" s="30" t="n">
        <v>17.2706925058684</v>
      </c>
      <c r="D391" s="30" t="n">
        <v>81.4317611691831</v>
      </c>
      <c r="E391" s="31" t="n">
        <v>54.1111111111111</v>
      </c>
      <c r="F391" s="11"/>
    </row>
    <row r="392" customFormat="false" ht="12.8" hidden="false" customHeight="false" outlineLevel="0" collapsed="false">
      <c r="A392" s="42" t="s">
        <v>1142</v>
      </c>
      <c r="B392" s="29" t="n">
        <v>9</v>
      </c>
      <c r="C392" s="30" t="n">
        <v>10.2082000794381</v>
      </c>
      <c r="D392" s="30" t="n">
        <v>52.8803005441923</v>
      </c>
      <c r="E392" s="31" t="n">
        <v>68.7777777777778</v>
      </c>
      <c r="F392" s="11"/>
    </row>
    <row r="393" customFormat="false" ht="12.8" hidden="false" customHeight="false" outlineLevel="0" collapsed="false">
      <c r="A393" s="42" t="s">
        <v>798</v>
      </c>
      <c r="B393" s="32" t="n">
        <v>9</v>
      </c>
      <c r="C393" s="33" t="n">
        <v>8.15082399219129</v>
      </c>
      <c r="D393" s="33" t="n">
        <v>28.1268842907795</v>
      </c>
      <c r="E393" s="34" t="n">
        <v>59.7777777777778</v>
      </c>
      <c r="F393" s="11"/>
    </row>
    <row r="394" customFormat="false" ht="12.8" hidden="false" customHeight="false" outlineLevel="0" collapsed="false">
      <c r="A394" s="43" t="s">
        <v>1232</v>
      </c>
      <c r="B394" s="36" t="n">
        <v>3541</v>
      </c>
      <c r="C394" s="37" t="n">
        <v>9.25284083886887</v>
      </c>
      <c r="D394" s="37" t="n">
        <v>32.0735844099626</v>
      </c>
      <c r="E394" s="38" t="n">
        <v>64.549562270545</v>
      </c>
      <c r="F394" s="11"/>
    </row>
    <row r="395" customFormat="false" ht="12.8" hidden="false" customHeight="false" outlineLevel="0" collapsed="false">
      <c r="A395" s="11"/>
      <c r="B395" s="39"/>
      <c r="C395" s="40"/>
      <c r="D395" s="40"/>
      <c r="E395" s="40"/>
      <c r="F395" s="11"/>
    </row>
    <row r="396" customFormat="false" ht="12.8" hidden="false" customHeight="false" outlineLevel="0" collapsed="false">
      <c r="A396" s="11"/>
      <c r="B396" s="39"/>
      <c r="C396" s="40"/>
      <c r="D396" s="40"/>
      <c r="E396" s="40"/>
      <c r="F396" s="11"/>
    </row>
    <row r="397" customFormat="false" ht="12.8" hidden="false" customHeight="false" outlineLevel="0" collapsed="false">
      <c r="A397" s="11"/>
      <c r="B397" s="39"/>
      <c r="C397" s="40"/>
      <c r="D397" s="40"/>
      <c r="E397" s="40"/>
      <c r="F397" s="11"/>
    </row>
    <row r="398" customFormat="false" ht="12.8" hidden="false" customHeight="false" outlineLevel="0" collapsed="false">
      <c r="A398" s="11"/>
      <c r="B398" s="39"/>
      <c r="C398" s="40"/>
      <c r="D398" s="40"/>
      <c r="E398" s="40"/>
      <c r="F398" s="11"/>
    </row>
    <row r="399" customFormat="false" ht="12.8" hidden="false" customHeight="false" outlineLevel="0" collapsed="false">
      <c r="A399" s="11"/>
      <c r="B399" s="39"/>
      <c r="C399" s="40"/>
      <c r="D399" s="40"/>
      <c r="E399" s="40"/>
      <c r="F399" s="11"/>
    </row>
    <row r="400" customFormat="false" ht="12.8" hidden="false" customHeight="false" outlineLevel="0" collapsed="false">
      <c r="A400" s="11"/>
      <c r="B400" s="39"/>
      <c r="C400" s="40"/>
      <c r="D400" s="40"/>
      <c r="E400" s="40"/>
      <c r="F400" s="11"/>
    </row>
    <row r="401" customFormat="false" ht="12.8" hidden="false" customHeight="false" outlineLevel="0" collapsed="false">
      <c r="A401" s="11"/>
      <c r="B401" s="39"/>
      <c r="C401" s="40"/>
      <c r="D401" s="40"/>
      <c r="E401" s="40"/>
      <c r="F401" s="11"/>
    </row>
    <row r="402" customFormat="false" ht="12.8" hidden="false" customHeight="false" outlineLevel="0" collapsed="false">
      <c r="A402" s="11"/>
      <c r="B402" s="39"/>
      <c r="C402" s="40"/>
      <c r="D402" s="40"/>
      <c r="E402" s="40"/>
      <c r="F402" s="11"/>
    </row>
    <row r="403" customFormat="false" ht="12.8" hidden="false" customHeight="false" outlineLevel="0" collapsed="false">
      <c r="A403" s="11"/>
      <c r="B403" s="39"/>
      <c r="C403" s="40"/>
      <c r="D403" s="40"/>
      <c r="E403" s="40"/>
      <c r="F403" s="11"/>
    </row>
    <row r="404" customFormat="false" ht="12.8" hidden="false" customHeight="false" outlineLevel="0" collapsed="false">
      <c r="A404" s="11"/>
      <c r="B404" s="39"/>
      <c r="C404" s="40"/>
      <c r="D404" s="40"/>
      <c r="E404" s="40"/>
      <c r="F404" s="11"/>
    </row>
    <row r="405" customFormat="false" ht="12.8" hidden="false" customHeight="false" outlineLevel="0" collapsed="false">
      <c r="A405" s="11"/>
      <c r="B405" s="39"/>
      <c r="C405" s="40"/>
      <c r="D405" s="40"/>
      <c r="E405" s="40"/>
      <c r="F405" s="11"/>
    </row>
    <row r="406" customFormat="false" ht="12.8" hidden="false" customHeight="false" outlineLevel="0" collapsed="false">
      <c r="A406" s="11"/>
      <c r="B406" s="39"/>
      <c r="C406" s="40"/>
      <c r="D406" s="40"/>
      <c r="E406" s="40"/>
      <c r="F406" s="11"/>
    </row>
    <row r="407" customFormat="false" ht="12.8" hidden="false" customHeight="false" outlineLevel="0" collapsed="false">
      <c r="A407" s="11"/>
      <c r="B407" s="39"/>
      <c r="C407" s="40"/>
      <c r="D407" s="40"/>
      <c r="E407" s="40"/>
      <c r="F407" s="11"/>
    </row>
    <row r="408" customFormat="false" ht="12.8" hidden="false" customHeight="false" outlineLevel="0" collapsed="false">
      <c r="A408" s="11"/>
      <c r="B408" s="39"/>
      <c r="C408" s="40"/>
      <c r="D408" s="40"/>
      <c r="E408" s="40"/>
      <c r="F408" s="11"/>
    </row>
    <row r="409" customFormat="false" ht="12.8" hidden="false" customHeight="false" outlineLevel="0" collapsed="false">
      <c r="A409" s="11"/>
      <c r="B409" s="39"/>
      <c r="C409" s="40"/>
      <c r="D409" s="40"/>
      <c r="E409" s="40"/>
      <c r="F409" s="11"/>
    </row>
    <row r="410" customFormat="false" ht="12.8" hidden="false" customHeight="false" outlineLevel="0" collapsed="false">
      <c r="A410" s="11"/>
      <c r="B410" s="39"/>
      <c r="C410" s="40"/>
      <c r="D410" s="40"/>
      <c r="E410" s="40"/>
      <c r="F410" s="11"/>
    </row>
    <row r="411" customFormat="false" ht="12.8" hidden="false" customHeight="false" outlineLevel="0" collapsed="false">
      <c r="A411" s="11"/>
      <c r="B411" s="39"/>
      <c r="C411" s="40"/>
      <c r="D411" s="40"/>
      <c r="E411" s="40"/>
      <c r="F411" s="11"/>
    </row>
    <row r="412" customFormat="false" ht="12.8" hidden="false" customHeight="false" outlineLevel="0" collapsed="false">
      <c r="A412" s="11"/>
      <c r="B412" s="39"/>
      <c r="C412" s="40"/>
      <c r="D412" s="40"/>
      <c r="E412" s="40"/>
      <c r="F412" s="11"/>
    </row>
    <row r="413" customFormat="false" ht="12.8" hidden="false" customHeight="false" outlineLevel="0" collapsed="false">
      <c r="A413" s="11"/>
      <c r="B413" s="39"/>
      <c r="C413" s="40"/>
      <c r="D413" s="40"/>
      <c r="E413" s="40"/>
      <c r="F413" s="11"/>
    </row>
    <row r="414" customFormat="false" ht="12.8" hidden="false" customHeight="false" outlineLevel="0" collapsed="false">
      <c r="A414" s="11"/>
      <c r="B414" s="39"/>
      <c r="C414" s="40"/>
      <c r="D414" s="40"/>
      <c r="E414" s="40"/>
      <c r="F414" s="11"/>
    </row>
    <row r="415" customFormat="false" ht="12.8" hidden="false" customHeight="false" outlineLevel="0" collapsed="false">
      <c r="A415" s="11"/>
      <c r="B415" s="39"/>
      <c r="C415" s="40"/>
      <c r="D415" s="40"/>
      <c r="E415" s="40"/>
      <c r="F415" s="11"/>
    </row>
    <row r="416" customFormat="false" ht="12.8" hidden="false" customHeight="false" outlineLevel="0" collapsed="false">
      <c r="A416" s="11"/>
      <c r="B416" s="39"/>
      <c r="C416" s="40"/>
      <c r="D416" s="40"/>
      <c r="E416" s="40"/>
      <c r="F416" s="11"/>
    </row>
    <row r="417" customFormat="false" ht="12.8" hidden="false" customHeight="false" outlineLevel="0" collapsed="false">
      <c r="A417" s="11"/>
      <c r="B417" s="39"/>
      <c r="C417" s="40"/>
      <c r="D417" s="40"/>
      <c r="E417" s="40"/>
      <c r="F417" s="11"/>
    </row>
    <row r="418" customFormat="false" ht="12.8" hidden="false" customHeight="false" outlineLevel="0" collapsed="false">
      <c r="A418" s="11"/>
      <c r="B418" s="39"/>
      <c r="C418" s="40"/>
      <c r="D418" s="40"/>
      <c r="E418" s="40"/>
      <c r="F418" s="11"/>
    </row>
    <row r="419" customFormat="false" ht="12.8" hidden="false" customHeight="false" outlineLevel="0" collapsed="false">
      <c r="A419" s="11"/>
      <c r="B419" s="39"/>
      <c r="C419" s="40"/>
      <c r="D419" s="40"/>
      <c r="E419" s="40"/>
      <c r="F419" s="11"/>
    </row>
    <row r="420" customFormat="false" ht="12.8" hidden="false" customHeight="false" outlineLevel="0" collapsed="false">
      <c r="A420" s="11"/>
      <c r="B420" s="39"/>
      <c r="C420" s="40"/>
      <c r="D420" s="40"/>
      <c r="E420" s="40"/>
      <c r="F420" s="11"/>
    </row>
    <row r="421" customFormat="false" ht="12.8" hidden="false" customHeight="false" outlineLevel="0" collapsed="false">
      <c r="A421" s="11"/>
      <c r="B421" s="39"/>
      <c r="C421" s="40"/>
      <c r="D421" s="40"/>
      <c r="E421" s="40"/>
      <c r="F421" s="11"/>
    </row>
    <row r="422" customFormat="false" ht="12.8" hidden="false" customHeight="false" outlineLevel="0" collapsed="false">
      <c r="A422" s="11"/>
      <c r="B422" s="39"/>
      <c r="C422" s="40"/>
      <c r="D422" s="40"/>
      <c r="E422" s="40"/>
      <c r="F422" s="11"/>
    </row>
    <row r="423" customFormat="false" ht="12.8" hidden="false" customHeight="false" outlineLevel="0" collapsed="false">
      <c r="A423" s="11"/>
      <c r="B423" s="39"/>
      <c r="C423" s="40"/>
      <c r="D423" s="40"/>
      <c r="E423" s="40"/>
      <c r="F423" s="11"/>
    </row>
    <row r="424" customFormat="false" ht="12.8" hidden="false" customHeight="false" outlineLevel="0" collapsed="false">
      <c r="A424" s="11"/>
      <c r="B424" s="39"/>
      <c r="C424" s="40"/>
      <c r="D424" s="40"/>
      <c r="E424" s="40"/>
      <c r="F424" s="11"/>
    </row>
    <row r="425" customFormat="false" ht="12.8" hidden="false" customHeight="false" outlineLevel="0" collapsed="false">
      <c r="A425" s="11"/>
      <c r="B425" s="39"/>
      <c r="C425" s="40"/>
      <c r="D425" s="40"/>
      <c r="E425" s="40"/>
      <c r="F425" s="11"/>
    </row>
    <row r="426" customFormat="false" ht="12.8" hidden="false" customHeight="false" outlineLevel="0" collapsed="false">
      <c r="A426" s="11"/>
      <c r="B426" s="39"/>
      <c r="C426" s="40"/>
      <c r="D426" s="40"/>
      <c r="E426" s="40"/>
      <c r="F426" s="11"/>
    </row>
    <row r="427" customFormat="false" ht="12.8" hidden="false" customHeight="false" outlineLevel="0" collapsed="false">
      <c r="A427" s="11"/>
      <c r="B427" s="39"/>
      <c r="C427" s="40"/>
      <c r="D427" s="40"/>
      <c r="E427" s="40"/>
      <c r="F427" s="11"/>
    </row>
    <row r="428" customFormat="false" ht="12.8" hidden="false" customHeight="false" outlineLevel="0" collapsed="false">
      <c r="A428" s="11"/>
      <c r="B428" s="39"/>
      <c r="C428" s="40"/>
      <c r="D428" s="40"/>
      <c r="E428" s="40"/>
      <c r="F428" s="11"/>
    </row>
    <row r="429" customFormat="false" ht="12.8" hidden="false" customHeight="false" outlineLevel="0" collapsed="false">
      <c r="A429" s="11"/>
      <c r="B429" s="39"/>
      <c r="C429" s="40"/>
      <c r="D429" s="40"/>
      <c r="E429" s="40"/>
      <c r="F429" s="11"/>
    </row>
    <row r="430" customFormat="false" ht="12.8" hidden="false" customHeight="false" outlineLevel="0" collapsed="false">
      <c r="A430" s="11"/>
      <c r="B430" s="39"/>
      <c r="C430" s="40"/>
      <c r="D430" s="40"/>
      <c r="E430" s="40"/>
      <c r="F430" s="11"/>
    </row>
    <row r="431" customFormat="false" ht="12.8" hidden="false" customHeight="false" outlineLevel="0" collapsed="false">
      <c r="A431" s="11"/>
      <c r="B431" s="39"/>
      <c r="C431" s="40"/>
      <c r="D431" s="40"/>
      <c r="E431" s="40"/>
      <c r="F431" s="11"/>
    </row>
    <row r="432" customFormat="false" ht="12.8" hidden="false" customHeight="false" outlineLevel="0" collapsed="false">
      <c r="A432" s="11"/>
      <c r="B432" s="39"/>
      <c r="C432" s="40"/>
      <c r="D432" s="40"/>
      <c r="E432" s="40"/>
      <c r="F432" s="11"/>
    </row>
    <row r="433" customFormat="false" ht="12.8" hidden="false" customHeight="false" outlineLevel="0" collapsed="false">
      <c r="A433" s="11"/>
      <c r="B433" s="39"/>
      <c r="C433" s="40"/>
      <c r="D433" s="40"/>
      <c r="E433" s="40"/>
      <c r="F433" s="11"/>
    </row>
    <row r="434" customFormat="false" ht="12.8" hidden="false" customHeight="false" outlineLevel="0" collapsed="false">
      <c r="A434" s="11"/>
      <c r="B434" s="39"/>
      <c r="C434" s="40"/>
      <c r="D434" s="40"/>
      <c r="E434" s="40"/>
      <c r="F434" s="11"/>
    </row>
    <row r="435" customFormat="false" ht="12.8" hidden="false" customHeight="false" outlineLevel="0" collapsed="false">
      <c r="A435" s="11"/>
      <c r="B435" s="39"/>
      <c r="C435" s="40"/>
      <c r="D435" s="40"/>
      <c r="E435" s="40"/>
      <c r="F435" s="11"/>
    </row>
    <row r="436" customFormat="false" ht="12.8" hidden="false" customHeight="false" outlineLevel="0" collapsed="false">
      <c r="A436" s="11"/>
      <c r="B436" s="39"/>
      <c r="C436" s="40"/>
      <c r="D436" s="40"/>
      <c r="E436" s="40"/>
      <c r="F436" s="11"/>
    </row>
    <row r="437" customFormat="false" ht="12.8" hidden="false" customHeight="false" outlineLevel="0" collapsed="false">
      <c r="A437" s="11"/>
      <c r="B437" s="39"/>
      <c r="C437" s="40"/>
      <c r="D437" s="40"/>
      <c r="E437" s="40"/>
      <c r="F437" s="11"/>
    </row>
    <row r="438" customFormat="false" ht="12.8" hidden="false" customHeight="false" outlineLevel="0" collapsed="false">
      <c r="A438" s="11"/>
      <c r="B438" s="39"/>
      <c r="C438" s="40"/>
      <c r="D438" s="40"/>
      <c r="E438" s="40"/>
      <c r="F438" s="11"/>
    </row>
    <row r="439" customFormat="false" ht="12.8" hidden="false" customHeight="false" outlineLevel="0" collapsed="false">
      <c r="A439" s="11"/>
      <c r="B439" s="39"/>
      <c r="C439" s="40"/>
      <c r="D439" s="40"/>
      <c r="E439" s="40"/>
      <c r="F439" s="11"/>
    </row>
    <row r="440" customFormat="false" ht="12.8" hidden="false" customHeight="false" outlineLevel="0" collapsed="false">
      <c r="A440" s="11"/>
      <c r="B440" s="39"/>
      <c r="C440" s="40"/>
      <c r="D440" s="40"/>
      <c r="E440" s="40"/>
      <c r="F440" s="11"/>
    </row>
    <row r="441" customFormat="false" ht="12.8" hidden="false" customHeight="false" outlineLevel="0" collapsed="false">
      <c r="A441" s="11"/>
      <c r="B441" s="39"/>
      <c r="C441" s="40"/>
      <c r="D441" s="40"/>
      <c r="E441" s="40"/>
      <c r="F441" s="11"/>
    </row>
    <row r="442" customFormat="false" ht="12.8" hidden="false" customHeight="false" outlineLevel="0" collapsed="false">
      <c r="A442" s="11"/>
      <c r="B442" s="39"/>
      <c r="C442" s="40"/>
      <c r="D442" s="40"/>
      <c r="E442" s="40"/>
      <c r="F442" s="11"/>
    </row>
    <row r="443" customFormat="false" ht="12.8" hidden="false" customHeight="false" outlineLevel="0" collapsed="false">
      <c r="A443" s="11"/>
      <c r="B443" s="39"/>
      <c r="C443" s="40"/>
      <c r="D443" s="40"/>
      <c r="E443" s="40"/>
      <c r="F443" s="11"/>
    </row>
    <row r="444" customFormat="false" ht="12.8" hidden="false" customHeight="false" outlineLevel="0" collapsed="false">
      <c r="A444" s="11"/>
      <c r="B444" s="39"/>
      <c r="C444" s="40"/>
      <c r="D444" s="40"/>
      <c r="E444" s="40"/>
      <c r="F444" s="11"/>
    </row>
    <row r="445" customFormat="false" ht="12.8" hidden="false" customHeight="false" outlineLevel="0" collapsed="false">
      <c r="A445" s="11"/>
      <c r="B445" s="39"/>
      <c r="C445" s="40"/>
      <c r="D445" s="40"/>
      <c r="E445" s="40"/>
      <c r="F445" s="11"/>
    </row>
    <row r="446" customFormat="false" ht="12.8" hidden="false" customHeight="false" outlineLevel="0" collapsed="false">
      <c r="A446" s="11"/>
      <c r="B446" s="39"/>
      <c r="C446" s="40"/>
      <c r="D446" s="40"/>
      <c r="E446" s="40"/>
      <c r="F446" s="11"/>
    </row>
    <row r="447" customFormat="false" ht="12.8" hidden="false" customHeight="false" outlineLevel="0" collapsed="false">
      <c r="A447" s="11"/>
      <c r="B447" s="39"/>
      <c r="C447" s="40"/>
      <c r="D447" s="40"/>
      <c r="E447" s="40"/>
      <c r="F447" s="11"/>
    </row>
    <row r="448" customFormat="false" ht="12.8" hidden="false" customHeight="false" outlineLevel="0" collapsed="false">
      <c r="A448" s="11"/>
      <c r="B448" s="39"/>
      <c r="C448" s="40"/>
      <c r="D448" s="40"/>
      <c r="E448" s="40"/>
      <c r="F448" s="11"/>
    </row>
    <row r="449" customFormat="false" ht="12.8" hidden="false" customHeight="false" outlineLevel="0" collapsed="false">
      <c r="A449" s="11"/>
      <c r="B449" s="39"/>
      <c r="C449" s="40"/>
      <c r="D449" s="40"/>
      <c r="E449" s="40"/>
      <c r="F449" s="11"/>
    </row>
    <row r="450" customFormat="false" ht="12.8" hidden="false" customHeight="false" outlineLevel="0" collapsed="false">
      <c r="A450" s="11"/>
      <c r="B450" s="39"/>
      <c r="C450" s="40"/>
      <c r="D450" s="40"/>
      <c r="E450" s="40"/>
      <c r="F450" s="11"/>
    </row>
    <row r="451" customFormat="false" ht="12.8" hidden="false" customHeight="false" outlineLevel="0" collapsed="false">
      <c r="A451" s="11"/>
      <c r="B451" s="39"/>
      <c r="C451" s="40"/>
      <c r="D451" s="40"/>
      <c r="E451" s="40"/>
      <c r="F451" s="11"/>
    </row>
    <row r="452" customFormat="false" ht="12.8" hidden="false" customHeight="false" outlineLevel="0" collapsed="false">
      <c r="A452" s="11"/>
      <c r="B452" s="39"/>
      <c r="C452" s="40"/>
      <c r="D452" s="40"/>
      <c r="E452" s="40"/>
      <c r="F452" s="11"/>
    </row>
    <row r="453" customFormat="false" ht="12.8" hidden="false" customHeight="false" outlineLevel="0" collapsed="false">
      <c r="A453" s="11"/>
      <c r="B453" s="39"/>
      <c r="C453" s="40"/>
      <c r="D453" s="40"/>
      <c r="E453" s="40"/>
      <c r="F453" s="11"/>
    </row>
    <row r="454" customFormat="false" ht="12.8" hidden="false" customHeight="false" outlineLevel="0" collapsed="false">
      <c r="A454" s="11"/>
      <c r="B454" s="39"/>
      <c r="C454" s="40"/>
      <c r="D454" s="40"/>
      <c r="E454" s="40"/>
      <c r="F454" s="11"/>
    </row>
    <row r="455" customFormat="false" ht="12.8" hidden="false" customHeight="false" outlineLevel="0" collapsed="false">
      <c r="A455" s="11"/>
      <c r="B455" s="39"/>
      <c r="C455" s="40"/>
      <c r="D455" s="40"/>
      <c r="E455" s="40"/>
      <c r="F455" s="11"/>
    </row>
    <row r="456" customFormat="false" ht="12.8" hidden="false" customHeight="false" outlineLevel="0" collapsed="false">
      <c r="A456" s="11"/>
      <c r="B456" s="39"/>
      <c r="C456" s="40"/>
      <c r="D456" s="40"/>
      <c r="E456" s="40"/>
      <c r="F456" s="11"/>
    </row>
    <row r="457" customFormat="false" ht="12.8" hidden="false" customHeight="false" outlineLevel="0" collapsed="false">
      <c r="A457" s="11"/>
      <c r="B457" s="39"/>
      <c r="C457" s="40"/>
      <c r="D457" s="40"/>
      <c r="E457" s="40"/>
      <c r="F457" s="11"/>
    </row>
    <row r="458" customFormat="false" ht="12.8" hidden="false" customHeight="false" outlineLevel="0" collapsed="false">
      <c r="A458" s="11"/>
      <c r="B458" s="39"/>
      <c r="C458" s="40"/>
      <c r="D458" s="40"/>
      <c r="E458" s="40"/>
      <c r="F458" s="11"/>
    </row>
    <row r="459" customFormat="false" ht="12.8" hidden="false" customHeight="false" outlineLevel="0" collapsed="false">
      <c r="A459" s="11"/>
      <c r="B459" s="39"/>
      <c r="C459" s="40"/>
      <c r="D459" s="40"/>
      <c r="E459" s="40"/>
      <c r="F459" s="11"/>
    </row>
    <row r="460" customFormat="false" ht="12.8" hidden="false" customHeight="false" outlineLevel="0" collapsed="false">
      <c r="A460" s="11"/>
      <c r="B460" s="39"/>
      <c r="C460" s="40"/>
      <c r="D460" s="40"/>
      <c r="E460" s="40"/>
      <c r="F460" s="11"/>
    </row>
    <row r="461" customFormat="false" ht="12.8" hidden="false" customHeight="false" outlineLevel="0" collapsed="false">
      <c r="A461" s="11"/>
      <c r="B461" s="39"/>
      <c r="C461" s="40"/>
      <c r="D461" s="40"/>
      <c r="E461" s="40"/>
      <c r="F461" s="11"/>
    </row>
    <row r="462" customFormat="false" ht="12.8" hidden="false" customHeight="false" outlineLevel="0" collapsed="false">
      <c r="A462" s="11"/>
      <c r="B462" s="39"/>
      <c r="C462" s="40"/>
      <c r="D462" s="40"/>
      <c r="E462" s="40"/>
      <c r="F462" s="11"/>
    </row>
    <row r="463" customFormat="false" ht="12.8" hidden="false" customHeight="false" outlineLevel="0" collapsed="false">
      <c r="A463" s="11"/>
      <c r="B463" s="39"/>
      <c r="C463" s="40"/>
      <c r="D463" s="40"/>
      <c r="E463" s="40"/>
      <c r="F463" s="11"/>
    </row>
    <row r="464" customFormat="false" ht="12.8" hidden="false" customHeight="false" outlineLevel="0" collapsed="false">
      <c r="A464" s="11"/>
      <c r="B464" s="39"/>
      <c r="C464" s="40"/>
      <c r="D464" s="40"/>
      <c r="E464" s="40"/>
      <c r="F464" s="11"/>
    </row>
    <row r="465" customFormat="false" ht="12.8" hidden="false" customHeight="false" outlineLevel="0" collapsed="false">
      <c r="A465" s="11"/>
      <c r="B465" s="39"/>
      <c r="C465" s="40"/>
      <c r="D465" s="40"/>
      <c r="E465" s="40"/>
      <c r="F465" s="11"/>
    </row>
    <row r="466" customFormat="false" ht="12.8" hidden="false" customHeight="false" outlineLevel="0" collapsed="false">
      <c r="A466" s="11"/>
      <c r="B466" s="39"/>
      <c r="C466" s="40"/>
      <c r="D466" s="40"/>
      <c r="E466" s="40"/>
      <c r="F466" s="11"/>
    </row>
    <row r="467" customFormat="false" ht="12.8" hidden="false" customHeight="false" outlineLevel="0" collapsed="false">
      <c r="A467" s="11"/>
      <c r="B467" s="39"/>
      <c r="C467" s="40"/>
      <c r="D467" s="40"/>
      <c r="E467" s="40"/>
      <c r="F467" s="11"/>
    </row>
    <row r="468" customFormat="false" ht="12.8" hidden="false" customHeight="false" outlineLevel="0" collapsed="false">
      <c r="A468" s="11"/>
      <c r="B468" s="39"/>
      <c r="C468" s="40"/>
      <c r="D468" s="40"/>
      <c r="E468" s="40"/>
      <c r="F468" s="11"/>
    </row>
    <row r="469" customFormat="false" ht="12.8" hidden="false" customHeight="false" outlineLevel="0" collapsed="false">
      <c r="A469" s="11"/>
      <c r="B469" s="39"/>
      <c r="C469" s="40"/>
      <c r="D469" s="40"/>
      <c r="E469" s="40"/>
      <c r="F469" s="11"/>
    </row>
    <row r="470" customFormat="false" ht="12.8" hidden="false" customHeight="false" outlineLevel="0" collapsed="false">
      <c r="A470" s="11"/>
      <c r="B470" s="39"/>
      <c r="C470" s="40"/>
      <c r="D470" s="40"/>
      <c r="E470" s="40"/>
      <c r="F470" s="11"/>
    </row>
    <row r="471" customFormat="false" ht="12.8" hidden="false" customHeight="false" outlineLevel="0" collapsed="false">
      <c r="A471" s="11"/>
      <c r="B471" s="39"/>
      <c r="C471" s="40"/>
      <c r="D471" s="40"/>
      <c r="E471" s="40"/>
      <c r="F471" s="11"/>
    </row>
    <row r="472" customFormat="false" ht="12.8" hidden="false" customHeight="false" outlineLevel="0" collapsed="false">
      <c r="A472" s="11"/>
      <c r="B472" s="39"/>
      <c r="C472" s="40"/>
      <c r="D472" s="40"/>
      <c r="E472" s="40"/>
      <c r="F472" s="11"/>
    </row>
    <row r="473" customFormat="false" ht="12.8" hidden="false" customHeight="false" outlineLevel="0" collapsed="false">
      <c r="A473" s="11"/>
      <c r="B473" s="39"/>
      <c r="C473" s="40"/>
      <c r="D473" s="40"/>
      <c r="E473" s="40"/>
      <c r="F473" s="11"/>
    </row>
    <row r="474" customFormat="false" ht="12.8" hidden="false" customHeight="false" outlineLevel="0" collapsed="false">
      <c r="A474" s="11"/>
      <c r="B474" s="39"/>
      <c r="C474" s="40"/>
      <c r="D474" s="40"/>
      <c r="E474" s="40"/>
      <c r="F474" s="11"/>
    </row>
    <row r="475" customFormat="false" ht="12.8" hidden="false" customHeight="false" outlineLevel="0" collapsed="false">
      <c r="A475" s="11"/>
      <c r="B475" s="39"/>
      <c r="C475" s="40"/>
      <c r="D475" s="40"/>
      <c r="E475" s="40"/>
      <c r="F475" s="11"/>
    </row>
    <row r="476" customFormat="false" ht="12.8" hidden="false" customHeight="false" outlineLevel="0" collapsed="false">
      <c r="A476" s="11"/>
      <c r="B476" s="39"/>
      <c r="C476" s="40"/>
      <c r="D476" s="40"/>
      <c r="E476" s="40"/>
      <c r="F476" s="11"/>
    </row>
    <row r="477" customFormat="false" ht="12.8" hidden="false" customHeight="false" outlineLevel="0" collapsed="false">
      <c r="A477" s="11"/>
      <c r="B477" s="39"/>
      <c r="C477" s="40"/>
      <c r="D477" s="40"/>
      <c r="E477" s="40"/>
      <c r="F477" s="11"/>
    </row>
    <row r="478" customFormat="false" ht="12.8" hidden="false" customHeight="false" outlineLevel="0" collapsed="false">
      <c r="A478" s="11"/>
      <c r="B478" s="39"/>
      <c r="C478" s="40"/>
      <c r="D478" s="40"/>
      <c r="E478" s="40"/>
      <c r="F478" s="11"/>
    </row>
    <row r="479" customFormat="false" ht="12.8" hidden="false" customHeight="false" outlineLevel="0" collapsed="false">
      <c r="A479" s="11"/>
      <c r="B479" s="39"/>
      <c r="C479" s="40"/>
      <c r="D479" s="40"/>
      <c r="E479" s="40"/>
      <c r="F479" s="11"/>
    </row>
    <row r="480" customFormat="false" ht="12.8" hidden="false" customHeight="false" outlineLevel="0" collapsed="false">
      <c r="A480" s="11"/>
      <c r="B480" s="39"/>
      <c r="C480" s="40"/>
      <c r="D480" s="40"/>
      <c r="E480" s="40"/>
      <c r="F480" s="11"/>
    </row>
    <row r="481" customFormat="false" ht="12.8" hidden="false" customHeight="false" outlineLevel="0" collapsed="false">
      <c r="A481" s="11"/>
      <c r="B481" s="39"/>
      <c r="C481" s="40"/>
      <c r="D481" s="40"/>
      <c r="E481" s="40"/>
      <c r="F481" s="11"/>
    </row>
    <row r="482" customFormat="false" ht="12.8" hidden="false" customHeight="false" outlineLevel="0" collapsed="false">
      <c r="A482" s="11"/>
      <c r="B482" s="39"/>
      <c r="C482" s="40"/>
      <c r="D482" s="40"/>
      <c r="E482" s="40"/>
      <c r="F482" s="11"/>
    </row>
    <row r="483" customFormat="false" ht="12.8" hidden="false" customHeight="false" outlineLevel="0" collapsed="false">
      <c r="A483" s="11"/>
      <c r="B483" s="39"/>
      <c r="C483" s="40"/>
      <c r="D483" s="40"/>
      <c r="E483" s="40"/>
      <c r="F483" s="11"/>
    </row>
    <row r="484" customFormat="false" ht="12.8" hidden="false" customHeight="false" outlineLevel="0" collapsed="false">
      <c r="A484" s="11"/>
      <c r="B484" s="39"/>
      <c r="C484" s="40"/>
      <c r="D484" s="40"/>
      <c r="E484" s="40"/>
      <c r="F484" s="11"/>
    </row>
    <row r="485" customFormat="false" ht="12.8" hidden="false" customHeight="false" outlineLevel="0" collapsed="false">
      <c r="A485" s="11"/>
      <c r="B485" s="39"/>
      <c r="C485" s="40"/>
      <c r="D485" s="40"/>
      <c r="E485" s="40"/>
      <c r="F485" s="11"/>
    </row>
    <row r="486" customFormat="false" ht="12.8" hidden="false" customHeight="false" outlineLevel="0" collapsed="false">
      <c r="A486" s="11"/>
      <c r="B486" s="39"/>
      <c r="C486" s="40"/>
      <c r="D486" s="40"/>
      <c r="E486" s="40"/>
      <c r="F486" s="11"/>
    </row>
    <row r="487" customFormat="false" ht="12.8" hidden="false" customHeight="false" outlineLevel="0" collapsed="false">
      <c r="A487" s="11"/>
      <c r="B487" s="39"/>
      <c r="C487" s="40"/>
      <c r="D487" s="40"/>
      <c r="E487" s="40"/>
      <c r="F487" s="11"/>
    </row>
    <row r="488" customFormat="false" ht="12.8" hidden="false" customHeight="false" outlineLevel="0" collapsed="false">
      <c r="A488" s="11"/>
      <c r="B488" s="39"/>
      <c r="C488" s="40"/>
      <c r="D488" s="40"/>
      <c r="E488" s="40"/>
      <c r="F488" s="11"/>
    </row>
    <row r="489" customFormat="false" ht="12.8" hidden="false" customHeight="false" outlineLevel="0" collapsed="false">
      <c r="A489" s="11"/>
      <c r="B489" s="39"/>
      <c r="C489" s="40"/>
      <c r="D489" s="40"/>
      <c r="E489" s="40"/>
      <c r="F489" s="11"/>
    </row>
    <row r="490" customFormat="false" ht="12.8" hidden="false" customHeight="false" outlineLevel="0" collapsed="false">
      <c r="A490" s="11"/>
      <c r="B490" s="39"/>
      <c r="C490" s="40"/>
      <c r="D490" s="40"/>
      <c r="E490" s="40"/>
      <c r="F490" s="11"/>
    </row>
    <row r="491" customFormat="false" ht="12.8" hidden="false" customHeight="false" outlineLevel="0" collapsed="false">
      <c r="A491" s="11"/>
      <c r="B491" s="39"/>
      <c r="C491" s="40"/>
      <c r="D491" s="40"/>
      <c r="E491" s="40"/>
      <c r="F491" s="11"/>
    </row>
    <row r="492" customFormat="false" ht="12.8" hidden="false" customHeight="false" outlineLevel="0" collapsed="false">
      <c r="A492" s="11"/>
      <c r="B492" s="39"/>
      <c r="C492" s="40"/>
      <c r="D492" s="40"/>
      <c r="E492" s="40"/>
      <c r="F492" s="11"/>
    </row>
    <row r="493" customFormat="false" ht="12.8" hidden="false" customHeight="false" outlineLevel="0" collapsed="false">
      <c r="A493" s="11"/>
      <c r="B493" s="39"/>
      <c r="C493" s="40"/>
      <c r="D493" s="40"/>
      <c r="E493" s="40"/>
      <c r="F493" s="11"/>
    </row>
    <row r="494" customFormat="false" ht="12.8" hidden="false" customHeight="false" outlineLevel="0" collapsed="false">
      <c r="A494" s="11"/>
      <c r="B494" s="39"/>
      <c r="C494" s="40"/>
      <c r="D494" s="40"/>
      <c r="E494" s="40"/>
      <c r="F494" s="11"/>
    </row>
    <row r="495" customFormat="false" ht="12.8" hidden="false" customHeight="false" outlineLevel="0" collapsed="false">
      <c r="A495" s="11"/>
      <c r="B495" s="39"/>
      <c r="C495" s="40"/>
      <c r="D495" s="40"/>
      <c r="E495" s="40"/>
      <c r="F495" s="11"/>
    </row>
    <row r="496" customFormat="false" ht="12.8" hidden="false" customHeight="false" outlineLevel="0" collapsed="false">
      <c r="A496" s="11"/>
      <c r="B496" s="39"/>
      <c r="C496" s="40"/>
      <c r="D496" s="40"/>
      <c r="E496" s="40"/>
      <c r="F496" s="11"/>
    </row>
    <row r="497" customFormat="false" ht="12.8" hidden="false" customHeight="false" outlineLevel="0" collapsed="false">
      <c r="A497" s="11"/>
      <c r="B497" s="39"/>
      <c r="C497" s="40"/>
      <c r="D497" s="40"/>
      <c r="E497" s="40"/>
      <c r="F497" s="11"/>
    </row>
    <row r="498" customFormat="false" ht="12.8" hidden="false" customHeight="false" outlineLevel="0" collapsed="false">
      <c r="A498" s="11"/>
      <c r="B498" s="39"/>
      <c r="C498" s="40"/>
      <c r="D498" s="40"/>
      <c r="E498" s="40"/>
      <c r="F498" s="11"/>
    </row>
    <row r="499" customFormat="false" ht="12.8" hidden="false" customHeight="false" outlineLevel="0" collapsed="false">
      <c r="A499" s="11"/>
      <c r="B499" s="39"/>
      <c r="C499" s="40"/>
      <c r="D499" s="40"/>
      <c r="E499" s="40"/>
      <c r="F499" s="11"/>
    </row>
    <row r="500" customFormat="false" ht="12.8" hidden="false" customHeight="false" outlineLevel="0" collapsed="false">
      <c r="A500" s="11"/>
      <c r="B500" s="39"/>
      <c r="C500" s="40"/>
      <c r="D500" s="40"/>
      <c r="E500" s="40"/>
      <c r="F500" s="11"/>
    </row>
    <row r="501" customFormat="false" ht="12.8" hidden="false" customHeight="false" outlineLevel="0" collapsed="false">
      <c r="A501" s="11"/>
      <c r="B501" s="39"/>
      <c r="C501" s="40"/>
      <c r="D501" s="40"/>
      <c r="E501" s="40"/>
      <c r="F501" s="11"/>
    </row>
    <row r="502" customFormat="false" ht="12.8" hidden="false" customHeight="false" outlineLevel="0" collapsed="false">
      <c r="A502" s="11"/>
      <c r="B502" s="39"/>
      <c r="C502" s="40"/>
      <c r="D502" s="40"/>
      <c r="E502" s="40"/>
      <c r="F502" s="11"/>
    </row>
    <row r="503" customFormat="false" ht="12.8" hidden="false" customHeight="false" outlineLevel="0" collapsed="false">
      <c r="A503" s="11"/>
      <c r="B503" s="39"/>
      <c r="C503" s="40"/>
      <c r="D503" s="40"/>
      <c r="E503" s="40"/>
      <c r="F503" s="11"/>
    </row>
    <row r="504" customFormat="false" ht="12.8" hidden="false" customHeight="false" outlineLevel="0" collapsed="false">
      <c r="A504" s="11"/>
      <c r="B504" s="39"/>
      <c r="C504" s="40"/>
      <c r="D504" s="40"/>
      <c r="E504" s="40"/>
      <c r="F504" s="11"/>
    </row>
    <row r="505" customFormat="false" ht="12.8" hidden="false" customHeight="false" outlineLevel="0" collapsed="false">
      <c r="A505" s="11"/>
      <c r="B505" s="39"/>
      <c r="C505" s="40"/>
      <c r="D505" s="40"/>
      <c r="E505" s="40"/>
      <c r="F505" s="11"/>
    </row>
    <row r="506" customFormat="false" ht="12.8" hidden="false" customHeight="false" outlineLevel="0" collapsed="false">
      <c r="A506" s="11"/>
      <c r="B506" s="39"/>
      <c r="C506" s="40"/>
      <c r="D506" s="40"/>
      <c r="E506" s="40"/>
      <c r="F506" s="11"/>
    </row>
    <row r="507" customFormat="false" ht="12.8" hidden="false" customHeight="false" outlineLevel="0" collapsed="false">
      <c r="A507" s="11"/>
      <c r="B507" s="11"/>
      <c r="C507" s="11"/>
      <c r="D507" s="11"/>
      <c r="E507" s="11"/>
      <c r="F507" s="11"/>
    </row>
    <row r="508" customFormat="false" ht="12.8" hidden="false" customHeight="false" outlineLevel="0" collapsed="false">
      <c r="A508" s="11"/>
      <c r="B508" s="11"/>
      <c r="C508" s="11"/>
      <c r="D508" s="11"/>
      <c r="E508" s="11"/>
      <c r="F508" s="11"/>
    </row>
    <row r="509" customFormat="false" ht="12.8" hidden="false" customHeight="false" outlineLevel="0" collapsed="false">
      <c r="A509" s="11"/>
      <c r="B509" s="11"/>
      <c r="C509" s="11"/>
      <c r="D509" s="11"/>
      <c r="E509" s="11"/>
      <c r="F509" s="11"/>
    </row>
    <row r="510" customFormat="false" ht="12.8" hidden="false" customHeight="false" outlineLevel="0" collapsed="false">
      <c r="A510" s="11"/>
      <c r="B510" s="11"/>
      <c r="C510" s="11"/>
      <c r="D510" s="11"/>
      <c r="E510" s="11"/>
      <c r="F510" s="11"/>
    </row>
    <row r="511" customFormat="false" ht="12.8" hidden="false" customHeight="false" outlineLevel="0" collapsed="false">
      <c r="A511" s="11"/>
      <c r="B511" s="11"/>
      <c r="C511" s="11"/>
      <c r="D511" s="11"/>
      <c r="E511" s="11"/>
      <c r="F511" s="11"/>
    </row>
    <row r="512" customFormat="false" ht="12.8" hidden="false" customHeight="false" outlineLevel="0" collapsed="false">
      <c r="A512" s="11"/>
      <c r="B512" s="11"/>
      <c r="C512" s="11"/>
      <c r="D512" s="11"/>
      <c r="E512" s="11"/>
      <c r="F512" s="11"/>
    </row>
    <row r="513" customFormat="false" ht="12.8" hidden="false" customHeight="false" outlineLevel="0" collapsed="false">
      <c r="A513" s="11"/>
      <c r="B513" s="11"/>
      <c r="C513" s="11"/>
      <c r="D513" s="11"/>
      <c r="E513" s="11"/>
      <c r="F513" s="11"/>
    </row>
    <row r="514" customFormat="false" ht="12.8" hidden="false" customHeight="false" outlineLevel="0" collapsed="false">
      <c r="A514" s="11"/>
      <c r="B514" s="11"/>
      <c r="C514" s="11"/>
      <c r="D514" s="11"/>
      <c r="E514" s="11"/>
      <c r="F514" s="11"/>
    </row>
    <row r="515" customFormat="false" ht="12.8" hidden="false" customHeight="false" outlineLevel="0" collapsed="false">
      <c r="A515" s="11"/>
      <c r="B515" s="11"/>
      <c r="C515" s="11"/>
      <c r="D515" s="11"/>
      <c r="E515" s="11"/>
      <c r="F515" s="11"/>
    </row>
    <row r="516" customFormat="false" ht="12.8" hidden="false" customHeight="false" outlineLevel="0" collapsed="false">
      <c r="A516" s="11"/>
      <c r="B516" s="11"/>
      <c r="C516" s="11"/>
      <c r="D516" s="11"/>
      <c r="E516" s="11"/>
      <c r="F516" s="11"/>
    </row>
    <row r="517" customFormat="false" ht="12.8" hidden="false" customHeight="false" outlineLevel="0" collapsed="false">
      <c r="A517" s="11"/>
      <c r="B517" s="11"/>
      <c r="C517" s="11"/>
      <c r="D517" s="11"/>
      <c r="E517" s="11"/>
      <c r="F517" s="11"/>
    </row>
    <row r="518" customFormat="false" ht="12.8" hidden="false" customHeight="false" outlineLevel="0" collapsed="false">
      <c r="A518" s="11"/>
      <c r="B518" s="11"/>
      <c r="C518" s="11"/>
      <c r="D518" s="11"/>
      <c r="E518" s="11"/>
      <c r="F518" s="11"/>
    </row>
    <row r="519" customFormat="false" ht="12.8" hidden="false" customHeight="false" outlineLevel="0" collapsed="false">
      <c r="A519" s="11"/>
      <c r="B519" s="11"/>
      <c r="C519" s="11"/>
      <c r="D519" s="11"/>
      <c r="E519" s="11"/>
      <c r="F519" s="11"/>
    </row>
    <row r="520" customFormat="false" ht="12.8" hidden="false" customHeight="false" outlineLevel="0" collapsed="false">
      <c r="A520" s="11"/>
      <c r="B520" s="11"/>
      <c r="C520" s="11"/>
      <c r="D520" s="11"/>
      <c r="E520" s="11"/>
      <c r="F520" s="11"/>
    </row>
    <row r="521" customFormat="false" ht="12.8" hidden="false" customHeight="false" outlineLevel="0" collapsed="false">
      <c r="A521" s="11"/>
      <c r="B521" s="11"/>
      <c r="C521" s="11"/>
      <c r="D521" s="11"/>
      <c r="E521" s="11"/>
      <c r="F521" s="11"/>
    </row>
    <row r="522" customFormat="false" ht="12.8" hidden="false" customHeight="false" outlineLevel="0" collapsed="false">
      <c r="A522" s="11"/>
      <c r="B522" s="11"/>
      <c r="C522" s="11"/>
      <c r="D522" s="11"/>
      <c r="E522" s="11"/>
      <c r="F522" s="11"/>
    </row>
    <row r="523" customFormat="false" ht="12.8" hidden="false" customHeight="false" outlineLevel="0" collapsed="false">
      <c r="A523" s="11"/>
      <c r="B523" s="11"/>
      <c r="C523" s="11"/>
      <c r="D523" s="11"/>
      <c r="E523" s="11"/>
      <c r="F523" s="11"/>
    </row>
    <row r="524" customFormat="false" ht="12.8" hidden="false" customHeight="false" outlineLevel="0" collapsed="false">
      <c r="A524" s="11"/>
      <c r="B524" s="11"/>
      <c r="C524" s="11"/>
      <c r="D524" s="11"/>
      <c r="E524" s="11"/>
      <c r="F524" s="11"/>
    </row>
    <row r="525" customFormat="false" ht="12.8" hidden="false" customHeight="false" outlineLevel="0" collapsed="false">
      <c r="A525" s="11"/>
      <c r="B525" s="11"/>
      <c r="C525" s="11"/>
      <c r="D525" s="11"/>
      <c r="E525" s="11"/>
      <c r="F525" s="11"/>
    </row>
    <row r="526" customFormat="false" ht="12.8" hidden="false" customHeight="false" outlineLevel="0" collapsed="false">
      <c r="A526" s="11"/>
      <c r="B526" s="11"/>
      <c r="C526" s="11"/>
      <c r="D526" s="11"/>
      <c r="E526" s="11"/>
      <c r="F526" s="11"/>
    </row>
    <row r="527" customFormat="false" ht="12.8" hidden="false" customHeight="false" outlineLevel="0" collapsed="false">
      <c r="A527" s="11"/>
      <c r="B527" s="11"/>
      <c r="C527" s="11"/>
      <c r="D527" s="11"/>
      <c r="E527" s="11"/>
      <c r="F527" s="11"/>
    </row>
    <row r="528" customFormat="false" ht="12.8" hidden="false" customHeight="false" outlineLevel="0" collapsed="false">
      <c r="A528" s="11"/>
      <c r="B528" s="11"/>
      <c r="C528" s="11"/>
      <c r="D528" s="11"/>
      <c r="E528" s="11"/>
      <c r="F528" s="11"/>
    </row>
    <row r="529" customFormat="false" ht="12.8" hidden="false" customHeight="false" outlineLevel="0" collapsed="false">
      <c r="A529" s="11"/>
      <c r="B529" s="11"/>
      <c r="C529" s="11"/>
      <c r="D529" s="11"/>
      <c r="E529" s="11"/>
      <c r="F529" s="11"/>
    </row>
    <row r="530" customFormat="false" ht="12.8" hidden="false" customHeight="false" outlineLevel="0" collapsed="false">
      <c r="A530" s="11"/>
      <c r="B530" s="11"/>
      <c r="C530" s="11"/>
      <c r="D530" s="11"/>
      <c r="E530" s="11"/>
      <c r="F530" s="11"/>
    </row>
    <row r="531" customFormat="false" ht="12.8" hidden="false" customHeight="false" outlineLevel="0" collapsed="false">
      <c r="A531" s="11"/>
      <c r="B531" s="11"/>
      <c r="C531" s="11"/>
      <c r="D531" s="11"/>
      <c r="E531" s="11"/>
      <c r="F531" s="11"/>
    </row>
    <row r="532" customFormat="false" ht="12.8" hidden="false" customHeight="false" outlineLevel="0" collapsed="false">
      <c r="A532" s="11"/>
      <c r="B532" s="11"/>
      <c r="C532" s="11"/>
      <c r="D532" s="11"/>
      <c r="E532" s="11"/>
      <c r="F532" s="11"/>
    </row>
    <row r="533" customFormat="false" ht="12.8" hidden="false" customHeight="false" outlineLevel="0" collapsed="false">
      <c r="A533" s="11"/>
      <c r="B533" s="11"/>
      <c r="C533" s="11"/>
      <c r="D533" s="11"/>
      <c r="E533" s="11"/>
      <c r="F533" s="11"/>
    </row>
    <row r="534" customFormat="false" ht="12.8" hidden="false" customHeight="false" outlineLevel="0" collapsed="false">
      <c r="A534" s="11"/>
      <c r="B534" s="11"/>
      <c r="C534" s="11"/>
      <c r="D534" s="11"/>
      <c r="E534" s="11"/>
      <c r="F534" s="11"/>
    </row>
    <row r="535" customFormat="false" ht="12.8" hidden="false" customHeight="false" outlineLevel="0" collapsed="false">
      <c r="A535" s="11"/>
      <c r="B535" s="11"/>
      <c r="C535" s="11"/>
      <c r="D535" s="11"/>
      <c r="E535" s="11"/>
      <c r="F535" s="11"/>
    </row>
    <row r="536" customFormat="false" ht="12.8" hidden="false" customHeight="false" outlineLevel="0" collapsed="false">
      <c r="A536" s="11"/>
      <c r="B536" s="11"/>
      <c r="C536" s="11"/>
      <c r="D536" s="11"/>
      <c r="E536" s="11"/>
      <c r="F536" s="11"/>
    </row>
    <row r="537" customFormat="false" ht="12.8" hidden="false" customHeight="false" outlineLevel="0" collapsed="false">
      <c r="A537" s="11"/>
      <c r="B537" s="11"/>
      <c r="C537" s="11"/>
      <c r="D537" s="11"/>
      <c r="E537" s="11"/>
      <c r="F537" s="11"/>
    </row>
    <row r="538" customFormat="false" ht="12.8" hidden="false" customHeight="false" outlineLevel="0" collapsed="false">
      <c r="A538" s="11"/>
      <c r="B538" s="11"/>
      <c r="C538" s="11"/>
      <c r="D538" s="11"/>
      <c r="E538" s="11"/>
      <c r="F538" s="11"/>
    </row>
    <row r="539" customFormat="false" ht="12.8" hidden="false" customHeight="false" outlineLevel="0" collapsed="false">
      <c r="A539" s="11"/>
      <c r="B539" s="11"/>
      <c r="C539" s="11"/>
      <c r="D539" s="11"/>
      <c r="E539" s="11"/>
      <c r="F539" s="11"/>
    </row>
    <row r="540" customFormat="false" ht="12.8" hidden="false" customHeight="false" outlineLevel="0" collapsed="false">
      <c r="A540" s="11"/>
      <c r="B540" s="11"/>
      <c r="C540" s="11"/>
      <c r="D540" s="11"/>
      <c r="E540" s="11"/>
      <c r="F540" s="11"/>
    </row>
    <row r="541" customFormat="false" ht="12.8" hidden="false" customHeight="false" outlineLevel="0" collapsed="false">
      <c r="A541" s="11"/>
      <c r="B541" s="11"/>
      <c r="C541" s="11"/>
      <c r="D541" s="11"/>
      <c r="E541" s="11"/>
      <c r="F541" s="11"/>
    </row>
    <row r="542" customFormat="false" ht="12.8" hidden="false" customHeight="false" outlineLevel="0" collapsed="false">
      <c r="A542" s="11"/>
      <c r="B542" s="11"/>
      <c r="C542" s="11"/>
      <c r="D542" s="11"/>
      <c r="E542" s="11"/>
      <c r="F542" s="11"/>
    </row>
    <row r="543" customFormat="false" ht="12.8" hidden="false" customHeight="false" outlineLevel="0" collapsed="false">
      <c r="A543" s="11"/>
      <c r="B543" s="11"/>
      <c r="C543" s="11"/>
      <c r="D543" s="11"/>
      <c r="E543" s="11"/>
      <c r="F543" s="11"/>
    </row>
    <row r="544" customFormat="false" ht="12.8" hidden="false" customHeight="false" outlineLevel="0" collapsed="false">
      <c r="A544" s="11"/>
      <c r="B544" s="11"/>
      <c r="C544" s="11"/>
      <c r="D544" s="11"/>
      <c r="E544" s="11"/>
      <c r="F544" s="11"/>
    </row>
    <row r="545" customFormat="false" ht="12.8" hidden="false" customHeight="false" outlineLevel="0" collapsed="false">
      <c r="A545" s="11"/>
      <c r="B545" s="11"/>
      <c r="C545" s="11"/>
      <c r="D545" s="11"/>
      <c r="E545" s="11"/>
      <c r="F545" s="11"/>
    </row>
    <row r="546" customFormat="false" ht="12.8" hidden="false" customHeight="false" outlineLevel="0" collapsed="false">
      <c r="A546" s="11"/>
      <c r="B546" s="11"/>
      <c r="C546" s="11"/>
      <c r="D546" s="11"/>
      <c r="E546" s="11"/>
      <c r="F546" s="11"/>
    </row>
    <row r="547" customFormat="false" ht="12.8" hidden="false" customHeight="false" outlineLevel="0" collapsed="false">
      <c r="A547" s="11"/>
      <c r="B547" s="11"/>
      <c r="C547" s="11"/>
      <c r="D547" s="11"/>
      <c r="E547" s="11"/>
      <c r="F547" s="11"/>
    </row>
    <row r="548" customFormat="false" ht="12.8" hidden="false" customHeight="false" outlineLevel="0" collapsed="false">
      <c r="A548" s="11"/>
      <c r="B548" s="11"/>
      <c r="C548" s="11"/>
      <c r="D548" s="11"/>
      <c r="E548" s="11"/>
      <c r="F548" s="11"/>
    </row>
    <row r="549" customFormat="false" ht="12.8" hidden="false" customHeight="false" outlineLevel="0" collapsed="false">
      <c r="A549" s="11"/>
      <c r="B549" s="11"/>
      <c r="C549" s="11"/>
      <c r="D549" s="11"/>
      <c r="E549" s="11"/>
      <c r="F549" s="11"/>
    </row>
    <row r="550" customFormat="false" ht="12.8" hidden="false" customHeight="false" outlineLevel="0" collapsed="false">
      <c r="A550" s="11"/>
      <c r="B550" s="11"/>
      <c r="C550" s="11"/>
      <c r="D550" s="11"/>
      <c r="E550" s="11"/>
      <c r="F550" s="11"/>
    </row>
    <row r="551" customFormat="false" ht="12.8" hidden="false" customHeight="false" outlineLevel="0" collapsed="false">
      <c r="A551" s="11"/>
      <c r="B551" s="11"/>
      <c r="C551" s="11"/>
      <c r="D551" s="11"/>
      <c r="E551" s="11"/>
      <c r="F551" s="11"/>
    </row>
    <row r="552" customFormat="false" ht="12.8" hidden="false" customHeight="false" outlineLevel="0" collapsed="false">
      <c r="A552" s="11"/>
      <c r="B552" s="11"/>
      <c r="C552" s="11"/>
      <c r="D552" s="11"/>
      <c r="E552" s="11"/>
      <c r="F552" s="11"/>
    </row>
    <row r="553" customFormat="false" ht="12.8" hidden="false" customHeight="false" outlineLevel="0" collapsed="false">
      <c r="A553" s="11"/>
      <c r="B553" s="11"/>
      <c r="C553" s="11"/>
      <c r="D553" s="11"/>
      <c r="E553" s="11"/>
      <c r="F553" s="11"/>
    </row>
    <row r="554" customFormat="false" ht="12.8" hidden="false" customHeight="false" outlineLevel="0" collapsed="false">
      <c r="A554" s="11"/>
      <c r="B554" s="11"/>
      <c r="C554" s="11"/>
      <c r="D554" s="11"/>
      <c r="E554" s="11"/>
      <c r="F554" s="11"/>
    </row>
    <row r="555" customFormat="false" ht="12.8" hidden="false" customHeight="false" outlineLevel="0" collapsed="false">
      <c r="A555" s="11"/>
      <c r="B555" s="11"/>
      <c r="C555" s="11"/>
      <c r="D555" s="11"/>
      <c r="E555" s="11"/>
      <c r="F555" s="11"/>
    </row>
    <row r="556" customFormat="false" ht="12.8" hidden="false" customHeight="false" outlineLevel="0" collapsed="false">
      <c r="A556" s="11"/>
      <c r="B556" s="11"/>
      <c r="C556" s="11"/>
      <c r="D556" s="11"/>
      <c r="E556" s="11"/>
      <c r="F556" s="11"/>
    </row>
    <row r="557" customFormat="false" ht="12.8" hidden="false" customHeight="false" outlineLevel="0" collapsed="false">
      <c r="A557" s="11"/>
      <c r="B557" s="11"/>
      <c r="C557" s="11"/>
      <c r="D557" s="11"/>
      <c r="E557" s="11"/>
      <c r="F557" s="11"/>
    </row>
    <row r="558" customFormat="false" ht="12.8" hidden="false" customHeight="false" outlineLevel="0" collapsed="false">
      <c r="A558" s="11"/>
      <c r="B558" s="11"/>
      <c r="C558" s="11"/>
      <c r="D558" s="11"/>
      <c r="E558" s="11"/>
      <c r="F558" s="11"/>
    </row>
    <row r="559" customFormat="false" ht="12.8" hidden="false" customHeight="false" outlineLevel="0" collapsed="false">
      <c r="A559" s="11"/>
      <c r="B559" s="11"/>
      <c r="C559" s="11"/>
      <c r="D559" s="11"/>
      <c r="E559" s="11"/>
      <c r="F559" s="11"/>
    </row>
    <row r="560" customFormat="false" ht="12.8" hidden="false" customHeight="false" outlineLevel="0" collapsed="false">
      <c r="A560" s="11"/>
      <c r="B560" s="11"/>
      <c r="C560" s="11"/>
      <c r="D560" s="11"/>
      <c r="E560" s="11"/>
      <c r="F560" s="11"/>
    </row>
    <row r="561" customFormat="false" ht="12.8" hidden="false" customHeight="false" outlineLevel="0" collapsed="false">
      <c r="A561" s="11"/>
      <c r="B561" s="11"/>
      <c r="C561" s="11"/>
      <c r="D561" s="11"/>
      <c r="E561" s="11"/>
      <c r="F561" s="11"/>
    </row>
    <row r="562" customFormat="false" ht="12.8" hidden="false" customHeight="false" outlineLevel="0" collapsed="false">
      <c r="A562" s="11"/>
      <c r="B562" s="11"/>
      <c r="C562" s="11"/>
      <c r="D562" s="11"/>
      <c r="E562" s="11"/>
      <c r="F562" s="11"/>
    </row>
    <row r="563" customFormat="false" ht="12.8" hidden="false" customHeight="false" outlineLevel="0" collapsed="false">
      <c r="A563" s="11"/>
      <c r="B563" s="11"/>
      <c r="C563" s="11"/>
      <c r="D563" s="11"/>
      <c r="E563" s="11"/>
      <c r="F563" s="11"/>
    </row>
    <row r="564" customFormat="false" ht="12.8" hidden="false" customHeight="false" outlineLevel="0" collapsed="false">
      <c r="A564" s="11"/>
      <c r="B564" s="11"/>
      <c r="C564" s="11"/>
      <c r="D564" s="11"/>
      <c r="E564" s="11"/>
      <c r="F564" s="11"/>
    </row>
    <row r="565" customFormat="false" ht="12.8" hidden="false" customHeight="false" outlineLevel="0" collapsed="false">
      <c r="A565" s="11"/>
      <c r="B565" s="11"/>
      <c r="C565" s="11"/>
      <c r="D565" s="11"/>
      <c r="E565" s="11"/>
      <c r="F565" s="11"/>
    </row>
    <row r="566" customFormat="false" ht="12.8" hidden="false" customHeight="false" outlineLevel="0" collapsed="false">
      <c r="A566" s="11"/>
      <c r="B566" s="11"/>
      <c r="C566" s="11"/>
      <c r="D566" s="11"/>
      <c r="E566" s="11"/>
      <c r="F566" s="11"/>
    </row>
    <row r="567" customFormat="false" ht="12.8" hidden="false" customHeight="false" outlineLevel="0" collapsed="false">
      <c r="A567" s="11"/>
      <c r="B567" s="11"/>
      <c r="C567" s="11"/>
      <c r="D567" s="11"/>
      <c r="E567" s="11"/>
      <c r="F567" s="11"/>
    </row>
    <row r="568" customFormat="false" ht="12.8" hidden="false" customHeight="false" outlineLevel="0" collapsed="false">
      <c r="A568" s="11"/>
      <c r="B568" s="11"/>
      <c r="C568" s="11"/>
      <c r="D568" s="11"/>
      <c r="E568" s="11"/>
      <c r="F568" s="11"/>
    </row>
    <row r="569" customFormat="false" ht="12.8" hidden="false" customHeight="false" outlineLevel="0" collapsed="false">
      <c r="A569" s="11"/>
      <c r="B569" s="11"/>
      <c r="C569" s="11"/>
      <c r="D569" s="11"/>
      <c r="E569" s="11"/>
      <c r="F569" s="11"/>
    </row>
    <row r="570" customFormat="false" ht="12.8" hidden="false" customHeight="false" outlineLevel="0" collapsed="false">
      <c r="A570" s="11"/>
      <c r="B570" s="11"/>
      <c r="C570" s="11"/>
      <c r="D570" s="11"/>
      <c r="E570" s="11"/>
      <c r="F570" s="11"/>
    </row>
    <row r="571" customFormat="false" ht="12.8" hidden="false" customHeight="false" outlineLevel="0" collapsed="false">
      <c r="A571" s="11"/>
      <c r="B571" s="11"/>
      <c r="C571" s="11"/>
      <c r="D571" s="11"/>
      <c r="E571" s="11"/>
      <c r="F571" s="11"/>
    </row>
    <row r="572" customFormat="false" ht="12.8" hidden="false" customHeight="false" outlineLevel="0" collapsed="false">
      <c r="A572" s="11"/>
      <c r="B572" s="11"/>
      <c r="C572" s="11"/>
      <c r="D572" s="11"/>
      <c r="E572" s="11"/>
      <c r="F572" s="11"/>
    </row>
    <row r="573" customFormat="false" ht="12.8" hidden="false" customHeight="false" outlineLevel="0" collapsed="false">
      <c r="A573" s="11"/>
      <c r="B573" s="11"/>
      <c r="C573" s="11"/>
      <c r="D573" s="11"/>
      <c r="E573" s="11"/>
      <c r="F573" s="11"/>
    </row>
    <row r="574" customFormat="false" ht="12.8" hidden="false" customHeight="false" outlineLevel="0" collapsed="false">
      <c r="A574" s="11"/>
      <c r="B574" s="11"/>
      <c r="C574" s="11"/>
      <c r="D574" s="11"/>
      <c r="E574" s="11"/>
      <c r="F574" s="11"/>
    </row>
    <row r="575" customFormat="false" ht="12.8" hidden="false" customHeight="false" outlineLevel="0" collapsed="false">
      <c r="A575" s="11"/>
      <c r="B575" s="11"/>
      <c r="C575" s="11"/>
      <c r="D575" s="11"/>
      <c r="E575" s="11"/>
      <c r="F575" s="11"/>
    </row>
    <row r="576" customFormat="false" ht="12.8" hidden="false" customHeight="false" outlineLevel="0" collapsed="false">
      <c r="A576" s="11"/>
      <c r="B576" s="11"/>
      <c r="C576" s="11"/>
      <c r="D576" s="11"/>
      <c r="E576" s="11"/>
      <c r="F576" s="11"/>
    </row>
    <row r="577" customFormat="false" ht="12.8" hidden="false" customHeight="false" outlineLevel="0" collapsed="false">
      <c r="A577" s="11"/>
      <c r="B577" s="11"/>
      <c r="C577" s="11"/>
      <c r="D577" s="11"/>
      <c r="E577" s="11"/>
      <c r="F577" s="11"/>
    </row>
    <row r="578" customFormat="false" ht="12.8" hidden="false" customHeight="false" outlineLevel="0" collapsed="false">
      <c r="A578" s="11"/>
      <c r="B578" s="11"/>
      <c r="C578" s="11"/>
      <c r="D578" s="11"/>
      <c r="E578" s="11"/>
      <c r="F578" s="11"/>
    </row>
    <row r="579" customFormat="false" ht="12.8" hidden="false" customHeight="false" outlineLevel="0" collapsed="false">
      <c r="A579" s="11"/>
      <c r="B579" s="11"/>
      <c r="C579" s="11"/>
      <c r="D579" s="11"/>
      <c r="E579" s="11"/>
      <c r="F579" s="11"/>
    </row>
    <row r="580" customFormat="false" ht="12.8" hidden="false" customHeight="false" outlineLevel="0" collapsed="false">
      <c r="A580" s="11"/>
      <c r="B580" s="11"/>
      <c r="C580" s="11"/>
      <c r="D580" s="11"/>
      <c r="E580" s="11"/>
      <c r="F580" s="11"/>
    </row>
    <row r="581" customFormat="false" ht="12.8" hidden="false" customHeight="false" outlineLevel="0" collapsed="false">
      <c r="A581" s="11"/>
      <c r="B581" s="11"/>
      <c r="C581" s="11"/>
      <c r="D581" s="11"/>
      <c r="E581" s="11"/>
      <c r="F581" s="11"/>
    </row>
    <row r="582" customFormat="false" ht="12.8" hidden="false" customHeight="false" outlineLevel="0" collapsed="false">
      <c r="A582" s="11"/>
      <c r="B582" s="11"/>
      <c r="C582" s="11"/>
      <c r="D582" s="11"/>
      <c r="E582" s="11"/>
      <c r="F582" s="11"/>
    </row>
    <row r="583" customFormat="false" ht="12.8" hidden="false" customHeight="false" outlineLevel="0" collapsed="false">
      <c r="A583" s="11"/>
      <c r="B583" s="11"/>
      <c r="C583" s="11"/>
      <c r="D583" s="11"/>
      <c r="E583" s="11"/>
      <c r="F583" s="11"/>
    </row>
    <row r="584" customFormat="false" ht="12.8" hidden="false" customHeight="false" outlineLevel="0" collapsed="false">
      <c r="A584" s="11"/>
      <c r="B584" s="11"/>
      <c r="C584" s="11"/>
      <c r="D584" s="11"/>
      <c r="E584" s="11"/>
      <c r="F584" s="11"/>
    </row>
    <row r="585" customFormat="false" ht="12.8" hidden="false" customHeight="false" outlineLevel="0" collapsed="false">
      <c r="A585" s="11"/>
      <c r="B585" s="11"/>
      <c r="C585" s="11"/>
      <c r="D585" s="11"/>
      <c r="E585" s="11"/>
      <c r="F585" s="11"/>
    </row>
    <row r="586" customFormat="false" ht="12.8" hidden="false" customHeight="false" outlineLevel="0" collapsed="false">
      <c r="A586" s="11"/>
      <c r="B586" s="11"/>
      <c r="C586" s="11"/>
      <c r="D586" s="11"/>
      <c r="E586" s="11"/>
      <c r="F586" s="11"/>
    </row>
    <row r="587" customFormat="false" ht="12.8" hidden="false" customHeight="false" outlineLevel="0" collapsed="false">
      <c r="A587" s="11"/>
      <c r="B587" s="11"/>
      <c r="C587" s="11"/>
      <c r="D587" s="11"/>
      <c r="E587" s="11"/>
      <c r="F587" s="11"/>
    </row>
    <row r="588" customFormat="false" ht="12.8" hidden="false" customHeight="false" outlineLevel="0" collapsed="false">
      <c r="A588" s="11"/>
      <c r="B588" s="11"/>
      <c r="C588" s="11"/>
      <c r="D588" s="11"/>
      <c r="E588" s="11"/>
      <c r="F588" s="11"/>
    </row>
    <row r="589" customFormat="false" ht="12.8" hidden="false" customHeight="false" outlineLevel="0" collapsed="false">
      <c r="A589" s="11"/>
      <c r="B589" s="11"/>
      <c r="C589" s="11"/>
      <c r="D589" s="11"/>
      <c r="E589" s="11"/>
      <c r="F589" s="11"/>
    </row>
    <row r="590" customFormat="false" ht="12.8" hidden="false" customHeight="false" outlineLevel="0" collapsed="false">
      <c r="A590" s="11"/>
      <c r="B590" s="11"/>
      <c r="C590" s="11"/>
      <c r="D590" s="11"/>
      <c r="E590" s="11"/>
      <c r="F590" s="11"/>
    </row>
    <row r="591" customFormat="false" ht="12.8" hidden="false" customHeight="false" outlineLevel="0" collapsed="false">
      <c r="A591" s="11"/>
      <c r="B591" s="11"/>
      <c r="C591" s="11"/>
      <c r="D591" s="11"/>
      <c r="E591" s="11"/>
      <c r="F591" s="11"/>
    </row>
    <row r="592" customFormat="false" ht="12.8" hidden="false" customHeight="false" outlineLevel="0" collapsed="false">
      <c r="A592" s="11"/>
      <c r="B592" s="11"/>
      <c r="C592" s="11"/>
      <c r="D592" s="11"/>
      <c r="E592" s="11"/>
      <c r="F592" s="11"/>
    </row>
    <row r="593" customFormat="false" ht="12.8" hidden="false" customHeight="false" outlineLevel="0" collapsed="false">
      <c r="A593" s="11"/>
      <c r="B593" s="11"/>
      <c r="C593" s="11"/>
      <c r="D593" s="11"/>
      <c r="E593" s="11"/>
      <c r="F593" s="11"/>
    </row>
    <row r="594" customFormat="false" ht="12.8" hidden="false" customHeight="false" outlineLevel="0" collapsed="false">
      <c r="A594" s="11"/>
      <c r="B594" s="11"/>
      <c r="C594" s="11"/>
      <c r="D594" s="11"/>
      <c r="E594" s="11"/>
      <c r="F594" s="11"/>
    </row>
    <row r="595" customFormat="false" ht="12.8" hidden="false" customHeight="false" outlineLevel="0" collapsed="false">
      <c r="A595" s="11"/>
      <c r="B595" s="11"/>
      <c r="C595" s="11"/>
      <c r="D595" s="11"/>
      <c r="E595" s="11"/>
      <c r="F595" s="11"/>
    </row>
    <row r="596" customFormat="false" ht="12.8" hidden="false" customHeight="false" outlineLevel="0" collapsed="false">
      <c r="A596" s="11"/>
      <c r="B596" s="11"/>
      <c r="C596" s="11"/>
      <c r="D596" s="11"/>
      <c r="E596" s="11"/>
      <c r="F596" s="11"/>
    </row>
    <row r="597" customFormat="false" ht="12.8" hidden="false" customHeight="false" outlineLevel="0" collapsed="false">
      <c r="A597" s="11"/>
      <c r="B597" s="11"/>
      <c r="C597" s="11"/>
      <c r="D597" s="11"/>
      <c r="E597" s="11"/>
      <c r="F597" s="11"/>
    </row>
    <row r="598" customFormat="false" ht="12.8" hidden="false" customHeight="false" outlineLevel="0" collapsed="false">
      <c r="A598" s="11"/>
      <c r="B598" s="11"/>
      <c r="C598" s="11"/>
      <c r="D598" s="11"/>
      <c r="E598" s="11"/>
      <c r="F598" s="11"/>
    </row>
    <row r="599" customFormat="false" ht="12.8" hidden="false" customHeight="false" outlineLevel="0" collapsed="false">
      <c r="A599" s="11"/>
      <c r="B599" s="11"/>
      <c r="C599" s="11"/>
      <c r="D599" s="11"/>
      <c r="E599" s="11"/>
      <c r="F599" s="11"/>
    </row>
    <row r="600" customFormat="false" ht="12.8" hidden="false" customHeight="false" outlineLevel="0" collapsed="false">
      <c r="A600" s="11"/>
      <c r="B600" s="11"/>
      <c r="C600" s="11"/>
      <c r="D600" s="11"/>
      <c r="E600" s="11"/>
      <c r="F600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22"/>
    <col collapsed="false" customWidth="true" hidden="false" outlineLevel="0" max="5" min="5" style="1" width="24"/>
  </cols>
  <sheetData>
    <row r="1" customFormat="false" ht="15" hidden="false" customHeight="false" outlineLevel="0" collapsed="false">
      <c r="A1" s="44" t="s">
        <v>1235</v>
      </c>
    </row>
    <row r="2" customFormat="false" ht="30" hidden="false" customHeight="true" outlineLevel="0" collapsed="false">
      <c r="A2" s="45" t="s">
        <v>1236</v>
      </c>
      <c r="B2" s="45"/>
      <c r="C2" s="45"/>
      <c r="D2" s="45"/>
      <c r="E2" s="45"/>
    </row>
    <row r="4" customFormat="false" ht="30" hidden="false" customHeight="true" outlineLevel="0" collapsed="false">
      <c r="A4" s="46" t="s">
        <v>12</v>
      </c>
      <c r="B4" s="46" t="s">
        <v>1228</v>
      </c>
      <c r="C4" s="46" t="s">
        <v>1229</v>
      </c>
      <c r="D4" s="46" t="s">
        <v>1230</v>
      </c>
      <c r="E4" s="46" t="s">
        <v>1231</v>
      </c>
    </row>
    <row r="5" customFormat="false" ht="15" hidden="false" customHeight="false" outlineLevel="0" collapsed="false">
      <c r="A5" s="7" t="n">
        <v>2016</v>
      </c>
      <c r="B5" s="5" t="n">
        <f aca="false">COUNTIFS(malumot!$M$2:$M$3542,$A5)</f>
        <v>396</v>
      </c>
      <c r="C5" s="47" t="n">
        <f aca="false">AVERAGEIFS(malumot!$I$2:$I$3542,malumot!$M$2:$M$3542,$A5)</f>
        <v>9.36187623716288</v>
      </c>
      <c r="D5" s="47" t="n">
        <f aca="false">AVERAGEIFS(malumot!$J$2:$J$3542,malumot!$M$2:$M$3542,$A5)</f>
        <v>33.6851685226893</v>
      </c>
      <c r="E5" s="47" t="n">
        <f aca="false">AVERAGEIFS(malumot!$F$2:$F$3542,malumot!$M$2:$M$3542,$A5)</f>
        <v>61.0555555555556</v>
      </c>
    </row>
    <row r="6" customFormat="false" ht="15" hidden="false" customHeight="false" outlineLevel="0" collapsed="false">
      <c r="A6" s="7" t="n">
        <v>2017</v>
      </c>
      <c r="B6" s="5" t="n">
        <f aca="false">COUNTIFS(malumot!$M$2:$M$3542,$A6)</f>
        <v>394</v>
      </c>
      <c r="C6" s="47" t="n">
        <f aca="false">AVERAGEIFS(malumot!$I$2:$I$3542,malumot!$M$2:$M$3542,$A6)</f>
        <v>9.60879287747978</v>
      </c>
      <c r="D6" s="47" t="n">
        <f aca="false">AVERAGEIFS(malumot!$J$2:$J$3542,malumot!$M$2:$M$3542,$A6)</f>
        <v>34.6000733037201</v>
      </c>
      <c r="E6" s="47" t="n">
        <f aca="false">AVERAGEIFS(malumot!$F$2:$F$3542,malumot!$M$2:$M$3542,$A6)</f>
        <v>62.751269035533</v>
      </c>
    </row>
    <row r="7" customFormat="false" ht="15" hidden="false" customHeight="false" outlineLevel="0" collapsed="false">
      <c r="A7" s="7" t="n">
        <v>2018</v>
      </c>
      <c r="B7" s="5" t="n">
        <f aca="false">COUNTIFS(malumot!$M$2:$M$3542,$A7)</f>
        <v>402</v>
      </c>
      <c r="C7" s="47" t="n">
        <f aca="false">AVERAGEIFS(malumot!$I$2:$I$3542,malumot!$M$2:$M$3542,$A7)</f>
        <v>9.05522912073468</v>
      </c>
      <c r="D7" s="47" t="n">
        <f aca="false">AVERAGEIFS(malumot!$J$2:$J$3542,malumot!$M$2:$M$3542,$A7)</f>
        <v>31.4295571678248</v>
      </c>
      <c r="E7" s="47" t="n">
        <f aca="false">AVERAGEIFS(malumot!$F$2:$F$3542,malumot!$M$2:$M$3542,$A7)</f>
        <v>64.0074626865672</v>
      </c>
    </row>
    <row r="8" customFormat="false" ht="15" hidden="false" customHeight="false" outlineLevel="0" collapsed="false">
      <c r="A8" s="7" t="n">
        <v>2019</v>
      </c>
      <c r="B8" s="5" t="n">
        <f aca="false">COUNTIFS(malumot!$M$2:$M$3542,$A8)</f>
        <v>394</v>
      </c>
      <c r="C8" s="47" t="n">
        <f aca="false">AVERAGEIFS(malumot!$I$2:$I$3542,malumot!$M$2:$M$3542,$A8)</f>
        <v>9.31582849082116</v>
      </c>
      <c r="D8" s="47" t="n">
        <f aca="false">AVERAGEIFS(malumot!$J$2:$J$3542,malumot!$M$2:$M$3542,$A8)</f>
        <v>31.4962224125559</v>
      </c>
      <c r="E8" s="47" t="n">
        <f aca="false">AVERAGEIFS(malumot!$F$2:$F$3542,malumot!$M$2:$M$3542,$A8)</f>
        <v>65.3934010152284</v>
      </c>
    </row>
    <row r="9" customFormat="false" ht="15" hidden="false" customHeight="false" outlineLevel="0" collapsed="false">
      <c r="A9" s="7" t="n">
        <v>2020</v>
      </c>
      <c r="B9" s="5" t="n">
        <f aca="false">COUNTIFS(malumot!$M$2:$M$3542,$A9)</f>
        <v>389</v>
      </c>
      <c r="C9" s="47" t="n">
        <f aca="false">AVERAGEIFS(malumot!$I$2:$I$3542,malumot!$M$2:$M$3542,$A9)</f>
        <v>9.43246408736971</v>
      </c>
      <c r="D9" s="47" t="n">
        <f aca="false">AVERAGEIFS(malumot!$J$2:$J$3542,malumot!$M$2:$M$3542,$A9)</f>
        <v>34.6880716808109</v>
      </c>
      <c r="E9" s="47" t="n">
        <f aca="false">AVERAGEIFS(malumot!$F$2:$F$3542,malumot!$M$2:$M$3542,$A9)</f>
        <v>65.6503856041131</v>
      </c>
    </row>
    <row r="10" customFormat="false" ht="15" hidden="false" customHeight="false" outlineLevel="0" collapsed="false">
      <c r="A10" s="7" t="n">
        <v>2021</v>
      </c>
      <c r="B10" s="5" t="n">
        <f aca="false">COUNTIFS(malumot!$M$2:$M$3542,$A10)</f>
        <v>390</v>
      </c>
      <c r="C10" s="47" t="n">
        <f aca="false">AVERAGEIFS(malumot!$I$2:$I$3542,malumot!$M$2:$M$3542,$A10)</f>
        <v>8.54487997638354</v>
      </c>
      <c r="D10" s="47" t="n">
        <f aca="false">AVERAGEIFS(malumot!$J$2:$J$3542,malumot!$M$2:$M$3542,$A10)</f>
        <v>28.7635870524923</v>
      </c>
      <c r="E10" s="47" t="n">
        <f aca="false">AVERAGEIFS(malumot!$F$2:$F$3542,malumot!$M$2:$M$3542,$A10)</f>
        <v>66.1794871794872</v>
      </c>
    </row>
    <row r="11" customFormat="false" ht="15" hidden="false" customHeight="false" outlineLevel="0" collapsed="false">
      <c r="A11" s="7" t="n">
        <v>2022</v>
      </c>
      <c r="B11" s="5" t="n">
        <f aca="false">COUNTIFS(malumot!$M$2:$M$3542,$A11)</f>
        <v>387</v>
      </c>
      <c r="C11" s="47" t="n">
        <f aca="false">AVERAGEIFS(malumot!$I$2:$I$3542,malumot!$M$2:$M$3542,$A11)</f>
        <v>8.82832609550142</v>
      </c>
      <c r="D11" s="47" t="n">
        <f aca="false">AVERAGEIFS(malumot!$J$2:$J$3542,malumot!$M$2:$M$3542,$A11)</f>
        <v>29.8519624032386</v>
      </c>
      <c r="E11" s="47" t="n">
        <f aca="false">AVERAGEIFS(malumot!$F$2:$F$3542,malumot!$M$2:$M$3542,$A11)</f>
        <v>64.3695090439277</v>
      </c>
    </row>
    <row r="12" customFormat="false" ht="15" hidden="false" customHeight="false" outlineLevel="0" collapsed="false">
      <c r="A12" s="7" t="n">
        <v>2023</v>
      </c>
      <c r="B12" s="5" t="n">
        <f aca="false">COUNTIFS(malumot!$M$2:$M$3542,$A12)</f>
        <v>388</v>
      </c>
      <c r="C12" s="47" t="n">
        <f aca="false">AVERAGEIFS(malumot!$I$2:$I$3542,malumot!$M$2:$M$3542,$A12)</f>
        <v>9.45672589697787</v>
      </c>
      <c r="D12" s="47" t="n">
        <f aca="false">AVERAGEIFS(malumot!$J$2:$J$3542,malumot!$M$2:$M$3542,$A12)</f>
        <v>30.7940811909688</v>
      </c>
      <c r="E12" s="47" t="n">
        <f aca="false">AVERAGEIFS(malumot!$F$2:$F$3542,malumot!$M$2:$M$3542,$A12)</f>
        <v>65.5670103092783</v>
      </c>
    </row>
    <row r="13" customFormat="false" ht="15" hidden="false" customHeight="false" outlineLevel="0" collapsed="false">
      <c r="A13" s="7" t="n">
        <v>2024</v>
      </c>
      <c r="B13" s="5" t="n">
        <f aca="false">COUNTIFS(malumot!$M$2:$M$3542,$A13)</f>
        <v>375</v>
      </c>
      <c r="C13" s="47" t="n">
        <f aca="false">AVERAGEIFS(malumot!$I$2:$I$3542,malumot!$M$2:$M$3542,$A13)</f>
        <v>9.64469110797293</v>
      </c>
      <c r="D13" s="47" t="n">
        <f aca="false">AVERAGEIFS(malumot!$J$2:$J$3542,malumot!$M$2:$M$3542,$A13)</f>
        <v>33.0415234878413</v>
      </c>
      <c r="E13" s="47" t="n">
        <f aca="false">AVERAGEIFS(malumot!$F$2:$F$3542,malumot!$M$2:$M$3542,$A13)</f>
        <v>66.128</v>
      </c>
    </row>
    <row r="14" customFormat="false" ht="15" hidden="false" customHeight="false" outlineLevel="0" collapsed="false">
      <c r="A14" s="48" t="s">
        <v>1232</v>
      </c>
      <c r="B14" s="49" t="n">
        <f aca="false">SUM(B5:B13)</f>
        <v>3515</v>
      </c>
      <c r="C14" s="3"/>
      <c r="D14" s="3"/>
      <c r="E14" s="3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8"/>
  </cols>
  <sheetData>
    <row r="1" customFormat="false" ht="15" hidden="false" customHeight="false" outlineLevel="0" collapsed="false">
      <c r="A1" s="44" t="s">
        <v>1237</v>
      </c>
    </row>
    <row r="3" customFormat="false" ht="15" hidden="false" customHeight="false" outlineLevel="0" collapsed="false">
      <c r="A3" s="50" t="s">
        <v>1238</v>
      </c>
      <c r="B3" s="50" t="s">
        <v>1239</v>
      </c>
    </row>
    <row r="4" customFormat="false" ht="15" hidden="false" customHeight="false" outlineLevel="0" collapsed="false">
      <c r="A4" s="51" t="s">
        <v>1240</v>
      </c>
      <c r="B4" s="52" t="s">
        <v>1241</v>
      </c>
    </row>
    <row r="5" customFormat="false" ht="15" hidden="false" customHeight="false" outlineLevel="0" collapsed="false">
      <c r="A5" s="51" t="s">
        <v>1242</v>
      </c>
      <c r="B5" s="52" t="s">
        <v>1243</v>
      </c>
    </row>
    <row r="6" customFormat="false" ht="15" hidden="false" customHeight="false" outlineLevel="0" collapsed="false">
      <c r="A6" s="51" t="s">
        <v>1244</v>
      </c>
      <c r="B6" s="52" t="s">
        <v>1245</v>
      </c>
    </row>
    <row r="7" customFormat="false" ht="15" hidden="false" customHeight="false" outlineLevel="0" collapsed="false">
      <c r="A7" s="51" t="s">
        <v>1246</v>
      </c>
      <c r="B7" s="52" t="s">
        <v>1247</v>
      </c>
    </row>
    <row r="8" customFormat="false" ht="15" hidden="false" customHeight="false" outlineLevel="0" collapsed="false">
      <c r="A8" s="51" t="s">
        <v>1248</v>
      </c>
      <c r="B8" s="52" t="s">
        <v>1249</v>
      </c>
    </row>
    <row r="11" customFormat="false" ht="15" hidden="false" customHeight="false" outlineLevel="0" collapsed="false">
      <c r="A11" s="48" t="s">
        <v>1250</v>
      </c>
    </row>
    <row r="12" customFormat="false" ht="15" hidden="false" customHeight="false" outlineLevel="0" collapsed="false">
      <c r="A12" s="51" t="s">
        <v>8</v>
      </c>
      <c r="B12" s="52" t="s">
        <v>1251</v>
      </c>
    </row>
    <row r="13" customFormat="false" ht="15" hidden="false" customHeight="false" outlineLevel="0" collapsed="false">
      <c r="A13" s="51" t="s">
        <v>9</v>
      </c>
      <c r="B13" s="52" t="s">
        <v>1252</v>
      </c>
    </row>
    <row r="14" customFormat="false" ht="15" hidden="false" customHeight="false" outlineLevel="0" collapsed="false">
      <c r="A14" s="51" t="s">
        <v>5</v>
      </c>
      <c r="B14" s="52" t="s">
        <v>1253</v>
      </c>
    </row>
    <row r="15" customFormat="false" ht="15" hidden="false" customHeight="false" outlineLevel="0" collapsed="false">
      <c r="A15" s="51" t="s">
        <v>7</v>
      </c>
      <c r="B15" s="52" t="s">
        <v>1254</v>
      </c>
    </row>
    <row r="16" customFormat="false" ht="15" hidden="false" customHeight="false" outlineLevel="0" collapsed="false">
      <c r="A16" s="51" t="s">
        <v>12</v>
      </c>
      <c r="B16" s="52" t="s">
        <v>1255</v>
      </c>
    </row>
    <row r="19" customFormat="false" ht="15" hidden="false" customHeight="false" outlineLevel="0" collapsed="false">
      <c r="A19" s="53" t="s">
        <v>1256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7" min="6" style="1" width="13"/>
  </cols>
  <sheetData>
    <row r="1" customFormat="false" ht="15" hidden="false" customHeight="false" outlineLevel="0" collapsed="false">
      <c r="A1" s="44" t="s">
        <v>1257</v>
      </c>
    </row>
    <row r="2" customFormat="false" ht="31.5" hidden="false" customHeight="true" outlineLevel="0" collapsed="false">
      <c r="A2" s="45" t="s">
        <v>1258</v>
      </c>
      <c r="B2" s="45"/>
      <c r="C2" s="45"/>
      <c r="D2" s="45"/>
      <c r="E2" s="45"/>
      <c r="F2" s="45"/>
      <c r="G2" s="45"/>
    </row>
    <row r="4" customFormat="false" ht="31.5" hidden="false" customHeight="true" outlineLevel="0" collapsed="false">
      <c r="A4" s="46" t="s">
        <v>1</v>
      </c>
      <c r="B4" s="46" t="s">
        <v>1259</v>
      </c>
      <c r="C4" s="46" t="s">
        <v>1229</v>
      </c>
      <c r="D4" s="46" t="s">
        <v>1230</v>
      </c>
      <c r="E4" s="46" t="s">
        <v>1260</v>
      </c>
      <c r="F4" s="46" t="s">
        <v>1261</v>
      </c>
      <c r="G4" s="46" t="s">
        <v>1262</v>
      </c>
    </row>
    <row r="5" customFormat="false" ht="15" hidden="false" customHeight="false" outlineLevel="0" collapsed="false">
      <c r="A5" s="3" t="s">
        <v>742</v>
      </c>
      <c r="B5" s="3" t="s">
        <v>743</v>
      </c>
      <c r="C5" s="47" t="n">
        <f aca="false">AVERAGEIFS(malumot!$I$2:$I$3542,malumot!$B$2:$B$3542,$A5)</f>
        <v>15.0301882422516</v>
      </c>
      <c r="D5" s="47" t="n">
        <f aca="false">AVERAGEIFS(malumot!$J$2:$J$3542,malumot!$B$2:$B$3542,$A5)</f>
        <v>12.4567233360057</v>
      </c>
      <c r="E5" s="7" t="n">
        <f aca="false">RANK(C5,$C$5:$C$432,0)</f>
        <v>51</v>
      </c>
      <c r="F5" s="7" t="n">
        <f aca="false">RANK(D5,$D$5:$D$432,0)</f>
        <v>368</v>
      </c>
      <c r="G5" s="7" t="n">
        <f aca="false">ABS(E5-F5)</f>
        <v>317</v>
      </c>
    </row>
    <row r="6" customFormat="false" ht="15" hidden="false" customHeight="false" outlineLevel="0" collapsed="false">
      <c r="A6" s="3" t="s">
        <v>79</v>
      </c>
      <c r="B6" s="3" t="s">
        <v>81</v>
      </c>
      <c r="C6" s="47" t="n">
        <f aca="false">AVERAGEIFS(malumot!$I$2:$I$3542,malumot!$B$2:$B$3542,$A6)</f>
        <v>14.0186049705424</v>
      </c>
      <c r="D6" s="47" t="n">
        <f aca="false">AVERAGEIFS(malumot!$J$2:$J$3542,malumot!$B$2:$B$3542,$A6)</f>
        <v>11.8734407589829</v>
      </c>
      <c r="E6" s="7" t="n">
        <f aca="false">RANK(C6,$C$5:$C$432,0)</f>
        <v>61</v>
      </c>
      <c r="F6" s="7" t="n">
        <f aca="false">RANK(D6,$D$5:$D$432,0)</f>
        <v>373</v>
      </c>
      <c r="G6" s="7" t="n">
        <f aca="false">ABS(E6-F6)</f>
        <v>312</v>
      </c>
    </row>
    <row r="7" customFormat="false" ht="15" hidden="false" customHeight="false" outlineLevel="0" collapsed="false">
      <c r="A7" s="3" t="s">
        <v>927</v>
      </c>
      <c r="B7" s="3" t="s">
        <v>928</v>
      </c>
      <c r="C7" s="47" t="n">
        <f aca="false">AVERAGEIFS(malumot!$I$2:$I$3542,malumot!$B$2:$B$3542,$A7)</f>
        <v>15.6386725583013</v>
      </c>
      <c r="D7" s="47" t="n">
        <f aca="false">AVERAGEIFS(malumot!$J$2:$J$3542,malumot!$B$2:$B$3542,$A7)</f>
        <v>13.4639655252554</v>
      </c>
      <c r="E7" s="7" t="n">
        <f aca="false">RANK(C7,$C$5:$C$432,0)</f>
        <v>48</v>
      </c>
      <c r="F7" s="7" t="n">
        <f aca="false">RANK(D7,$D$5:$D$432,0)</f>
        <v>360</v>
      </c>
      <c r="G7" s="7" t="n">
        <f aca="false">ABS(E7-F7)</f>
        <v>312</v>
      </c>
    </row>
    <row r="8" customFormat="false" ht="15" hidden="false" customHeight="false" outlineLevel="0" collapsed="false">
      <c r="A8" s="3" t="s">
        <v>1161</v>
      </c>
      <c r="B8" s="3" t="s">
        <v>1162</v>
      </c>
      <c r="C8" s="47" t="n">
        <f aca="false">AVERAGEIFS(malumot!$I$2:$I$3542,malumot!$B$2:$B$3542,$A8)</f>
        <v>20.6039799627597</v>
      </c>
      <c r="D8" s="47" t="n">
        <f aca="false">AVERAGEIFS(malumot!$J$2:$J$3542,malumot!$B$2:$B$3542,$A8)</f>
        <v>16.1429148610556</v>
      </c>
      <c r="E8" s="7" t="n">
        <f aca="false">RANK(C8,$C$5:$C$432,0)</f>
        <v>22</v>
      </c>
      <c r="F8" s="7" t="n">
        <f aca="false">RANK(D8,$D$5:$D$432,0)</f>
        <v>326</v>
      </c>
      <c r="G8" s="7" t="n">
        <f aca="false">ABS(E8-F8)</f>
        <v>304</v>
      </c>
    </row>
    <row r="9" customFormat="false" ht="15" hidden="false" customHeight="false" outlineLevel="0" collapsed="false">
      <c r="A9" s="3" t="s">
        <v>469</v>
      </c>
      <c r="B9" s="3" t="s">
        <v>470</v>
      </c>
      <c r="C9" s="47" t="n">
        <f aca="false">AVERAGEIFS(malumot!$I$2:$I$3542,malumot!$B$2:$B$3542,$A9)</f>
        <v>6.07853961628339</v>
      </c>
      <c r="D9" s="47" t="n">
        <f aca="false">AVERAGEIFS(malumot!$J$2:$J$3542,malumot!$B$2:$B$3542,$A9)</f>
        <v>74.6579008165981</v>
      </c>
      <c r="E9" s="7" t="n">
        <f aca="false">RANK(C9,$C$5:$C$432,0)</f>
        <v>311</v>
      </c>
      <c r="F9" s="7" t="n">
        <f aca="false">RANK(D9,$D$5:$D$432,0)</f>
        <v>28</v>
      </c>
      <c r="G9" s="7" t="n">
        <f aca="false">ABS(E9-F9)</f>
        <v>283</v>
      </c>
    </row>
    <row r="10" customFormat="false" ht="15" hidden="false" customHeight="false" outlineLevel="0" collapsed="false">
      <c r="A10" s="3" t="s">
        <v>785</v>
      </c>
      <c r="B10" s="3" t="s">
        <v>786</v>
      </c>
      <c r="C10" s="47" t="n">
        <f aca="false">AVERAGEIFS(malumot!$I$2:$I$3542,malumot!$B$2:$B$3542,$A10)</f>
        <v>11.206102712523</v>
      </c>
      <c r="D10" s="47" t="n">
        <f aca="false">AVERAGEIFS(malumot!$J$2:$J$3542,malumot!$B$2:$B$3542,$A10)</f>
        <v>10.6293626935013</v>
      </c>
      <c r="E10" s="7" t="n">
        <f aca="false">RANK(C10,$C$5:$C$432,0)</f>
        <v>105</v>
      </c>
      <c r="F10" s="7" t="n">
        <f aca="false">RANK(D10,$D$5:$D$432,0)</f>
        <v>384</v>
      </c>
      <c r="G10" s="7" t="n">
        <f aca="false">ABS(E10-F10)</f>
        <v>279</v>
      </c>
    </row>
    <row r="11" customFormat="false" ht="15" hidden="false" customHeight="false" outlineLevel="0" collapsed="false">
      <c r="A11" s="3" t="s">
        <v>754</v>
      </c>
      <c r="B11" s="3" t="s">
        <v>755</v>
      </c>
      <c r="C11" s="47" t="n">
        <f aca="false">AVERAGEIFS(malumot!$I$2:$I$3542,malumot!$B$2:$B$3542,$A11)</f>
        <v>10.0568599961403</v>
      </c>
      <c r="D11" s="47" t="n">
        <f aca="false">AVERAGEIFS(malumot!$J$2:$J$3542,malumot!$B$2:$B$3542,$A11)</f>
        <v>9.52527022895675</v>
      </c>
      <c r="E11" s="7" t="n">
        <f aca="false">RANK(C11,$C$5:$C$432,0)</f>
        <v>133</v>
      </c>
      <c r="F11" s="7" t="n">
        <f aca="false">RANK(D11,$D$5:$D$432,0)</f>
        <v>394</v>
      </c>
      <c r="G11" s="7" t="n">
        <f aca="false">ABS(E11-F11)</f>
        <v>261</v>
      </c>
    </row>
    <row r="12" customFormat="false" ht="15" hidden="false" customHeight="false" outlineLevel="0" collapsed="false">
      <c r="A12" s="3" t="s">
        <v>71</v>
      </c>
      <c r="B12" s="3" t="s">
        <v>72</v>
      </c>
      <c r="C12" s="47" t="n">
        <f aca="false">AVERAGEIFS(malumot!$I$2:$I$3542,malumot!$B$2:$B$3542,$A12)</f>
        <v>21.6298306459405</v>
      </c>
      <c r="D12" s="47" t="n">
        <f aca="false">AVERAGEIFS(malumot!$J$2:$J$3542,malumot!$B$2:$B$3542,$A12)</f>
        <v>20.4944242916451</v>
      </c>
      <c r="E12" s="7" t="n">
        <f aca="false">RANK(C12,$C$5:$C$432,0)</f>
        <v>21</v>
      </c>
      <c r="F12" s="7" t="n">
        <f aca="false">RANK(D12,$D$5:$D$432,0)</f>
        <v>269</v>
      </c>
      <c r="G12" s="7" t="n">
        <f aca="false">ABS(E12-F12)</f>
        <v>248</v>
      </c>
    </row>
    <row r="13" customFormat="false" ht="15" hidden="false" customHeight="false" outlineLevel="0" collapsed="false">
      <c r="A13" s="3" t="s">
        <v>739</v>
      </c>
      <c r="B13" s="3" t="s">
        <v>740</v>
      </c>
      <c r="C13" s="47" t="n">
        <f aca="false">AVERAGEIFS(malumot!$I$2:$I$3542,malumot!$B$2:$B$3542,$A13)</f>
        <v>14.9772249666907</v>
      </c>
      <c r="D13" s="47" t="n">
        <f aca="false">AVERAGEIFS(malumot!$J$2:$J$3542,malumot!$B$2:$B$3542,$A13)</f>
        <v>18.649103815891</v>
      </c>
      <c r="E13" s="7" t="n">
        <f aca="false">RANK(C13,$C$5:$C$432,0)</f>
        <v>53</v>
      </c>
      <c r="F13" s="7" t="n">
        <f aca="false">RANK(D13,$D$5:$D$432,0)</f>
        <v>298</v>
      </c>
      <c r="G13" s="7" t="n">
        <f aca="false">ABS(E13-F13)</f>
        <v>245</v>
      </c>
    </row>
    <row r="14" customFormat="false" ht="15" hidden="false" customHeight="false" outlineLevel="0" collapsed="false">
      <c r="A14" s="3" t="s">
        <v>930</v>
      </c>
      <c r="B14" s="3" t="s">
        <v>931</v>
      </c>
      <c r="C14" s="47" t="n">
        <f aca="false">AVERAGEIFS(malumot!$I$2:$I$3542,malumot!$B$2:$B$3542,$A14)</f>
        <v>11.9372839692825</v>
      </c>
      <c r="D14" s="47" t="n">
        <f aca="false">AVERAGEIFS(malumot!$J$2:$J$3542,malumot!$B$2:$B$3542,$A14)</f>
        <v>15.669943166629</v>
      </c>
      <c r="E14" s="7" t="n">
        <f aca="false">RANK(C14,$C$5:$C$432,0)</f>
        <v>88</v>
      </c>
      <c r="F14" s="7" t="n">
        <f aca="false">RANK(D14,$D$5:$D$432,0)</f>
        <v>332</v>
      </c>
      <c r="G14" s="7" t="n">
        <f aca="false">ABS(E14-F14)</f>
        <v>244</v>
      </c>
    </row>
    <row r="15" customFormat="false" ht="15" hidden="false" customHeight="false" outlineLevel="0" collapsed="false">
      <c r="A15" s="3" t="s">
        <v>803</v>
      </c>
      <c r="B15" s="3" t="s">
        <v>804</v>
      </c>
      <c r="C15" s="47" t="n">
        <f aca="false">AVERAGEIFS(malumot!$I$2:$I$3542,malumot!$B$2:$B$3542,$A15)</f>
        <v>9.73450482913967</v>
      </c>
      <c r="D15" s="47" t="n">
        <f aca="false">AVERAGEIFS(malumot!$J$2:$J$3542,malumot!$B$2:$B$3542,$A15)</f>
        <v>10.3642135831088</v>
      </c>
      <c r="E15" s="7" t="n">
        <f aca="false">RANK(C15,$C$5:$C$432,0)</f>
        <v>144</v>
      </c>
      <c r="F15" s="7" t="n">
        <f aca="false">RANK(D15,$D$5:$D$432,0)</f>
        <v>388</v>
      </c>
      <c r="G15" s="7" t="n">
        <f aca="false">ABS(E15-F15)</f>
        <v>244</v>
      </c>
    </row>
    <row r="16" customFormat="false" ht="15" hidden="false" customHeight="false" outlineLevel="0" collapsed="false">
      <c r="A16" s="3" t="s">
        <v>970</v>
      </c>
      <c r="B16" s="3" t="s">
        <v>971</v>
      </c>
      <c r="C16" s="47" t="n">
        <f aca="false">AVERAGEIFS(malumot!$I$2:$I$3542,malumot!$B$2:$B$3542,$A16)</f>
        <v>13.7676557236484</v>
      </c>
      <c r="D16" s="47" t="n">
        <f aca="false">AVERAGEIFS(malumot!$J$2:$J$3542,malumot!$B$2:$B$3542,$A16)</f>
        <v>17.9021783434514</v>
      </c>
      <c r="E16" s="7" t="n">
        <f aca="false">RANK(C16,$C$5:$C$432,0)</f>
        <v>65</v>
      </c>
      <c r="F16" s="7" t="n">
        <f aca="false">RANK(D16,$D$5:$D$432,0)</f>
        <v>306</v>
      </c>
      <c r="G16" s="7" t="n">
        <f aca="false">ABS(E16-F16)</f>
        <v>241</v>
      </c>
    </row>
    <row r="17" customFormat="false" ht="15" hidden="false" customHeight="false" outlineLevel="0" collapsed="false">
      <c r="A17" s="3" t="s">
        <v>951</v>
      </c>
      <c r="B17" s="3" t="s">
        <v>952</v>
      </c>
      <c r="C17" s="47" t="n">
        <f aca="false">AVERAGEIFS(malumot!$I$2:$I$3542,malumot!$B$2:$B$3542,$A17)</f>
        <v>10.9094925543298</v>
      </c>
      <c r="D17" s="47" t="n">
        <f aca="false">AVERAGEIFS(malumot!$J$2:$J$3542,malumot!$B$2:$B$3542,$A17)</f>
        <v>14.6206397472503</v>
      </c>
      <c r="E17" s="7" t="n">
        <f aca="false">RANK(C17,$C$5:$C$432,0)</f>
        <v>107</v>
      </c>
      <c r="F17" s="7" t="n">
        <f aca="false">RANK(D17,$D$5:$D$432,0)</f>
        <v>347</v>
      </c>
      <c r="G17" s="7" t="n">
        <f aca="false">ABS(E17-F17)</f>
        <v>240</v>
      </c>
    </row>
    <row r="18" customFormat="false" ht="15" hidden="false" customHeight="false" outlineLevel="0" collapsed="false">
      <c r="A18" s="3" t="s">
        <v>1050</v>
      </c>
      <c r="B18" s="3" t="s">
        <v>1051</v>
      </c>
      <c r="C18" s="47" t="n">
        <f aca="false">AVERAGEIFS(malumot!$I$2:$I$3542,malumot!$B$2:$B$3542,$A18)</f>
        <v>9.4972318517981</v>
      </c>
      <c r="D18" s="47" t="n">
        <f aca="false">AVERAGEIFS(malumot!$J$2:$J$3542,malumot!$B$2:$B$3542,$A18)</f>
        <v>9.75731861093798</v>
      </c>
      <c r="E18" s="7" t="n">
        <f aca="false">RANK(C18,$C$5:$C$432,0)</f>
        <v>154</v>
      </c>
      <c r="F18" s="7" t="n">
        <f aca="false">RANK(D18,$D$5:$D$432,0)</f>
        <v>392</v>
      </c>
      <c r="G18" s="7" t="n">
        <f aca="false">ABS(E18-F18)</f>
        <v>238</v>
      </c>
    </row>
    <row r="19" customFormat="false" ht="15" hidden="false" customHeight="false" outlineLevel="0" collapsed="false">
      <c r="A19" s="3" t="s">
        <v>667</v>
      </c>
      <c r="B19" s="3" t="s">
        <v>668</v>
      </c>
      <c r="C19" s="47" t="n">
        <f aca="false">AVERAGEIFS(malumot!$I$2:$I$3542,malumot!$B$2:$B$3542,$A19)</f>
        <v>6.08529719070021</v>
      </c>
      <c r="D19" s="47" t="n">
        <f aca="false">AVERAGEIFS(malumot!$J$2:$J$3542,malumot!$B$2:$B$3542,$A19)</f>
        <v>45.6710475267941</v>
      </c>
      <c r="E19" s="7" t="n">
        <f aca="false">RANK(C19,$C$5:$C$432,0)</f>
        <v>308</v>
      </c>
      <c r="F19" s="7" t="n">
        <f aca="false">RANK(D19,$D$5:$D$432,0)</f>
        <v>81</v>
      </c>
      <c r="G19" s="7" t="n">
        <f aca="false">ABS(E19-F19)</f>
        <v>227</v>
      </c>
    </row>
    <row r="20" customFormat="false" ht="15" hidden="false" customHeight="false" outlineLevel="0" collapsed="false">
      <c r="A20" s="3" t="s">
        <v>147</v>
      </c>
      <c r="B20" s="3" t="s">
        <v>148</v>
      </c>
      <c r="C20" s="47" t="n">
        <f aca="false">AVERAGEIFS(malumot!$I$2:$I$3542,malumot!$B$2:$B$3542,$A20)</f>
        <v>15.9030713509155</v>
      </c>
      <c r="D20" s="47" t="n">
        <f aca="false">AVERAGEIFS(malumot!$J$2:$J$3542,malumot!$B$2:$B$3542,$A20)</f>
        <v>20.7950753104875</v>
      </c>
      <c r="E20" s="7" t="n">
        <f aca="false">RANK(C20,$C$5:$C$432,0)</f>
        <v>44</v>
      </c>
      <c r="F20" s="7" t="n">
        <f aca="false">RANK(D20,$D$5:$D$432,0)</f>
        <v>266</v>
      </c>
      <c r="G20" s="7" t="n">
        <f aca="false">ABS(E20-F20)</f>
        <v>222</v>
      </c>
    </row>
    <row r="21" customFormat="false" ht="15" hidden="false" customHeight="false" outlineLevel="0" collapsed="false">
      <c r="A21" s="3" t="s">
        <v>912</v>
      </c>
      <c r="B21" s="3" t="s">
        <v>913</v>
      </c>
      <c r="C21" s="47" t="n">
        <f aca="false">AVERAGEIFS(malumot!$I$2:$I$3542,malumot!$B$2:$B$3542,$A21)</f>
        <v>12.3704456901062</v>
      </c>
      <c r="D21" s="47" t="n">
        <f aca="false">AVERAGEIFS(malumot!$J$2:$J$3542,malumot!$B$2:$B$3542,$A21)</f>
        <v>18.7453494089485</v>
      </c>
      <c r="E21" s="7" t="n">
        <f aca="false">RANK(C21,$C$5:$C$432,0)</f>
        <v>80</v>
      </c>
      <c r="F21" s="7" t="n">
        <f aca="false">RANK(D21,$D$5:$D$432,0)</f>
        <v>294</v>
      </c>
      <c r="G21" s="7" t="n">
        <f aca="false">ABS(E21-F21)</f>
        <v>214</v>
      </c>
    </row>
    <row r="22" customFormat="false" ht="15" hidden="false" customHeight="false" outlineLevel="0" collapsed="false">
      <c r="A22" s="3" t="s">
        <v>762</v>
      </c>
      <c r="B22" s="3" t="s">
        <v>763</v>
      </c>
      <c r="C22" s="47" t="n">
        <f aca="false">AVERAGEIFS(malumot!$I$2:$I$3542,malumot!$B$2:$B$3542,$A22)</f>
        <v>11.0513728401689</v>
      </c>
      <c r="D22" s="47" t="n">
        <f aca="false">AVERAGEIFS(malumot!$J$2:$J$3542,malumot!$B$2:$B$3542,$A22)</f>
        <v>16.9088027825233</v>
      </c>
      <c r="E22" s="7" t="n">
        <f aca="false">RANK(C22,$C$5:$C$432,0)</f>
        <v>106</v>
      </c>
      <c r="F22" s="7" t="n">
        <f aca="false">RANK(D22,$D$5:$D$432,0)</f>
        <v>315</v>
      </c>
      <c r="G22" s="7" t="n">
        <f aca="false">ABS(E22-F22)</f>
        <v>209</v>
      </c>
    </row>
    <row r="23" customFormat="false" ht="15" hidden="false" customHeight="false" outlineLevel="0" collapsed="false">
      <c r="A23" s="3" t="s">
        <v>853</v>
      </c>
      <c r="B23" s="3" t="s">
        <v>854</v>
      </c>
      <c r="C23" s="47" t="n">
        <f aca="false">AVERAGEIFS(malumot!$I$2:$I$3542,malumot!$B$2:$B$3542,$A23)</f>
        <v>4.59157080858966</v>
      </c>
      <c r="D23" s="47" t="n">
        <f aca="false">AVERAGEIFS(malumot!$J$2:$J$3542,malumot!$B$2:$B$3542,$A23)</f>
        <v>29.4885751373559</v>
      </c>
      <c r="E23" s="7" t="n">
        <f aca="false">RANK(C23,$C$5:$C$432,0)</f>
        <v>383</v>
      </c>
      <c r="F23" s="7" t="n">
        <f aca="false">RANK(D23,$D$5:$D$432,0)</f>
        <v>182</v>
      </c>
      <c r="G23" s="7" t="n">
        <f aca="false">ABS(E23-F23)</f>
        <v>201</v>
      </c>
    </row>
    <row r="24" customFormat="false" ht="15" hidden="false" customHeight="false" outlineLevel="0" collapsed="false">
      <c r="A24" s="3" t="s">
        <v>330</v>
      </c>
      <c r="B24" s="3" t="s">
        <v>234</v>
      </c>
      <c r="C24" s="47" t="n">
        <f aca="false">AVERAGEIFS(malumot!$I$2:$I$3542,malumot!$B$2:$B$3542,$A24)</f>
        <v>5.75473012842778</v>
      </c>
      <c r="D24" s="47" t="n">
        <f aca="false">AVERAGEIFS(malumot!$J$2:$J$3542,malumot!$B$2:$B$3542,$A24)</f>
        <v>33.8533430789243</v>
      </c>
      <c r="E24" s="7" t="n">
        <f aca="false">RANK(C24,$C$5:$C$432,0)</f>
        <v>333</v>
      </c>
      <c r="F24" s="7" t="n">
        <f aca="false">RANK(D24,$D$5:$D$432,0)</f>
        <v>138</v>
      </c>
      <c r="G24" s="7" t="n">
        <f aca="false">ABS(E24-F24)</f>
        <v>195</v>
      </c>
    </row>
    <row r="25" customFormat="false" ht="15" hidden="false" customHeight="false" outlineLevel="0" collapsed="false">
      <c r="A25" s="3" t="s">
        <v>976</v>
      </c>
      <c r="B25" s="3" t="s">
        <v>977</v>
      </c>
      <c r="C25" s="47" t="n">
        <f aca="false">AVERAGEIFS(malumot!$I$2:$I$3542,malumot!$B$2:$B$3542,$A25)</f>
        <v>8.9592073762283</v>
      </c>
      <c r="D25" s="47" t="n">
        <f aca="false">AVERAGEIFS(malumot!$J$2:$J$3542,malumot!$B$2:$B$3542,$A25)</f>
        <v>13.4267254412172</v>
      </c>
      <c r="E25" s="7" t="n">
        <f aca="false">RANK(C25,$C$5:$C$432,0)</f>
        <v>170</v>
      </c>
      <c r="F25" s="7" t="n">
        <f aca="false">RANK(D25,$D$5:$D$432,0)</f>
        <v>361</v>
      </c>
      <c r="G25" s="7" t="n">
        <f aca="false">ABS(E25-F25)</f>
        <v>191</v>
      </c>
    </row>
    <row r="26" customFormat="false" ht="15" hidden="false" customHeight="false" outlineLevel="0" collapsed="false">
      <c r="A26" s="3" t="s">
        <v>809</v>
      </c>
      <c r="B26" s="3" t="s">
        <v>810</v>
      </c>
      <c r="C26" s="47" t="n">
        <f aca="false">AVERAGEIFS(malumot!$I$2:$I$3542,malumot!$B$2:$B$3542,$A26)</f>
        <v>12.2088544931325</v>
      </c>
      <c r="D26" s="47" t="n">
        <f aca="false">AVERAGEIFS(malumot!$J$2:$J$3542,malumot!$B$2:$B$3542,$A26)</f>
        <v>20.288986962483</v>
      </c>
      <c r="E26" s="7" t="n">
        <f aca="false">RANK(C26,$C$5:$C$432,0)</f>
        <v>82</v>
      </c>
      <c r="F26" s="7" t="n">
        <f aca="false">RANK(D26,$D$5:$D$432,0)</f>
        <v>270</v>
      </c>
      <c r="G26" s="7" t="n">
        <f aca="false">ABS(E26-F26)</f>
        <v>188</v>
      </c>
    </row>
    <row r="27" customFormat="false" ht="15" hidden="false" customHeight="false" outlineLevel="0" collapsed="false">
      <c r="A27" s="3" t="s">
        <v>186</v>
      </c>
      <c r="B27" s="3" t="s">
        <v>187</v>
      </c>
      <c r="C27" s="47" t="n">
        <f aca="false">AVERAGEIFS(malumot!$I$2:$I$3542,malumot!$B$2:$B$3542,$A27)</f>
        <v>6.95813900026052</v>
      </c>
      <c r="D27" s="47" t="n">
        <f aca="false">AVERAGEIFS(malumot!$J$2:$J$3542,malumot!$B$2:$B$3542,$A27)</f>
        <v>46.2350419272636</v>
      </c>
      <c r="E27" s="7" t="n">
        <f aca="false">RANK(C27,$C$5:$C$432,0)</f>
        <v>268</v>
      </c>
      <c r="F27" s="7" t="n">
        <f aca="false">RANK(D27,$D$5:$D$432,0)</f>
        <v>80</v>
      </c>
      <c r="G27" s="7" t="n">
        <f aca="false">ABS(E27-F27)</f>
        <v>188</v>
      </c>
    </row>
    <row r="28" customFormat="false" ht="15" hidden="false" customHeight="false" outlineLevel="0" collapsed="false">
      <c r="A28" s="3" t="s">
        <v>421</v>
      </c>
      <c r="B28" s="3" t="s">
        <v>220</v>
      </c>
      <c r="C28" s="47" t="n">
        <f aca="false">AVERAGEIFS(malumot!$I$2:$I$3542,malumot!$B$2:$B$3542,$A28)</f>
        <v>7.50661148209279</v>
      </c>
      <c r="D28" s="47" t="n">
        <f aca="false">AVERAGEIFS(malumot!$J$2:$J$3542,malumot!$B$2:$B$3542,$A28)</f>
        <v>1.99814333775521</v>
      </c>
      <c r="E28" s="7" t="n">
        <f aca="false">RANK(C28,$C$5:$C$432,0)</f>
        <v>239</v>
      </c>
      <c r="F28" s="7" t="n">
        <f aca="false">RANK(D28,$D$5:$D$432,0)</f>
        <v>426</v>
      </c>
      <c r="G28" s="7" t="n">
        <f aca="false">ABS(E28-F28)</f>
        <v>187</v>
      </c>
    </row>
    <row r="29" customFormat="false" ht="15" hidden="false" customHeight="false" outlineLevel="0" collapsed="false">
      <c r="A29" s="3" t="s">
        <v>629</v>
      </c>
      <c r="B29" s="3" t="s">
        <v>630</v>
      </c>
      <c r="C29" s="47" t="n">
        <f aca="false">AVERAGEIFS(malumot!$I$2:$I$3542,malumot!$B$2:$B$3542,$A29)</f>
        <v>5.13822075057251</v>
      </c>
      <c r="D29" s="47" t="n">
        <f aca="false">AVERAGEIFS(malumot!$J$2:$J$3542,malumot!$B$2:$B$3542,$A29)</f>
        <v>29.5397070086354</v>
      </c>
      <c r="E29" s="7" t="n">
        <f aca="false">RANK(C29,$C$5:$C$432,0)</f>
        <v>359</v>
      </c>
      <c r="F29" s="7" t="n">
        <f aca="false">RANK(D29,$D$5:$D$432,0)</f>
        <v>180</v>
      </c>
      <c r="G29" s="7" t="n">
        <f aca="false">ABS(E29-F29)</f>
        <v>179</v>
      </c>
    </row>
    <row r="30" customFormat="false" ht="15" hidden="false" customHeight="false" outlineLevel="0" collapsed="false">
      <c r="A30" s="3" t="s">
        <v>202</v>
      </c>
      <c r="B30" s="3" t="s">
        <v>166</v>
      </c>
      <c r="C30" s="47" t="n">
        <f aca="false">AVERAGEIFS(malumot!$I$2:$I$3542,malumot!$B$2:$B$3542,$A30)</f>
        <v>6.10126058131987</v>
      </c>
      <c r="D30" s="47" t="n">
        <f aca="false">AVERAGEIFS(malumot!$J$2:$J$3542,malumot!$B$2:$B$3542,$A30)</f>
        <v>34.7208396711681</v>
      </c>
      <c r="E30" s="7" t="n">
        <f aca="false">RANK(C30,$C$5:$C$432,0)</f>
        <v>307</v>
      </c>
      <c r="F30" s="7" t="n">
        <f aca="false">RANK(D30,$D$5:$D$432,0)</f>
        <v>130</v>
      </c>
      <c r="G30" s="7" t="n">
        <f aca="false">ABS(E30-F30)</f>
        <v>177</v>
      </c>
    </row>
    <row r="31" customFormat="false" ht="15" hidden="false" customHeight="false" outlineLevel="0" collapsed="false">
      <c r="A31" s="3" t="s">
        <v>859</v>
      </c>
      <c r="B31" s="3" t="s">
        <v>860</v>
      </c>
      <c r="C31" s="47" t="n">
        <f aca="false">AVERAGEIFS(malumot!$I$2:$I$3542,malumot!$B$2:$B$3542,$A31)</f>
        <v>5.6300770140326</v>
      </c>
      <c r="D31" s="47" t="n">
        <f aca="false">AVERAGEIFS(malumot!$J$2:$J$3542,malumot!$B$2:$B$3542,$A31)</f>
        <v>30.7616854268061</v>
      </c>
      <c r="E31" s="7" t="n">
        <f aca="false">RANK(C31,$C$5:$C$432,0)</f>
        <v>340</v>
      </c>
      <c r="F31" s="7" t="n">
        <f aca="false">RANK(D31,$D$5:$D$432,0)</f>
        <v>165</v>
      </c>
      <c r="G31" s="7" t="n">
        <f aca="false">ABS(E31-F31)</f>
        <v>175</v>
      </c>
    </row>
    <row r="32" customFormat="false" ht="15" hidden="false" customHeight="false" outlineLevel="0" collapsed="false">
      <c r="A32" s="3" t="s">
        <v>396</v>
      </c>
      <c r="B32" s="3" t="s">
        <v>397</v>
      </c>
      <c r="C32" s="47" t="n">
        <f aca="false">AVERAGEIFS(malumot!$I$2:$I$3542,malumot!$B$2:$B$3542,$A32)</f>
        <v>5.88693485276962</v>
      </c>
      <c r="D32" s="47" t="n">
        <f aca="false">AVERAGEIFS(malumot!$J$2:$J$3542,malumot!$B$2:$B$3542,$A32)</f>
        <v>32.0915617051429</v>
      </c>
      <c r="E32" s="7" t="n">
        <f aca="false">RANK(C32,$C$5:$C$432,0)</f>
        <v>326</v>
      </c>
      <c r="F32" s="7" t="n">
        <f aca="false">RANK(D32,$D$5:$D$432,0)</f>
        <v>152</v>
      </c>
      <c r="G32" s="7" t="n">
        <f aca="false">ABS(E32-F32)</f>
        <v>174</v>
      </c>
    </row>
    <row r="33" customFormat="false" ht="15" hidden="false" customHeight="false" outlineLevel="0" collapsed="false">
      <c r="A33" s="3" t="s">
        <v>475</v>
      </c>
      <c r="B33" s="3" t="s">
        <v>476</v>
      </c>
      <c r="C33" s="47" t="n">
        <f aca="false">AVERAGEIFS(malumot!$I$2:$I$3542,malumot!$B$2:$B$3542,$A33)</f>
        <v>6.69858425864781</v>
      </c>
      <c r="D33" s="47" t="n">
        <f aca="false">AVERAGEIFS(malumot!$J$2:$J$3542,malumot!$B$2:$B$3542,$A33)</f>
        <v>39.7681397629705</v>
      </c>
      <c r="E33" s="7" t="n">
        <f aca="false">RANK(C33,$C$5:$C$432,0)</f>
        <v>277</v>
      </c>
      <c r="F33" s="7" t="n">
        <f aca="false">RANK(D33,$D$5:$D$432,0)</f>
        <v>105</v>
      </c>
      <c r="G33" s="7" t="n">
        <f aca="false">ABS(E33-F33)</f>
        <v>172</v>
      </c>
    </row>
    <row r="34" customFormat="false" ht="15" hidden="false" customHeight="false" outlineLevel="0" collapsed="false">
      <c r="A34" s="3" t="s">
        <v>672</v>
      </c>
      <c r="B34" s="3" t="s">
        <v>663</v>
      </c>
      <c r="C34" s="47" t="n">
        <f aca="false">AVERAGEIFS(malumot!$I$2:$I$3542,malumot!$B$2:$B$3542,$A34)</f>
        <v>6.61409864647585</v>
      </c>
      <c r="D34" s="47" t="n">
        <f aca="false">AVERAGEIFS(malumot!$J$2:$J$3542,malumot!$B$2:$B$3542,$A34)</f>
        <v>38.1144836181308</v>
      </c>
      <c r="E34" s="7" t="n">
        <f aca="false">RANK(C34,$C$5:$C$432,0)</f>
        <v>281</v>
      </c>
      <c r="F34" s="7" t="n">
        <f aca="false">RANK(D34,$D$5:$D$432,0)</f>
        <v>112</v>
      </c>
      <c r="G34" s="7" t="n">
        <f aca="false">ABS(E34-F34)</f>
        <v>169</v>
      </c>
    </row>
    <row r="35" customFormat="false" ht="15" hidden="false" customHeight="false" outlineLevel="0" collapsed="false">
      <c r="A35" s="3" t="s">
        <v>647</v>
      </c>
      <c r="B35" s="3" t="s">
        <v>648</v>
      </c>
      <c r="C35" s="47" t="n">
        <f aca="false">AVERAGEIFS(malumot!$I$2:$I$3542,malumot!$B$2:$B$3542,$A35)</f>
        <v>5.83795140230195</v>
      </c>
      <c r="D35" s="47" t="n">
        <f aca="false">AVERAGEIFS(malumot!$J$2:$J$3542,malumot!$B$2:$B$3542,$A35)</f>
        <v>31.194704749129</v>
      </c>
      <c r="E35" s="7" t="n">
        <f aca="false">RANK(C35,$C$5:$C$432,0)</f>
        <v>329</v>
      </c>
      <c r="F35" s="7" t="n">
        <f aca="false">RANK(D35,$D$5:$D$432,0)</f>
        <v>162</v>
      </c>
      <c r="G35" s="7" t="n">
        <f aca="false">ABS(E35-F35)</f>
        <v>167</v>
      </c>
    </row>
    <row r="36" customFormat="false" ht="15" hidden="false" customHeight="false" outlineLevel="0" collapsed="false">
      <c r="A36" s="3" t="s">
        <v>270</v>
      </c>
      <c r="B36" s="3" t="s">
        <v>271</v>
      </c>
      <c r="C36" s="47" t="n">
        <f aca="false">AVERAGEIFS(malumot!$I$2:$I$3542,malumot!$B$2:$B$3542,$A36)</f>
        <v>2.91313052930682</v>
      </c>
      <c r="D36" s="47" t="n">
        <f aca="false">AVERAGEIFS(malumot!$J$2:$J$3542,malumot!$B$2:$B$3542,$A36)</f>
        <v>22.257876259271</v>
      </c>
      <c r="E36" s="7" t="n">
        <f aca="false">RANK(C36,$C$5:$C$432,0)</f>
        <v>419</v>
      </c>
      <c r="F36" s="7" t="n">
        <f aca="false">RANK(D36,$D$5:$D$432,0)</f>
        <v>253</v>
      </c>
      <c r="G36" s="7" t="n">
        <f aca="false">ABS(E36-F36)</f>
        <v>166</v>
      </c>
    </row>
    <row r="37" customFormat="false" ht="15" hidden="false" customHeight="false" outlineLevel="0" collapsed="false">
      <c r="A37" s="3" t="s">
        <v>444</v>
      </c>
      <c r="B37" s="3" t="s">
        <v>234</v>
      </c>
      <c r="C37" s="47" t="n">
        <f aca="false">AVERAGEIFS(malumot!$I$2:$I$3542,malumot!$B$2:$B$3542,$A37)</f>
        <v>5.06098869140277</v>
      </c>
      <c r="D37" s="47" t="n">
        <f aca="false">AVERAGEIFS(malumot!$J$2:$J$3542,malumot!$B$2:$B$3542,$A37)</f>
        <v>27.751988337365</v>
      </c>
      <c r="E37" s="7" t="n">
        <f aca="false">RANK(C37,$C$5:$C$432,0)</f>
        <v>363</v>
      </c>
      <c r="F37" s="7" t="n">
        <f aca="false">RANK(D37,$D$5:$D$432,0)</f>
        <v>198</v>
      </c>
      <c r="G37" s="7" t="n">
        <f aca="false">ABS(E37-F37)</f>
        <v>165</v>
      </c>
    </row>
    <row r="38" customFormat="false" ht="15" hidden="false" customHeight="false" outlineLevel="0" collapsed="false">
      <c r="A38" s="3" t="s">
        <v>1116</v>
      </c>
      <c r="B38" s="3" t="s">
        <v>692</v>
      </c>
      <c r="C38" s="47" t="n">
        <f aca="false">AVERAGEIFS(malumot!$I$2:$I$3542,malumot!$B$2:$B$3542,$A38)</f>
        <v>13.4570704600757</v>
      </c>
      <c r="D38" s="47" t="n">
        <f aca="false">AVERAGEIFS(malumot!$J$2:$J$3542,malumot!$B$2:$B$3542,$A38)</f>
        <v>24.5062307994996</v>
      </c>
      <c r="E38" s="7" t="n">
        <f aca="false">RANK(C38,$C$5:$C$432,0)</f>
        <v>69</v>
      </c>
      <c r="F38" s="7" t="n">
        <f aca="false">RANK(D38,$D$5:$D$432,0)</f>
        <v>232</v>
      </c>
      <c r="G38" s="7" t="n">
        <f aca="false">ABS(E38-F38)</f>
        <v>163</v>
      </c>
    </row>
    <row r="39" customFormat="false" ht="15" hidden="false" customHeight="false" outlineLevel="0" collapsed="false">
      <c r="A39" s="3" t="s">
        <v>1044</v>
      </c>
      <c r="B39" s="3" t="s">
        <v>1045</v>
      </c>
      <c r="C39" s="47" t="n">
        <f aca="false">AVERAGEIFS(malumot!$I$2:$I$3542,malumot!$B$2:$B$3542,$A39)</f>
        <v>8.73827306943779</v>
      </c>
      <c r="D39" s="47" t="n">
        <f aca="false">AVERAGEIFS(malumot!$J$2:$J$3542,malumot!$B$2:$B$3542,$A39)</f>
        <v>15.2626146014711</v>
      </c>
      <c r="E39" s="7" t="n">
        <f aca="false">RANK(C39,$C$5:$C$432,0)</f>
        <v>176</v>
      </c>
      <c r="F39" s="7" t="n">
        <f aca="false">RANK(D39,$D$5:$D$432,0)</f>
        <v>336</v>
      </c>
      <c r="G39" s="7" t="n">
        <f aca="false">ABS(E39-F39)</f>
        <v>160</v>
      </c>
    </row>
    <row r="40" customFormat="false" ht="15" hidden="false" customHeight="false" outlineLevel="0" collapsed="false">
      <c r="A40" s="3" t="s">
        <v>827</v>
      </c>
      <c r="B40" s="3" t="s">
        <v>828</v>
      </c>
      <c r="C40" s="47" t="n">
        <f aca="false">AVERAGEIFS(malumot!$I$2:$I$3542,malumot!$B$2:$B$3542,$A40)</f>
        <v>7.17120782299988</v>
      </c>
      <c r="D40" s="47" t="n">
        <f aca="false">AVERAGEIFS(malumot!$J$2:$J$3542,malumot!$B$2:$B$3542,$A40)</f>
        <v>42.0134914624732</v>
      </c>
      <c r="E40" s="7" t="n">
        <f aca="false">RANK(C40,$C$5:$C$432,0)</f>
        <v>253</v>
      </c>
      <c r="F40" s="7" t="n">
        <f aca="false">RANK(D40,$D$5:$D$432,0)</f>
        <v>96</v>
      </c>
      <c r="G40" s="7" t="n">
        <f aca="false">ABS(E40-F40)</f>
        <v>157</v>
      </c>
    </row>
    <row r="41" customFormat="false" ht="15" hidden="false" customHeight="false" outlineLevel="0" collapsed="false">
      <c r="A41" s="3" t="s">
        <v>436</v>
      </c>
      <c r="B41" s="3" t="s">
        <v>437</v>
      </c>
      <c r="C41" s="47" t="n">
        <f aca="false">AVERAGEIFS(malumot!$I$2:$I$3542,malumot!$B$2:$B$3542,$A41)</f>
        <v>6.36188304051129</v>
      </c>
      <c r="D41" s="47" t="n">
        <f aca="false">AVERAGEIFS(malumot!$J$2:$J$3542,malumot!$B$2:$B$3542,$A41)</f>
        <v>33.3596937939362</v>
      </c>
      <c r="E41" s="7" t="n">
        <f aca="false">RANK(C41,$C$5:$C$432,0)</f>
        <v>296</v>
      </c>
      <c r="F41" s="7" t="n">
        <f aca="false">RANK(D41,$D$5:$D$432,0)</f>
        <v>141</v>
      </c>
      <c r="G41" s="7" t="n">
        <f aca="false">ABS(E41-F41)</f>
        <v>155</v>
      </c>
    </row>
    <row r="42" customFormat="false" ht="15" hidden="false" customHeight="false" outlineLevel="0" collapsed="false">
      <c r="A42" s="3" t="s">
        <v>138</v>
      </c>
      <c r="B42" s="3" t="s">
        <v>139</v>
      </c>
      <c r="C42" s="47" t="n">
        <f aca="false">AVERAGEIFS(malumot!$I$2:$I$3542,malumot!$B$2:$B$3542,$A42)</f>
        <v>14.2674049948255</v>
      </c>
      <c r="D42" s="47" t="n">
        <f aca="false">AVERAGEIFS(malumot!$J$2:$J$3542,malumot!$B$2:$B$3542,$A42)</f>
        <v>26.2273786097843</v>
      </c>
      <c r="E42" s="7" t="n">
        <f aca="false">RANK(C42,$C$5:$C$432,0)</f>
        <v>59</v>
      </c>
      <c r="F42" s="7" t="n">
        <f aca="false">RANK(D42,$D$5:$D$432,0)</f>
        <v>213</v>
      </c>
      <c r="G42" s="7" t="n">
        <f aca="false">ABS(E42-F42)</f>
        <v>154</v>
      </c>
    </row>
    <row r="43" customFormat="false" ht="15" hidden="false" customHeight="false" outlineLevel="0" collapsed="false">
      <c r="A43" s="3" t="s">
        <v>1038</v>
      </c>
      <c r="B43" s="3" t="s">
        <v>1039</v>
      </c>
      <c r="C43" s="47" t="n">
        <f aca="false">AVERAGEIFS(malumot!$I$2:$I$3542,malumot!$B$2:$B$3542,$A43)</f>
        <v>10.0841093942267</v>
      </c>
      <c r="D43" s="47" t="n">
        <f aca="false">AVERAGEIFS(malumot!$J$2:$J$3542,malumot!$B$2:$B$3542,$A43)</f>
        <v>19.4116126573237</v>
      </c>
      <c r="E43" s="7" t="n">
        <f aca="false">RANK(C43,$C$5:$C$432,0)</f>
        <v>132</v>
      </c>
      <c r="F43" s="7" t="n">
        <f aca="false">RANK(D43,$D$5:$D$432,0)</f>
        <v>286</v>
      </c>
      <c r="G43" s="7" t="n">
        <f aca="false">ABS(E43-F43)</f>
        <v>154</v>
      </c>
    </row>
    <row r="44" customFormat="false" ht="15" hidden="false" customHeight="false" outlineLevel="0" collapsed="false">
      <c r="A44" s="3" t="s">
        <v>175</v>
      </c>
      <c r="B44" s="3" t="s">
        <v>176</v>
      </c>
      <c r="C44" s="47" t="n">
        <f aca="false">AVERAGEIFS(malumot!$I$2:$I$3542,malumot!$B$2:$B$3542,$A44)</f>
        <v>8.21814154450725</v>
      </c>
      <c r="D44" s="47" t="n">
        <f aca="false">AVERAGEIFS(malumot!$J$2:$J$3542,malumot!$B$2:$B$3542,$A44)</f>
        <v>57.6336809964512</v>
      </c>
      <c r="E44" s="7" t="n">
        <f aca="false">RANK(C44,$C$5:$C$432,0)</f>
        <v>203</v>
      </c>
      <c r="F44" s="7" t="n">
        <f aca="false">RANK(D44,$D$5:$D$432,0)</f>
        <v>53</v>
      </c>
      <c r="G44" s="7" t="n">
        <f aca="false">ABS(E44-F44)</f>
        <v>150</v>
      </c>
    </row>
    <row r="45" customFormat="false" ht="15" hidden="false" customHeight="false" outlineLevel="0" collapsed="false">
      <c r="A45" s="3" t="s">
        <v>748</v>
      </c>
      <c r="B45" s="3" t="s">
        <v>749</v>
      </c>
      <c r="C45" s="47" t="n">
        <f aca="false">AVERAGEIFS(malumot!$I$2:$I$3542,malumot!$B$2:$B$3542,$A45)</f>
        <v>8.12439955028984</v>
      </c>
      <c r="D45" s="47" t="n">
        <f aca="false">AVERAGEIFS(malumot!$J$2:$J$3542,malumot!$B$2:$B$3542,$A45)</f>
        <v>50.4688368493144</v>
      </c>
      <c r="E45" s="7" t="n">
        <f aca="false">RANK(C45,$C$5:$C$432,0)</f>
        <v>214</v>
      </c>
      <c r="F45" s="7" t="n">
        <f aca="false">RANK(D45,$D$5:$D$432,0)</f>
        <v>65</v>
      </c>
      <c r="G45" s="7" t="n">
        <f aca="false">ABS(E45-F45)</f>
        <v>149</v>
      </c>
    </row>
    <row r="46" customFormat="false" ht="15" hidden="false" customHeight="false" outlineLevel="0" collapsed="false">
      <c r="A46" s="3" t="s">
        <v>982</v>
      </c>
      <c r="B46" s="3" t="s">
        <v>983</v>
      </c>
      <c r="C46" s="47" t="n">
        <f aca="false">AVERAGEIFS(malumot!$I$2:$I$3542,malumot!$B$2:$B$3542,$A46)</f>
        <v>4.84383412076871</v>
      </c>
      <c r="D46" s="47" t="n">
        <f aca="false">AVERAGEIFS(malumot!$J$2:$J$3542,malumot!$B$2:$B$3542,$A46)</f>
        <v>24.9805547889413</v>
      </c>
      <c r="E46" s="7" t="n">
        <f aca="false">RANK(C46,$C$5:$C$432,0)</f>
        <v>369</v>
      </c>
      <c r="F46" s="7" t="n">
        <f aca="false">RANK(D46,$D$5:$D$432,0)</f>
        <v>224</v>
      </c>
      <c r="G46" s="7" t="n">
        <f aca="false">ABS(E46-F46)</f>
        <v>145</v>
      </c>
    </row>
    <row r="47" customFormat="false" ht="15" hidden="false" customHeight="false" outlineLevel="0" collapsed="false">
      <c r="A47" s="3" t="s">
        <v>445</v>
      </c>
      <c r="B47" s="3" t="s">
        <v>446</v>
      </c>
      <c r="C47" s="47" t="n">
        <f aca="false">AVERAGEIFS(malumot!$I$2:$I$3542,malumot!$B$2:$B$3542,$A47)</f>
        <v>7.41535845560621</v>
      </c>
      <c r="D47" s="47" t="n">
        <f aca="false">AVERAGEIFS(malumot!$J$2:$J$3542,malumot!$B$2:$B$3542,$A47)</f>
        <v>40.3470727699922</v>
      </c>
      <c r="E47" s="7" t="n">
        <f aca="false">RANK(C47,$C$5:$C$432,0)</f>
        <v>246</v>
      </c>
      <c r="F47" s="7" t="n">
        <f aca="false">RANK(D47,$D$5:$D$432,0)</f>
        <v>101</v>
      </c>
      <c r="G47" s="7" t="n">
        <f aca="false">ABS(E47-F47)</f>
        <v>145</v>
      </c>
    </row>
    <row r="48" customFormat="false" ht="15" hidden="false" customHeight="false" outlineLevel="0" collapsed="false">
      <c r="A48" s="3" t="s">
        <v>1193</v>
      </c>
      <c r="B48" s="3" t="s">
        <v>1194</v>
      </c>
      <c r="C48" s="47" t="n">
        <f aca="false">AVERAGEIFS(malumot!$I$2:$I$3542,malumot!$B$2:$B$3542,$A48)</f>
        <v>9.67479023183724</v>
      </c>
      <c r="D48" s="47" t="n">
        <f aca="false">AVERAGEIFS(malumot!$J$2:$J$3542,malumot!$B$2:$B$3542,$A48)</f>
        <v>228.657945616822</v>
      </c>
      <c r="E48" s="7" t="n">
        <f aca="false">RANK(C48,$C$5:$C$432,0)</f>
        <v>145</v>
      </c>
      <c r="F48" s="7" t="n">
        <f aca="false">RANK(D48,$D$5:$D$432,0)</f>
        <v>2</v>
      </c>
      <c r="G48" s="7" t="n">
        <f aca="false">ABS(E48-F48)</f>
        <v>143</v>
      </c>
    </row>
    <row r="49" customFormat="false" ht="15" hidden="false" customHeight="false" outlineLevel="0" collapsed="false">
      <c r="A49" s="3" t="s">
        <v>765</v>
      </c>
      <c r="B49" s="3" t="s">
        <v>766</v>
      </c>
      <c r="C49" s="47" t="n">
        <f aca="false">AVERAGEIFS(malumot!$I$2:$I$3542,malumot!$B$2:$B$3542,$A49)</f>
        <v>3.7965505167891</v>
      </c>
      <c r="D49" s="47" t="n">
        <f aca="false">AVERAGEIFS(malumot!$J$2:$J$3542,malumot!$B$2:$B$3542,$A49)</f>
        <v>20.8063184417093</v>
      </c>
      <c r="E49" s="7" t="n">
        <f aca="false">RANK(C49,$C$5:$C$432,0)</f>
        <v>405</v>
      </c>
      <c r="F49" s="7" t="n">
        <f aca="false">RANK(D49,$D$5:$D$432,0)</f>
        <v>265</v>
      </c>
      <c r="G49" s="7" t="n">
        <f aca="false">ABS(E49-F49)</f>
        <v>140</v>
      </c>
    </row>
    <row r="50" customFormat="false" ht="15" hidden="false" customHeight="false" outlineLevel="0" collapsed="false">
      <c r="A50" s="3" t="s">
        <v>1174</v>
      </c>
      <c r="B50" s="3" t="s">
        <v>1175</v>
      </c>
      <c r="C50" s="47" t="n">
        <f aca="false">AVERAGEIFS(malumot!$I$2:$I$3542,malumot!$B$2:$B$3542,$A50)</f>
        <v>6.29731016290247</v>
      </c>
      <c r="D50" s="47" t="n">
        <f aca="false">AVERAGEIFS(malumot!$J$2:$J$3542,malumot!$B$2:$B$3542,$A50)</f>
        <v>30.7664084194469</v>
      </c>
      <c r="E50" s="7" t="n">
        <f aca="false">RANK(C50,$C$5:$C$432,0)</f>
        <v>300</v>
      </c>
      <c r="F50" s="7" t="n">
        <f aca="false">RANK(D50,$D$5:$D$432,0)</f>
        <v>164</v>
      </c>
      <c r="G50" s="7" t="n">
        <f aca="false">ABS(E50-F50)</f>
        <v>136</v>
      </c>
    </row>
    <row r="51" customFormat="false" ht="15" hidden="false" customHeight="false" outlineLevel="0" collapsed="false">
      <c r="A51" s="3" t="s">
        <v>245</v>
      </c>
      <c r="B51" s="3" t="s">
        <v>246</v>
      </c>
      <c r="C51" s="47" t="n">
        <f aca="false">AVERAGEIFS(malumot!$I$2:$I$3542,malumot!$B$2:$B$3542,$A51)</f>
        <v>6.81302561815017</v>
      </c>
      <c r="D51" s="47" t="n">
        <f aca="false">AVERAGEIFS(malumot!$J$2:$J$3542,malumot!$B$2:$B$3542,$A51)</f>
        <v>33.6656225019636</v>
      </c>
      <c r="E51" s="7" t="n">
        <f aca="false">RANK(C51,$C$5:$C$432,0)</f>
        <v>274</v>
      </c>
      <c r="F51" s="7" t="n">
        <f aca="false">RANK(D51,$D$5:$D$432,0)</f>
        <v>139</v>
      </c>
      <c r="G51" s="7" t="n">
        <f aca="false">ABS(E51-F51)</f>
        <v>135</v>
      </c>
    </row>
    <row r="52" customFormat="false" ht="15" hidden="false" customHeight="false" outlineLevel="0" collapsed="false">
      <c r="A52" s="3" t="s">
        <v>623</v>
      </c>
      <c r="B52" s="3" t="s">
        <v>624</v>
      </c>
      <c r="C52" s="47" t="n">
        <f aca="false">AVERAGEIFS(malumot!$I$2:$I$3542,malumot!$B$2:$B$3542,$A52)</f>
        <v>8.73551305357837</v>
      </c>
      <c r="D52" s="47" t="n">
        <f aca="false">AVERAGEIFS(malumot!$J$2:$J$3542,malumot!$B$2:$B$3542,$A52)</f>
        <v>66.4099877139142</v>
      </c>
      <c r="E52" s="7" t="n">
        <f aca="false">RANK(C52,$C$5:$C$432,0)</f>
        <v>177</v>
      </c>
      <c r="F52" s="7" t="n">
        <f aca="false">RANK(D52,$D$5:$D$432,0)</f>
        <v>43</v>
      </c>
      <c r="G52" s="7" t="n">
        <f aca="false">ABS(E52-F52)</f>
        <v>134</v>
      </c>
    </row>
    <row r="53" customFormat="false" ht="15" hidden="false" customHeight="false" outlineLevel="0" collapsed="false">
      <c r="A53" s="3" t="s">
        <v>345</v>
      </c>
      <c r="B53" s="3" t="s">
        <v>346</v>
      </c>
      <c r="C53" s="47" t="n">
        <f aca="false">AVERAGEIFS(malumot!$I$2:$I$3542,malumot!$B$2:$B$3542,$A53)</f>
        <v>7.4751815606682</v>
      </c>
      <c r="D53" s="47" t="n">
        <f aca="false">AVERAGEIFS(malumot!$J$2:$J$3542,malumot!$B$2:$B$3542,$A53)</f>
        <v>38.9922526318118</v>
      </c>
      <c r="E53" s="7" t="n">
        <f aca="false">RANK(C53,$C$5:$C$432,0)</f>
        <v>241</v>
      </c>
      <c r="F53" s="7" t="n">
        <f aca="false">RANK(D53,$D$5:$D$432,0)</f>
        <v>108</v>
      </c>
      <c r="G53" s="7" t="n">
        <f aca="false">ABS(E53-F53)</f>
        <v>133</v>
      </c>
    </row>
    <row r="54" customFormat="false" ht="15" hidden="false" customHeight="false" outlineLevel="0" collapsed="false">
      <c r="A54" s="3" t="s">
        <v>248</v>
      </c>
      <c r="B54" s="3" t="s">
        <v>249</v>
      </c>
      <c r="C54" s="47" t="n">
        <f aca="false">AVERAGEIFS(malumot!$I$2:$I$3542,malumot!$B$2:$B$3542,$A54)</f>
        <v>10.485567493337</v>
      </c>
      <c r="D54" s="47" t="n">
        <f aca="false">AVERAGEIFS(malumot!$J$2:$J$3542,malumot!$B$2:$B$3542,$A54)</f>
        <v>22.4925981016051</v>
      </c>
      <c r="E54" s="7" t="n">
        <f aca="false">RANK(C54,$C$5:$C$432,0)</f>
        <v>119</v>
      </c>
      <c r="F54" s="7" t="n">
        <f aca="false">RANK(D54,$D$5:$D$432,0)</f>
        <v>252</v>
      </c>
      <c r="G54" s="7" t="n">
        <f aca="false">ABS(E54-F54)</f>
        <v>133</v>
      </c>
    </row>
    <row r="55" customFormat="false" ht="15" hidden="false" customHeight="false" outlineLevel="0" collapsed="false">
      <c r="A55" s="3" t="s">
        <v>1092</v>
      </c>
      <c r="B55" s="3" t="s">
        <v>1093</v>
      </c>
      <c r="C55" s="47" t="n">
        <f aca="false">AVERAGEIFS(malumot!$I$2:$I$3542,malumot!$B$2:$B$3542,$A55)</f>
        <v>24.0367182405212</v>
      </c>
      <c r="D55" s="47" t="n">
        <f aca="false">AVERAGEIFS(malumot!$J$2:$J$3542,malumot!$B$2:$B$3542,$A55)</f>
        <v>33.3281417650423</v>
      </c>
      <c r="E55" s="7" t="n">
        <f aca="false">RANK(C55,$C$5:$C$432,0)</f>
        <v>11</v>
      </c>
      <c r="F55" s="7" t="n">
        <f aca="false">RANK(D55,$D$5:$D$432,0)</f>
        <v>142</v>
      </c>
      <c r="G55" s="7" t="n">
        <f aca="false">ABS(E55-F55)</f>
        <v>131</v>
      </c>
    </row>
    <row r="56" customFormat="false" ht="15" hidden="false" customHeight="false" outlineLevel="0" collapsed="false">
      <c r="A56" s="3" t="s">
        <v>756</v>
      </c>
      <c r="B56" s="3" t="s">
        <v>757</v>
      </c>
      <c r="C56" s="47" t="n">
        <f aca="false">AVERAGEIFS(malumot!$I$2:$I$3542,malumot!$B$2:$B$3542,$A56)</f>
        <v>6.46138978379732</v>
      </c>
      <c r="D56" s="47" t="n">
        <f aca="false">AVERAGEIFS(malumot!$J$2:$J$3542,malumot!$B$2:$B$3542,$A56)</f>
        <v>31.5437080959819</v>
      </c>
      <c r="E56" s="7" t="n">
        <f aca="false">RANK(C56,$C$5:$C$432,0)</f>
        <v>290</v>
      </c>
      <c r="F56" s="7" t="n">
        <f aca="false">RANK(D56,$D$5:$D$432,0)</f>
        <v>159</v>
      </c>
      <c r="G56" s="7" t="n">
        <f aca="false">ABS(E56-F56)</f>
        <v>131</v>
      </c>
    </row>
    <row r="57" customFormat="false" ht="15" hidden="false" customHeight="false" outlineLevel="0" collapsed="false">
      <c r="A57" s="3" t="s">
        <v>788</v>
      </c>
      <c r="B57" s="3" t="s">
        <v>789</v>
      </c>
      <c r="C57" s="47" t="n">
        <f aca="false">AVERAGEIFS(malumot!$I$2:$I$3542,malumot!$B$2:$B$3542,$A57)</f>
        <v>12.107418957786</v>
      </c>
      <c r="D57" s="47" t="n">
        <f aca="false">AVERAGEIFS(malumot!$J$2:$J$3542,malumot!$B$2:$B$3542,$A57)</f>
        <v>26.1696140867691</v>
      </c>
      <c r="E57" s="7" t="n">
        <f aca="false">RANK(C57,$C$5:$C$432,0)</f>
        <v>84</v>
      </c>
      <c r="F57" s="7" t="n">
        <f aca="false">RANK(D57,$D$5:$D$432,0)</f>
        <v>214</v>
      </c>
      <c r="G57" s="7" t="n">
        <f aca="false">ABS(E57-F57)</f>
        <v>130</v>
      </c>
    </row>
    <row r="58" customFormat="false" ht="15" hidden="false" customHeight="false" outlineLevel="0" collapsed="false">
      <c r="A58" s="3" t="s">
        <v>141</v>
      </c>
      <c r="B58" s="3" t="s">
        <v>142</v>
      </c>
      <c r="C58" s="47" t="n">
        <f aca="false">AVERAGEIFS(malumot!$I$2:$I$3542,malumot!$B$2:$B$3542,$A58)</f>
        <v>14.9939072546629</v>
      </c>
      <c r="D58" s="47" t="n">
        <f aca="false">AVERAGEIFS(malumot!$J$2:$J$3542,malumot!$B$2:$B$3542,$A58)</f>
        <v>29.5032115758536</v>
      </c>
      <c r="E58" s="7" t="n">
        <f aca="false">RANK(C58,$C$5:$C$432,0)</f>
        <v>52</v>
      </c>
      <c r="F58" s="7" t="n">
        <f aca="false">RANK(D58,$D$5:$D$432,0)</f>
        <v>181</v>
      </c>
      <c r="G58" s="7" t="n">
        <f aca="false">ABS(E58-F58)</f>
        <v>129</v>
      </c>
    </row>
    <row r="59" customFormat="false" ht="15" hidden="false" customHeight="false" outlineLevel="0" collapsed="false">
      <c r="A59" s="3" t="s">
        <v>422</v>
      </c>
      <c r="B59" s="3" t="s">
        <v>423</v>
      </c>
      <c r="C59" s="47" t="n">
        <f aca="false">AVERAGEIFS(malumot!$I$2:$I$3542,malumot!$B$2:$B$3542,$A59)</f>
        <v>6.1252294184085</v>
      </c>
      <c r="D59" s="47" t="n">
        <f aca="false">AVERAGEIFS(malumot!$J$2:$J$3542,malumot!$B$2:$B$3542,$A59)</f>
        <v>29.5995446814369</v>
      </c>
      <c r="E59" s="7" t="n">
        <f aca="false">RANK(C59,$C$5:$C$432,0)</f>
        <v>306</v>
      </c>
      <c r="F59" s="7" t="n">
        <f aca="false">RANK(D59,$D$5:$D$432,0)</f>
        <v>179</v>
      </c>
      <c r="G59" s="7" t="n">
        <f aca="false">ABS(E59-F59)</f>
        <v>127</v>
      </c>
    </row>
    <row r="60" customFormat="false" ht="15" hidden="false" customHeight="false" outlineLevel="0" collapsed="false">
      <c r="A60" s="3" t="s">
        <v>454</v>
      </c>
      <c r="B60" s="3" t="s">
        <v>455</v>
      </c>
      <c r="C60" s="47" t="n">
        <f aca="false">AVERAGEIFS(malumot!$I$2:$I$3542,malumot!$B$2:$B$3542,$A60)</f>
        <v>10.1604911426946</v>
      </c>
      <c r="D60" s="47" t="n">
        <f aca="false">AVERAGEIFS(malumot!$J$2:$J$3542,malumot!$B$2:$B$3542,$A60)</f>
        <v>21.8057166594501</v>
      </c>
      <c r="E60" s="7" t="n">
        <f aca="false">RANK(C60,$C$5:$C$432,0)</f>
        <v>130</v>
      </c>
      <c r="F60" s="7" t="n">
        <f aca="false">RANK(D60,$D$5:$D$432,0)</f>
        <v>257</v>
      </c>
      <c r="G60" s="7" t="n">
        <f aca="false">ABS(E60-F60)</f>
        <v>127</v>
      </c>
    </row>
    <row r="61" customFormat="false" ht="15" hidden="false" customHeight="false" outlineLevel="0" collapsed="false">
      <c r="A61" s="3" t="s">
        <v>995</v>
      </c>
      <c r="B61" s="3" t="s">
        <v>996</v>
      </c>
      <c r="C61" s="47" t="n">
        <f aca="false">AVERAGEIFS(malumot!$I$2:$I$3542,malumot!$B$2:$B$3542,$A61)</f>
        <v>8.38229895368</v>
      </c>
      <c r="D61" s="47" t="n">
        <f aca="false">AVERAGEIFS(malumot!$J$2:$J$3542,malumot!$B$2:$B$3542,$A61)</f>
        <v>16.5827583953181</v>
      </c>
      <c r="E61" s="7" t="n">
        <f aca="false">RANK(C61,$C$5:$C$432,0)</f>
        <v>195</v>
      </c>
      <c r="F61" s="7" t="n">
        <f aca="false">RANK(D61,$D$5:$D$432,0)</f>
        <v>321</v>
      </c>
      <c r="G61" s="7" t="n">
        <f aca="false">ABS(E61-F61)</f>
        <v>126</v>
      </c>
    </row>
    <row r="62" customFormat="false" ht="15" hidden="false" customHeight="false" outlineLevel="0" collapsed="false">
      <c r="A62" s="3" t="s">
        <v>607</v>
      </c>
      <c r="B62" s="3" t="s">
        <v>608</v>
      </c>
      <c r="C62" s="47" t="n">
        <f aca="false">AVERAGEIFS(malumot!$I$2:$I$3542,malumot!$B$2:$B$3542,$A62)</f>
        <v>6.95976521601233</v>
      </c>
      <c r="D62" s="47" t="n">
        <f aca="false">AVERAGEIFS(malumot!$J$2:$J$3542,malumot!$B$2:$B$3542,$A62)</f>
        <v>9.59075867342727</v>
      </c>
      <c r="E62" s="7" t="n">
        <f aca="false">RANK(C62,$C$5:$C$432,0)</f>
        <v>267</v>
      </c>
      <c r="F62" s="7" t="n">
        <f aca="false">RANK(D62,$D$5:$D$432,0)</f>
        <v>393</v>
      </c>
      <c r="G62" s="7" t="n">
        <f aca="false">ABS(E62-F62)</f>
        <v>126</v>
      </c>
    </row>
    <row r="63" customFormat="false" ht="15" hidden="false" customHeight="false" outlineLevel="0" collapsed="false">
      <c r="A63" s="3" t="s">
        <v>1171</v>
      </c>
      <c r="B63" s="3" t="s">
        <v>1172</v>
      </c>
      <c r="C63" s="47" t="n">
        <f aca="false">AVERAGEIFS(malumot!$I$2:$I$3542,malumot!$B$2:$B$3542,$A63)</f>
        <v>8.24588314795742</v>
      </c>
      <c r="D63" s="47" t="n">
        <f aca="false">AVERAGEIFS(malumot!$J$2:$J$3542,malumot!$B$2:$B$3542,$A63)</f>
        <v>16.0742304685755</v>
      </c>
      <c r="E63" s="7" t="n">
        <f aca="false">RANK(C63,$C$5:$C$432,0)</f>
        <v>202</v>
      </c>
      <c r="F63" s="7" t="n">
        <f aca="false">RANK(D63,$D$5:$D$432,0)</f>
        <v>327</v>
      </c>
      <c r="G63" s="7" t="n">
        <f aca="false">ABS(E63-F63)</f>
        <v>125</v>
      </c>
    </row>
    <row r="64" customFormat="false" ht="15" hidden="false" customHeight="false" outlineLevel="0" collapsed="false">
      <c r="A64" s="3" t="s">
        <v>824</v>
      </c>
      <c r="B64" s="3" t="s">
        <v>825</v>
      </c>
      <c r="C64" s="47" t="n">
        <f aca="false">AVERAGEIFS(malumot!$I$2:$I$3542,malumot!$B$2:$B$3542,$A64)</f>
        <v>7.43835006303934</v>
      </c>
      <c r="D64" s="47" t="n">
        <f aca="false">AVERAGEIFS(malumot!$J$2:$J$3542,malumot!$B$2:$B$3542,$A64)</f>
        <v>37.432298805204</v>
      </c>
      <c r="E64" s="7" t="n">
        <f aca="false">RANK(C64,$C$5:$C$432,0)</f>
        <v>243</v>
      </c>
      <c r="F64" s="7" t="n">
        <f aca="false">RANK(D64,$D$5:$D$432,0)</f>
        <v>118</v>
      </c>
      <c r="G64" s="7" t="n">
        <f aca="false">ABS(E64-F64)</f>
        <v>125</v>
      </c>
    </row>
    <row r="65" customFormat="false" ht="15" hidden="false" customHeight="false" outlineLevel="0" collapsed="false">
      <c r="A65" s="3" t="s">
        <v>484</v>
      </c>
      <c r="B65" s="3" t="s">
        <v>485</v>
      </c>
      <c r="C65" s="47" t="n">
        <f aca="false">AVERAGEIFS(malumot!$I$2:$I$3542,malumot!$B$2:$B$3542,$A65)</f>
        <v>7.08288019638578</v>
      </c>
      <c r="D65" s="47" t="n">
        <f aca="false">AVERAGEIFS(malumot!$J$2:$J$3542,malumot!$B$2:$B$3542,$A65)</f>
        <v>10.4253222602863</v>
      </c>
      <c r="E65" s="7" t="n">
        <f aca="false">RANK(C65,$C$5:$C$432,0)</f>
        <v>262</v>
      </c>
      <c r="F65" s="7" t="n">
        <f aca="false">RANK(D65,$D$5:$D$432,0)</f>
        <v>387</v>
      </c>
      <c r="G65" s="7" t="n">
        <f aca="false">ABS(E65-F65)</f>
        <v>125</v>
      </c>
    </row>
    <row r="66" customFormat="false" ht="15" hidden="false" customHeight="false" outlineLevel="0" collapsed="false">
      <c r="A66" s="3" t="s">
        <v>512</v>
      </c>
      <c r="B66" s="3" t="s">
        <v>509</v>
      </c>
      <c r="C66" s="47" t="n">
        <f aca="false">AVERAGEIFS(malumot!$I$2:$I$3542,malumot!$B$2:$B$3542,$A66)</f>
        <v>8.3556412156572</v>
      </c>
      <c r="D66" s="47" t="n">
        <f aca="false">AVERAGEIFS(malumot!$J$2:$J$3542,malumot!$B$2:$B$3542,$A66)</f>
        <v>16.6920105312381</v>
      </c>
      <c r="E66" s="7" t="n">
        <f aca="false">RANK(C66,$C$5:$C$432,0)</f>
        <v>197</v>
      </c>
      <c r="F66" s="7" t="n">
        <f aca="false">RANK(D66,$D$5:$D$432,0)</f>
        <v>320</v>
      </c>
      <c r="G66" s="7" t="n">
        <f aca="false">ABS(E66-F66)</f>
        <v>123</v>
      </c>
    </row>
    <row r="67" customFormat="false" ht="15" hidden="false" customHeight="false" outlineLevel="0" collapsed="false">
      <c r="A67" s="3" t="s">
        <v>119</v>
      </c>
      <c r="B67" s="3" t="s">
        <v>120</v>
      </c>
      <c r="C67" s="47" t="n">
        <f aca="false">AVERAGEIFS(malumot!$I$2:$I$3542,malumot!$B$2:$B$3542,$A67)</f>
        <v>8.09458606446941</v>
      </c>
      <c r="D67" s="47" t="n">
        <f aca="false">AVERAGEIFS(malumot!$J$2:$J$3542,malumot!$B$2:$B$3542,$A67)</f>
        <v>42.2238745402258</v>
      </c>
      <c r="E67" s="7" t="n">
        <f aca="false">RANK(C67,$C$5:$C$432,0)</f>
        <v>216</v>
      </c>
      <c r="F67" s="7" t="n">
        <f aca="false">RANK(D67,$D$5:$D$432,0)</f>
        <v>95</v>
      </c>
      <c r="G67" s="7" t="n">
        <f aca="false">ABS(E67-F67)</f>
        <v>121</v>
      </c>
    </row>
    <row r="68" customFormat="false" ht="15" hidden="false" customHeight="false" outlineLevel="0" collapsed="false">
      <c r="A68" s="3" t="s">
        <v>551</v>
      </c>
      <c r="B68" s="3" t="s">
        <v>552</v>
      </c>
      <c r="C68" s="47" t="n">
        <f aca="false">AVERAGEIFS(malumot!$I$2:$I$3542,malumot!$B$2:$B$3542,$A68)</f>
        <v>7.12427535638721</v>
      </c>
      <c r="D68" s="47" t="n">
        <f aca="false">AVERAGEIFS(malumot!$J$2:$J$3542,malumot!$B$2:$B$3542,$A68)</f>
        <v>33.8742109803329</v>
      </c>
      <c r="E68" s="7" t="n">
        <f aca="false">RANK(C68,$C$5:$C$432,0)</f>
        <v>256</v>
      </c>
      <c r="F68" s="7" t="n">
        <f aca="false">RANK(D68,$D$5:$D$432,0)</f>
        <v>137</v>
      </c>
      <c r="G68" s="7" t="n">
        <f aca="false">ABS(E68-F68)</f>
        <v>119</v>
      </c>
    </row>
    <row r="69" customFormat="false" ht="15" hidden="false" customHeight="false" outlineLevel="0" collapsed="false">
      <c r="A69" s="3" t="s">
        <v>921</v>
      </c>
      <c r="B69" s="3" t="s">
        <v>922</v>
      </c>
      <c r="C69" s="47" t="n">
        <f aca="false">AVERAGEIFS(malumot!$I$2:$I$3542,malumot!$B$2:$B$3542,$A69)</f>
        <v>11.2400309596589</v>
      </c>
      <c r="D69" s="47" t="n">
        <f aca="false">AVERAGEIFS(malumot!$J$2:$J$3542,malumot!$B$2:$B$3542,$A69)</f>
        <v>25.4147092448143</v>
      </c>
      <c r="E69" s="7" t="n">
        <f aca="false">RANK(C69,$C$5:$C$432,0)</f>
        <v>102</v>
      </c>
      <c r="F69" s="7" t="n">
        <f aca="false">RANK(D69,$D$5:$D$432,0)</f>
        <v>219</v>
      </c>
      <c r="G69" s="7" t="n">
        <f aca="false">ABS(E69-F69)</f>
        <v>117</v>
      </c>
    </row>
    <row r="70" customFormat="false" ht="15" hidden="false" customHeight="false" outlineLevel="0" collapsed="false">
      <c r="A70" s="3" t="s">
        <v>818</v>
      </c>
      <c r="B70" s="3" t="s">
        <v>819</v>
      </c>
      <c r="C70" s="47" t="n">
        <f aca="false">AVERAGEIFS(malumot!$I$2:$I$3542,malumot!$B$2:$B$3542,$A70)</f>
        <v>6.06325541627494</v>
      </c>
      <c r="D70" s="47" t="n">
        <f aca="false">AVERAGEIFS(malumot!$J$2:$J$3542,malumot!$B$2:$B$3542,$A70)</f>
        <v>28.0246415417944</v>
      </c>
      <c r="E70" s="7" t="n">
        <f aca="false">RANK(C70,$C$5:$C$432,0)</f>
        <v>312</v>
      </c>
      <c r="F70" s="7" t="n">
        <f aca="false">RANK(D70,$D$5:$D$432,0)</f>
        <v>197</v>
      </c>
      <c r="G70" s="7" t="n">
        <f aca="false">ABS(E70-F70)</f>
        <v>115</v>
      </c>
    </row>
    <row r="71" customFormat="false" ht="15" hidden="false" customHeight="false" outlineLevel="0" collapsed="false">
      <c r="A71" s="3" t="s">
        <v>387</v>
      </c>
      <c r="B71" s="3" t="s">
        <v>388</v>
      </c>
      <c r="C71" s="47" t="n">
        <f aca="false">AVERAGEIFS(malumot!$I$2:$I$3542,malumot!$B$2:$B$3542,$A71)</f>
        <v>11.6533782700493</v>
      </c>
      <c r="D71" s="47" t="n">
        <f aca="false">AVERAGEIFS(malumot!$J$2:$J$3542,malumot!$B$2:$B$3542,$A71)</f>
        <v>26.7469148250313</v>
      </c>
      <c r="E71" s="7" t="n">
        <f aca="false">RANK(C71,$C$5:$C$432,0)</f>
        <v>93</v>
      </c>
      <c r="F71" s="7" t="n">
        <f aca="false">RANK(D71,$D$5:$D$432,0)</f>
        <v>208</v>
      </c>
      <c r="G71" s="7" t="n">
        <f aca="false">ABS(E71-F71)</f>
        <v>115</v>
      </c>
    </row>
    <row r="72" customFormat="false" ht="15" hidden="false" customHeight="false" outlineLevel="0" collapsed="false">
      <c r="A72" s="3" t="s">
        <v>1164</v>
      </c>
      <c r="B72" s="3" t="s">
        <v>1159</v>
      </c>
      <c r="C72" s="47" t="n">
        <f aca="false">AVERAGEIFS(malumot!$I$2:$I$3542,malumot!$B$2:$B$3542,$A72)</f>
        <v>18.5163239833919</v>
      </c>
      <c r="D72" s="47" t="n">
        <f aca="false">AVERAGEIFS(malumot!$J$2:$J$3542,malumot!$B$2:$B$3542,$A72)</f>
        <v>33.3230998525485</v>
      </c>
      <c r="E72" s="7" t="n">
        <f aca="false">RANK(C72,$C$5:$C$432,0)</f>
        <v>29</v>
      </c>
      <c r="F72" s="7" t="n">
        <f aca="false">RANK(D72,$D$5:$D$432,0)</f>
        <v>143</v>
      </c>
      <c r="G72" s="7" t="n">
        <f aca="false">ABS(E72-F72)</f>
        <v>114</v>
      </c>
    </row>
    <row r="73" customFormat="false" ht="15" hidden="false" customHeight="false" outlineLevel="0" collapsed="false">
      <c r="A73" s="3" t="s">
        <v>875</v>
      </c>
      <c r="B73" s="3" t="s">
        <v>876</v>
      </c>
      <c r="C73" s="47" t="n">
        <f aca="false">AVERAGEIFS(malumot!$I$2:$I$3542,malumot!$B$2:$B$3542,$A73)</f>
        <v>12.0486309420678</v>
      </c>
      <c r="D73" s="47" t="n">
        <f aca="false">AVERAGEIFS(malumot!$J$2:$J$3542,malumot!$B$2:$B$3542,$A73)</f>
        <v>28.0507448361089</v>
      </c>
      <c r="E73" s="7" t="n">
        <f aca="false">RANK(C73,$C$5:$C$432,0)</f>
        <v>85</v>
      </c>
      <c r="F73" s="7" t="n">
        <f aca="false">RANK(D73,$D$5:$D$432,0)</f>
        <v>195</v>
      </c>
      <c r="G73" s="7" t="n">
        <f aca="false">ABS(E73-F73)</f>
        <v>110</v>
      </c>
    </row>
    <row r="74" customFormat="false" ht="15" hidden="false" customHeight="false" outlineLevel="0" collapsed="false">
      <c r="A74" s="3" t="s">
        <v>199</v>
      </c>
      <c r="B74" s="3" t="s">
        <v>200</v>
      </c>
      <c r="C74" s="47" t="n">
        <f aca="false">AVERAGEIFS(malumot!$I$2:$I$3542,malumot!$B$2:$B$3542,$A74)</f>
        <v>6.38079228134169</v>
      </c>
      <c r="D74" s="47" t="n">
        <f aca="false">AVERAGEIFS(malumot!$J$2:$J$3542,malumot!$B$2:$B$3542,$A74)</f>
        <v>29.1241372012798</v>
      </c>
      <c r="E74" s="7" t="n">
        <f aca="false">RANK(C74,$C$5:$C$432,0)</f>
        <v>294</v>
      </c>
      <c r="F74" s="7" t="n">
        <f aca="false">RANK(D74,$D$5:$D$432,0)</f>
        <v>184</v>
      </c>
      <c r="G74" s="7" t="n">
        <f aca="false">ABS(E74-F74)</f>
        <v>110</v>
      </c>
    </row>
    <row r="75" customFormat="false" ht="15" hidden="false" customHeight="false" outlineLevel="0" collapsed="false">
      <c r="A75" s="3" t="s">
        <v>580</v>
      </c>
      <c r="B75" s="3" t="s">
        <v>581</v>
      </c>
      <c r="C75" s="47" t="n">
        <f aca="false">AVERAGEIFS(malumot!$I$2:$I$3542,malumot!$B$2:$B$3542,$A75)</f>
        <v>5.75298176250885</v>
      </c>
      <c r="D75" s="47" t="n">
        <f aca="false">AVERAGEIFS(malumot!$J$2:$J$3542,malumot!$B$2:$B$3542,$A75)</f>
        <v>24.767825508765</v>
      </c>
      <c r="E75" s="7" t="n">
        <f aca="false">RANK(C75,$C$5:$C$432,0)</f>
        <v>335</v>
      </c>
      <c r="F75" s="7" t="n">
        <f aca="false">RANK(D75,$D$5:$D$432,0)</f>
        <v>226</v>
      </c>
      <c r="G75" s="7" t="n">
        <f aca="false">ABS(E75-F75)</f>
        <v>109</v>
      </c>
    </row>
    <row r="76" customFormat="false" ht="15" hidden="false" customHeight="false" outlineLevel="0" collapsed="false">
      <c r="A76" s="3" t="s">
        <v>1190</v>
      </c>
      <c r="B76" s="3" t="s">
        <v>1191</v>
      </c>
      <c r="C76" s="47" t="n">
        <f aca="false">AVERAGEIFS(malumot!$I$2:$I$3542,malumot!$B$2:$B$3542,$A76)</f>
        <v>5.25549634556029</v>
      </c>
      <c r="D76" s="47" t="n">
        <f aca="false">AVERAGEIFS(malumot!$J$2:$J$3542,malumot!$B$2:$B$3542,$A76)</f>
        <v>22.739866898708</v>
      </c>
      <c r="E76" s="7" t="n">
        <f aca="false">RANK(C76,$C$5:$C$432,0)</f>
        <v>358</v>
      </c>
      <c r="F76" s="7" t="n">
        <f aca="false">RANK(D76,$D$5:$D$432,0)</f>
        <v>251</v>
      </c>
      <c r="G76" s="7" t="n">
        <f aca="false">ABS(E76-F76)</f>
        <v>107</v>
      </c>
    </row>
    <row r="77" customFormat="false" ht="15" hidden="false" customHeight="false" outlineLevel="0" collapsed="false">
      <c r="A77" s="3" t="s">
        <v>751</v>
      </c>
      <c r="B77" s="3" t="s">
        <v>752</v>
      </c>
      <c r="C77" s="47" t="n">
        <f aca="false">AVERAGEIFS(malumot!$I$2:$I$3542,malumot!$B$2:$B$3542,$A77)</f>
        <v>8.42902445761055</v>
      </c>
      <c r="D77" s="47" t="n">
        <f aca="false">AVERAGEIFS(malumot!$J$2:$J$3542,malumot!$B$2:$B$3542,$A77)</f>
        <v>44.6945225169231</v>
      </c>
      <c r="E77" s="7" t="n">
        <f aca="false">RANK(C77,$C$5:$C$432,0)</f>
        <v>192</v>
      </c>
      <c r="F77" s="7" t="n">
        <f aca="false">RANK(D77,$D$5:$D$432,0)</f>
        <v>85</v>
      </c>
      <c r="G77" s="7" t="n">
        <f aca="false">ABS(E77-F77)</f>
        <v>107</v>
      </c>
    </row>
    <row r="78" customFormat="false" ht="15" hidden="false" customHeight="false" outlineLevel="0" collapsed="false">
      <c r="A78" s="3" t="s">
        <v>1152</v>
      </c>
      <c r="B78" s="3" t="s">
        <v>1153</v>
      </c>
      <c r="C78" s="47" t="n">
        <f aca="false">AVERAGEIFS(malumot!$I$2:$I$3542,malumot!$B$2:$B$3542,$A78)</f>
        <v>4.11428924619589</v>
      </c>
      <c r="D78" s="47" t="n">
        <f aca="false">AVERAGEIFS(malumot!$J$2:$J$3542,malumot!$B$2:$B$3542,$A78)</f>
        <v>18.9563556208994</v>
      </c>
      <c r="E78" s="7" t="n">
        <f aca="false">RANK(C78,$C$5:$C$432,0)</f>
        <v>398</v>
      </c>
      <c r="F78" s="7" t="n">
        <f aca="false">RANK(D78,$D$5:$D$432,0)</f>
        <v>292</v>
      </c>
      <c r="G78" s="7" t="n">
        <f aca="false">ABS(E78-F78)</f>
        <v>106</v>
      </c>
    </row>
    <row r="79" customFormat="false" ht="15" hidden="false" customHeight="false" outlineLevel="0" collapsed="false">
      <c r="A79" s="3" t="s">
        <v>988</v>
      </c>
      <c r="B79" s="3" t="s">
        <v>989</v>
      </c>
      <c r="C79" s="47" t="n">
        <f aca="false">AVERAGEIFS(malumot!$I$2:$I$3542,malumot!$B$2:$B$3542,$A79)</f>
        <v>8.01724341978497</v>
      </c>
      <c r="D79" s="47" t="n">
        <f aca="false">AVERAGEIFS(malumot!$J$2:$J$3542,malumot!$B$2:$B$3542,$A79)</f>
        <v>15.9115362778469</v>
      </c>
      <c r="E79" s="7" t="n">
        <f aca="false">RANK(C79,$C$5:$C$432,0)</f>
        <v>223</v>
      </c>
      <c r="F79" s="7" t="n">
        <f aca="false">RANK(D79,$D$5:$D$432,0)</f>
        <v>329</v>
      </c>
      <c r="G79" s="7" t="n">
        <f aca="false">ABS(E79-F79)</f>
        <v>106</v>
      </c>
    </row>
    <row r="80" customFormat="false" ht="15" hidden="false" customHeight="false" outlineLevel="0" collapsed="false">
      <c r="A80" s="3" t="s">
        <v>308</v>
      </c>
      <c r="B80" s="3" t="s">
        <v>220</v>
      </c>
      <c r="C80" s="47" t="n">
        <f aca="false">AVERAGEIFS(malumot!$I$2:$I$3542,malumot!$B$2:$B$3542,$A80)</f>
        <v>6.01900889386862</v>
      </c>
      <c r="D80" s="47" t="n">
        <f aca="false">AVERAGEIFS(malumot!$J$2:$J$3542,malumot!$B$2:$B$3542,$A80)</f>
        <v>26.2776109836492</v>
      </c>
      <c r="E80" s="7" t="n">
        <f aca="false">RANK(C80,$C$5:$C$432,0)</f>
        <v>317</v>
      </c>
      <c r="F80" s="7" t="n">
        <f aca="false">RANK(D80,$D$5:$D$432,0)</f>
        <v>212</v>
      </c>
      <c r="G80" s="7" t="n">
        <f aca="false">ABS(E80-F80)</f>
        <v>105</v>
      </c>
    </row>
    <row r="81" customFormat="false" ht="15" hidden="false" customHeight="false" outlineLevel="0" collapsed="false">
      <c r="A81" s="3" t="s">
        <v>992</v>
      </c>
      <c r="B81" s="3" t="s">
        <v>993</v>
      </c>
      <c r="C81" s="47" t="n">
        <f aca="false">AVERAGEIFS(malumot!$I$2:$I$3542,malumot!$B$2:$B$3542,$A81)</f>
        <v>6.74537976380634</v>
      </c>
      <c r="D81" s="47" t="n">
        <f aca="false">AVERAGEIFS(malumot!$J$2:$J$3542,malumot!$B$2:$B$3542,$A81)</f>
        <v>30.1653272897165</v>
      </c>
      <c r="E81" s="7" t="n">
        <f aca="false">RANK(C81,$C$5:$C$432,0)</f>
        <v>275</v>
      </c>
      <c r="F81" s="7" t="n">
        <f aca="false">RANK(D81,$D$5:$D$432,0)</f>
        <v>170</v>
      </c>
      <c r="G81" s="7" t="n">
        <f aca="false">ABS(E81-F81)</f>
        <v>105</v>
      </c>
    </row>
    <row r="82" customFormat="false" ht="15" hidden="false" customHeight="false" outlineLevel="0" collapsed="false">
      <c r="A82" s="3" t="s">
        <v>204</v>
      </c>
      <c r="B82" s="3" t="s">
        <v>205</v>
      </c>
      <c r="C82" s="47" t="n">
        <f aca="false">AVERAGEIFS(malumot!$I$2:$I$3542,malumot!$B$2:$B$3542,$A82)</f>
        <v>7.50392747074369</v>
      </c>
      <c r="D82" s="47" t="n">
        <f aca="false">AVERAGEIFS(malumot!$J$2:$J$3542,malumot!$B$2:$B$3542,$A82)</f>
        <v>34.2641303220367</v>
      </c>
      <c r="E82" s="7" t="n">
        <f aca="false">RANK(C82,$C$5:$C$432,0)</f>
        <v>240</v>
      </c>
      <c r="F82" s="7" t="n">
        <f aca="false">RANK(D82,$D$5:$D$432,0)</f>
        <v>135</v>
      </c>
      <c r="G82" s="7" t="n">
        <f aca="false">ABS(E82-F82)</f>
        <v>105</v>
      </c>
    </row>
    <row r="83" customFormat="false" ht="15" hidden="false" customHeight="false" outlineLevel="0" collapsed="false">
      <c r="A83" s="3" t="s">
        <v>53</v>
      </c>
      <c r="B83" s="3" t="s">
        <v>54</v>
      </c>
      <c r="C83" s="47" t="n">
        <f aca="false">AVERAGEIFS(malumot!$I$2:$I$3542,malumot!$B$2:$B$3542,$A83)</f>
        <v>24.6788479344169</v>
      </c>
      <c r="D83" s="47" t="n">
        <f aca="false">AVERAGEIFS(malumot!$J$2:$J$3542,malumot!$B$2:$B$3542,$A83)</f>
        <v>37.8054166673258</v>
      </c>
      <c r="E83" s="7" t="n">
        <f aca="false">RANK(C83,$C$5:$C$432,0)</f>
        <v>9</v>
      </c>
      <c r="F83" s="7" t="n">
        <f aca="false">RANK(D83,$D$5:$D$432,0)</f>
        <v>114</v>
      </c>
      <c r="G83" s="7" t="n">
        <f aca="false">ABS(E83-F83)</f>
        <v>105</v>
      </c>
    </row>
    <row r="84" customFormat="false" ht="15" hidden="false" customHeight="false" outlineLevel="0" collapsed="false">
      <c r="A84" s="3" t="s">
        <v>779</v>
      </c>
      <c r="B84" s="3" t="s">
        <v>780</v>
      </c>
      <c r="C84" s="47" t="n">
        <f aca="false">AVERAGEIFS(malumot!$I$2:$I$3542,malumot!$B$2:$B$3542,$A84)</f>
        <v>7.68336842471842</v>
      </c>
      <c r="D84" s="47" t="n">
        <f aca="false">AVERAGEIFS(malumot!$J$2:$J$3542,malumot!$B$2:$B$3542,$A84)</f>
        <v>34.6137675375666</v>
      </c>
      <c r="E84" s="7" t="n">
        <f aca="false">RANK(C84,$C$5:$C$432,0)</f>
        <v>235</v>
      </c>
      <c r="F84" s="7" t="n">
        <f aca="false">RANK(D84,$D$5:$D$432,0)</f>
        <v>131</v>
      </c>
      <c r="G84" s="7" t="n">
        <f aca="false">ABS(E84-F84)</f>
        <v>104</v>
      </c>
    </row>
    <row r="85" customFormat="false" ht="15" hidden="false" customHeight="false" outlineLevel="0" collapsed="false">
      <c r="A85" s="3" t="s">
        <v>954</v>
      </c>
      <c r="B85" s="3" t="s">
        <v>955</v>
      </c>
      <c r="C85" s="47" t="n">
        <f aca="false">AVERAGEIFS(malumot!$I$2:$I$3542,malumot!$B$2:$B$3542,$A85)</f>
        <v>7.28296226100642</v>
      </c>
      <c r="D85" s="47" t="n">
        <f aca="false">AVERAGEIFS(malumot!$J$2:$J$3542,malumot!$B$2:$B$3542,$A85)</f>
        <v>14.0717412483492</v>
      </c>
      <c r="E85" s="7" t="n">
        <f aca="false">RANK(C85,$C$5:$C$432,0)</f>
        <v>251</v>
      </c>
      <c r="F85" s="7" t="n">
        <f aca="false">RANK(D85,$D$5:$D$432,0)</f>
        <v>353</v>
      </c>
      <c r="G85" s="7" t="n">
        <f aca="false">ABS(E85-F85)</f>
        <v>102</v>
      </c>
    </row>
    <row r="86" customFormat="false" ht="15" hidden="false" customHeight="false" outlineLevel="0" collapsed="false">
      <c r="A86" s="3" t="s">
        <v>924</v>
      </c>
      <c r="B86" s="3" t="s">
        <v>925</v>
      </c>
      <c r="C86" s="47" t="n">
        <f aca="false">AVERAGEIFS(malumot!$I$2:$I$3542,malumot!$B$2:$B$3542,$A86)</f>
        <v>6.08390363707382</v>
      </c>
      <c r="D86" s="47" t="n">
        <f aca="false">AVERAGEIFS(malumot!$J$2:$J$3542,malumot!$B$2:$B$3542,$A86)</f>
        <v>6.82424953635292</v>
      </c>
      <c r="E86" s="7" t="n">
        <f aca="false">RANK(C86,$C$5:$C$432,0)</f>
        <v>309</v>
      </c>
      <c r="F86" s="7" t="n">
        <f aca="false">RANK(D86,$D$5:$D$432,0)</f>
        <v>411</v>
      </c>
      <c r="G86" s="7" t="n">
        <f aca="false">ABS(E86-F86)</f>
        <v>102</v>
      </c>
    </row>
    <row r="87" customFormat="false" ht="15" hidden="false" customHeight="false" outlineLevel="0" collapsed="false">
      <c r="A87" s="3" t="s">
        <v>144</v>
      </c>
      <c r="B87" s="3" t="s">
        <v>145</v>
      </c>
      <c r="C87" s="47" t="n">
        <f aca="false">AVERAGEIFS(malumot!$I$2:$I$3542,malumot!$B$2:$B$3542,$A87)</f>
        <v>26.7895113319675</v>
      </c>
      <c r="D87" s="47" t="n">
        <f aca="false">AVERAGEIFS(malumot!$J$2:$J$3542,malumot!$B$2:$B$3542,$A87)</f>
        <v>39.2401388271051</v>
      </c>
      <c r="E87" s="7" t="n">
        <f aca="false">RANK(C87,$C$5:$C$432,0)</f>
        <v>6</v>
      </c>
      <c r="F87" s="7" t="n">
        <f aca="false">RANK(D87,$D$5:$D$432,0)</f>
        <v>107</v>
      </c>
      <c r="G87" s="7" t="n">
        <f aca="false">ABS(E87-F87)</f>
        <v>101</v>
      </c>
    </row>
    <row r="88" customFormat="false" ht="15" hidden="false" customHeight="false" outlineLevel="0" collapsed="false">
      <c r="A88" s="3" t="s">
        <v>1204</v>
      </c>
      <c r="B88" s="3" t="s">
        <v>1205</v>
      </c>
      <c r="C88" s="47" t="n">
        <f aca="false">AVERAGEIFS(malumot!$I$2:$I$3542,malumot!$B$2:$B$3542,$A88)</f>
        <v>7.38776051839942</v>
      </c>
      <c r="D88" s="47" t="n">
        <f aca="false">AVERAGEIFS(malumot!$J$2:$J$3542,malumot!$B$2:$B$3542,$A88)</f>
        <v>32.4270753215983</v>
      </c>
      <c r="E88" s="7" t="n">
        <f aca="false">RANK(C88,$C$5:$C$432,0)</f>
        <v>249</v>
      </c>
      <c r="F88" s="7" t="n">
        <f aca="false">RANK(D88,$D$5:$D$432,0)</f>
        <v>148</v>
      </c>
      <c r="G88" s="7" t="n">
        <f aca="false">ABS(E88-F88)</f>
        <v>101</v>
      </c>
    </row>
    <row r="89" customFormat="false" ht="15" hidden="false" customHeight="false" outlineLevel="0" collapsed="false">
      <c r="A89" s="3" t="s">
        <v>1126</v>
      </c>
      <c r="B89" s="3" t="s">
        <v>1127</v>
      </c>
      <c r="C89" s="47" t="n">
        <f aca="false">AVERAGEIFS(malumot!$I$2:$I$3542,malumot!$B$2:$B$3542,$A89)</f>
        <v>10.1988930526043</v>
      </c>
      <c r="D89" s="47" t="n">
        <f aca="false">AVERAGEIFS(malumot!$J$2:$J$3542,malumot!$B$2:$B$3542,$A89)</f>
        <v>24.7216763160322</v>
      </c>
      <c r="E89" s="7" t="n">
        <f aca="false">RANK(C89,$C$5:$C$432,0)</f>
        <v>128</v>
      </c>
      <c r="F89" s="7" t="n">
        <f aca="false">RANK(D89,$D$5:$D$432,0)</f>
        <v>229</v>
      </c>
      <c r="G89" s="7" t="n">
        <f aca="false">ABS(E89-F89)</f>
        <v>101</v>
      </c>
    </row>
    <row r="90" customFormat="false" ht="15" hidden="false" customHeight="false" outlineLevel="0" collapsed="false">
      <c r="A90" s="3" t="s">
        <v>1107</v>
      </c>
      <c r="B90" s="3" t="s">
        <v>1108</v>
      </c>
      <c r="C90" s="47" t="n">
        <f aca="false">AVERAGEIFS(malumot!$I$2:$I$3542,malumot!$B$2:$B$3542,$A90)</f>
        <v>8.64904140065313</v>
      </c>
      <c r="D90" s="47" t="n">
        <f aca="false">AVERAGEIFS(malumot!$J$2:$J$3542,malumot!$B$2:$B$3542,$A90)</f>
        <v>19.5565575522615</v>
      </c>
      <c r="E90" s="7" t="n">
        <f aca="false">RANK(C90,$C$5:$C$432,0)</f>
        <v>182</v>
      </c>
      <c r="F90" s="7" t="n">
        <f aca="false">RANK(D90,$D$5:$D$432,0)</f>
        <v>281</v>
      </c>
      <c r="G90" s="7" t="n">
        <f aca="false">ABS(E90-F90)</f>
        <v>99</v>
      </c>
    </row>
    <row r="91" customFormat="false" ht="15" hidden="false" customHeight="false" outlineLevel="0" collapsed="false">
      <c r="A91" s="3" t="s">
        <v>372</v>
      </c>
      <c r="B91" s="3" t="s">
        <v>373</v>
      </c>
      <c r="C91" s="47" t="n">
        <f aca="false">AVERAGEIFS(malumot!$I$2:$I$3542,malumot!$B$2:$B$3542,$A91)</f>
        <v>8.69077876477946</v>
      </c>
      <c r="D91" s="47" t="n">
        <f aca="false">AVERAGEIFS(malumot!$J$2:$J$3542,malumot!$B$2:$B$3542,$A91)</f>
        <v>19.7069118324673</v>
      </c>
      <c r="E91" s="7" t="n">
        <f aca="false">RANK(C91,$C$5:$C$432,0)</f>
        <v>180</v>
      </c>
      <c r="F91" s="7" t="n">
        <f aca="false">RANK(D91,$D$5:$D$432,0)</f>
        <v>278</v>
      </c>
      <c r="G91" s="7" t="n">
        <f aca="false">ABS(E91-F91)</f>
        <v>98</v>
      </c>
    </row>
    <row r="92" customFormat="false" ht="15" hidden="false" customHeight="false" outlineLevel="0" collapsed="false">
      <c r="A92" s="3" t="s">
        <v>865</v>
      </c>
      <c r="B92" s="3" t="s">
        <v>866</v>
      </c>
      <c r="C92" s="47" t="n">
        <f aca="false">AVERAGEIFS(malumot!$I$2:$I$3542,malumot!$B$2:$B$3542,$A92)</f>
        <v>7.43150337716323</v>
      </c>
      <c r="D92" s="47" t="n">
        <f aca="false">AVERAGEIFS(malumot!$J$2:$J$3542,malumot!$B$2:$B$3542,$A92)</f>
        <v>32.6357767390633</v>
      </c>
      <c r="E92" s="7" t="n">
        <f aca="false">RANK(C92,$C$5:$C$432,0)</f>
        <v>244</v>
      </c>
      <c r="F92" s="7" t="n">
        <f aca="false">RANK(D92,$D$5:$D$432,0)</f>
        <v>147</v>
      </c>
      <c r="G92" s="7" t="n">
        <f aca="false">ABS(E92-F92)</f>
        <v>97</v>
      </c>
    </row>
    <row r="93" customFormat="false" ht="15" hidden="false" customHeight="false" outlineLevel="0" collapsed="false">
      <c r="A93" s="3" t="s">
        <v>285</v>
      </c>
      <c r="B93" s="3" t="s">
        <v>286</v>
      </c>
      <c r="C93" s="47" t="n">
        <f aca="false">AVERAGEIFS(malumot!$I$2:$I$3542,malumot!$B$2:$B$3542,$A93)</f>
        <v>6.52685163727553</v>
      </c>
      <c r="D93" s="47" t="n">
        <f aca="false">AVERAGEIFS(malumot!$J$2:$J$3542,malumot!$B$2:$B$3542,$A93)</f>
        <v>28.3066456527929</v>
      </c>
      <c r="E93" s="7" t="n">
        <f aca="false">RANK(C93,$C$5:$C$432,0)</f>
        <v>287</v>
      </c>
      <c r="F93" s="7" t="n">
        <f aca="false">RANK(D93,$D$5:$D$432,0)</f>
        <v>191</v>
      </c>
      <c r="G93" s="7" t="n">
        <f aca="false">ABS(E93-F93)</f>
        <v>96</v>
      </c>
    </row>
    <row r="94" customFormat="false" ht="15" hidden="false" customHeight="false" outlineLevel="0" collapsed="false">
      <c r="A94" s="3" t="s">
        <v>439</v>
      </c>
      <c r="B94" s="3" t="s">
        <v>440</v>
      </c>
      <c r="C94" s="47" t="n">
        <f aca="false">AVERAGEIFS(malumot!$I$2:$I$3542,malumot!$B$2:$B$3542,$A94)</f>
        <v>6.51713121914201</v>
      </c>
      <c r="D94" s="47" t="n">
        <f aca="false">AVERAGEIFS(malumot!$J$2:$J$3542,malumot!$B$2:$B$3542,$A94)</f>
        <v>28.1742319064211</v>
      </c>
      <c r="E94" s="7" t="n">
        <f aca="false">RANK(C94,$C$5:$C$432,0)</f>
        <v>288</v>
      </c>
      <c r="F94" s="7" t="n">
        <f aca="false">RANK(D94,$D$5:$D$432,0)</f>
        <v>193</v>
      </c>
      <c r="G94" s="7" t="n">
        <f aca="false">ABS(E94-F94)</f>
        <v>95</v>
      </c>
    </row>
    <row r="95" customFormat="false" ht="15" hidden="false" customHeight="false" outlineLevel="0" collapsed="false">
      <c r="A95" s="3" t="s">
        <v>962</v>
      </c>
      <c r="B95" s="3" t="s">
        <v>963</v>
      </c>
      <c r="C95" s="47" t="n">
        <f aca="false">AVERAGEIFS(malumot!$I$2:$I$3542,malumot!$B$2:$B$3542,$A95)</f>
        <v>10.3588488694551</v>
      </c>
      <c r="D95" s="47" t="n">
        <f aca="false">AVERAGEIFS(malumot!$J$2:$J$3542,malumot!$B$2:$B$3542,$A95)</f>
        <v>25.6340107269452</v>
      </c>
      <c r="E95" s="7" t="n">
        <f aca="false">RANK(C95,$C$5:$C$432,0)</f>
        <v>122</v>
      </c>
      <c r="F95" s="7" t="n">
        <f aca="false">RANK(D95,$D$5:$D$432,0)</f>
        <v>216</v>
      </c>
      <c r="G95" s="7" t="n">
        <f aca="false">ABS(E95-F95)</f>
        <v>94</v>
      </c>
    </row>
    <row r="96" customFormat="false" ht="15" hidden="false" customHeight="false" outlineLevel="0" collapsed="false">
      <c r="A96" s="3" t="s">
        <v>705</v>
      </c>
      <c r="B96" s="3" t="s">
        <v>706</v>
      </c>
      <c r="C96" s="47" t="n">
        <f aca="false">AVERAGEIFS(malumot!$I$2:$I$3542,malumot!$B$2:$B$3542,$A96)</f>
        <v>8.1481293889707</v>
      </c>
      <c r="D96" s="47" t="n">
        <f aca="false">AVERAGEIFS(malumot!$J$2:$J$3542,malumot!$B$2:$B$3542,$A96)</f>
        <v>36.6428458858701</v>
      </c>
      <c r="E96" s="7" t="n">
        <f aca="false">RANK(C96,$C$5:$C$432,0)</f>
        <v>212</v>
      </c>
      <c r="F96" s="7" t="n">
        <f aca="false">RANK(D96,$D$5:$D$432,0)</f>
        <v>122</v>
      </c>
      <c r="G96" s="7" t="n">
        <f aca="false">ABS(E96-F96)</f>
        <v>90</v>
      </c>
    </row>
    <row r="97" customFormat="false" ht="15" hidden="false" customHeight="false" outlineLevel="0" collapsed="false">
      <c r="A97" s="3" t="s">
        <v>658</v>
      </c>
      <c r="B97" s="3" t="s">
        <v>659</v>
      </c>
      <c r="C97" s="47" t="n">
        <f aca="false">AVERAGEIFS(malumot!$I$2:$I$3542,malumot!$B$2:$B$3542,$A97)</f>
        <v>7.70045156771935</v>
      </c>
      <c r="D97" s="47" t="n">
        <f aca="false">AVERAGEIFS(malumot!$J$2:$J$3542,malumot!$B$2:$B$3542,$A97)</f>
        <v>16.3487613808932</v>
      </c>
      <c r="E97" s="7" t="n">
        <f aca="false">RANK(C97,$C$5:$C$432,0)</f>
        <v>234</v>
      </c>
      <c r="F97" s="7" t="n">
        <f aca="false">RANK(D97,$D$5:$D$432,0)</f>
        <v>324</v>
      </c>
      <c r="G97" s="7" t="n">
        <f aca="false">ABS(E97-F97)</f>
        <v>90</v>
      </c>
    </row>
    <row r="98" customFormat="false" ht="15" hidden="false" customHeight="false" outlineLevel="0" collapsed="false">
      <c r="A98" s="3" t="s">
        <v>531</v>
      </c>
      <c r="B98" s="3" t="s">
        <v>532</v>
      </c>
      <c r="C98" s="47" t="n">
        <f aca="false">AVERAGEIFS(malumot!$I$2:$I$3542,malumot!$B$2:$B$3542,$A98)</f>
        <v>4.82442816155252</v>
      </c>
      <c r="D98" s="47" t="n">
        <f aca="false">AVERAGEIFS(malumot!$J$2:$J$3542,malumot!$B$2:$B$3542,$A98)</f>
        <v>19.4612730042611</v>
      </c>
      <c r="E98" s="7" t="n">
        <f aca="false">RANK(C98,$C$5:$C$432,0)</f>
        <v>373</v>
      </c>
      <c r="F98" s="7" t="n">
        <f aca="false">RANK(D98,$D$5:$D$432,0)</f>
        <v>284</v>
      </c>
      <c r="G98" s="7" t="n">
        <f aca="false">ABS(E98-F98)</f>
        <v>89</v>
      </c>
    </row>
    <row r="99" customFormat="false" ht="15" hidden="false" customHeight="false" outlineLevel="0" collapsed="false">
      <c r="A99" s="3" t="s">
        <v>83</v>
      </c>
      <c r="B99" s="3" t="s">
        <v>84</v>
      </c>
      <c r="C99" s="47" t="n">
        <f aca="false">AVERAGEIFS(malumot!$I$2:$I$3542,malumot!$B$2:$B$3542,$A99)</f>
        <v>8.46775808125727</v>
      </c>
      <c r="D99" s="47" t="n">
        <f aca="false">AVERAGEIFS(malumot!$J$2:$J$3542,malumot!$B$2:$B$3542,$A99)</f>
        <v>19.6629770518711</v>
      </c>
      <c r="E99" s="7" t="n">
        <f aca="false">RANK(C99,$C$5:$C$432,0)</f>
        <v>191</v>
      </c>
      <c r="F99" s="7" t="n">
        <f aca="false">RANK(D99,$D$5:$D$432,0)</f>
        <v>280</v>
      </c>
      <c r="G99" s="7" t="n">
        <f aca="false">ABS(E99-F99)</f>
        <v>89</v>
      </c>
    </row>
    <row r="100" customFormat="false" ht="15" hidden="false" customHeight="false" outlineLevel="0" collapsed="false">
      <c r="A100" s="3" t="s">
        <v>219</v>
      </c>
      <c r="B100" s="3" t="s">
        <v>220</v>
      </c>
      <c r="C100" s="47" t="n">
        <f aca="false">AVERAGEIFS(malumot!$I$2:$I$3542,malumot!$B$2:$B$3542,$A100)</f>
        <v>8.96268919270328</v>
      </c>
      <c r="D100" s="47" t="n">
        <f aca="false">AVERAGEIFS(malumot!$J$2:$J$3542,malumot!$B$2:$B$3542,$A100)</f>
        <v>21.8588669166907</v>
      </c>
      <c r="E100" s="7" t="n">
        <f aca="false">RANK(C100,$C$5:$C$432,0)</f>
        <v>169</v>
      </c>
      <c r="F100" s="7" t="n">
        <f aca="false">RANK(D100,$D$5:$D$432,0)</f>
        <v>256</v>
      </c>
      <c r="G100" s="7" t="n">
        <f aca="false">ABS(E100-F100)</f>
        <v>87</v>
      </c>
    </row>
    <row r="101" customFormat="false" ht="15" hidden="false" customHeight="false" outlineLevel="0" collapsed="false">
      <c r="A101" s="3" t="s">
        <v>457</v>
      </c>
      <c r="B101" s="3" t="s">
        <v>458</v>
      </c>
      <c r="C101" s="47" t="n">
        <f aca="false">AVERAGEIFS(malumot!$I$2:$I$3542,malumot!$B$2:$B$3542,$A101)</f>
        <v>5.96818412656667</v>
      </c>
      <c r="D101" s="47" t="n">
        <f aca="false">AVERAGEIFS(malumot!$J$2:$J$3542,malumot!$B$2:$B$3542,$A101)</f>
        <v>7.51361956745051</v>
      </c>
      <c r="E101" s="7" t="n">
        <f aca="false">RANK(C101,$C$5:$C$432,0)</f>
        <v>320</v>
      </c>
      <c r="F101" s="7" t="n">
        <f aca="false">RANK(D101,$D$5:$D$432,0)</f>
        <v>407</v>
      </c>
      <c r="G101" s="7" t="n">
        <f aca="false">ABS(E101-F101)</f>
        <v>87</v>
      </c>
    </row>
    <row r="102" customFormat="false" ht="15" hidden="false" customHeight="false" outlineLevel="0" collapsed="false">
      <c r="A102" s="3" t="s">
        <v>1056</v>
      </c>
      <c r="B102" s="3" t="s">
        <v>1057</v>
      </c>
      <c r="C102" s="47" t="n">
        <f aca="false">AVERAGEIFS(malumot!$I$2:$I$3542,malumot!$B$2:$B$3542,$A102)</f>
        <v>9.12276434449529</v>
      </c>
      <c r="D102" s="47" t="n">
        <f aca="false">AVERAGEIFS(malumot!$J$2:$J$3542,malumot!$B$2:$B$3542,$A102)</f>
        <v>46.4486127395903</v>
      </c>
      <c r="E102" s="7" t="n">
        <f aca="false">RANK(C102,$C$5:$C$432,0)</f>
        <v>165</v>
      </c>
      <c r="F102" s="7" t="n">
        <f aca="false">RANK(D102,$D$5:$D$432,0)</f>
        <v>79</v>
      </c>
      <c r="G102" s="7" t="n">
        <f aca="false">ABS(E102-F102)</f>
        <v>86</v>
      </c>
    </row>
    <row r="103" customFormat="false" ht="15" hidden="false" customHeight="false" outlineLevel="0" collapsed="false">
      <c r="A103" s="3" t="s">
        <v>991</v>
      </c>
      <c r="B103" s="3" t="s">
        <v>989</v>
      </c>
      <c r="C103" s="47" t="n">
        <f aca="false">AVERAGEIFS(malumot!$I$2:$I$3542,malumot!$B$2:$B$3542,$A103)</f>
        <v>9.75809920028862</v>
      </c>
      <c r="D103" s="47" t="n">
        <f aca="false">AVERAGEIFS(malumot!$J$2:$J$3542,malumot!$B$2:$B$3542,$A103)</f>
        <v>24.7632808119314</v>
      </c>
      <c r="E103" s="7" t="n">
        <f aca="false">RANK(C103,$C$5:$C$432,0)</f>
        <v>142</v>
      </c>
      <c r="F103" s="7" t="n">
        <f aca="false">RANK(D103,$D$5:$D$432,0)</f>
        <v>227</v>
      </c>
      <c r="G103" s="7" t="n">
        <f aca="false">ABS(E103-F103)</f>
        <v>85</v>
      </c>
    </row>
    <row r="104" customFormat="false" ht="15" hidden="false" customHeight="false" outlineLevel="0" collapsed="false">
      <c r="A104" s="3" t="s">
        <v>1089</v>
      </c>
      <c r="B104" s="3" t="s">
        <v>1090</v>
      </c>
      <c r="C104" s="47" t="n">
        <f aca="false">AVERAGEIFS(malumot!$I$2:$I$3542,malumot!$B$2:$B$3542,$A104)</f>
        <v>12.6500732150051</v>
      </c>
      <c r="D104" s="47" t="n">
        <f aca="false">AVERAGEIFS(malumot!$J$2:$J$3542,malumot!$B$2:$B$3542,$A104)</f>
        <v>31.4347675329694</v>
      </c>
      <c r="E104" s="7" t="n">
        <f aca="false">RANK(C104,$C$5:$C$432,0)</f>
        <v>77</v>
      </c>
      <c r="F104" s="7" t="n">
        <f aca="false">RANK(D104,$D$5:$D$432,0)</f>
        <v>161</v>
      </c>
      <c r="G104" s="7" t="n">
        <f aca="false">ABS(E104-F104)</f>
        <v>84</v>
      </c>
    </row>
    <row r="105" customFormat="false" ht="15" hidden="false" customHeight="false" outlineLevel="0" collapsed="false">
      <c r="A105" s="3" t="s">
        <v>1041</v>
      </c>
      <c r="B105" s="3" t="s">
        <v>1042</v>
      </c>
      <c r="C105" s="47" t="n">
        <f aca="false">AVERAGEIFS(malumot!$I$2:$I$3542,malumot!$B$2:$B$3542,$A105)</f>
        <v>8.70289394032594</v>
      </c>
      <c r="D105" s="47" t="n">
        <f aca="false">AVERAGEIFS(malumot!$J$2:$J$3542,malumot!$B$2:$B$3542,$A105)</f>
        <v>20.9637636623041</v>
      </c>
      <c r="E105" s="7" t="n">
        <f aca="false">RANK(C105,$C$5:$C$432,0)</f>
        <v>179</v>
      </c>
      <c r="F105" s="7" t="n">
        <f aca="false">RANK(D105,$D$5:$D$432,0)</f>
        <v>263</v>
      </c>
      <c r="G105" s="7" t="n">
        <f aca="false">ABS(E105-F105)</f>
        <v>84</v>
      </c>
    </row>
    <row r="106" customFormat="false" ht="15" hidden="false" customHeight="false" outlineLevel="0" collapsed="false">
      <c r="A106" s="3" t="s">
        <v>839</v>
      </c>
      <c r="B106" s="3" t="s">
        <v>840</v>
      </c>
      <c r="C106" s="47" t="n">
        <f aca="false">AVERAGEIFS(malumot!$I$2:$I$3542,malumot!$B$2:$B$3542,$A106)</f>
        <v>9.27432264263486</v>
      </c>
      <c r="D106" s="47" t="n">
        <f aca="false">AVERAGEIFS(malumot!$J$2:$J$3542,malumot!$B$2:$B$3542,$A106)</f>
        <v>23.573568155717</v>
      </c>
      <c r="E106" s="7" t="n">
        <f aca="false">RANK(C106,$C$5:$C$432,0)</f>
        <v>161</v>
      </c>
      <c r="F106" s="7" t="n">
        <f aca="false">RANK(D106,$D$5:$D$432,0)</f>
        <v>242</v>
      </c>
      <c r="G106" s="7" t="n">
        <f aca="false">ABS(E106-F106)</f>
        <v>81</v>
      </c>
    </row>
    <row r="107" customFormat="false" ht="15" hidden="false" customHeight="false" outlineLevel="0" collapsed="false">
      <c r="A107" s="3" t="s">
        <v>327</v>
      </c>
      <c r="B107" s="3" t="s">
        <v>328</v>
      </c>
      <c r="C107" s="47" t="n">
        <f aca="false">AVERAGEIFS(malumot!$I$2:$I$3542,malumot!$B$2:$B$3542,$A107)</f>
        <v>8.08720164016515</v>
      </c>
      <c r="D107" s="47" t="n">
        <f aca="false">AVERAGEIFS(malumot!$J$2:$J$3542,malumot!$B$2:$B$3542,$A107)</f>
        <v>34.2101700181781</v>
      </c>
      <c r="E107" s="7" t="n">
        <f aca="false">RANK(C107,$C$5:$C$432,0)</f>
        <v>217</v>
      </c>
      <c r="F107" s="7" t="n">
        <f aca="false">RANK(D107,$D$5:$D$432,0)</f>
        <v>136</v>
      </c>
      <c r="G107" s="7" t="n">
        <f aca="false">ABS(E107-F107)</f>
        <v>81</v>
      </c>
    </row>
    <row r="108" customFormat="false" ht="15" hidden="false" customHeight="false" outlineLevel="0" collapsed="false">
      <c r="A108" s="3" t="s">
        <v>652</v>
      </c>
      <c r="B108" s="3" t="s">
        <v>653</v>
      </c>
      <c r="C108" s="47" t="n">
        <f aca="false">AVERAGEIFS(malumot!$I$2:$I$3542,malumot!$B$2:$B$3542,$A108)</f>
        <v>10.6169268626977</v>
      </c>
      <c r="D108" s="47" t="n">
        <f aca="false">AVERAGEIFS(malumot!$J$2:$J$3542,malumot!$B$2:$B$3542,$A108)</f>
        <v>68.663556179522</v>
      </c>
      <c r="E108" s="7" t="n">
        <f aca="false">RANK(C108,$C$5:$C$432,0)</f>
        <v>116</v>
      </c>
      <c r="F108" s="7" t="n">
        <f aca="false">RANK(D108,$D$5:$D$432,0)</f>
        <v>35</v>
      </c>
      <c r="G108" s="7" t="n">
        <f aca="false">ABS(E108-F108)</f>
        <v>81</v>
      </c>
    </row>
    <row r="109" customFormat="false" ht="15" hidden="false" customHeight="false" outlineLevel="0" collapsed="false">
      <c r="A109" s="3" t="s">
        <v>670</v>
      </c>
      <c r="B109" s="3" t="s">
        <v>671</v>
      </c>
      <c r="C109" s="47" t="n">
        <f aca="false">AVERAGEIFS(malumot!$I$2:$I$3542,malumot!$B$2:$B$3542,$A109)</f>
        <v>9.62856542561558</v>
      </c>
      <c r="D109" s="47" t="n">
        <f aca="false">AVERAGEIFS(malumot!$J$2:$J$3542,malumot!$B$2:$B$3542,$A109)</f>
        <v>49.9842835196102</v>
      </c>
      <c r="E109" s="7" t="n">
        <f aca="false">RANK(C109,$C$5:$C$432,0)</f>
        <v>146</v>
      </c>
      <c r="F109" s="7" t="n">
        <f aca="false">RANK(D109,$D$5:$D$432,0)</f>
        <v>66</v>
      </c>
      <c r="G109" s="7" t="n">
        <f aca="false">ABS(E109-F109)</f>
        <v>80</v>
      </c>
    </row>
    <row r="110" customFormat="false" ht="15" hidden="false" customHeight="false" outlineLevel="0" collapsed="false">
      <c r="A110" s="3" t="s">
        <v>842</v>
      </c>
      <c r="B110" s="3" t="s">
        <v>843</v>
      </c>
      <c r="C110" s="47" t="n">
        <f aca="false">AVERAGEIFS(malumot!$I$2:$I$3542,malumot!$B$2:$B$3542,$A110)</f>
        <v>4.71371621814187</v>
      </c>
      <c r="D110" s="47" t="n">
        <f aca="false">AVERAGEIFS(malumot!$J$2:$J$3542,malumot!$B$2:$B$3542,$A110)</f>
        <v>18.4900549676278</v>
      </c>
      <c r="E110" s="7" t="n">
        <f aca="false">RANK(C110,$C$5:$C$432,0)</f>
        <v>379</v>
      </c>
      <c r="F110" s="7" t="n">
        <f aca="false">RANK(D110,$D$5:$D$432,0)</f>
        <v>300</v>
      </c>
      <c r="G110" s="7" t="n">
        <f aca="false">ABS(E110-F110)</f>
        <v>79</v>
      </c>
    </row>
    <row r="111" customFormat="false" ht="15" hidden="false" customHeight="false" outlineLevel="0" collapsed="false">
      <c r="A111" s="3" t="s">
        <v>662</v>
      </c>
      <c r="B111" s="3" t="s">
        <v>663</v>
      </c>
      <c r="C111" s="47" t="n">
        <f aca="false">AVERAGEIFS(malumot!$I$2:$I$3542,malumot!$B$2:$B$3542,$A111)</f>
        <v>9.56577253417781</v>
      </c>
      <c r="D111" s="47" t="n">
        <f aca="false">AVERAGEIFS(malumot!$J$2:$J$3542,malumot!$B$2:$B$3542,$A111)</f>
        <v>48.5718721529605</v>
      </c>
      <c r="E111" s="7" t="n">
        <f aca="false">RANK(C111,$C$5:$C$432,0)</f>
        <v>148</v>
      </c>
      <c r="F111" s="7" t="n">
        <f aca="false">RANK(D111,$D$5:$D$432,0)</f>
        <v>69</v>
      </c>
      <c r="G111" s="7" t="n">
        <f aca="false">ABS(E111-F111)</f>
        <v>79</v>
      </c>
    </row>
    <row r="112" customFormat="false" ht="15" hidden="false" customHeight="false" outlineLevel="0" collapsed="false">
      <c r="A112" s="3" t="s">
        <v>918</v>
      </c>
      <c r="B112" s="3" t="s">
        <v>919</v>
      </c>
      <c r="C112" s="47" t="n">
        <f aca="false">AVERAGEIFS(malumot!$I$2:$I$3542,malumot!$B$2:$B$3542,$A112)</f>
        <v>8.35765461745378</v>
      </c>
      <c r="D112" s="47" t="n">
        <f aca="false">AVERAGEIFS(malumot!$J$2:$J$3542,malumot!$B$2:$B$3542,$A112)</f>
        <v>19.8183098485104</v>
      </c>
      <c r="E112" s="7" t="n">
        <f aca="false">RANK(C112,$C$5:$C$432,0)</f>
        <v>196</v>
      </c>
      <c r="F112" s="7" t="n">
        <f aca="false">RANK(D112,$D$5:$D$432,0)</f>
        <v>275</v>
      </c>
      <c r="G112" s="7" t="n">
        <f aca="false">ABS(E112-F112)</f>
        <v>79</v>
      </c>
    </row>
    <row r="113" customFormat="false" ht="15" hidden="false" customHeight="false" outlineLevel="0" collapsed="false">
      <c r="A113" s="3" t="s">
        <v>956</v>
      </c>
      <c r="B113" s="3" t="s">
        <v>957</v>
      </c>
      <c r="C113" s="47" t="n">
        <f aca="false">AVERAGEIFS(malumot!$I$2:$I$3542,malumot!$B$2:$B$3542,$A113)</f>
        <v>5.65507358079903</v>
      </c>
      <c r="D113" s="47" t="n">
        <f aca="false">AVERAGEIFS(malumot!$J$2:$J$3542,malumot!$B$2:$B$3542,$A113)</f>
        <v>21.3966069484781</v>
      </c>
      <c r="E113" s="7" t="n">
        <f aca="false">RANK(C113,$C$5:$C$432,0)</f>
        <v>338</v>
      </c>
      <c r="F113" s="7" t="n">
        <f aca="false">RANK(D113,$D$5:$D$432,0)</f>
        <v>259</v>
      </c>
      <c r="G113" s="7" t="n">
        <f aca="false">ABS(E113-F113)</f>
        <v>79</v>
      </c>
    </row>
    <row r="114" customFormat="false" ht="15" hidden="false" customHeight="false" outlineLevel="0" collapsed="false">
      <c r="A114" s="3" t="s">
        <v>359</v>
      </c>
      <c r="B114" s="3" t="s">
        <v>360</v>
      </c>
      <c r="C114" s="47" t="n">
        <f aca="false">AVERAGEIFS(malumot!$I$2:$I$3542,malumot!$B$2:$B$3542,$A114)</f>
        <v>3.79422640425228</v>
      </c>
      <c r="D114" s="47" t="n">
        <f aca="false">AVERAGEIFS(malumot!$J$2:$J$3542,malumot!$B$2:$B$3542,$A114)</f>
        <v>15.9309965771502</v>
      </c>
      <c r="E114" s="7" t="n">
        <f aca="false">RANK(C114,$C$5:$C$432,0)</f>
        <v>406</v>
      </c>
      <c r="F114" s="7" t="n">
        <f aca="false">RANK(D114,$D$5:$D$432,0)</f>
        <v>328</v>
      </c>
      <c r="G114" s="7" t="n">
        <f aca="false">ABS(E114-F114)</f>
        <v>78</v>
      </c>
    </row>
    <row r="115" customFormat="false" ht="15" hidden="false" customHeight="false" outlineLevel="0" collapsed="false">
      <c r="A115" s="3" t="s">
        <v>1098</v>
      </c>
      <c r="B115" s="3" t="s">
        <v>1099</v>
      </c>
      <c r="C115" s="47" t="n">
        <f aca="false">AVERAGEIFS(malumot!$I$2:$I$3542,malumot!$B$2:$B$3542,$A115)</f>
        <v>8.17136321829465</v>
      </c>
      <c r="D115" s="47" t="n">
        <f aca="false">AVERAGEIFS(malumot!$J$2:$J$3542,malumot!$B$2:$B$3542,$A115)</f>
        <v>19.3002948438897</v>
      </c>
      <c r="E115" s="7" t="n">
        <f aca="false">RANK(C115,$C$5:$C$432,0)</f>
        <v>209</v>
      </c>
      <c r="F115" s="7" t="n">
        <f aca="false">RANK(D115,$D$5:$D$432,0)</f>
        <v>287</v>
      </c>
      <c r="G115" s="7" t="n">
        <f aca="false">ABS(E115-F115)</f>
        <v>78</v>
      </c>
    </row>
    <row r="116" customFormat="false" ht="15" hidden="false" customHeight="false" outlineLevel="0" collapsed="false">
      <c r="A116" s="3" t="s">
        <v>233</v>
      </c>
      <c r="B116" s="3" t="s">
        <v>234</v>
      </c>
      <c r="C116" s="47" t="n">
        <f aca="false">AVERAGEIFS(malumot!$I$2:$I$3542,malumot!$B$2:$B$3542,$A116)</f>
        <v>9.81331165119497</v>
      </c>
      <c r="D116" s="47" t="n">
        <f aca="false">AVERAGEIFS(malumot!$J$2:$J$3542,malumot!$B$2:$B$3542,$A116)</f>
        <v>51.7468714219748</v>
      </c>
      <c r="E116" s="7" t="n">
        <f aca="false">RANK(C116,$C$5:$C$432,0)</f>
        <v>138</v>
      </c>
      <c r="F116" s="7" t="n">
        <f aca="false">RANK(D116,$D$5:$D$432,0)</f>
        <v>60</v>
      </c>
      <c r="G116" s="7" t="n">
        <f aca="false">ABS(E116-F116)</f>
        <v>78</v>
      </c>
    </row>
    <row r="117" customFormat="false" ht="15" hidden="false" customHeight="false" outlineLevel="0" collapsed="false">
      <c r="A117" s="3" t="s">
        <v>946</v>
      </c>
      <c r="B117" s="3" t="s">
        <v>944</v>
      </c>
      <c r="C117" s="47" t="n">
        <f aca="false">AVERAGEIFS(malumot!$I$2:$I$3542,malumot!$B$2:$B$3542,$A117)</f>
        <v>9.42823105206116</v>
      </c>
      <c r="D117" s="47" t="n">
        <f aca="false">AVERAGEIFS(malumot!$J$2:$J$3542,malumot!$B$2:$B$3542,$A117)</f>
        <v>23.9945906174828</v>
      </c>
      <c r="E117" s="7" t="n">
        <f aca="false">RANK(C117,$C$5:$C$432,0)</f>
        <v>160</v>
      </c>
      <c r="F117" s="7" t="n">
        <f aca="false">RANK(D117,$D$5:$D$432,0)</f>
        <v>238</v>
      </c>
      <c r="G117" s="7" t="n">
        <f aca="false">ABS(E117-F117)</f>
        <v>78</v>
      </c>
    </row>
    <row r="118" customFormat="false" ht="15" hidden="false" customHeight="false" outlineLevel="0" collapsed="false">
      <c r="A118" s="3" t="s">
        <v>236</v>
      </c>
      <c r="B118" s="3" t="s">
        <v>237</v>
      </c>
      <c r="C118" s="47" t="n">
        <f aca="false">AVERAGEIFS(malumot!$I$2:$I$3542,malumot!$B$2:$B$3542,$A118)</f>
        <v>8.48245066224576</v>
      </c>
      <c r="D118" s="47" t="n">
        <f aca="false">AVERAGEIFS(malumot!$J$2:$J$3542,malumot!$B$2:$B$3542,$A118)</f>
        <v>20.5996444540002</v>
      </c>
      <c r="E118" s="7" t="n">
        <f aca="false">RANK(C118,$C$5:$C$432,0)</f>
        <v>190</v>
      </c>
      <c r="F118" s="7" t="n">
        <f aca="false">RANK(D118,$D$5:$D$432,0)</f>
        <v>267</v>
      </c>
      <c r="G118" s="7" t="n">
        <f aca="false">ABS(E118-F118)</f>
        <v>77</v>
      </c>
    </row>
    <row r="119" customFormat="false" ht="15" hidden="false" customHeight="false" outlineLevel="0" collapsed="false">
      <c r="A119" s="3" t="s">
        <v>543</v>
      </c>
      <c r="B119" s="3" t="s">
        <v>544</v>
      </c>
      <c r="C119" s="47" t="n">
        <f aca="false">AVERAGEIFS(malumot!$I$2:$I$3542,malumot!$B$2:$B$3542,$A119)</f>
        <v>5.34045947290588</v>
      </c>
      <c r="D119" s="47" t="n">
        <f aca="false">AVERAGEIFS(malumot!$J$2:$J$3542,malumot!$B$2:$B$3542,$A119)</f>
        <v>19.7229501121715</v>
      </c>
      <c r="E119" s="7" t="n">
        <f aca="false">RANK(C119,$C$5:$C$432,0)</f>
        <v>354</v>
      </c>
      <c r="F119" s="7" t="n">
        <f aca="false">RANK(D119,$D$5:$D$432,0)</f>
        <v>277</v>
      </c>
      <c r="G119" s="7" t="n">
        <f aca="false">ABS(E119-F119)</f>
        <v>77</v>
      </c>
    </row>
    <row r="120" customFormat="false" ht="15" hidden="false" customHeight="false" outlineLevel="0" collapsed="false">
      <c r="A120" s="3" t="s">
        <v>153</v>
      </c>
      <c r="B120" s="3" t="s">
        <v>154</v>
      </c>
      <c r="C120" s="47" t="n">
        <f aca="false">AVERAGEIFS(malumot!$I$2:$I$3542,malumot!$B$2:$B$3542,$A120)</f>
        <v>8.85184097371936</v>
      </c>
      <c r="D120" s="47" t="n">
        <f aca="false">AVERAGEIFS(malumot!$J$2:$J$3542,malumot!$B$2:$B$3542,$A120)</f>
        <v>41.6140325318656</v>
      </c>
      <c r="E120" s="7" t="n">
        <f aca="false">RANK(C120,$C$5:$C$432,0)</f>
        <v>173</v>
      </c>
      <c r="F120" s="7" t="n">
        <f aca="false">RANK(D120,$D$5:$D$432,0)</f>
        <v>97</v>
      </c>
      <c r="G120" s="7" t="n">
        <f aca="false">ABS(E120-F120)</f>
        <v>76</v>
      </c>
    </row>
    <row r="121" customFormat="false" ht="15" hidden="false" customHeight="false" outlineLevel="0" collapsed="false">
      <c r="A121" s="3" t="s">
        <v>165</v>
      </c>
      <c r="B121" s="3" t="s">
        <v>166</v>
      </c>
      <c r="C121" s="47" t="n">
        <f aca="false">AVERAGEIFS(malumot!$I$2:$I$3542,malumot!$B$2:$B$3542,$A121)</f>
        <v>9.55056954902488</v>
      </c>
      <c r="D121" s="47" t="n">
        <f aca="false">AVERAGEIFS(malumot!$J$2:$J$3542,malumot!$B$2:$B$3542,$A121)</f>
        <v>47.6349086521873</v>
      </c>
      <c r="E121" s="7" t="n">
        <f aca="false">RANK(C121,$C$5:$C$432,0)</f>
        <v>149</v>
      </c>
      <c r="F121" s="7" t="n">
        <f aca="false">RANK(D121,$D$5:$D$432,0)</f>
        <v>73</v>
      </c>
      <c r="G121" s="7" t="n">
        <f aca="false">ABS(E121-F121)</f>
        <v>76</v>
      </c>
    </row>
    <row r="122" customFormat="false" ht="15" hidden="false" customHeight="false" outlineLevel="0" collapsed="false">
      <c r="A122" s="3" t="s">
        <v>568</v>
      </c>
      <c r="B122" s="3" t="s">
        <v>569</v>
      </c>
      <c r="C122" s="47" t="n">
        <f aca="false">AVERAGEIFS(malumot!$I$2:$I$3542,malumot!$B$2:$B$3542,$A122)</f>
        <v>6.54962838362126</v>
      </c>
      <c r="D122" s="47" t="n">
        <f aca="false">AVERAGEIFS(malumot!$J$2:$J$3542,malumot!$B$2:$B$3542,$A122)</f>
        <v>26.6146891803444</v>
      </c>
      <c r="E122" s="7" t="n">
        <f aca="false">RANK(C122,$C$5:$C$432,0)</f>
        <v>285</v>
      </c>
      <c r="F122" s="7" t="n">
        <f aca="false">RANK(D122,$D$5:$D$432,0)</f>
        <v>209</v>
      </c>
      <c r="G122" s="7" t="n">
        <f aca="false">ABS(E122-F122)</f>
        <v>76</v>
      </c>
    </row>
    <row r="123" customFormat="false" ht="15" hidden="false" customHeight="false" outlineLevel="0" collapsed="false">
      <c r="A123" s="3" t="s">
        <v>1132</v>
      </c>
      <c r="B123" s="3" t="s">
        <v>1133</v>
      </c>
      <c r="C123" s="47" t="n">
        <f aca="false">AVERAGEIFS(malumot!$I$2:$I$3542,malumot!$B$2:$B$3542,$A123)</f>
        <v>8.73399365384669</v>
      </c>
      <c r="D123" s="47" t="n">
        <f aca="false">AVERAGEIFS(malumot!$J$2:$J$3542,malumot!$B$2:$B$3542,$A123)</f>
        <v>39.7775297225512</v>
      </c>
      <c r="E123" s="7" t="n">
        <f aca="false">RANK(C123,$C$5:$C$432,0)</f>
        <v>178</v>
      </c>
      <c r="F123" s="7" t="n">
        <f aca="false">RANK(D123,$D$5:$D$432,0)</f>
        <v>104</v>
      </c>
      <c r="G123" s="7" t="n">
        <f aca="false">ABS(E123-F123)</f>
        <v>74</v>
      </c>
    </row>
    <row r="124" customFormat="false" ht="15" hidden="false" customHeight="false" outlineLevel="0" collapsed="false">
      <c r="A124" s="3" t="s">
        <v>378</v>
      </c>
      <c r="B124" s="3" t="s">
        <v>379</v>
      </c>
      <c r="C124" s="47" t="n">
        <f aca="false">AVERAGEIFS(malumot!$I$2:$I$3542,malumot!$B$2:$B$3542,$A124)</f>
        <v>3.57541099194292</v>
      </c>
      <c r="D124" s="47" t="n">
        <f aca="false">AVERAGEIFS(malumot!$J$2:$J$3542,malumot!$B$2:$B$3542,$A124)</f>
        <v>15.2146275536232</v>
      </c>
      <c r="E124" s="7" t="n">
        <f aca="false">RANK(C124,$C$5:$C$432,0)</f>
        <v>412</v>
      </c>
      <c r="F124" s="7" t="n">
        <f aca="false">RANK(D124,$D$5:$D$432,0)</f>
        <v>338</v>
      </c>
      <c r="G124" s="7" t="n">
        <f aca="false">ABS(E124-F124)</f>
        <v>74</v>
      </c>
    </row>
    <row r="125" customFormat="false" ht="15" hidden="false" customHeight="false" outlineLevel="0" collapsed="false">
      <c r="A125" s="3" t="s">
        <v>745</v>
      </c>
      <c r="B125" s="3" t="s">
        <v>746</v>
      </c>
      <c r="C125" s="47" t="n">
        <f aca="false">AVERAGEIFS(malumot!$I$2:$I$3542,malumot!$B$2:$B$3542,$A125)</f>
        <v>9.54124779355414</v>
      </c>
      <c r="D125" s="47" t="n">
        <f aca="false">AVERAGEIFS(malumot!$J$2:$J$3542,malumot!$B$2:$B$3542,$A125)</f>
        <v>46.9439722613544</v>
      </c>
      <c r="E125" s="7" t="n">
        <f aca="false">RANK(C125,$C$5:$C$432,0)</f>
        <v>151</v>
      </c>
      <c r="F125" s="7" t="n">
        <f aca="false">RANK(D125,$D$5:$D$432,0)</f>
        <v>77</v>
      </c>
      <c r="G125" s="7" t="n">
        <f aca="false">ABS(E125-F125)</f>
        <v>74</v>
      </c>
    </row>
    <row r="126" customFormat="false" ht="15" hidden="false" customHeight="false" outlineLevel="0" collapsed="false">
      <c r="A126" s="3" t="s">
        <v>216</v>
      </c>
      <c r="B126" s="3" t="s">
        <v>217</v>
      </c>
      <c r="C126" s="47" t="n">
        <f aca="false">AVERAGEIFS(malumot!$I$2:$I$3542,malumot!$B$2:$B$3542,$A126)</f>
        <v>6.55837150995349</v>
      </c>
      <c r="D126" s="47" t="n">
        <f aca="false">AVERAGEIFS(malumot!$J$2:$J$3542,malumot!$B$2:$B$3542,$A126)</f>
        <v>13.672914163093</v>
      </c>
      <c r="E126" s="7" t="n">
        <f aca="false">RANK(C126,$C$5:$C$432,0)</f>
        <v>284</v>
      </c>
      <c r="F126" s="7" t="n">
        <f aca="false">RANK(D126,$D$5:$D$432,0)</f>
        <v>358</v>
      </c>
      <c r="G126" s="7" t="n">
        <f aca="false">ABS(E126-F126)</f>
        <v>74</v>
      </c>
    </row>
    <row r="127" customFormat="false" ht="15" hidden="false" customHeight="false" outlineLevel="0" collapsed="false">
      <c r="A127" s="3" t="s">
        <v>1113</v>
      </c>
      <c r="B127" s="3" t="s">
        <v>1114</v>
      </c>
      <c r="C127" s="47" t="n">
        <f aca="false">AVERAGEIFS(malumot!$I$2:$I$3542,malumot!$B$2:$B$3542,$A127)</f>
        <v>4.89218078681397</v>
      </c>
      <c r="D127" s="47" t="n">
        <f aca="false">AVERAGEIFS(malumot!$J$2:$J$3542,malumot!$B$2:$B$3542,$A127)</f>
        <v>18.800469914311</v>
      </c>
      <c r="E127" s="7" t="n">
        <f aca="false">RANK(C127,$C$5:$C$432,0)</f>
        <v>366</v>
      </c>
      <c r="F127" s="7" t="n">
        <f aca="false">RANK(D127,$D$5:$D$432,0)</f>
        <v>293</v>
      </c>
      <c r="G127" s="7" t="n">
        <f aca="false">ABS(E127-F127)</f>
        <v>73</v>
      </c>
    </row>
    <row r="128" customFormat="false" ht="15" hidden="false" customHeight="false" outlineLevel="0" collapsed="false">
      <c r="A128" s="3" t="s">
        <v>791</v>
      </c>
      <c r="B128" s="3" t="s">
        <v>792</v>
      </c>
      <c r="C128" s="47" t="n">
        <f aca="false">AVERAGEIFS(malumot!$I$2:$I$3542,malumot!$B$2:$B$3542,$A128)</f>
        <v>6.7102744033477</v>
      </c>
      <c r="D128" s="47" t="n">
        <f aca="false">AVERAGEIFS(malumot!$J$2:$J$3542,malumot!$B$2:$B$3542,$A128)</f>
        <v>27.0373744343347</v>
      </c>
      <c r="E128" s="7" t="n">
        <f aca="false">RANK(C128,$C$5:$C$432,0)</f>
        <v>276</v>
      </c>
      <c r="F128" s="7" t="n">
        <f aca="false">RANK(D128,$D$5:$D$432,0)</f>
        <v>204</v>
      </c>
      <c r="G128" s="7" t="n">
        <f aca="false">ABS(E128-F128)</f>
        <v>72</v>
      </c>
    </row>
    <row r="129" customFormat="false" ht="15" hidden="false" customHeight="false" outlineLevel="0" collapsed="false">
      <c r="A129" s="3" t="s">
        <v>638</v>
      </c>
      <c r="B129" s="3" t="s">
        <v>639</v>
      </c>
      <c r="C129" s="47" t="n">
        <f aca="false">AVERAGEIFS(malumot!$I$2:$I$3542,malumot!$B$2:$B$3542,$A129)</f>
        <v>6.36536156268178</v>
      </c>
      <c r="D129" s="47" t="n">
        <f aca="false">AVERAGEIFS(malumot!$J$2:$J$3542,malumot!$B$2:$B$3542,$A129)</f>
        <v>12.5178443766555</v>
      </c>
      <c r="E129" s="7" t="n">
        <f aca="false">RANK(C129,$C$5:$C$432,0)</f>
        <v>295</v>
      </c>
      <c r="F129" s="7" t="n">
        <f aca="false">RANK(D129,$D$5:$D$432,0)</f>
        <v>367</v>
      </c>
      <c r="G129" s="7" t="n">
        <f aca="false">ABS(E129-F129)</f>
        <v>72</v>
      </c>
    </row>
    <row r="130" customFormat="false" ht="15" hidden="false" customHeight="false" outlineLevel="0" collapsed="false">
      <c r="A130" s="3" t="s">
        <v>679</v>
      </c>
      <c r="B130" s="3" t="s">
        <v>680</v>
      </c>
      <c r="C130" s="47" t="n">
        <f aca="false">AVERAGEIFS(malumot!$I$2:$I$3542,malumot!$B$2:$B$3542,$A130)</f>
        <v>7.9029909264522</v>
      </c>
      <c r="D130" s="47" t="n">
        <f aca="false">AVERAGEIFS(malumot!$J$2:$J$3542,malumot!$B$2:$B$3542,$A130)</f>
        <v>31.6900398093751</v>
      </c>
      <c r="E130" s="7" t="n">
        <f aca="false">RANK(C130,$C$5:$C$432,0)</f>
        <v>228</v>
      </c>
      <c r="F130" s="7" t="n">
        <f aca="false">RANK(D130,$D$5:$D$432,0)</f>
        <v>157</v>
      </c>
      <c r="G130" s="7" t="n">
        <f aca="false">ABS(E130-F130)</f>
        <v>71</v>
      </c>
    </row>
    <row r="131" customFormat="false" ht="15" hidden="false" customHeight="false" outlineLevel="0" collapsed="false">
      <c r="A131" s="3" t="s">
        <v>644</v>
      </c>
      <c r="B131" s="3" t="s">
        <v>645</v>
      </c>
      <c r="C131" s="47" t="n">
        <f aca="false">AVERAGEIFS(malumot!$I$2:$I$3542,malumot!$B$2:$B$3542,$A131)</f>
        <v>6.85234219880445</v>
      </c>
      <c r="D131" s="47" t="n">
        <f aca="false">AVERAGEIFS(malumot!$J$2:$J$3542,malumot!$B$2:$B$3542,$A131)</f>
        <v>27.3895987889116</v>
      </c>
      <c r="E131" s="7" t="n">
        <f aca="false">RANK(C131,$C$5:$C$432,0)</f>
        <v>272</v>
      </c>
      <c r="F131" s="7" t="n">
        <f aca="false">RANK(D131,$D$5:$D$432,0)</f>
        <v>201</v>
      </c>
      <c r="G131" s="7" t="n">
        <f aca="false">ABS(E131-F131)</f>
        <v>71</v>
      </c>
    </row>
    <row r="132" customFormat="false" ht="15" hidden="false" customHeight="false" outlineLevel="0" collapsed="false">
      <c r="A132" s="3" t="s">
        <v>557</v>
      </c>
      <c r="B132" s="3" t="s">
        <v>558</v>
      </c>
      <c r="C132" s="47" t="n">
        <f aca="false">AVERAGEIFS(malumot!$I$2:$I$3542,malumot!$B$2:$B$3542,$A132)</f>
        <v>9.91071101913655</v>
      </c>
      <c r="D132" s="47" t="n">
        <f aca="false">AVERAGEIFS(malumot!$J$2:$J$3542,malumot!$B$2:$B$3542,$A132)</f>
        <v>26.7475938305637</v>
      </c>
      <c r="E132" s="7" t="n">
        <f aca="false">RANK(C132,$C$5:$C$432,0)</f>
        <v>136</v>
      </c>
      <c r="F132" s="7" t="n">
        <f aca="false">RANK(D132,$D$5:$D$432,0)</f>
        <v>207</v>
      </c>
      <c r="G132" s="7" t="n">
        <f aca="false">ABS(E132-F132)</f>
        <v>71</v>
      </c>
    </row>
    <row r="133" customFormat="false" ht="15" hidden="false" customHeight="false" outlineLevel="0" collapsed="false">
      <c r="A133" s="3" t="s">
        <v>794</v>
      </c>
      <c r="B133" s="3" t="s">
        <v>795</v>
      </c>
      <c r="C133" s="47" t="n">
        <f aca="false">AVERAGEIFS(malumot!$I$2:$I$3542,malumot!$B$2:$B$3542,$A133)</f>
        <v>8.26242358918712</v>
      </c>
      <c r="D133" s="47" t="n">
        <f aca="false">AVERAGEIFS(malumot!$J$2:$J$3542,malumot!$B$2:$B$3542,$A133)</f>
        <v>34.6001669201365</v>
      </c>
      <c r="E133" s="7" t="n">
        <f aca="false">RANK(C133,$C$5:$C$432,0)</f>
        <v>201</v>
      </c>
      <c r="F133" s="7" t="n">
        <f aca="false">RANK(D133,$D$5:$D$432,0)</f>
        <v>132</v>
      </c>
      <c r="G133" s="7" t="n">
        <f aca="false">ABS(E133-F133)</f>
        <v>69</v>
      </c>
    </row>
    <row r="134" customFormat="false" ht="15" hidden="false" customHeight="false" outlineLevel="0" collapsed="false">
      <c r="A134" s="3" t="s">
        <v>1141</v>
      </c>
      <c r="B134" s="3" t="s">
        <v>1142</v>
      </c>
      <c r="C134" s="47" t="n">
        <f aca="false">AVERAGEIFS(malumot!$I$2:$I$3542,malumot!$B$2:$B$3542,$A134)</f>
        <v>10.2082000794381</v>
      </c>
      <c r="D134" s="47" t="n">
        <f aca="false">AVERAGEIFS(malumot!$J$2:$J$3542,malumot!$B$2:$B$3542,$A134)</f>
        <v>52.8803005441923</v>
      </c>
      <c r="E134" s="7" t="n">
        <f aca="false">RANK(C134,$C$5:$C$432,0)</f>
        <v>127</v>
      </c>
      <c r="F134" s="7" t="n">
        <f aca="false">RANK(D134,$D$5:$D$432,0)</f>
        <v>58</v>
      </c>
      <c r="G134" s="7" t="n">
        <f aca="false">ABS(E134-F134)</f>
        <v>69</v>
      </c>
    </row>
    <row r="135" customFormat="false" ht="15" hidden="false" customHeight="false" outlineLevel="0" collapsed="false">
      <c r="A135" s="3" t="s">
        <v>589</v>
      </c>
      <c r="B135" s="3" t="s">
        <v>590</v>
      </c>
      <c r="C135" s="47" t="n">
        <f aca="false">AVERAGEIFS(malumot!$I$2:$I$3542,malumot!$B$2:$B$3542,$A135)</f>
        <v>7.75460907583281</v>
      </c>
      <c r="D135" s="47" t="n">
        <f aca="false">AVERAGEIFS(malumot!$J$2:$J$3542,malumot!$B$2:$B$3542,$A135)</f>
        <v>18.539601226707</v>
      </c>
      <c r="E135" s="7" t="n">
        <f aca="false">RANK(C135,$C$5:$C$432,0)</f>
        <v>231</v>
      </c>
      <c r="F135" s="7" t="n">
        <f aca="false">RANK(D135,$D$5:$D$432,0)</f>
        <v>299</v>
      </c>
      <c r="G135" s="7" t="n">
        <f aca="false">ABS(E135-F135)</f>
        <v>68</v>
      </c>
    </row>
    <row r="136" customFormat="false" ht="15" hidden="false" customHeight="false" outlineLevel="0" collapsed="false">
      <c r="A136" s="3" t="s">
        <v>276</v>
      </c>
      <c r="B136" s="3" t="s">
        <v>277</v>
      </c>
      <c r="C136" s="47" t="n">
        <f aca="false">AVERAGEIFS(malumot!$I$2:$I$3542,malumot!$B$2:$B$3542,$A136)</f>
        <v>3.76957587798047</v>
      </c>
      <c r="D136" s="47" t="n">
        <f aca="false">AVERAGEIFS(malumot!$J$2:$J$3542,malumot!$B$2:$B$3542,$A136)</f>
        <v>15.2003300659696</v>
      </c>
      <c r="E136" s="7" t="n">
        <f aca="false">RANK(C136,$C$5:$C$432,0)</f>
        <v>407</v>
      </c>
      <c r="F136" s="7" t="n">
        <f aca="false">RANK(D136,$D$5:$D$432,0)</f>
        <v>339</v>
      </c>
      <c r="G136" s="7" t="n">
        <f aca="false">ABS(E136-F136)</f>
        <v>68</v>
      </c>
    </row>
    <row r="137" customFormat="false" ht="15" hidden="false" customHeight="false" outlineLevel="0" collapsed="false">
      <c r="A137" s="3" t="s">
        <v>293</v>
      </c>
      <c r="B137" s="3" t="s">
        <v>294</v>
      </c>
      <c r="C137" s="47" t="n">
        <f aca="false">AVERAGEIFS(malumot!$I$2:$I$3542,malumot!$B$2:$B$3542,$A137)</f>
        <v>6.01855033647775</v>
      </c>
      <c r="D137" s="47" t="n">
        <f aca="false">AVERAGEIFS(malumot!$J$2:$J$3542,malumot!$B$2:$B$3542,$A137)</f>
        <v>22.7468411799682</v>
      </c>
      <c r="E137" s="7" t="n">
        <f aca="false">RANK(C137,$C$5:$C$432,0)</f>
        <v>318</v>
      </c>
      <c r="F137" s="7" t="n">
        <f aca="false">RANK(D137,$D$5:$D$432,0)</f>
        <v>250</v>
      </c>
      <c r="G137" s="7" t="n">
        <f aca="false">ABS(E137-F137)</f>
        <v>68</v>
      </c>
    </row>
    <row r="138" customFormat="false" ht="15" hidden="false" customHeight="false" outlineLevel="0" collapsed="false">
      <c r="A138" s="3" t="s">
        <v>1005</v>
      </c>
      <c r="B138" s="3" t="s">
        <v>1006</v>
      </c>
      <c r="C138" s="47" t="n">
        <f aca="false">AVERAGEIFS(malumot!$I$2:$I$3542,malumot!$B$2:$B$3542,$A138)</f>
        <v>10.5045240720602</v>
      </c>
      <c r="D138" s="47" t="n">
        <f aca="false">AVERAGEIFS(malumot!$J$2:$J$3542,malumot!$B$2:$B$3542,$A138)</f>
        <v>29.1209351407147</v>
      </c>
      <c r="E138" s="7" t="n">
        <f aca="false">RANK(C138,$C$5:$C$432,0)</f>
        <v>118</v>
      </c>
      <c r="F138" s="7" t="n">
        <f aca="false">RANK(D138,$D$5:$D$432,0)</f>
        <v>185</v>
      </c>
      <c r="G138" s="7" t="n">
        <f aca="false">ABS(E138-F138)</f>
        <v>67</v>
      </c>
    </row>
    <row r="139" customFormat="false" ht="15" hidden="false" customHeight="false" outlineLevel="0" collapsed="false">
      <c r="A139" s="3" t="s">
        <v>403</v>
      </c>
      <c r="B139" s="3" t="s">
        <v>404</v>
      </c>
      <c r="C139" s="47" t="n">
        <f aca="false">AVERAGEIFS(malumot!$I$2:$I$3542,malumot!$B$2:$B$3542,$A139)</f>
        <v>5.51090016567307</v>
      </c>
      <c r="D139" s="47" t="n">
        <f aca="false">AVERAGEIFS(malumot!$J$2:$J$3542,malumot!$B$2:$B$3542,$A139)</f>
        <v>19.689162844036</v>
      </c>
      <c r="E139" s="7" t="n">
        <f aca="false">RANK(C139,$C$5:$C$432,0)</f>
        <v>346</v>
      </c>
      <c r="F139" s="7" t="n">
        <f aca="false">RANK(D139,$D$5:$D$432,0)</f>
        <v>279</v>
      </c>
      <c r="G139" s="7" t="n">
        <f aca="false">ABS(E139-F139)</f>
        <v>67</v>
      </c>
    </row>
    <row r="140" customFormat="false" ht="15" hidden="false" customHeight="false" outlineLevel="0" collapsed="false">
      <c r="A140" s="3" t="s">
        <v>451</v>
      </c>
      <c r="B140" s="3" t="s">
        <v>452</v>
      </c>
      <c r="C140" s="47" t="n">
        <f aca="false">AVERAGEIFS(malumot!$I$2:$I$3542,malumot!$B$2:$B$3542,$A140)</f>
        <v>8.64044107913837</v>
      </c>
      <c r="D140" s="47" t="n">
        <f aca="false">AVERAGEIFS(malumot!$J$2:$J$3542,malumot!$B$2:$B$3542,$A140)</f>
        <v>22.7631650373603</v>
      </c>
      <c r="E140" s="7" t="n">
        <f aca="false">RANK(C140,$C$5:$C$432,0)</f>
        <v>183</v>
      </c>
      <c r="F140" s="7" t="n">
        <f aca="false">RANK(D140,$D$5:$D$432,0)</f>
        <v>249</v>
      </c>
      <c r="G140" s="7" t="n">
        <f aca="false">ABS(E140-F140)</f>
        <v>66</v>
      </c>
    </row>
    <row r="141" customFormat="false" ht="15" hidden="false" customHeight="false" outlineLevel="0" collapsed="false">
      <c r="A141" s="3" t="s">
        <v>431</v>
      </c>
      <c r="B141" s="3" t="s">
        <v>432</v>
      </c>
      <c r="C141" s="47" t="n">
        <f aca="false">AVERAGEIFS(malumot!$I$2:$I$3542,malumot!$B$2:$B$3542,$A141)</f>
        <v>4.46581711198305</v>
      </c>
      <c r="D141" s="47" t="n">
        <f aca="false">AVERAGEIFS(malumot!$J$2:$J$3542,malumot!$B$2:$B$3542,$A141)</f>
        <v>16.4051925826719</v>
      </c>
      <c r="E141" s="7" t="n">
        <f aca="false">RANK(C141,$C$5:$C$432,0)</f>
        <v>388</v>
      </c>
      <c r="F141" s="7" t="n">
        <f aca="false">RANK(D141,$D$5:$D$432,0)</f>
        <v>322</v>
      </c>
      <c r="G141" s="7" t="n">
        <f aca="false">ABS(E141-F141)</f>
        <v>66</v>
      </c>
    </row>
    <row r="142" customFormat="false" ht="15" hidden="false" customHeight="false" outlineLevel="0" collapsed="false">
      <c r="A142" s="3" t="s">
        <v>688</v>
      </c>
      <c r="B142" s="3" t="s">
        <v>689</v>
      </c>
      <c r="C142" s="47" t="n">
        <f aca="false">AVERAGEIFS(malumot!$I$2:$I$3542,malumot!$B$2:$B$3542,$A142)</f>
        <v>5.92737785780816</v>
      </c>
      <c r="D142" s="47" t="n">
        <f aca="false">AVERAGEIFS(malumot!$J$2:$J$3542,malumot!$B$2:$B$3542,$A142)</f>
        <v>21.7094062517085</v>
      </c>
      <c r="E142" s="7" t="n">
        <f aca="false">RANK(C142,$C$5:$C$432,0)</f>
        <v>323</v>
      </c>
      <c r="F142" s="7" t="n">
        <f aca="false">RANK(D142,$D$5:$D$432,0)</f>
        <v>258</v>
      </c>
      <c r="G142" s="7" t="n">
        <f aca="false">ABS(E142-F142)</f>
        <v>65</v>
      </c>
    </row>
    <row r="143" customFormat="false" ht="15" hidden="false" customHeight="false" outlineLevel="0" collapsed="false">
      <c r="A143" s="3" t="s">
        <v>1101</v>
      </c>
      <c r="B143" s="3" t="s">
        <v>1102</v>
      </c>
      <c r="C143" s="47" t="n">
        <f aca="false">AVERAGEIFS(malumot!$I$2:$I$3542,malumot!$B$2:$B$3542,$A143)</f>
        <v>6.53894199322079</v>
      </c>
      <c r="D143" s="47" t="n">
        <f aca="false">AVERAGEIFS(malumot!$J$2:$J$3542,malumot!$B$2:$B$3542,$A143)</f>
        <v>14.4193139106925</v>
      </c>
      <c r="E143" s="7" t="n">
        <f aca="false">RANK(C143,$C$5:$C$432,0)</f>
        <v>286</v>
      </c>
      <c r="F143" s="7" t="n">
        <f aca="false">RANK(D143,$D$5:$D$432,0)</f>
        <v>350</v>
      </c>
      <c r="G143" s="7" t="n">
        <f aca="false">ABS(E143-F143)</f>
        <v>64</v>
      </c>
    </row>
    <row r="144" customFormat="false" ht="15" hidden="false" customHeight="false" outlineLevel="0" collapsed="false">
      <c r="A144" s="3" t="s">
        <v>519</v>
      </c>
      <c r="B144" s="3" t="s">
        <v>520</v>
      </c>
      <c r="C144" s="47" t="n">
        <f aca="false">AVERAGEIFS(malumot!$I$2:$I$3542,malumot!$B$2:$B$3542,$A144)</f>
        <v>6.17373957046747</v>
      </c>
      <c r="D144" s="47" t="n">
        <f aca="false">AVERAGEIFS(malumot!$J$2:$J$3542,malumot!$B$2:$B$3542,$A144)</f>
        <v>23.8367958353524</v>
      </c>
      <c r="E144" s="7" t="n">
        <f aca="false">RANK(C144,$C$5:$C$432,0)</f>
        <v>303</v>
      </c>
      <c r="F144" s="7" t="n">
        <f aca="false">RANK(D144,$D$5:$D$432,0)</f>
        <v>239</v>
      </c>
      <c r="G144" s="7" t="n">
        <f aca="false">ABS(E144-F144)</f>
        <v>64</v>
      </c>
    </row>
    <row r="145" customFormat="false" ht="15" hidden="false" customHeight="false" outlineLevel="0" collapsed="false">
      <c r="A145" s="3" t="s">
        <v>655</v>
      </c>
      <c r="B145" s="3" t="s">
        <v>656</v>
      </c>
      <c r="C145" s="47" t="n">
        <f aca="false">AVERAGEIFS(malumot!$I$2:$I$3542,malumot!$B$2:$B$3542,$A145)</f>
        <v>10.6720585148576</v>
      </c>
      <c r="D145" s="47" t="n">
        <f aca="false">AVERAGEIFS(malumot!$J$2:$J$3542,malumot!$B$2:$B$3542,$A145)</f>
        <v>61.8517484509517</v>
      </c>
      <c r="E145" s="7" t="n">
        <f aca="false">RANK(C145,$C$5:$C$432,0)</f>
        <v>111</v>
      </c>
      <c r="F145" s="7" t="n">
        <f aca="false">RANK(D145,$D$5:$D$432,0)</f>
        <v>48</v>
      </c>
      <c r="G145" s="7" t="n">
        <f aca="false">ABS(E145-F145)</f>
        <v>63</v>
      </c>
    </row>
    <row r="146" customFormat="false" ht="15" hidden="false" customHeight="false" outlineLevel="0" collapsed="false">
      <c r="A146" s="3" t="s">
        <v>305</v>
      </c>
      <c r="B146" s="3" t="s">
        <v>306</v>
      </c>
      <c r="C146" s="47" t="n">
        <f aca="false">AVERAGEIFS(malumot!$I$2:$I$3542,malumot!$B$2:$B$3542,$A146)</f>
        <v>8.08600057086449</v>
      </c>
      <c r="D146" s="47" t="n">
        <f aca="false">AVERAGEIFS(malumot!$J$2:$J$3542,malumot!$B$2:$B$3542,$A146)</f>
        <v>31.9745994287626</v>
      </c>
      <c r="E146" s="7" t="n">
        <f aca="false">RANK(C146,$C$5:$C$432,0)</f>
        <v>218</v>
      </c>
      <c r="F146" s="7" t="n">
        <f aca="false">RANK(D146,$D$5:$D$432,0)</f>
        <v>155</v>
      </c>
      <c r="G146" s="7" t="n">
        <f aca="false">ABS(E146-F146)</f>
        <v>63</v>
      </c>
    </row>
    <row r="147" customFormat="false" ht="15" hidden="false" customHeight="false" outlineLevel="0" collapsed="false">
      <c r="A147" s="3" t="s">
        <v>68</v>
      </c>
      <c r="B147" s="3" t="s">
        <v>69</v>
      </c>
      <c r="C147" s="47" t="n">
        <f aca="false">AVERAGEIFS(malumot!$I$2:$I$3542,malumot!$B$2:$B$3542,$A147)</f>
        <v>4.15066820605833</v>
      </c>
      <c r="D147" s="47" t="n">
        <f aca="false">AVERAGEIFS(malumot!$J$2:$J$3542,malumot!$B$2:$B$3542,$A147)</f>
        <v>15.5699353936168</v>
      </c>
      <c r="E147" s="7" t="n">
        <f aca="false">RANK(C147,$C$5:$C$432,0)</f>
        <v>396</v>
      </c>
      <c r="F147" s="7" t="n">
        <f aca="false">RANK(D147,$D$5:$D$432,0)</f>
        <v>334</v>
      </c>
      <c r="G147" s="7" t="n">
        <f aca="false">ABS(E147-F147)</f>
        <v>62</v>
      </c>
    </row>
    <row r="148" customFormat="false" ht="15" hidden="false" customHeight="false" outlineLevel="0" collapsed="false">
      <c r="A148" s="3" t="s">
        <v>1196</v>
      </c>
      <c r="B148" s="3" t="s">
        <v>1197</v>
      </c>
      <c r="C148" s="47" t="n">
        <f aca="false">AVERAGEIFS(malumot!$I$2:$I$3542,malumot!$B$2:$B$3542,$A148)</f>
        <v>9.52665930530547</v>
      </c>
      <c r="D148" s="47" t="n">
        <f aca="false">AVERAGEIFS(malumot!$J$2:$J$3542,malumot!$B$2:$B$3542,$A148)</f>
        <v>44.3584424641734</v>
      </c>
      <c r="E148" s="7" t="n">
        <f aca="false">RANK(C148,$C$5:$C$432,0)</f>
        <v>152</v>
      </c>
      <c r="F148" s="7" t="n">
        <f aca="false">RANK(D148,$D$5:$D$432,0)</f>
        <v>90</v>
      </c>
      <c r="G148" s="7" t="n">
        <f aca="false">ABS(E148-F148)</f>
        <v>62</v>
      </c>
    </row>
    <row r="149" customFormat="false" ht="15" hidden="false" customHeight="false" outlineLevel="0" collapsed="false">
      <c r="A149" s="3" t="s">
        <v>89</v>
      </c>
      <c r="B149" s="3" t="s">
        <v>90</v>
      </c>
      <c r="C149" s="47" t="n">
        <f aca="false">AVERAGEIFS(malumot!$I$2:$I$3542,malumot!$B$2:$B$3542,$A149)</f>
        <v>11.6033643123006</v>
      </c>
      <c r="D149" s="47" t="n">
        <f aca="false">AVERAGEIFS(malumot!$J$2:$J$3542,malumot!$B$2:$B$3542,$A149)</f>
        <v>31.6636478852265</v>
      </c>
      <c r="E149" s="7" t="n">
        <f aca="false">RANK(C149,$C$5:$C$432,0)</f>
        <v>96</v>
      </c>
      <c r="F149" s="7" t="n">
        <f aca="false">RANK(D149,$D$5:$D$432,0)</f>
        <v>158</v>
      </c>
      <c r="G149" s="7" t="n">
        <f aca="false">ABS(E149-F149)</f>
        <v>62</v>
      </c>
    </row>
    <row r="150" customFormat="false" ht="15" hidden="false" customHeight="false" outlineLevel="0" collapsed="false">
      <c r="A150" s="3" t="s">
        <v>800</v>
      </c>
      <c r="B150" s="3" t="s">
        <v>801</v>
      </c>
      <c r="C150" s="47" t="n">
        <f aca="false">AVERAGEIFS(malumot!$I$2:$I$3542,malumot!$B$2:$B$3542,$A150)</f>
        <v>8.17673200043834</v>
      </c>
      <c r="D150" s="47" t="n">
        <f aca="false">AVERAGEIFS(malumot!$J$2:$J$3542,malumot!$B$2:$B$3542,$A150)</f>
        <v>32.7063432100239</v>
      </c>
      <c r="E150" s="7" t="n">
        <f aca="false">RANK(C150,$C$5:$C$432,0)</f>
        <v>208</v>
      </c>
      <c r="F150" s="7" t="n">
        <f aca="false">RANK(D150,$D$5:$D$432,0)</f>
        <v>146</v>
      </c>
      <c r="G150" s="7" t="n">
        <f aca="false">ABS(E150-F150)</f>
        <v>62</v>
      </c>
    </row>
    <row r="151" customFormat="false" ht="15" hidden="false" customHeight="false" outlineLevel="0" collapsed="false">
      <c r="A151" s="3" t="s">
        <v>367</v>
      </c>
      <c r="B151" s="3" t="s">
        <v>368</v>
      </c>
      <c r="C151" s="47" t="n">
        <f aca="false">AVERAGEIFS(malumot!$I$2:$I$3542,malumot!$B$2:$B$3542,$A151)</f>
        <v>7.81072260153263</v>
      </c>
      <c r="D151" s="47" t="n">
        <f aca="false">AVERAGEIFS(malumot!$J$2:$J$3542,malumot!$B$2:$B$3542,$A151)</f>
        <v>30.3861725550034</v>
      </c>
      <c r="E151" s="7" t="n">
        <f aca="false">RANK(C151,$C$5:$C$432,0)</f>
        <v>229</v>
      </c>
      <c r="F151" s="7" t="n">
        <f aca="false">RANK(D151,$D$5:$D$432,0)</f>
        <v>168</v>
      </c>
      <c r="G151" s="7" t="n">
        <f aca="false">ABS(E151-F151)</f>
        <v>61</v>
      </c>
    </row>
    <row r="152" customFormat="false" ht="15" hidden="false" customHeight="false" outlineLevel="0" collapsed="false">
      <c r="A152" s="3" t="s">
        <v>122</v>
      </c>
      <c r="B152" s="3" t="s">
        <v>123</v>
      </c>
      <c r="C152" s="47" t="n">
        <f aca="false">AVERAGEIFS(malumot!$I$2:$I$3542,malumot!$B$2:$B$3542,$A152)</f>
        <v>13.8803862285786</v>
      </c>
      <c r="D152" s="47" t="n">
        <f aca="false">AVERAGEIFS(malumot!$J$2:$J$3542,malumot!$B$2:$B$3542,$A152)</f>
        <v>36.4911396267734</v>
      </c>
      <c r="E152" s="7" t="n">
        <f aca="false">RANK(C152,$C$5:$C$432,0)</f>
        <v>64</v>
      </c>
      <c r="F152" s="7" t="n">
        <f aca="false">RANK(D152,$D$5:$D$432,0)</f>
        <v>125</v>
      </c>
      <c r="G152" s="7" t="n">
        <f aca="false">ABS(E152-F152)</f>
        <v>61</v>
      </c>
    </row>
    <row r="153" customFormat="false" ht="15" hidden="false" customHeight="false" outlineLevel="0" collapsed="false">
      <c r="A153" s="3" t="s">
        <v>1059</v>
      </c>
      <c r="B153" s="3" t="s">
        <v>1060</v>
      </c>
      <c r="C153" s="47" t="n">
        <f aca="false">AVERAGEIFS(malumot!$I$2:$I$3542,malumot!$B$2:$B$3542,$A153)</f>
        <v>8.63039010755192</v>
      </c>
      <c r="D153" s="47" t="n">
        <f aca="false">AVERAGEIFS(malumot!$J$2:$J$3542,malumot!$B$2:$B$3542,$A153)</f>
        <v>23.4738514423264</v>
      </c>
      <c r="E153" s="7" t="n">
        <f aca="false">RANK(C153,$C$5:$C$432,0)</f>
        <v>184</v>
      </c>
      <c r="F153" s="7" t="n">
        <f aca="false">RANK(D153,$D$5:$D$432,0)</f>
        <v>244</v>
      </c>
      <c r="G153" s="7" t="n">
        <f aca="false">ABS(E153-F153)</f>
        <v>60</v>
      </c>
    </row>
    <row r="154" customFormat="false" ht="15" hidden="false" customHeight="false" outlineLevel="0" collapsed="false">
      <c r="A154" s="3" t="s">
        <v>56</v>
      </c>
      <c r="B154" s="3" t="s">
        <v>57</v>
      </c>
      <c r="C154" s="47" t="n">
        <f aca="false">AVERAGEIFS(malumot!$I$2:$I$3542,malumot!$B$2:$B$3542,$A154)</f>
        <v>8.65151548981309</v>
      </c>
      <c r="D154" s="47" t="n">
        <f aca="false">AVERAGEIFS(malumot!$J$2:$J$3542,malumot!$B$2:$B$3542,$A154)</f>
        <v>36.6861053353858</v>
      </c>
      <c r="E154" s="7" t="n">
        <f aca="false">RANK(C154,$C$5:$C$432,0)</f>
        <v>181</v>
      </c>
      <c r="F154" s="7" t="n">
        <f aca="false">RANK(D154,$D$5:$D$432,0)</f>
        <v>121</v>
      </c>
      <c r="G154" s="7" t="n">
        <f aca="false">ABS(E154-F154)</f>
        <v>60</v>
      </c>
    </row>
    <row r="155" customFormat="false" ht="15" hidden="false" customHeight="false" outlineLevel="0" collapsed="false">
      <c r="A155" s="3" t="s">
        <v>324</v>
      </c>
      <c r="B155" s="3" t="s">
        <v>325</v>
      </c>
      <c r="C155" s="47" t="n">
        <f aca="false">AVERAGEIFS(malumot!$I$2:$I$3542,malumot!$B$2:$B$3542,$A155)</f>
        <v>10.5273240010318</v>
      </c>
      <c r="D155" s="47" t="n">
        <f aca="false">AVERAGEIFS(malumot!$J$2:$J$3542,malumot!$B$2:$B$3542,$A155)</f>
        <v>29.6633219511458</v>
      </c>
      <c r="E155" s="7" t="n">
        <f aca="false">RANK(C155,$C$5:$C$432,0)</f>
        <v>117</v>
      </c>
      <c r="F155" s="7" t="n">
        <f aca="false">RANK(D155,$D$5:$D$432,0)</f>
        <v>177</v>
      </c>
      <c r="G155" s="7" t="n">
        <f aca="false">ABS(E155-F155)</f>
        <v>60</v>
      </c>
    </row>
    <row r="156" customFormat="false" ht="15" hidden="false" customHeight="false" outlineLevel="0" collapsed="false">
      <c r="A156" s="3" t="s">
        <v>1047</v>
      </c>
      <c r="B156" s="3" t="s">
        <v>1048</v>
      </c>
      <c r="C156" s="47" t="n">
        <f aca="false">AVERAGEIFS(malumot!$I$2:$I$3542,malumot!$B$2:$B$3542,$A156)</f>
        <v>23.5006043039115</v>
      </c>
      <c r="D156" s="47" t="n">
        <f aca="false">AVERAGEIFS(malumot!$J$2:$J$3542,malumot!$B$2:$B$3542,$A156)</f>
        <v>48.1327531600386</v>
      </c>
      <c r="E156" s="7" t="n">
        <f aca="false">RANK(C156,$C$5:$C$432,0)</f>
        <v>12</v>
      </c>
      <c r="F156" s="7" t="n">
        <f aca="false">RANK(D156,$D$5:$D$432,0)</f>
        <v>71</v>
      </c>
      <c r="G156" s="7" t="n">
        <f aca="false">ABS(E156-F156)</f>
        <v>59</v>
      </c>
    </row>
    <row r="157" customFormat="false" ht="15" hidden="false" customHeight="false" outlineLevel="0" collapsed="false">
      <c r="A157" s="3" t="s">
        <v>1123</v>
      </c>
      <c r="B157" s="3" t="s">
        <v>1124</v>
      </c>
      <c r="C157" s="47" t="n">
        <f aca="false">AVERAGEIFS(malumot!$I$2:$I$3542,malumot!$B$2:$B$3542,$A157)</f>
        <v>15.7967971140879</v>
      </c>
      <c r="D157" s="47" t="n">
        <f aca="false">AVERAGEIFS(malumot!$J$2:$J$3542,malumot!$B$2:$B$3542,$A157)</f>
        <v>39.3126815449046</v>
      </c>
      <c r="E157" s="7" t="n">
        <f aca="false">RANK(C157,$C$5:$C$432,0)</f>
        <v>47</v>
      </c>
      <c r="F157" s="7" t="n">
        <f aca="false">RANK(D157,$D$5:$D$432,0)</f>
        <v>106</v>
      </c>
      <c r="G157" s="7" t="n">
        <f aca="false">ABS(E157-F157)</f>
        <v>59</v>
      </c>
    </row>
    <row r="158" customFormat="false" ht="15" hidden="false" customHeight="false" outlineLevel="0" collapsed="false">
      <c r="A158" s="3" t="s">
        <v>390</v>
      </c>
      <c r="B158" s="3" t="s">
        <v>391</v>
      </c>
      <c r="C158" s="47" t="n">
        <f aca="false">AVERAGEIFS(malumot!$I$2:$I$3542,malumot!$B$2:$B$3542,$A158)</f>
        <v>7.78124052536738</v>
      </c>
      <c r="D158" s="47" t="n">
        <f aca="false">AVERAGEIFS(malumot!$J$2:$J$3542,malumot!$B$2:$B$3542,$A158)</f>
        <v>30.1215397663423</v>
      </c>
      <c r="E158" s="7" t="n">
        <f aca="false">RANK(C158,$C$5:$C$432,0)</f>
        <v>230</v>
      </c>
      <c r="F158" s="7" t="n">
        <f aca="false">RANK(D158,$D$5:$D$432,0)</f>
        <v>171</v>
      </c>
      <c r="G158" s="7" t="n">
        <f aca="false">ABS(E158-F158)</f>
        <v>59</v>
      </c>
    </row>
    <row r="159" customFormat="false" ht="15" hidden="false" customHeight="false" outlineLevel="0" collapsed="false">
      <c r="A159" s="3" t="s">
        <v>806</v>
      </c>
      <c r="B159" s="3" t="s">
        <v>807</v>
      </c>
      <c r="C159" s="47" t="n">
        <f aca="false">AVERAGEIFS(malumot!$I$2:$I$3542,malumot!$B$2:$B$3542,$A159)</f>
        <v>6.39548282895369</v>
      </c>
      <c r="D159" s="47" t="n">
        <f aca="false">AVERAGEIFS(malumot!$J$2:$J$3542,malumot!$B$2:$B$3542,$A159)</f>
        <v>24.4535226089541</v>
      </c>
      <c r="E159" s="7" t="n">
        <f aca="false">RANK(C159,$C$5:$C$432,0)</f>
        <v>292</v>
      </c>
      <c r="F159" s="7" t="n">
        <f aca="false">RANK(D159,$D$5:$D$432,0)</f>
        <v>233</v>
      </c>
      <c r="G159" s="7" t="n">
        <f aca="false">ABS(E159-F159)</f>
        <v>59</v>
      </c>
    </row>
    <row r="160" customFormat="false" ht="15" hidden="false" customHeight="false" outlineLevel="0" collapsed="false">
      <c r="A160" s="3" t="s">
        <v>985</v>
      </c>
      <c r="B160" s="3" t="s">
        <v>986</v>
      </c>
      <c r="C160" s="47" t="n">
        <f aca="false">AVERAGEIFS(malumot!$I$2:$I$3542,malumot!$B$2:$B$3542,$A160)</f>
        <v>6.3019713554243</v>
      </c>
      <c r="D160" s="47" t="n">
        <f aca="false">AVERAGEIFS(malumot!$J$2:$J$3542,malumot!$B$2:$B$3542,$A160)</f>
        <v>23.6908554149682</v>
      </c>
      <c r="E160" s="7" t="n">
        <f aca="false">RANK(C160,$C$5:$C$432,0)</f>
        <v>299</v>
      </c>
      <c r="F160" s="7" t="n">
        <f aca="false">RANK(D160,$D$5:$D$432,0)</f>
        <v>240</v>
      </c>
      <c r="G160" s="7" t="n">
        <f aca="false">ABS(E160-F160)</f>
        <v>59</v>
      </c>
    </row>
    <row r="161" customFormat="false" ht="15" hidden="false" customHeight="false" outlineLevel="0" collapsed="false">
      <c r="A161" s="3" t="s">
        <v>135</v>
      </c>
      <c r="B161" s="3" t="s">
        <v>136</v>
      </c>
      <c r="C161" s="47" t="n">
        <f aca="false">AVERAGEIFS(malumot!$I$2:$I$3542,malumot!$B$2:$B$3542,$A161)</f>
        <v>23.1096131781352</v>
      </c>
      <c r="D161" s="47" t="n">
        <f aca="false">AVERAGEIFS(malumot!$J$2:$J$3542,malumot!$B$2:$B$3542,$A161)</f>
        <v>47.1177548430333</v>
      </c>
      <c r="E161" s="7" t="n">
        <f aca="false">RANK(C161,$C$5:$C$432,0)</f>
        <v>17</v>
      </c>
      <c r="F161" s="7" t="n">
        <f aca="false">RANK(D161,$D$5:$D$432,0)</f>
        <v>76</v>
      </c>
      <c r="G161" s="7" t="n">
        <f aca="false">ABS(E161-F161)</f>
        <v>59</v>
      </c>
    </row>
    <row r="162" customFormat="false" ht="15" hidden="false" customHeight="false" outlineLevel="0" collapsed="false">
      <c r="A162" s="3" t="s">
        <v>496</v>
      </c>
      <c r="B162" s="3" t="s">
        <v>497</v>
      </c>
      <c r="C162" s="47" t="n">
        <f aca="false">AVERAGEIFS(malumot!$I$2:$I$3542,malumot!$B$2:$B$3542,$A162)</f>
        <v>9.25490291059299</v>
      </c>
      <c r="D162" s="47" t="n">
        <f aca="false">AVERAGEIFS(malumot!$J$2:$J$3542,malumot!$B$2:$B$3542,$A162)</f>
        <v>25.4121774351675</v>
      </c>
      <c r="E162" s="7" t="n">
        <f aca="false">RANK(C162,$C$5:$C$432,0)</f>
        <v>162</v>
      </c>
      <c r="F162" s="7" t="n">
        <f aca="false">RANK(D162,$D$5:$D$432,0)</f>
        <v>220</v>
      </c>
      <c r="G162" s="7" t="n">
        <f aca="false">ABS(E162-F162)</f>
        <v>58</v>
      </c>
    </row>
    <row r="163" customFormat="false" ht="15" hidden="false" customHeight="false" outlineLevel="0" collapsed="false">
      <c r="A163" s="3" t="s">
        <v>540</v>
      </c>
      <c r="B163" s="3" t="s">
        <v>541</v>
      </c>
      <c r="C163" s="47" t="n">
        <f aca="false">AVERAGEIFS(malumot!$I$2:$I$3542,malumot!$B$2:$B$3542,$A163)</f>
        <v>9.14247498951013</v>
      </c>
      <c r="D163" s="47" t="n">
        <f aca="false">AVERAGEIFS(malumot!$J$2:$J$3542,malumot!$B$2:$B$3542,$A163)</f>
        <v>25.2976710382111</v>
      </c>
      <c r="E163" s="7" t="n">
        <f aca="false">RANK(C163,$C$5:$C$432,0)</f>
        <v>164</v>
      </c>
      <c r="F163" s="7" t="n">
        <f aca="false">RANK(D163,$D$5:$D$432,0)</f>
        <v>221</v>
      </c>
      <c r="G163" s="7" t="n">
        <f aca="false">ABS(E163-F163)</f>
        <v>57</v>
      </c>
    </row>
    <row r="164" customFormat="false" ht="15" hidden="false" customHeight="false" outlineLevel="0" collapsed="false">
      <c r="A164" s="3" t="s">
        <v>250</v>
      </c>
      <c r="B164" s="3" t="s">
        <v>251</v>
      </c>
      <c r="C164" s="47" t="n">
        <f aca="false">AVERAGEIFS(malumot!$I$2:$I$3542,malumot!$B$2:$B$3542,$A164)</f>
        <v>9.0910519261049</v>
      </c>
      <c r="D164" s="47" t="n">
        <f aca="false">AVERAGEIFS(malumot!$J$2:$J$3542,malumot!$B$2:$B$3542,$A164)</f>
        <v>24.9853012946194</v>
      </c>
      <c r="E164" s="7" t="n">
        <f aca="false">RANK(C164,$C$5:$C$432,0)</f>
        <v>166</v>
      </c>
      <c r="F164" s="7" t="n">
        <f aca="false">RANK(D164,$D$5:$D$432,0)</f>
        <v>223</v>
      </c>
      <c r="G164" s="7" t="n">
        <f aca="false">ABS(E164-F164)</f>
        <v>57</v>
      </c>
    </row>
    <row r="165" customFormat="false" ht="15" hidden="false" customHeight="false" outlineLevel="0" collapsed="false">
      <c r="A165" s="3" t="s">
        <v>132</v>
      </c>
      <c r="B165" s="3" t="s">
        <v>133</v>
      </c>
      <c r="C165" s="47" t="n">
        <f aca="false">AVERAGEIFS(malumot!$I$2:$I$3542,malumot!$B$2:$B$3542,$A165)</f>
        <v>9.75881237003682</v>
      </c>
      <c r="D165" s="47" t="n">
        <f aca="false">AVERAGEIFS(malumot!$J$2:$J$3542,malumot!$B$2:$B$3542,$A165)</f>
        <v>45.0020403135168</v>
      </c>
      <c r="E165" s="7" t="n">
        <f aca="false">RANK(C165,$C$5:$C$432,0)</f>
        <v>141</v>
      </c>
      <c r="F165" s="7" t="n">
        <f aca="false">RANK(D165,$D$5:$D$432,0)</f>
        <v>84</v>
      </c>
      <c r="G165" s="7" t="n">
        <f aca="false">ABS(E165-F165)</f>
        <v>57</v>
      </c>
    </row>
    <row r="166" customFormat="false" ht="15" hidden="false" customHeight="false" outlineLevel="0" collapsed="false">
      <c r="A166" s="3" t="s">
        <v>1121</v>
      </c>
      <c r="B166" s="3" t="s">
        <v>1119</v>
      </c>
      <c r="C166" s="47" t="n">
        <f aca="false">AVERAGEIFS(malumot!$I$2:$I$3542,malumot!$B$2:$B$3542,$A166)</f>
        <v>8.10039533816355</v>
      </c>
      <c r="D166" s="47" t="n">
        <f aca="false">AVERAGEIFS(malumot!$J$2:$J$3542,malumot!$B$2:$B$3542,$A166)</f>
        <v>20.2341408347645</v>
      </c>
      <c r="E166" s="7" t="n">
        <f aca="false">RANK(C166,$C$5:$C$432,0)</f>
        <v>215</v>
      </c>
      <c r="F166" s="7" t="n">
        <f aca="false">RANK(D166,$D$5:$D$432,0)</f>
        <v>271</v>
      </c>
      <c r="G166" s="7" t="n">
        <f aca="false">ABS(E166-F166)</f>
        <v>56</v>
      </c>
    </row>
    <row r="167" customFormat="false" ht="15" hidden="false" customHeight="false" outlineLevel="0" collapsed="false">
      <c r="A167" s="3" t="s">
        <v>968</v>
      </c>
      <c r="B167" s="3" t="s">
        <v>969</v>
      </c>
      <c r="C167" s="47" t="n">
        <f aca="false">AVERAGEIFS(malumot!$I$2:$I$3542,malumot!$B$2:$B$3542,$A167)</f>
        <v>7.75350103045273</v>
      </c>
      <c r="D167" s="47" t="n">
        <f aca="false">AVERAGEIFS(malumot!$J$2:$J$3542,malumot!$B$2:$B$3542,$A167)</f>
        <v>19.1687152860372</v>
      </c>
      <c r="E167" s="7" t="n">
        <f aca="false">RANK(C167,$C$5:$C$432,0)</f>
        <v>232</v>
      </c>
      <c r="F167" s="7" t="n">
        <f aca="false">RANK(D167,$D$5:$D$432,0)</f>
        <v>288</v>
      </c>
      <c r="G167" s="7" t="n">
        <f aca="false">ABS(E167-F167)</f>
        <v>56</v>
      </c>
    </row>
    <row r="168" customFormat="false" ht="15" hidden="false" customHeight="false" outlineLevel="0" collapsed="false">
      <c r="A168" s="3" t="s">
        <v>604</v>
      </c>
      <c r="B168" s="3" t="s">
        <v>605</v>
      </c>
      <c r="C168" s="47" t="n">
        <f aca="false">AVERAGEIFS(malumot!$I$2:$I$3542,malumot!$B$2:$B$3542,$A168)</f>
        <v>7.10252632673998</v>
      </c>
      <c r="D168" s="47" t="n">
        <f aca="false">AVERAGEIFS(malumot!$J$2:$J$3542,malumot!$B$2:$B$3542,$A168)</f>
        <v>27.1834057213683</v>
      </c>
      <c r="E168" s="7" t="n">
        <f aca="false">RANK(C168,$C$5:$C$432,0)</f>
        <v>259</v>
      </c>
      <c r="F168" s="7" t="n">
        <f aca="false">RANK(D168,$D$5:$D$432,0)</f>
        <v>203</v>
      </c>
      <c r="G168" s="7" t="n">
        <f aca="false">ABS(E168-F168)</f>
        <v>56</v>
      </c>
    </row>
    <row r="169" customFormat="false" ht="15" hidden="false" customHeight="false" outlineLevel="0" collapsed="false">
      <c r="A169" s="3" t="s">
        <v>429</v>
      </c>
      <c r="B169" s="3" t="s">
        <v>430</v>
      </c>
      <c r="C169" s="47" t="n">
        <f aca="false">AVERAGEIFS(malumot!$I$2:$I$3542,malumot!$B$2:$B$3542,$A169)</f>
        <v>6.17194022171467</v>
      </c>
      <c r="D169" s="47" t="n">
        <f aca="false">AVERAGEIFS(malumot!$J$2:$J$3542,malumot!$B$2:$B$3542,$A169)</f>
        <v>13.5560728831595</v>
      </c>
      <c r="E169" s="7" t="n">
        <f aca="false">RANK(C169,$C$5:$C$432,0)</f>
        <v>304</v>
      </c>
      <c r="F169" s="7" t="n">
        <f aca="false">RANK(D169,$D$5:$D$432,0)</f>
        <v>359</v>
      </c>
      <c r="G169" s="7" t="n">
        <f aca="false">ABS(E169-F169)</f>
        <v>55</v>
      </c>
    </row>
    <row r="170" customFormat="false" ht="15" hidden="false" customHeight="false" outlineLevel="0" collapsed="false">
      <c r="A170" s="3" t="s">
        <v>1168</v>
      </c>
      <c r="B170" s="3" t="s">
        <v>1169</v>
      </c>
      <c r="C170" s="47" t="n">
        <f aca="false">AVERAGEIFS(malumot!$I$2:$I$3542,malumot!$B$2:$B$3542,$A170)</f>
        <v>5.75498716413981</v>
      </c>
      <c r="D170" s="47" t="n">
        <f aca="false">AVERAGEIFS(malumot!$J$2:$J$3542,malumot!$B$2:$B$3542,$A170)</f>
        <v>10.4413801283916</v>
      </c>
      <c r="E170" s="7" t="n">
        <f aca="false">RANK(C170,$C$5:$C$432,0)</f>
        <v>332</v>
      </c>
      <c r="F170" s="7" t="n">
        <f aca="false">RANK(D170,$D$5:$D$432,0)</f>
        <v>386</v>
      </c>
      <c r="G170" s="7" t="n">
        <f aca="false">ABS(E170-F170)</f>
        <v>54</v>
      </c>
    </row>
    <row r="171" customFormat="false" ht="15" hidden="false" customHeight="false" outlineLevel="0" collapsed="false">
      <c r="A171" s="3" t="s">
        <v>973</v>
      </c>
      <c r="B171" s="3" t="s">
        <v>974</v>
      </c>
      <c r="C171" s="47" t="n">
        <f aca="false">AVERAGEIFS(malumot!$I$2:$I$3542,malumot!$B$2:$B$3542,$A171)</f>
        <v>8.81391172968658</v>
      </c>
      <c r="D171" s="47" t="n">
        <f aca="false">AVERAGEIFS(malumot!$J$2:$J$3542,malumot!$B$2:$B$3542,$A171)</f>
        <v>24.756714130752</v>
      </c>
      <c r="E171" s="7" t="n">
        <f aca="false">RANK(C171,$C$5:$C$432,0)</f>
        <v>175</v>
      </c>
      <c r="F171" s="7" t="n">
        <f aca="false">RANK(D171,$D$5:$D$432,0)</f>
        <v>228</v>
      </c>
      <c r="G171" s="7" t="n">
        <f aca="false">ABS(E171-F171)</f>
        <v>53</v>
      </c>
    </row>
    <row r="172" customFormat="false" ht="15" hidden="false" customHeight="false" outlineLevel="0" collapsed="false">
      <c r="A172" s="3" t="s">
        <v>965</v>
      </c>
      <c r="B172" s="3" t="s">
        <v>966</v>
      </c>
      <c r="C172" s="47" t="n">
        <f aca="false">AVERAGEIFS(malumot!$I$2:$I$3542,malumot!$B$2:$B$3542,$A172)</f>
        <v>8.20735387901649</v>
      </c>
      <c r="D172" s="47" t="n">
        <f aca="false">AVERAGEIFS(malumot!$J$2:$J$3542,malumot!$B$2:$B$3542,$A172)</f>
        <v>32.0822471446425</v>
      </c>
      <c r="E172" s="7" t="n">
        <f aca="false">RANK(C172,$C$5:$C$432,0)</f>
        <v>206</v>
      </c>
      <c r="F172" s="7" t="n">
        <f aca="false">RANK(D172,$D$5:$D$432,0)</f>
        <v>153</v>
      </c>
      <c r="G172" s="7" t="n">
        <f aca="false">ABS(E172-F172)</f>
        <v>53</v>
      </c>
    </row>
    <row r="173" customFormat="false" ht="15" hidden="false" customHeight="false" outlineLevel="0" collapsed="false">
      <c r="A173" s="3" t="s">
        <v>259</v>
      </c>
      <c r="B173" s="3" t="s">
        <v>260</v>
      </c>
      <c r="C173" s="47" t="n">
        <f aca="false">AVERAGEIFS(malumot!$I$2:$I$3542,malumot!$B$2:$B$3542,$A173)</f>
        <v>6.04354548952528</v>
      </c>
      <c r="D173" s="47" t="n">
        <f aca="false">AVERAGEIFS(malumot!$J$2:$J$3542,malumot!$B$2:$B$3542,$A173)</f>
        <v>21.2711090734383</v>
      </c>
      <c r="E173" s="7" t="n">
        <f aca="false">RANK(C173,$C$5:$C$432,0)</f>
        <v>315</v>
      </c>
      <c r="F173" s="7" t="n">
        <f aca="false">RANK(D173,$D$5:$D$432,0)</f>
        <v>262</v>
      </c>
      <c r="G173" s="7" t="n">
        <f aca="false">ABS(E173-F173)</f>
        <v>53</v>
      </c>
    </row>
    <row r="174" customFormat="false" ht="15" hidden="false" customHeight="false" outlineLevel="0" collapsed="false">
      <c r="A174" s="3" t="s">
        <v>830</v>
      </c>
      <c r="B174" s="3" t="s">
        <v>831</v>
      </c>
      <c r="C174" s="47" t="n">
        <f aca="false">AVERAGEIFS(malumot!$I$2:$I$3542,malumot!$B$2:$B$3542,$A174)</f>
        <v>4.79901727997792</v>
      </c>
      <c r="D174" s="47" t="n">
        <f aca="false">AVERAGEIFS(malumot!$J$2:$J$3542,malumot!$B$2:$B$3542,$A174)</f>
        <v>16.3691348224349</v>
      </c>
      <c r="E174" s="7" t="n">
        <f aca="false">RANK(C174,$C$5:$C$432,0)</f>
        <v>376</v>
      </c>
      <c r="F174" s="7" t="n">
        <f aca="false">RANK(D174,$D$5:$D$432,0)</f>
        <v>323</v>
      </c>
      <c r="G174" s="7" t="n">
        <f aca="false">ABS(E174-F174)</f>
        <v>53</v>
      </c>
    </row>
    <row r="175" customFormat="false" ht="15" hidden="false" customHeight="false" outlineLevel="0" collapsed="false">
      <c r="A175" s="3" t="s">
        <v>418</v>
      </c>
      <c r="B175" s="3" t="s">
        <v>419</v>
      </c>
      <c r="C175" s="47" t="n">
        <f aca="false">AVERAGEIFS(malumot!$I$2:$I$3542,malumot!$B$2:$B$3542,$A175)</f>
        <v>5.05487206871529</v>
      </c>
      <c r="D175" s="47" t="n">
        <f aca="false">AVERAGEIFS(malumot!$J$2:$J$3542,malumot!$B$2:$B$3542,$A175)</f>
        <v>17.2994657357259</v>
      </c>
      <c r="E175" s="7" t="n">
        <f aca="false">RANK(C175,$C$5:$C$432,0)</f>
        <v>364</v>
      </c>
      <c r="F175" s="7" t="n">
        <f aca="false">RANK(D175,$D$5:$D$432,0)</f>
        <v>311</v>
      </c>
      <c r="G175" s="7" t="n">
        <f aca="false">ABS(E175-F175)</f>
        <v>53</v>
      </c>
    </row>
    <row r="176" customFormat="false" ht="15" hidden="false" customHeight="false" outlineLevel="0" collapsed="false">
      <c r="A176" s="3" t="s">
        <v>365</v>
      </c>
      <c r="B176" s="3" t="s">
        <v>240</v>
      </c>
      <c r="C176" s="47" t="n">
        <f aca="false">AVERAGEIFS(malumot!$I$2:$I$3542,malumot!$B$2:$B$3542,$A176)</f>
        <v>9.46262155084627</v>
      </c>
      <c r="D176" s="47" t="n">
        <f aca="false">AVERAGEIFS(malumot!$J$2:$J$3542,malumot!$B$2:$B$3542,$A176)</f>
        <v>40.0760641201641</v>
      </c>
      <c r="E176" s="7" t="n">
        <f aca="false">RANK(C176,$C$5:$C$432,0)</f>
        <v>155</v>
      </c>
      <c r="F176" s="7" t="n">
        <f aca="false">RANK(D176,$D$5:$D$432,0)</f>
        <v>103</v>
      </c>
      <c r="G176" s="7" t="n">
        <f aca="false">ABS(E176-F176)</f>
        <v>52</v>
      </c>
    </row>
    <row r="177" customFormat="false" ht="15" hidden="false" customHeight="false" outlineLevel="0" collapsed="false">
      <c r="A177" s="3" t="s">
        <v>333</v>
      </c>
      <c r="B177" s="3" t="s">
        <v>335</v>
      </c>
      <c r="C177" s="47" t="n">
        <f aca="false">AVERAGEIFS(malumot!$I$2:$I$3542,malumot!$B$2:$B$3542,$A177)</f>
        <v>7.06011048253537</v>
      </c>
      <c r="D177" s="47" t="n">
        <f aca="false">AVERAGEIFS(malumot!$J$2:$J$3542,malumot!$B$2:$B$3542,$A177)</f>
        <v>16.901279781161</v>
      </c>
      <c r="E177" s="7" t="n">
        <f aca="false">RANK(C177,$C$5:$C$432,0)</f>
        <v>264</v>
      </c>
      <c r="F177" s="7" t="n">
        <f aca="false">RANK(D177,$D$5:$D$432,0)</f>
        <v>316</v>
      </c>
      <c r="G177" s="7" t="n">
        <f aca="false">ABS(E177-F177)</f>
        <v>52</v>
      </c>
    </row>
    <row r="178" customFormat="false" ht="15" hidden="false" customHeight="false" outlineLevel="0" collapsed="false">
      <c r="A178" s="3" t="s">
        <v>369</v>
      </c>
      <c r="B178" s="3" t="s">
        <v>370</v>
      </c>
      <c r="C178" s="47" t="n">
        <f aca="false">AVERAGEIFS(malumot!$I$2:$I$3542,malumot!$B$2:$B$3542,$A178)</f>
        <v>5.91098943458265</v>
      </c>
      <c r="D178" s="47" t="n">
        <f aca="false">AVERAGEIFS(malumot!$J$2:$J$3542,malumot!$B$2:$B$3542,$A178)</f>
        <v>20.1392851867293</v>
      </c>
      <c r="E178" s="7" t="n">
        <f aca="false">RANK(C178,$C$5:$C$432,0)</f>
        <v>325</v>
      </c>
      <c r="F178" s="7" t="n">
        <f aca="false">RANK(D178,$D$5:$D$432,0)</f>
        <v>273</v>
      </c>
      <c r="G178" s="7" t="n">
        <f aca="false">ABS(E178-F178)</f>
        <v>52</v>
      </c>
    </row>
    <row r="179" customFormat="false" ht="15" hidden="false" customHeight="false" outlineLevel="0" collapsed="false">
      <c r="A179" s="3" t="s">
        <v>601</v>
      </c>
      <c r="B179" s="3" t="s">
        <v>602</v>
      </c>
      <c r="C179" s="47" t="n">
        <f aca="false">AVERAGEIFS(malumot!$I$2:$I$3542,malumot!$B$2:$B$3542,$A179)</f>
        <v>11.2061762286337</v>
      </c>
      <c r="D179" s="47" t="n">
        <f aca="false">AVERAGEIFS(malumot!$J$2:$J$3542,malumot!$B$2:$B$3542,$A179)</f>
        <v>31.8240092326219</v>
      </c>
      <c r="E179" s="7" t="n">
        <f aca="false">RANK(C179,$C$5:$C$432,0)</f>
        <v>104</v>
      </c>
      <c r="F179" s="7" t="n">
        <f aca="false">RANK(D179,$D$5:$D$432,0)</f>
        <v>156</v>
      </c>
      <c r="G179" s="7" t="n">
        <f aca="false">ABS(E179-F179)</f>
        <v>52</v>
      </c>
    </row>
    <row r="180" customFormat="false" ht="15" hidden="false" customHeight="false" outlineLevel="0" collapsed="false">
      <c r="A180" s="3" t="s">
        <v>1135</v>
      </c>
      <c r="B180" s="3" t="s">
        <v>1136</v>
      </c>
      <c r="C180" s="47" t="n">
        <f aca="false">AVERAGEIFS(malumot!$I$2:$I$3542,malumot!$B$2:$B$3542,$A180)</f>
        <v>11.5077239262539</v>
      </c>
      <c r="D180" s="47" t="n">
        <f aca="false">AVERAGEIFS(malumot!$J$2:$J$3542,malumot!$B$2:$B$3542,$A180)</f>
        <v>62.1735639380069</v>
      </c>
      <c r="E180" s="7" t="n">
        <f aca="false">RANK(C180,$C$5:$C$432,0)</f>
        <v>97</v>
      </c>
      <c r="F180" s="7" t="n">
        <f aca="false">RANK(D180,$D$5:$D$432,0)</f>
        <v>47</v>
      </c>
      <c r="G180" s="7" t="n">
        <f aca="false">ABS(E180-F180)</f>
        <v>50</v>
      </c>
    </row>
    <row r="181" customFormat="false" ht="15" hidden="false" customHeight="false" outlineLevel="0" collapsed="false">
      <c r="A181" s="3" t="s">
        <v>560</v>
      </c>
      <c r="B181" s="3" t="s">
        <v>561</v>
      </c>
      <c r="C181" s="47" t="n">
        <f aca="false">AVERAGEIFS(malumot!$I$2:$I$3542,malumot!$B$2:$B$3542,$A181)</f>
        <v>5.82677996102196</v>
      </c>
      <c r="D181" s="47" t="n">
        <f aca="false">AVERAGEIFS(malumot!$J$2:$J$3542,malumot!$B$2:$B$3542,$A181)</f>
        <v>10.9381971686538</v>
      </c>
      <c r="E181" s="7" t="n">
        <f aca="false">RANK(C181,$C$5:$C$432,0)</f>
        <v>330</v>
      </c>
      <c r="F181" s="7" t="n">
        <f aca="false">RANK(D181,$D$5:$D$432,0)</f>
        <v>380</v>
      </c>
      <c r="G181" s="7" t="n">
        <f aca="false">ABS(E181-F181)</f>
        <v>50</v>
      </c>
    </row>
    <row r="182" customFormat="false" ht="15" hidden="false" customHeight="false" outlineLevel="0" collapsed="false">
      <c r="A182" s="3" t="s">
        <v>362</v>
      </c>
      <c r="B182" s="3" t="s">
        <v>363</v>
      </c>
      <c r="C182" s="47" t="n">
        <f aca="false">AVERAGEIFS(malumot!$I$2:$I$3542,malumot!$B$2:$B$3542,$A182)</f>
        <v>5.64448705462833</v>
      </c>
      <c r="D182" s="47" t="n">
        <f aca="false">AVERAGEIFS(malumot!$J$2:$J$3542,malumot!$B$2:$B$3542,$A182)</f>
        <v>10.1952763323518</v>
      </c>
      <c r="E182" s="7" t="n">
        <f aca="false">RANK(C182,$C$5:$C$432,0)</f>
        <v>339</v>
      </c>
      <c r="F182" s="7" t="n">
        <f aca="false">RANK(D182,$D$5:$D$432,0)</f>
        <v>389</v>
      </c>
      <c r="G182" s="7" t="n">
        <f aca="false">ABS(E182-F182)</f>
        <v>50</v>
      </c>
    </row>
    <row r="183" customFormat="false" ht="15" hidden="false" customHeight="false" outlineLevel="0" collapsed="false">
      <c r="A183" s="3" t="s">
        <v>95</v>
      </c>
      <c r="B183" s="3" t="s">
        <v>96</v>
      </c>
      <c r="C183" s="47" t="n">
        <f aca="false">AVERAGEIFS(malumot!$I$2:$I$3542,malumot!$B$2:$B$3542,$A183)</f>
        <v>7.06301893904201</v>
      </c>
      <c r="D183" s="47" t="n">
        <f aca="false">AVERAGEIFS(malumot!$J$2:$J$3542,malumot!$B$2:$B$3542,$A183)</f>
        <v>17.1309064228623</v>
      </c>
      <c r="E183" s="7" t="n">
        <f aca="false">RANK(C183,$C$5:$C$432,0)</f>
        <v>263</v>
      </c>
      <c r="F183" s="7" t="n">
        <f aca="false">RANK(D183,$D$5:$D$432,0)</f>
        <v>312</v>
      </c>
      <c r="G183" s="7" t="n">
        <f aca="false">ABS(E183-F183)</f>
        <v>49</v>
      </c>
    </row>
    <row r="184" customFormat="false" ht="15" hidden="false" customHeight="false" outlineLevel="0" collapsed="false">
      <c r="A184" s="3" t="s">
        <v>315</v>
      </c>
      <c r="B184" s="3" t="s">
        <v>316</v>
      </c>
      <c r="C184" s="47" t="n">
        <f aca="false">AVERAGEIFS(malumot!$I$2:$I$3542,malumot!$B$2:$B$3542,$A184)</f>
        <v>7.94051340556929</v>
      </c>
      <c r="D184" s="47" t="n">
        <f aca="false">AVERAGEIFS(malumot!$J$2:$J$3542,malumot!$B$2:$B$3542,$A184)</f>
        <v>19.7725645834464</v>
      </c>
      <c r="E184" s="7" t="n">
        <f aca="false">RANK(C184,$C$5:$C$432,0)</f>
        <v>227</v>
      </c>
      <c r="F184" s="7" t="n">
        <f aca="false">RANK(D184,$D$5:$D$432,0)</f>
        <v>276</v>
      </c>
      <c r="G184" s="7" t="n">
        <f aca="false">ABS(E184-F184)</f>
        <v>49</v>
      </c>
    </row>
    <row r="185" customFormat="false" ht="15" hidden="false" customHeight="false" outlineLevel="0" collapsed="false">
      <c r="A185" s="3" t="s">
        <v>1206</v>
      </c>
      <c r="B185" s="3" t="s">
        <v>1207</v>
      </c>
      <c r="C185" s="47" t="n">
        <f aca="false">AVERAGEIFS(malumot!$I$2:$I$3542,malumot!$B$2:$B$3542,$A185)</f>
        <v>8.41923625350779</v>
      </c>
      <c r="D185" s="47" t="n">
        <f aca="false">AVERAGEIFS(malumot!$J$2:$J$3542,malumot!$B$2:$B$3542,$A185)</f>
        <v>32.7782255092271</v>
      </c>
      <c r="E185" s="7" t="n">
        <f aca="false">RANK(C185,$C$5:$C$432,0)</f>
        <v>193</v>
      </c>
      <c r="F185" s="7" t="n">
        <f aca="false">RANK(D185,$D$5:$D$432,0)</f>
        <v>144</v>
      </c>
      <c r="G185" s="7" t="n">
        <f aca="false">ABS(E185-F185)</f>
        <v>49</v>
      </c>
    </row>
    <row r="186" customFormat="false" ht="15" hidden="false" customHeight="false" outlineLevel="0" collapsed="false">
      <c r="A186" s="3" t="s">
        <v>192</v>
      </c>
      <c r="B186" s="3" t="s">
        <v>193</v>
      </c>
      <c r="C186" s="47" t="n">
        <f aca="false">AVERAGEIFS(malumot!$I$2:$I$3542,malumot!$B$2:$B$3542,$A186)</f>
        <v>9.54349961718421</v>
      </c>
      <c r="D186" s="47" t="n">
        <f aca="false">AVERAGEIFS(malumot!$J$2:$J$3542,malumot!$B$2:$B$3542,$A186)</f>
        <v>40.1104334021234</v>
      </c>
      <c r="E186" s="7" t="n">
        <f aca="false">RANK(C186,$C$5:$C$432,0)</f>
        <v>150</v>
      </c>
      <c r="F186" s="7" t="n">
        <f aca="false">RANK(D186,$D$5:$D$432,0)</f>
        <v>102</v>
      </c>
      <c r="G186" s="7" t="n">
        <f aca="false">ABS(E186-F186)</f>
        <v>48</v>
      </c>
    </row>
    <row r="187" customFormat="false" ht="15" hidden="false" customHeight="false" outlineLevel="0" collapsed="false">
      <c r="A187" s="3" t="s">
        <v>1011</v>
      </c>
      <c r="B187" s="3" t="s">
        <v>1012</v>
      </c>
      <c r="C187" s="47" t="n">
        <f aca="false">AVERAGEIFS(malumot!$I$2:$I$3542,malumot!$B$2:$B$3542,$A187)</f>
        <v>11.2137208454521</v>
      </c>
      <c r="D187" s="47" t="n">
        <f aca="false">AVERAGEIFS(malumot!$J$2:$J$3542,malumot!$B$2:$B$3542,$A187)</f>
        <v>32.0926723762206</v>
      </c>
      <c r="E187" s="7" t="n">
        <f aca="false">RANK(C187,$C$5:$C$432,0)</f>
        <v>103</v>
      </c>
      <c r="F187" s="7" t="n">
        <f aca="false">RANK(D187,$D$5:$D$432,0)</f>
        <v>151</v>
      </c>
      <c r="G187" s="7" t="n">
        <f aca="false">ABS(E187-F187)</f>
        <v>48</v>
      </c>
    </row>
    <row r="188" customFormat="false" ht="15" hidden="false" customHeight="false" outlineLevel="0" collapsed="false">
      <c r="A188" s="3" t="s">
        <v>487</v>
      </c>
      <c r="B188" s="3" t="s">
        <v>461</v>
      </c>
      <c r="C188" s="47" t="n">
        <f aca="false">AVERAGEIFS(malumot!$I$2:$I$3542,malumot!$B$2:$B$3542,$A188)</f>
        <v>8.84249906422626</v>
      </c>
      <c r="D188" s="47" t="n">
        <f aca="false">AVERAGEIFS(malumot!$J$2:$J$3542,malumot!$B$2:$B$3542,$A188)</f>
        <v>25.0020463096797</v>
      </c>
      <c r="E188" s="7" t="n">
        <f aca="false">RANK(C188,$C$5:$C$432,0)</f>
        <v>174</v>
      </c>
      <c r="F188" s="7" t="n">
        <f aca="false">RANK(D188,$D$5:$D$432,0)</f>
        <v>222</v>
      </c>
      <c r="G188" s="7" t="n">
        <f aca="false">ABS(E188-F188)</f>
        <v>48</v>
      </c>
    </row>
    <row r="189" customFormat="false" ht="15" hidden="false" customHeight="false" outlineLevel="0" collapsed="false">
      <c r="A189" s="3" t="s">
        <v>904</v>
      </c>
      <c r="B189" s="3" t="s">
        <v>905</v>
      </c>
      <c r="C189" s="47" t="n">
        <f aca="false">AVERAGEIFS(malumot!$I$2:$I$3542,malumot!$B$2:$B$3542,$A189)</f>
        <v>5.09787035341895</v>
      </c>
      <c r="D189" s="47" t="n">
        <f aca="false">AVERAGEIFS(malumot!$J$2:$J$3542,malumot!$B$2:$B$3542,$A189)</f>
        <v>7.48754643328583</v>
      </c>
      <c r="E189" s="7" t="n">
        <f aca="false">RANK(C189,$C$5:$C$432,0)</f>
        <v>361</v>
      </c>
      <c r="F189" s="7" t="n">
        <f aca="false">RANK(D189,$D$5:$D$432,0)</f>
        <v>409</v>
      </c>
      <c r="G189" s="7" t="n">
        <f aca="false">ABS(E189-F189)</f>
        <v>48</v>
      </c>
    </row>
    <row r="190" customFormat="false" ht="15" hidden="false" customHeight="false" outlineLevel="0" collapsed="false">
      <c r="A190" s="3" t="s">
        <v>86</v>
      </c>
      <c r="B190" s="3" t="s">
        <v>87</v>
      </c>
      <c r="C190" s="47" t="n">
        <f aca="false">AVERAGEIFS(malumot!$I$2:$I$3542,malumot!$B$2:$B$3542,$A190)</f>
        <v>10.2496999420095</v>
      </c>
      <c r="D190" s="47" t="n">
        <f aca="false">AVERAGEIFS(malumot!$J$2:$J$3542,malumot!$B$2:$B$3542,$A190)</f>
        <v>30.1009980916407</v>
      </c>
      <c r="E190" s="7" t="n">
        <f aca="false">RANK(C190,$C$5:$C$432,0)</f>
        <v>125</v>
      </c>
      <c r="F190" s="7" t="n">
        <f aca="false">RANK(D190,$D$5:$D$432,0)</f>
        <v>172</v>
      </c>
      <c r="G190" s="7" t="n">
        <f aca="false">ABS(E190-F190)</f>
        <v>47</v>
      </c>
    </row>
    <row r="191" customFormat="false" ht="15" hidden="false" customHeight="false" outlineLevel="0" collapsed="false">
      <c r="A191" s="3" t="s">
        <v>844</v>
      </c>
      <c r="B191" s="3" t="s">
        <v>845</v>
      </c>
      <c r="C191" s="47" t="n">
        <f aca="false">AVERAGEIFS(malumot!$I$2:$I$3542,malumot!$B$2:$B$3542,$A191)</f>
        <v>5.73031619494788</v>
      </c>
      <c r="D191" s="47" t="n">
        <f aca="false">AVERAGEIFS(malumot!$J$2:$J$3542,malumot!$B$2:$B$3542,$A191)</f>
        <v>10.6502399650211</v>
      </c>
      <c r="E191" s="7" t="n">
        <f aca="false">RANK(C191,$C$5:$C$432,0)</f>
        <v>336</v>
      </c>
      <c r="F191" s="7" t="n">
        <f aca="false">RANK(D191,$D$5:$D$432,0)</f>
        <v>382</v>
      </c>
      <c r="G191" s="7" t="n">
        <f aca="false">ABS(E191-F191)</f>
        <v>46</v>
      </c>
    </row>
    <row r="192" customFormat="false" ht="15" hidden="false" customHeight="false" outlineLevel="0" collapsed="false">
      <c r="A192" s="3" t="s">
        <v>180</v>
      </c>
      <c r="B192" s="3" t="s">
        <v>181</v>
      </c>
      <c r="C192" s="47" t="n">
        <f aca="false">AVERAGEIFS(malumot!$I$2:$I$3542,malumot!$B$2:$B$3542,$A192)</f>
        <v>9.77255801151257</v>
      </c>
      <c r="D192" s="47" t="n">
        <f aca="false">AVERAGEIFS(malumot!$J$2:$J$3542,malumot!$B$2:$B$3542,$A192)</f>
        <v>29.063183525715</v>
      </c>
      <c r="E192" s="7" t="n">
        <f aca="false">RANK(C192,$C$5:$C$432,0)</f>
        <v>140</v>
      </c>
      <c r="F192" s="7" t="n">
        <f aca="false">RANK(D192,$D$5:$D$432,0)</f>
        <v>186</v>
      </c>
      <c r="G192" s="7" t="n">
        <f aca="false">ABS(E192-F192)</f>
        <v>46</v>
      </c>
    </row>
    <row r="193" customFormat="false" ht="15" hidden="false" customHeight="false" outlineLevel="0" collapsed="false">
      <c r="A193" s="3" t="s">
        <v>715</v>
      </c>
      <c r="B193" s="3" t="s">
        <v>716</v>
      </c>
      <c r="C193" s="47" t="n">
        <f aca="false">AVERAGEIFS(malumot!$I$2:$I$3542,malumot!$B$2:$B$3542,$A193)</f>
        <v>12.7755962712105</v>
      </c>
      <c r="D193" s="47" t="n">
        <f aca="false">AVERAGEIFS(malumot!$J$2:$J$3542,malumot!$B$2:$B$3542,$A193)</f>
        <v>74.1410938479007</v>
      </c>
      <c r="E193" s="7" t="n">
        <f aca="false">RANK(C193,$C$5:$C$432,0)</f>
        <v>75</v>
      </c>
      <c r="F193" s="7" t="n">
        <f aca="false">RANK(D193,$D$5:$D$432,0)</f>
        <v>29</v>
      </c>
      <c r="G193" s="7" t="n">
        <f aca="false">ABS(E193-F193)</f>
        <v>46</v>
      </c>
    </row>
    <row r="194" customFormat="false" ht="15" hidden="false" customHeight="false" outlineLevel="0" collapsed="false">
      <c r="A194" s="3" t="s">
        <v>59</v>
      </c>
      <c r="B194" s="3" t="s">
        <v>60</v>
      </c>
      <c r="C194" s="47" t="n">
        <f aca="false">AVERAGEIFS(malumot!$I$2:$I$3542,malumot!$B$2:$B$3542,$A194)</f>
        <v>9.96606222445604</v>
      </c>
      <c r="D194" s="47" t="n">
        <f aca="false">AVERAGEIFS(malumot!$J$2:$J$3542,malumot!$B$2:$B$3542,$A194)</f>
        <v>44.3585056175263</v>
      </c>
      <c r="E194" s="7" t="n">
        <f aca="false">RANK(C194,$C$5:$C$432,0)</f>
        <v>135</v>
      </c>
      <c r="F194" s="7" t="n">
        <f aca="false">RANK(D194,$D$5:$D$432,0)</f>
        <v>89</v>
      </c>
      <c r="G194" s="7" t="n">
        <f aca="false">ABS(E194-F194)</f>
        <v>46</v>
      </c>
    </row>
    <row r="195" customFormat="false" ht="15" hidden="false" customHeight="false" outlineLevel="0" collapsed="false">
      <c r="A195" s="3" t="s">
        <v>197</v>
      </c>
      <c r="B195" s="3" t="s">
        <v>198</v>
      </c>
      <c r="C195" s="47" t="n">
        <f aca="false">AVERAGEIFS(malumot!$I$2:$I$3542,malumot!$B$2:$B$3542,$A195)</f>
        <v>8.02592260489759</v>
      </c>
      <c r="D195" s="47" t="n">
        <f aca="false">AVERAGEIFS(malumot!$J$2:$J$3542,malumot!$B$2:$B$3542,$A195)</f>
        <v>29.7902966377074</v>
      </c>
      <c r="E195" s="7" t="n">
        <f aca="false">RANK(C195,$C$5:$C$432,0)</f>
        <v>222</v>
      </c>
      <c r="F195" s="7" t="n">
        <f aca="false">RANK(D195,$D$5:$D$432,0)</f>
        <v>176</v>
      </c>
      <c r="G195" s="7" t="n">
        <f aca="false">ABS(E195-F195)</f>
        <v>46</v>
      </c>
    </row>
    <row r="196" customFormat="false" ht="15" hidden="false" customHeight="false" outlineLevel="0" collapsed="false">
      <c r="A196" s="3" t="s">
        <v>554</v>
      </c>
      <c r="B196" s="3" t="s">
        <v>555</v>
      </c>
      <c r="C196" s="47" t="n">
        <f aca="false">AVERAGEIFS(malumot!$I$2:$I$3542,malumot!$B$2:$B$3542,$A196)</f>
        <v>4.98127625934571</v>
      </c>
      <c r="D196" s="47" t="n">
        <f aca="false">AVERAGEIFS(malumot!$J$2:$J$3542,malumot!$B$2:$B$3542,$A196)</f>
        <v>16.6949232347222</v>
      </c>
      <c r="E196" s="7" t="n">
        <f aca="false">RANK(C196,$C$5:$C$432,0)</f>
        <v>365</v>
      </c>
      <c r="F196" s="7" t="n">
        <f aca="false">RANK(D196,$D$5:$D$432,0)</f>
        <v>319</v>
      </c>
      <c r="G196" s="7" t="n">
        <f aca="false">ABS(E196-F196)</f>
        <v>46</v>
      </c>
    </row>
    <row r="197" customFormat="false" ht="15" hidden="false" customHeight="false" outlineLevel="0" collapsed="false">
      <c r="A197" s="3" t="s">
        <v>353</v>
      </c>
      <c r="B197" s="3" t="s">
        <v>354</v>
      </c>
      <c r="C197" s="47" t="n">
        <f aca="false">AVERAGEIFS(malumot!$I$2:$I$3542,malumot!$B$2:$B$3542,$A197)</f>
        <v>7.27079005063849</v>
      </c>
      <c r="D197" s="47" t="n">
        <f aca="false">AVERAGEIFS(malumot!$J$2:$J$3542,malumot!$B$2:$B$3542,$A197)</f>
        <v>18.6881277127211</v>
      </c>
      <c r="E197" s="7" t="n">
        <f aca="false">RANK(C197,$C$5:$C$432,0)</f>
        <v>252</v>
      </c>
      <c r="F197" s="7" t="n">
        <f aca="false">RANK(D197,$D$5:$D$432,0)</f>
        <v>297</v>
      </c>
      <c r="G197" s="7" t="n">
        <f aca="false">ABS(E197-F197)</f>
        <v>45</v>
      </c>
    </row>
    <row r="198" customFormat="false" ht="15" hidden="false" customHeight="false" outlineLevel="0" collapsed="false">
      <c r="A198" s="3" t="s">
        <v>242</v>
      </c>
      <c r="B198" s="3" t="s">
        <v>243</v>
      </c>
      <c r="C198" s="47" t="n">
        <f aca="false">AVERAGEIFS(malumot!$I$2:$I$3542,malumot!$B$2:$B$3542,$A198)</f>
        <v>6.90927061639682</v>
      </c>
      <c r="D198" s="47" t="n">
        <f aca="false">AVERAGEIFS(malumot!$J$2:$J$3542,malumot!$B$2:$B$3542,$A198)</f>
        <v>16.9470671078332</v>
      </c>
      <c r="E198" s="7" t="n">
        <f aca="false">RANK(C198,$C$5:$C$432,0)</f>
        <v>269</v>
      </c>
      <c r="F198" s="7" t="n">
        <f aca="false">RANK(D198,$D$5:$D$432,0)</f>
        <v>314</v>
      </c>
      <c r="G198" s="7" t="n">
        <f aca="false">ABS(E198-F198)</f>
        <v>45</v>
      </c>
    </row>
    <row r="199" customFormat="false" ht="15" hidden="false" customHeight="false" outlineLevel="0" collapsed="false">
      <c r="A199" s="3" t="s">
        <v>774</v>
      </c>
      <c r="B199" s="3" t="s">
        <v>775</v>
      </c>
      <c r="C199" s="47" t="n">
        <f aca="false">AVERAGEIFS(malumot!$I$2:$I$3542,malumot!$B$2:$B$3542,$A199)</f>
        <v>7.73146590288196</v>
      </c>
      <c r="D199" s="47" t="n">
        <f aca="false">AVERAGEIFS(malumot!$J$2:$J$3542,malumot!$B$2:$B$3542,$A199)</f>
        <v>28.8132363558589</v>
      </c>
      <c r="E199" s="7" t="n">
        <f aca="false">RANK(C199,$C$5:$C$432,0)</f>
        <v>233</v>
      </c>
      <c r="F199" s="7" t="n">
        <f aca="false">RANK(D199,$D$5:$D$432,0)</f>
        <v>188</v>
      </c>
      <c r="G199" s="7" t="n">
        <f aca="false">ABS(E199-F199)</f>
        <v>45</v>
      </c>
    </row>
    <row r="200" customFormat="false" ht="15" hidden="false" customHeight="false" outlineLevel="0" collapsed="false">
      <c r="A200" s="3" t="s">
        <v>291</v>
      </c>
      <c r="B200" s="3" t="s">
        <v>240</v>
      </c>
      <c r="C200" s="47" t="n">
        <f aca="false">AVERAGEIFS(malumot!$I$2:$I$3542,malumot!$B$2:$B$3542,$A200)</f>
        <v>10.6745543454749</v>
      </c>
      <c r="D200" s="47" t="n">
        <f aca="false">AVERAGEIFS(malumot!$J$2:$J$3542,malumot!$B$2:$B$3542,$A200)</f>
        <v>32.0821701764214</v>
      </c>
      <c r="E200" s="7" t="n">
        <f aca="false">RANK(C200,$C$5:$C$432,0)</f>
        <v>110</v>
      </c>
      <c r="F200" s="7" t="n">
        <f aca="false">RANK(D200,$D$5:$D$432,0)</f>
        <v>154</v>
      </c>
      <c r="G200" s="7" t="n">
        <f aca="false">ABS(E200-F200)</f>
        <v>44</v>
      </c>
    </row>
    <row r="201" customFormat="false" ht="15" hidden="false" customHeight="false" outlineLevel="0" collapsed="false">
      <c r="A201" s="3" t="s">
        <v>1077</v>
      </c>
      <c r="B201" s="3" t="s">
        <v>1078</v>
      </c>
      <c r="C201" s="47" t="n">
        <f aca="false">AVERAGEIFS(malumot!$I$2:$I$3542,malumot!$B$2:$B$3542,$A201)</f>
        <v>13.6438726075333</v>
      </c>
      <c r="D201" s="47" t="n">
        <f aca="false">AVERAGEIFS(malumot!$J$2:$J$3542,malumot!$B$2:$B$3542,$A201)</f>
        <v>38.6547697540065</v>
      </c>
      <c r="E201" s="7" t="n">
        <f aca="false">RANK(C201,$C$5:$C$432,0)</f>
        <v>66</v>
      </c>
      <c r="F201" s="7" t="n">
        <f aca="false">RANK(D201,$D$5:$D$432,0)</f>
        <v>110</v>
      </c>
      <c r="G201" s="7" t="n">
        <f aca="false">ABS(E201-F201)</f>
        <v>44</v>
      </c>
    </row>
    <row r="202" customFormat="false" ht="15" hidden="false" customHeight="false" outlineLevel="0" collapsed="false">
      <c r="A202" s="3" t="s">
        <v>448</v>
      </c>
      <c r="B202" s="3" t="s">
        <v>449</v>
      </c>
      <c r="C202" s="47" t="n">
        <f aca="false">AVERAGEIFS(malumot!$I$2:$I$3542,malumot!$B$2:$B$3542,$A202)</f>
        <v>13.2141752168599</v>
      </c>
      <c r="D202" s="47" t="n">
        <f aca="false">AVERAGEIFS(malumot!$J$2:$J$3542,malumot!$B$2:$B$3542,$A202)</f>
        <v>75.8556501133091</v>
      </c>
      <c r="E202" s="7" t="n">
        <f aca="false">RANK(C202,$C$5:$C$432,0)</f>
        <v>71</v>
      </c>
      <c r="F202" s="7" t="n">
        <f aca="false">RANK(D202,$D$5:$D$432,0)</f>
        <v>27</v>
      </c>
      <c r="G202" s="7" t="n">
        <f aca="false">ABS(E202-F202)</f>
        <v>44</v>
      </c>
    </row>
    <row r="203" customFormat="false" ht="15" hidden="false" customHeight="false" outlineLevel="0" collapsed="false">
      <c r="A203" s="3" t="s">
        <v>513</v>
      </c>
      <c r="B203" s="3" t="s">
        <v>514</v>
      </c>
      <c r="C203" s="47" t="n">
        <f aca="false">AVERAGEIFS(malumot!$I$2:$I$3542,malumot!$B$2:$B$3542,$A203)</f>
        <v>5.38575850186441</v>
      </c>
      <c r="D203" s="47" t="n">
        <f aca="false">AVERAGEIFS(malumot!$J$2:$J$3542,malumot!$B$2:$B$3542,$A203)</f>
        <v>17.7726812290459</v>
      </c>
      <c r="E203" s="7" t="n">
        <f aca="false">RANK(C203,$C$5:$C$432,0)</f>
        <v>351</v>
      </c>
      <c r="F203" s="7" t="n">
        <f aca="false">RANK(D203,$D$5:$D$432,0)</f>
        <v>307</v>
      </c>
      <c r="G203" s="7" t="n">
        <f aca="false">ABS(E203-F203)</f>
        <v>44</v>
      </c>
    </row>
    <row r="204" customFormat="false" ht="15" hidden="false" customHeight="false" outlineLevel="0" collapsed="false">
      <c r="A204" s="3" t="s">
        <v>28</v>
      </c>
      <c r="B204" s="3" t="s">
        <v>29</v>
      </c>
      <c r="C204" s="47" t="n">
        <f aca="false">AVERAGEIFS(malumot!$I$2:$I$3542,malumot!$B$2:$B$3542,$A204)</f>
        <v>12.7079392907557</v>
      </c>
      <c r="D204" s="47" t="n">
        <f aca="false">AVERAGEIFS(malumot!$J$2:$J$3542,malumot!$B$2:$B$3542,$A204)</f>
        <v>37.4200293116672</v>
      </c>
      <c r="E204" s="7" t="n">
        <f aca="false">RANK(C204,$C$5:$C$432,0)</f>
        <v>76</v>
      </c>
      <c r="F204" s="7" t="n">
        <f aca="false">RANK(D204,$D$5:$D$432,0)</f>
        <v>119</v>
      </c>
      <c r="G204" s="7" t="n">
        <f aca="false">ABS(E204-F204)</f>
        <v>43</v>
      </c>
    </row>
    <row r="205" customFormat="false" ht="15" hidden="false" customHeight="false" outlineLevel="0" collapsed="false">
      <c r="A205" s="3" t="s">
        <v>296</v>
      </c>
      <c r="B205" s="3" t="s">
        <v>297</v>
      </c>
      <c r="C205" s="47" t="n">
        <f aca="false">AVERAGEIFS(malumot!$I$2:$I$3542,malumot!$B$2:$B$3542,$A205)</f>
        <v>9.43915684953693</v>
      </c>
      <c r="D205" s="47" t="n">
        <f aca="false">AVERAGEIFS(malumot!$J$2:$J$3542,malumot!$B$2:$B$3542,$A205)</f>
        <v>37.5596610834174</v>
      </c>
      <c r="E205" s="7" t="n">
        <f aca="false">RANK(C205,$C$5:$C$432,0)</f>
        <v>159</v>
      </c>
      <c r="F205" s="7" t="n">
        <f aca="false">RANK(D205,$D$5:$D$432,0)</f>
        <v>116</v>
      </c>
      <c r="G205" s="7" t="n">
        <f aca="false">ABS(E205-F205)</f>
        <v>43</v>
      </c>
    </row>
    <row r="206" customFormat="false" ht="15" hidden="false" customHeight="false" outlineLevel="0" collapsed="false">
      <c r="A206" s="3" t="s">
        <v>862</v>
      </c>
      <c r="B206" s="3" t="s">
        <v>863</v>
      </c>
      <c r="C206" s="47" t="n">
        <f aca="false">AVERAGEIFS(malumot!$I$2:$I$3542,malumot!$B$2:$B$3542,$A206)</f>
        <v>6.34739941120014</v>
      </c>
      <c r="D206" s="47" t="n">
        <f aca="false">AVERAGEIFS(malumot!$J$2:$J$3542,malumot!$B$2:$B$3542,$A206)</f>
        <v>22.1715684295775</v>
      </c>
      <c r="E206" s="7" t="n">
        <f aca="false">RANK(C206,$C$5:$C$432,0)</f>
        <v>297</v>
      </c>
      <c r="F206" s="7" t="n">
        <f aca="false">RANK(D206,$D$5:$D$432,0)</f>
        <v>254</v>
      </c>
      <c r="G206" s="7" t="n">
        <f aca="false">ABS(E206-F206)</f>
        <v>43</v>
      </c>
    </row>
    <row r="207" customFormat="false" ht="15" hidden="false" customHeight="false" outlineLevel="0" collapsed="false">
      <c r="A207" s="3" t="s">
        <v>77</v>
      </c>
      <c r="B207" s="3" t="s">
        <v>75</v>
      </c>
      <c r="C207" s="47" t="n">
        <f aca="false">AVERAGEIFS(malumot!$I$2:$I$3542,malumot!$B$2:$B$3542,$A207)</f>
        <v>33.5436886498729</v>
      </c>
      <c r="D207" s="47" t="n">
        <f aca="false">AVERAGEIFS(malumot!$J$2:$J$3542,malumot!$B$2:$B$3542,$A207)</f>
        <v>62.2631989548623</v>
      </c>
      <c r="E207" s="7" t="n">
        <f aca="false">RANK(C207,$C$5:$C$432,0)</f>
        <v>4</v>
      </c>
      <c r="F207" s="7" t="n">
        <f aca="false">RANK(D207,$D$5:$D$432,0)</f>
        <v>46</v>
      </c>
      <c r="G207" s="7" t="n">
        <f aca="false">ABS(E207-F207)</f>
        <v>42</v>
      </c>
    </row>
    <row r="208" customFormat="false" ht="15" hidden="false" customHeight="false" outlineLevel="0" collapsed="false">
      <c r="A208" s="3" t="s">
        <v>673</v>
      </c>
      <c r="B208" s="3" t="s">
        <v>674</v>
      </c>
      <c r="C208" s="47" t="n">
        <f aca="false">AVERAGEIFS(malumot!$I$2:$I$3542,malumot!$B$2:$B$3542,$A208)</f>
        <v>7.09152851849556</v>
      </c>
      <c r="D208" s="47" t="n">
        <f aca="false">AVERAGEIFS(malumot!$J$2:$J$3542,malumot!$B$2:$B$3542,$A208)</f>
        <v>18.3653741311618</v>
      </c>
      <c r="E208" s="7" t="n">
        <f aca="false">RANK(C208,$C$5:$C$432,0)</f>
        <v>261</v>
      </c>
      <c r="F208" s="7" t="n">
        <f aca="false">RANK(D208,$D$5:$D$432,0)</f>
        <v>303</v>
      </c>
      <c r="G208" s="7" t="n">
        <f aca="false">ABS(E208-F208)</f>
        <v>42</v>
      </c>
    </row>
    <row r="209" customFormat="false" ht="15" hidden="false" customHeight="false" outlineLevel="0" collapsed="false">
      <c r="A209" s="3" t="s">
        <v>776</v>
      </c>
      <c r="B209" s="3" t="s">
        <v>777</v>
      </c>
      <c r="C209" s="47" t="n">
        <f aca="false">AVERAGEIFS(malumot!$I$2:$I$3542,malumot!$B$2:$B$3542,$A209)</f>
        <v>10.2776368680428</v>
      </c>
      <c r="D209" s="47" t="n">
        <f aca="false">AVERAGEIFS(malumot!$J$2:$J$3542,malumot!$B$2:$B$3542,$A209)</f>
        <v>45.238781996909</v>
      </c>
      <c r="E209" s="7" t="n">
        <f aca="false">RANK(C209,$C$5:$C$432,0)</f>
        <v>124</v>
      </c>
      <c r="F209" s="7" t="n">
        <f aca="false">RANK(D209,$D$5:$D$432,0)</f>
        <v>82</v>
      </c>
      <c r="G209" s="7" t="n">
        <f aca="false">ABS(E209-F209)</f>
        <v>42</v>
      </c>
    </row>
    <row r="210" customFormat="false" ht="15" hidden="false" customHeight="false" outlineLevel="0" collapsed="false">
      <c r="A210" s="3" t="s">
        <v>885</v>
      </c>
      <c r="B210" s="3" t="s">
        <v>886</v>
      </c>
      <c r="C210" s="47" t="n">
        <f aca="false">AVERAGEIFS(malumot!$I$2:$I$3542,malumot!$B$2:$B$3542,$A210)</f>
        <v>8.14426033773497</v>
      </c>
      <c r="D210" s="47" t="n">
        <f aca="false">AVERAGEIFS(malumot!$J$2:$J$3542,malumot!$B$2:$B$3542,$A210)</f>
        <v>21.9050454840258</v>
      </c>
      <c r="E210" s="7" t="n">
        <f aca="false">RANK(C210,$C$5:$C$432,0)</f>
        <v>213</v>
      </c>
      <c r="F210" s="7" t="n">
        <f aca="false">RANK(D210,$D$5:$D$432,0)</f>
        <v>255</v>
      </c>
      <c r="G210" s="7" t="n">
        <f aca="false">ABS(E210-F210)</f>
        <v>42</v>
      </c>
    </row>
    <row r="211" customFormat="false" ht="15" hidden="false" customHeight="false" outlineLevel="0" collapsed="false">
      <c r="A211" s="3" t="s">
        <v>617</v>
      </c>
      <c r="B211" s="3" t="s">
        <v>618</v>
      </c>
      <c r="C211" s="47" t="n">
        <f aca="false">AVERAGEIFS(malumot!$I$2:$I$3542,malumot!$B$2:$B$3542,$A211)</f>
        <v>8.2126867640264</v>
      </c>
      <c r="D211" s="47" t="n">
        <f aca="false">AVERAGEIFS(malumot!$J$2:$J$3542,malumot!$B$2:$B$3542,$A211)</f>
        <v>31.0422753698965</v>
      </c>
      <c r="E211" s="7" t="n">
        <f aca="false">RANK(C211,$C$5:$C$432,0)</f>
        <v>205</v>
      </c>
      <c r="F211" s="7" t="n">
        <f aca="false">RANK(D211,$D$5:$D$432,0)</f>
        <v>163</v>
      </c>
      <c r="G211" s="7" t="n">
        <f aca="false">ABS(E211-F211)</f>
        <v>42</v>
      </c>
    </row>
    <row r="212" customFormat="false" ht="15" hidden="false" customHeight="false" outlineLevel="0" collapsed="false">
      <c r="A212" s="3" t="s">
        <v>25</v>
      </c>
      <c r="B212" s="3" t="s">
        <v>26</v>
      </c>
      <c r="C212" s="47" t="n">
        <f aca="false">AVERAGEIFS(malumot!$I$2:$I$3542,malumot!$B$2:$B$3542,$A212)</f>
        <v>6.45858890495754</v>
      </c>
      <c r="D212" s="47" t="n">
        <f aca="false">AVERAGEIFS(malumot!$J$2:$J$3542,malumot!$B$2:$B$3542,$A212)</f>
        <v>15.6107892963499</v>
      </c>
      <c r="E212" s="7" t="n">
        <f aca="false">RANK(C212,$C$5:$C$432,0)</f>
        <v>291</v>
      </c>
      <c r="F212" s="7" t="n">
        <f aca="false">RANK(D212,$D$5:$D$432,0)</f>
        <v>333</v>
      </c>
      <c r="G212" s="7" t="n">
        <f aca="false">ABS(E212-F212)</f>
        <v>42</v>
      </c>
    </row>
    <row r="213" customFormat="false" ht="15" hidden="false" customHeight="false" outlineLevel="0" collapsed="false">
      <c r="A213" s="3" t="s">
        <v>593</v>
      </c>
      <c r="B213" s="3" t="s">
        <v>594</v>
      </c>
      <c r="C213" s="47" t="n">
        <f aca="false">AVERAGEIFS(malumot!$I$2:$I$3542,malumot!$B$2:$B$3542,$A213)</f>
        <v>23.4318293092701</v>
      </c>
      <c r="D213" s="47" t="n">
        <f aca="false">AVERAGEIFS(malumot!$J$2:$J$3542,malumot!$B$2:$B$3542,$A213)</f>
        <v>53.2713077604406</v>
      </c>
      <c r="E213" s="7" t="n">
        <f aca="false">RANK(C213,$C$5:$C$432,0)</f>
        <v>15</v>
      </c>
      <c r="F213" s="7" t="n">
        <f aca="false">RANK(D213,$D$5:$D$432,0)</f>
        <v>57</v>
      </c>
      <c r="G213" s="7" t="n">
        <f aca="false">ABS(E213-F213)</f>
        <v>42</v>
      </c>
    </row>
    <row r="214" customFormat="false" ht="15" hidden="false" customHeight="false" outlineLevel="0" collapsed="false">
      <c r="A214" s="3" t="s">
        <v>710</v>
      </c>
      <c r="B214" s="3" t="s">
        <v>711</v>
      </c>
      <c r="C214" s="47" t="n">
        <f aca="false">AVERAGEIFS(malumot!$I$2:$I$3542,malumot!$B$2:$B$3542,$A214)</f>
        <v>21.6990085429874</v>
      </c>
      <c r="D214" s="47" t="n">
        <f aca="false">AVERAGEIFS(malumot!$J$2:$J$3542,malumot!$B$2:$B$3542,$A214)</f>
        <v>51.686848532011</v>
      </c>
      <c r="E214" s="7" t="n">
        <f aca="false">RANK(C214,$C$5:$C$432,0)</f>
        <v>20</v>
      </c>
      <c r="F214" s="7" t="n">
        <f aca="false">RANK(D214,$D$5:$D$432,0)</f>
        <v>61</v>
      </c>
      <c r="G214" s="7" t="n">
        <f aca="false">ABS(E214-F214)</f>
        <v>41</v>
      </c>
    </row>
    <row r="215" customFormat="false" ht="15" hidden="false" customHeight="false" outlineLevel="0" collapsed="false">
      <c r="A215" s="3" t="s">
        <v>511</v>
      </c>
      <c r="B215" s="3" t="s">
        <v>509</v>
      </c>
      <c r="C215" s="47" t="n">
        <f aca="false">AVERAGEIFS(malumot!$I$2:$I$3542,malumot!$B$2:$B$3542,$A215)</f>
        <v>14.1928929171344</v>
      </c>
      <c r="D215" s="47" t="n">
        <f aca="false">AVERAGEIFS(malumot!$J$2:$J$3542,malumot!$B$2:$B$3542,$A215)</f>
        <v>40.3589672404098</v>
      </c>
      <c r="E215" s="7" t="n">
        <f aca="false">RANK(C215,$C$5:$C$432,0)</f>
        <v>60</v>
      </c>
      <c r="F215" s="7" t="n">
        <f aca="false">RANK(D215,$D$5:$D$432,0)</f>
        <v>100</v>
      </c>
      <c r="G215" s="7" t="n">
        <f aca="false">ABS(E215-F215)</f>
        <v>40</v>
      </c>
    </row>
    <row r="216" customFormat="false" ht="15" hidden="false" customHeight="false" outlineLevel="0" collapsed="false">
      <c r="A216" s="3" t="s">
        <v>410</v>
      </c>
      <c r="B216" s="3" t="s">
        <v>411</v>
      </c>
      <c r="C216" s="47" t="n">
        <f aca="false">AVERAGEIFS(malumot!$I$2:$I$3542,malumot!$B$2:$B$3542,$A216)</f>
        <v>4.8392610558783</v>
      </c>
      <c r="D216" s="47" t="n">
        <f aca="false">AVERAGEIFS(malumot!$J$2:$J$3542,malumot!$B$2:$B$3542,$A216)</f>
        <v>15.878733637438</v>
      </c>
      <c r="E216" s="7" t="n">
        <f aca="false">RANK(C216,$C$5:$C$432,0)</f>
        <v>370</v>
      </c>
      <c r="F216" s="7" t="n">
        <f aca="false">RANK(D216,$D$5:$D$432,0)</f>
        <v>330</v>
      </c>
      <c r="G216" s="7" t="n">
        <f aca="false">ABS(E216-F216)</f>
        <v>40</v>
      </c>
    </row>
    <row r="217" customFormat="false" ht="15" hidden="false" customHeight="false" outlineLevel="0" collapsed="false">
      <c r="A217" s="3" t="s">
        <v>759</v>
      </c>
      <c r="B217" s="3" t="s">
        <v>760</v>
      </c>
      <c r="C217" s="47" t="n">
        <f aca="false">AVERAGEIFS(malumot!$I$2:$I$3542,malumot!$B$2:$B$3542,$A217)</f>
        <v>4.83639489002033</v>
      </c>
      <c r="D217" s="47" t="n">
        <f aca="false">AVERAGEIFS(malumot!$J$2:$J$3542,malumot!$B$2:$B$3542,$A217)</f>
        <v>15.8461322468165</v>
      </c>
      <c r="E217" s="7" t="n">
        <f aca="false">RANK(C217,$C$5:$C$432,0)</f>
        <v>371</v>
      </c>
      <c r="F217" s="7" t="n">
        <f aca="false">RANK(D217,$D$5:$D$432,0)</f>
        <v>331</v>
      </c>
      <c r="G217" s="7" t="n">
        <f aca="false">ABS(E217-F217)</f>
        <v>40</v>
      </c>
    </row>
    <row r="218" customFormat="false" ht="15" hidden="false" customHeight="false" outlineLevel="0" collapsed="false">
      <c r="A218" s="3" t="s">
        <v>268</v>
      </c>
      <c r="B218" s="3" t="s">
        <v>269</v>
      </c>
      <c r="C218" s="47" t="n">
        <f aca="false">AVERAGEIFS(malumot!$I$2:$I$3542,malumot!$B$2:$B$3542,$A218)</f>
        <v>4.6812805753356</v>
      </c>
      <c r="D218" s="47" t="n">
        <f aca="false">AVERAGEIFS(malumot!$J$2:$J$3542,malumot!$B$2:$B$3542,$A218)</f>
        <v>15.046490120445</v>
      </c>
      <c r="E218" s="7" t="n">
        <f aca="false">RANK(C218,$C$5:$C$432,0)</f>
        <v>382</v>
      </c>
      <c r="F218" s="7" t="n">
        <f aca="false">RANK(D218,$D$5:$D$432,0)</f>
        <v>342</v>
      </c>
      <c r="G218" s="7" t="n">
        <f aca="false">ABS(E218-F218)</f>
        <v>40</v>
      </c>
    </row>
    <row r="219" customFormat="false" ht="15" hidden="false" customHeight="false" outlineLevel="0" collapsed="false">
      <c r="A219" s="3" t="s">
        <v>1036</v>
      </c>
      <c r="B219" s="3" t="s">
        <v>1037</v>
      </c>
      <c r="C219" s="47" t="n">
        <f aca="false">AVERAGEIFS(malumot!$I$2:$I$3542,malumot!$B$2:$B$3542,$A219)</f>
        <v>6.56220171582338</v>
      </c>
      <c r="D219" s="47" t="n">
        <f aca="false">AVERAGEIFS(malumot!$J$2:$J$3542,malumot!$B$2:$B$3542,$A219)</f>
        <v>23.530330036246</v>
      </c>
      <c r="E219" s="7" t="n">
        <f aca="false">RANK(C219,$C$5:$C$432,0)</f>
        <v>283</v>
      </c>
      <c r="F219" s="7" t="n">
        <f aca="false">RANK(D219,$D$5:$D$432,0)</f>
        <v>243</v>
      </c>
      <c r="G219" s="7" t="n">
        <f aca="false">ABS(E219-F219)</f>
        <v>40</v>
      </c>
    </row>
    <row r="220" customFormat="false" ht="15" hidden="false" customHeight="false" outlineLevel="0" collapsed="false">
      <c r="A220" s="3" t="s">
        <v>598</v>
      </c>
      <c r="B220" s="3" t="s">
        <v>599</v>
      </c>
      <c r="C220" s="47" t="n">
        <f aca="false">AVERAGEIFS(malumot!$I$2:$I$3542,malumot!$B$2:$B$3542,$A220)</f>
        <v>10.1872363102083</v>
      </c>
      <c r="D220" s="47" t="n">
        <f aca="false">AVERAGEIFS(malumot!$J$2:$J$3542,malumot!$B$2:$B$3542,$A220)</f>
        <v>30.2970870350345</v>
      </c>
      <c r="E220" s="7" t="n">
        <f aca="false">RANK(C220,$C$5:$C$432,0)</f>
        <v>129</v>
      </c>
      <c r="F220" s="7" t="n">
        <f aca="false">RANK(D220,$D$5:$D$432,0)</f>
        <v>169</v>
      </c>
      <c r="G220" s="7" t="n">
        <f aca="false">ABS(E220-F220)</f>
        <v>40</v>
      </c>
    </row>
    <row r="221" customFormat="false" ht="15" hidden="false" customHeight="false" outlineLevel="0" collapsed="false">
      <c r="A221" s="3" t="s">
        <v>571</v>
      </c>
      <c r="B221" s="3" t="s">
        <v>572</v>
      </c>
      <c r="C221" s="47" t="n">
        <f aca="false">AVERAGEIFS(malumot!$I$2:$I$3542,malumot!$B$2:$B$3542,$A221)</f>
        <v>5.3158766853663</v>
      </c>
      <c r="D221" s="47" t="n">
        <f aca="false">AVERAGEIFS(malumot!$J$2:$J$3542,malumot!$B$2:$B$3542,$A221)</f>
        <v>16.7524286261883</v>
      </c>
      <c r="E221" s="7" t="n">
        <f aca="false">RANK(C221,$C$5:$C$432,0)</f>
        <v>357</v>
      </c>
      <c r="F221" s="7" t="n">
        <f aca="false">RANK(D221,$D$5:$D$432,0)</f>
        <v>318</v>
      </c>
      <c r="G221" s="7" t="n">
        <f aca="false">ABS(E221-F221)</f>
        <v>39</v>
      </c>
    </row>
    <row r="222" customFormat="false" ht="15" hidden="false" customHeight="false" outlineLevel="0" collapsed="false">
      <c r="A222" s="3" t="s">
        <v>1215</v>
      </c>
      <c r="B222" s="3" t="s">
        <v>1216</v>
      </c>
      <c r="C222" s="47" t="n">
        <f aca="false">AVERAGEIFS(malumot!$I$2:$I$3542,malumot!$B$2:$B$3542,$A222)</f>
        <v>10.3817880471459</v>
      </c>
      <c r="D222" s="47" t="n">
        <f aca="false">AVERAGEIFS(malumot!$J$2:$J$3542,malumot!$B$2:$B$3542,$A222)</f>
        <v>31.4863168571253</v>
      </c>
      <c r="E222" s="7" t="n">
        <f aca="false">RANK(C222,$C$5:$C$432,0)</f>
        <v>121</v>
      </c>
      <c r="F222" s="7" t="n">
        <f aca="false">RANK(D222,$D$5:$D$432,0)</f>
        <v>160</v>
      </c>
      <c r="G222" s="7" t="n">
        <f aca="false">ABS(E222-F222)</f>
        <v>39</v>
      </c>
    </row>
    <row r="223" customFormat="false" ht="15" hidden="false" customHeight="false" outlineLevel="0" collapsed="false">
      <c r="A223" s="3" t="s">
        <v>713</v>
      </c>
      <c r="B223" s="3" t="s">
        <v>714</v>
      </c>
      <c r="C223" s="47" t="n">
        <f aca="false">AVERAGEIFS(malumot!$I$2:$I$3542,malumot!$B$2:$B$3542,$A223)</f>
        <v>8.5531088362396</v>
      </c>
      <c r="D223" s="47" t="n">
        <f aca="false">AVERAGEIFS(malumot!$J$2:$J$3542,malumot!$B$2:$B$3542,$A223)</f>
        <v>32.121225985657</v>
      </c>
      <c r="E223" s="7" t="n">
        <f aca="false">RANK(C223,$C$5:$C$432,0)</f>
        <v>188</v>
      </c>
      <c r="F223" s="7" t="n">
        <f aca="false">RANK(D223,$D$5:$D$432,0)</f>
        <v>150</v>
      </c>
      <c r="G223" s="7" t="n">
        <f aca="false">ABS(E223-F223)</f>
        <v>38</v>
      </c>
    </row>
    <row r="224" customFormat="false" ht="15" hidden="false" customHeight="false" outlineLevel="0" collapsed="false">
      <c r="A224" s="3" t="s">
        <v>632</v>
      </c>
      <c r="B224" s="3" t="s">
        <v>633</v>
      </c>
      <c r="C224" s="47" t="n">
        <f aca="false">AVERAGEIFS(malumot!$I$2:$I$3542,malumot!$B$2:$B$3542,$A224)</f>
        <v>11.3752811321243</v>
      </c>
      <c r="D224" s="47" t="n">
        <f aca="false">AVERAGEIFS(malumot!$J$2:$J$3542,malumot!$B$2:$B$3542,$A224)</f>
        <v>51.4381185267512</v>
      </c>
      <c r="E224" s="7" t="n">
        <f aca="false">RANK(C224,$C$5:$C$432,0)</f>
        <v>100</v>
      </c>
      <c r="F224" s="7" t="n">
        <f aca="false">RANK(D224,$D$5:$D$432,0)</f>
        <v>62</v>
      </c>
      <c r="G224" s="7" t="n">
        <f aca="false">ABS(E224-F224)</f>
        <v>38</v>
      </c>
    </row>
    <row r="225" customFormat="false" ht="15" hidden="false" customHeight="false" outlineLevel="0" collapsed="false">
      <c r="A225" s="3" t="s">
        <v>1029</v>
      </c>
      <c r="B225" s="3" t="s">
        <v>1030</v>
      </c>
      <c r="C225" s="47" t="n">
        <f aca="false">AVERAGEIFS(malumot!$I$2:$I$3542,malumot!$B$2:$B$3542,$A225)</f>
        <v>7.15133617218534</v>
      </c>
      <c r="D225" s="47" t="n">
        <f aca="false">AVERAGEIFS(malumot!$J$2:$J$3542,malumot!$B$2:$B$3542,$A225)</f>
        <v>25.5911890877706</v>
      </c>
      <c r="E225" s="7" t="n">
        <f aca="false">RANK(C225,$C$5:$C$432,0)</f>
        <v>255</v>
      </c>
      <c r="F225" s="7" t="n">
        <f aca="false">RANK(D225,$D$5:$D$432,0)</f>
        <v>217</v>
      </c>
      <c r="G225" s="7" t="n">
        <f aca="false">ABS(E225-F225)</f>
        <v>38</v>
      </c>
    </row>
    <row r="226" customFormat="false" ht="15" hidden="false" customHeight="false" outlineLevel="0" collapsed="false">
      <c r="A226" s="3" t="s">
        <v>1017</v>
      </c>
      <c r="B226" s="3" t="s">
        <v>1018</v>
      </c>
      <c r="C226" s="47" t="n">
        <f aca="false">AVERAGEIFS(malumot!$I$2:$I$3542,malumot!$B$2:$B$3542,$A226)</f>
        <v>7.12198999681465</v>
      </c>
      <c r="D226" s="47" t="n">
        <f aca="false">AVERAGEIFS(malumot!$J$2:$J$3542,malumot!$B$2:$B$3542,$A226)</f>
        <v>18.7302371473635</v>
      </c>
      <c r="E226" s="7" t="n">
        <f aca="false">RANK(C226,$C$5:$C$432,0)</f>
        <v>257</v>
      </c>
      <c r="F226" s="7" t="n">
        <f aca="false">RANK(D226,$D$5:$D$432,0)</f>
        <v>295</v>
      </c>
      <c r="G226" s="7" t="n">
        <f aca="false">ABS(E226-F226)</f>
        <v>38</v>
      </c>
    </row>
    <row r="227" customFormat="false" ht="15" hidden="false" customHeight="false" outlineLevel="0" collapsed="false">
      <c r="A227" s="3" t="s">
        <v>1053</v>
      </c>
      <c r="B227" s="3" t="s">
        <v>1054</v>
      </c>
      <c r="C227" s="47" t="n">
        <f aca="false">AVERAGEIFS(malumot!$I$2:$I$3542,malumot!$B$2:$B$3542,$A227)</f>
        <v>13.9353863343446</v>
      </c>
      <c r="D227" s="47" t="n">
        <f aca="false">AVERAGEIFS(malumot!$J$2:$J$3542,malumot!$B$2:$B$3542,$A227)</f>
        <v>76.3686596965877</v>
      </c>
      <c r="E227" s="7" t="n">
        <f aca="false">RANK(C227,$C$5:$C$432,0)</f>
        <v>63</v>
      </c>
      <c r="F227" s="7" t="n">
        <f aca="false">RANK(D227,$D$5:$D$432,0)</f>
        <v>25</v>
      </c>
      <c r="G227" s="7" t="n">
        <f aca="false">ABS(E227-F227)</f>
        <v>38</v>
      </c>
    </row>
    <row r="228" customFormat="false" ht="15" hidden="false" customHeight="false" outlineLevel="0" collapsed="false">
      <c r="A228" s="3" t="s">
        <v>342</v>
      </c>
      <c r="B228" s="3" t="s">
        <v>343</v>
      </c>
      <c r="C228" s="47" t="n">
        <f aca="false">AVERAGEIFS(malumot!$I$2:$I$3542,malumot!$B$2:$B$3542,$A228)</f>
        <v>5.58475894642318</v>
      </c>
      <c r="D228" s="47" t="n">
        <f aca="false">AVERAGEIFS(malumot!$J$2:$J$3542,malumot!$B$2:$B$3542,$A228)</f>
        <v>18.285162130051</v>
      </c>
      <c r="E228" s="7" t="n">
        <f aca="false">RANK(C228,$C$5:$C$432,0)</f>
        <v>342</v>
      </c>
      <c r="F228" s="7" t="n">
        <f aca="false">RANK(D228,$D$5:$D$432,0)</f>
        <v>304</v>
      </c>
      <c r="G228" s="7" t="n">
        <f aca="false">ABS(E228-F228)</f>
        <v>38</v>
      </c>
    </row>
    <row r="229" customFormat="false" ht="15" hidden="false" customHeight="false" outlineLevel="0" collapsed="false">
      <c r="A229" s="3" t="s">
        <v>481</v>
      </c>
      <c r="B229" s="3" t="s">
        <v>482</v>
      </c>
      <c r="C229" s="47" t="n">
        <f aca="false">AVERAGEIFS(malumot!$I$2:$I$3542,malumot!$B$2:$B$3542,$A229)</f>
        <v>4.82058203145898</v>
      </c>
      <c r="D229" s="47" t="n">
        <f aca="false">AVERAGEIFS(malumot!$J$2:$J$3542,malumot!$B$2:$B$3542,$A229)</f>
        <v>15.2585694610108</v>
      </c>
      <c r="E229" s="7" t="n">
        <f aca="false">RANK(C229,$C$5:$C$432,0)</f>
        <v>374</v>
      </c>
      <c r="F229" s="7" t="n">
        <f aca="false">RANK(D229,$D$5:$D$432,0)</f>
        <v>337</v>
      </c>
      <c r="G229" s="7" t="n">
        <f aca="false">ABS(E229-F229)</f>
        <v>37</v>
      </c>
    </row>
    <row r="230" customFormat="false" ht="15" hidden="false" customHeight="false" outlineLevel="0" collapsed="false">
      <c r="A230" s="3" t="s">
        <v>339</v>
      </c>
      <c r="B230" s="3" t="s">
        <v>340</v>
      </c>
      <c r="C230" s="47" t="n">
        <f aca="false">AVERAGEIFS(malumot!$I$2:$I$3542,malumot!$B$2:$B$3542,$A230)</f>
        <v>9.45834192414026</v>
      </c>
      <c r="D230" s="47" t="n">
        <f aca="false">AVERAGEIFS(malumot!$J$2:$J$3542,malumot!$B$2:$B$3542,$A230)</f>
        <v>36.7492786420382</v>
      </c>
      <c r="E230" s="7" t="n">
        <f aca="false">RANK(C230,$C$5:$C$432,0)</f>
        <v>157</v>
      </c>
      <c r="F230" s="7" t="n">
        <f aca="false">RANK(D230,$D$5:$D$432,0)</f>
        <v>120</v>
      </c>
      <c r="G230" s="7" t="n">
        <f aca="false">ABS(E230-F230)</f>
        <v>37</v>
      </c>
    </row>
    <row r="231" customFormat="false" ht="15" hidden="false" customHeight="false" outlineLevel="0" collapsed="false">
      <c r="A231" s="3" t="s">
        <v>867</v>
      </c>
      <c r="B231" s="3" t="s">
        <v>868</v>
      </c>
      <c r="C231" s="47" t="n">
        <f aca="false">AVERAGEIFS(malumot!$I$2:$I$3542,malumot!$B$2:$B$3542,$A231)</f>
        <v>4.82696974064239</v>
      </c>
      <c r="D231" s="47" t="n">
        <f aca="false">AVERAGEIFS(malumot!$J$2:$J$3542,malumot!$B$2:$B$3542,$A231)</f>
        <v>15.541191411334</v>
      </c>
      <c r="E231" s="7" t="n">
        <f aca="false">RANK(C231,$C$5:$C$432,0)</f>
        <v>372</v>
      </c>
      <c r="F231" s="7" t="n">
        <f aca="false">RANK(D231,$D$5:$D$432,0)</f>
        <v>335</v>
      </c>
      <c r="G231" s="7" t="n">
        <f aca="false">ABS(E231-F231)</f>
        <v>37</v>
      </c>
    </row>
    <row r="232" customFormat="false" ht="15" hidden="false" customHeight="false" outlineLevel="0" collapsed="false">
      <c r="A232" s="3" t="s">
        <v>736</v>
      </c>
      <c r="B232" s="3" t="s">
        <v>737</v>
      </c>
      <c r="C232" s="47" t="n">
        <f aca="false">AVERAGEIFS(malumot!$I$2:$I$3542,malumot!$B$2:$B$3542,$A232)</f>
        <v>10.3007221523857</v>
      </c>
      <c r="D232" s="47" t="n">
        <f aca="false">AVERAGEIFS(malumot!$J$2:$J$3542,malumot!$B$2:$B$3542,$A232)</f>
        <v>44.5774649829611</v>
      </c>
      <c r="E232" s="7" t="n">
        <f aca="false">RANK(C232,$C$5:$C$432,0)</f>
        <v>123</v>
      </c>
      <c r="F232" s="7" t="n">
        <f aca="false">RANK(D232,$D$5:$D$432,0)</f>
        <v>86</v>
      </c>
      <c r="G232" s="7" t="n">
        <f aca="false">ABS(E232-F232)</f>
        <v>37</v>
      </c>
    </row>
    <row r="233" customFormat="false" ht="15" hidden="false" customHeight="false" outlineLevel="0" collapsed="false">
      <c r="A233" s="3" t="s">
        <v>812</v>
      </c>
      <c r="B233" s="3" t="s">
        <v>813</v>
      </c>
      <c r="C233" s="47" t="n">
        <f aca="false">AVERAGEIFS(malumot!$I$2:$I$3542,malumot!$B$2:$B$3542,$A233)</f>
        <v>12.0111960237436</v>
      </c>
      <c r="D233" s="47" t="n">
        <f aca="false">AVERAGEIFS(malumot!$J$2:$J$3542,malumot!$B$2:$B$3542,$A233)</f>
        <v>60.7204580856664</v>
      </c>
      <c r="E233" s="7" t="n">
        <f aca="false">RANK(C233,$C$5:$C$432,0)</f>
        <v>86</v>
      </c>
      <c r="F233" s="7" t="n">
        <f aca="false">RANK(D233,$D$5:$D$432,0)</f>
        <v>49</v>
      </c>
      <c r="G233" s="7" t="n">
        <f aca="false">ABS(E233-F233)</f>
        <v>37</v>
      </c>
    </row>
    <row r="234" customFormat="false" ht="15" hidden="false" customHeight="false" outlineLevel="0" collapsed="false">
      <c r="A234" s="3" t="s">
        <v>172</v>
      </c>
      <c r="B234" s="3" t="s">
        <v>173</v>
      </c>
      <c r="C234" s="47" t="n">
        <f aca="false">AVERAGEIFS(malumot!$I$2:$I$3542,malumot!$B$2:$B$3542,$A234)</f>
        <v>4.29868128127823</v>
      </c>
      <c r="D234" s="47" t="n">
        <f aca="false">AVERAGEIFS(malumot!$J$2:$J$3542,malumot!$B$2:$B$3542,$A234)</f>
        <v>13.979745683814</v>
      </c>
      <c r="E234" s="7" t="n">
        <f aca="false">RANK(C234,$C$5:$C$432,0)</f>
        <v>392</v>
      </c>
      <c r="F234" s="7" t="n">
        <f aca="false">RANK(D234,$D$5:$D$432,0)</f>
        <v>355</v>
      </c>
      <c r="G234" s="7" t="n">
        <f aca="false">ABS(E234-F234)</f>
        <v>37</v>
      </c>
    </row>
    <row r="235" customFormat="false" ht="15" hidden="false" customHeight="false" outlineLevel="0" collapsed="false">
      <c r="A235" s="3" t="s">
        <v>562</v>
      </c>
      <c r="B235" s="3" t="s">
        <v>563</v>
      </c>
      <c r="C235" s="47" t="n">
        <f aca="false">AVERAGEIFS(malumot!$I$2:$I$3542,malumot!$B$2:$B$3542,$A235)</f>
        <v>7.45583320434141</v>
      </c>
      <c r="D235" s="47" t="n">
        <f aca="false">AVERAGEIFS(malumot!$J$2:$J$3542,malumot!$B$2:$B$3542,$A235)</f>
        <v>26.7926052947408</v>
      </c>
      <c r="E235" s="7" t="n">
        <f aca="false">RANK(C235,$C$5:$C$432,0)</f>
        <v>242</v>
      </c>
      <c r="F235" s="7" t="n">
        <f aca="false">RANK(D235,$D$5:$D$432,0)</f>
        <v>206</v>
      </c>
      <c r="G235" s="7" t="n">
        <f aca="false">ABS(E235-F235)</f>
        <v>36</v>
      </c>
    </row>
    <row r="236" customFormat="false" ht="15" hidden="false" customHeight="false" outlineLevel="0" collapsed="false">
      <c r="A236" s="3" t="s">
        <v>62</v>
      </c>
      <c r="B236" s="3" t="s">
        <v>63</v>
      </c>
      <c r="C236" s="47" t="n">
        <f aca="false">AVERAGEIFS(malumot!$I$2:$I$3542,malumot!$B$2:$B$3542,$A236)</f>
        <v>13.4226176941557</v>
      </c>
      <c r="D236" s="47" t="n">
        <f aca="false">AVERAGEIFS(malumot!$J$2:$J$3542,malumot!$B$2:$B$3542,$A236)</f>
        <v>69.0606015596806</v>
      </c>
      <c r="E236" s="7" t="n">
        <f aca="false">RANK(C236,$C$5:$C$432,0)</f>
        <v>70</v>
      </c>
      <c r="F236" s="7" t="n">
        <f aca="false">RANK(D236,$D$5:$D$432,0)</f>
        <v>34</v>
      </c>
      <c r="G236" s="7" t="n">
        <f aca="false">ABS(E236-F236)</f>
        <v>36</v>
      </c>
    </row>
    <row r="237" customFormat="false" ht="15" hidden="false" customHeight="false" outlineLevel="0" collapsed="false">
      <c r="A237" s="3" t="s">
        <v>228</v>
      </c>
      <c r="B237" s="3" t="s">
        <v>229</v>
      </c>
      <c r="C237" s="47" t="n">
        <f aca="false">AVERAGEIFS(malumot!$I$2:$I$3542,malumot!$B$2:$B$3542,$A237)</f>
        <v>7.57142313602929</v>
      </c>
      <c r="D237" s="47" t="n">
        <f aca="false">AVERAGEIFS(malumot!$J$2:$J$3542,malumot!$B$2:$B$3542,$A237)</f>
        <v>27.3749334538058</v>
      </c>
      <c r="E237" s="7" t="n">
        <f aca="false">RANK(C237,$C$5:$C$432,0)</f>
        <v>238</v>
      </c>
      <c r="F237" s="7" t="n">
        <f aca="false">RANK(D237,$D$5:$D$432,0)</f>
        <v>202</v>
      </c>
      <c r="G237" s="7" t="n">
        <f aca="false">ABS(E237-F237)</f>
        <v>36</v>
      </c>
    </row>
    <row r="238" customFormat="false" ht="15" hidden="false" customHeight="false" outlineLevel="0" collapsed="false">
      <c r="A238" s="3" t="s">
        <v>850</v>
      </c>
      <c r="B238" s="3" t="s">
        <v>851</v>
      </c>
      <c r="C238" s="47" t="n">
        <f aca="false">AVERAGEIFS(malumot!$I$2:$I$3542,malumot!$B$2:$B$3542,$A238)</f>
        <v>4.85724961565717</v>
      </c>
      <c r="D238" s="47" t="n">
        <f aca="false">AVERAGEIFS(malumot!$J$2:$J$3542,malumot!$B$2:$B$3542,$A238)</f>
        <v>8.12222441494254</v>
      </c>
      <c r="E238" s="7" t="n">
        <f aca="false">RANK(C238,$C$5:$C$432,0)</f>
        <v>368</v>
      </c>
      <c r="F238" s="7" t="n">
        <f aca="false">RANK(D238,$D$5:$D$432,0)</f>
        <v>404</v>
      </c>
      <c r="G238" s="7" t="n">
        <f aca="false">ABS(E238-F238)</f>
        <v>36</v>
      </c>
    </row>
    <row r="239" customFormat="false" ht="15" hidden="false" customHeight="false" outlineLevel="0" collapsed="false">
      <c r="A239" s="3" t="s">
        <v>159</v>
      </c>
      <c r="B239" s="3" t="s">
        <v>160</v>
      </c>
      <c r="C239" s="47" t="n">
        <f aca="false">AVERAGEIFS(malumot!$I$2:$I$3542,malumot!$B$2:$B$3542,$A239)</f>
        <v>9.52000386426171</v>
      </c>
      <c r="D239" s="47" t="n">
        <f aca="false">AVERAGEIFS(malumot!$J$2:$J$3542,malumot!$B$2:$B$3542,$A239)</f>
        <v>28.7858838191029</v>
      </c>
      <c r="E239" s="7" t="n">
        <f aca="false">RANK(C239,$C$5:$C$432,0)</f>
        <v>153</v>
      </c>
      <c r="F239" s="7" t="n">
        <f aca="false">RANK(D239,$D$5:$D$432,0)</f>
        <v>189</v>
      </c>
      <c r="G239" s="7" t="n">
        <f aca="false">ABS(E239-F239)</f>
        <v>36</v>
      </c>
    </row>
    <row r="240" customFormat="false" ht="15" hidden="false" customHeight="false" outlineLevel="0" collapsed="false">
      <c r="A240" s="3" t="s">
        <v>728</v>
      </c>
      <c r="B240" s="3" t="s">
        <v>729</v>
      </c>
      <c r="C240" s="47" t="n">
        <f aca="false">AVERAGEIFS(malumot!$I$2:$I$3542,malumot!$B$2:$B$3542,$A240)</f>
        <v>6.16465588482662</v>
      </c>
      <c r="D240" s="47" t="n">
        <f aca="false">AVERAGEIFS(malumot!$J$2:$J$3542,malumot!$B$2:$B$3542,$A240)</f>
        <v>15.0615864124927</v>
      </c>
      <c r="E240" s="7" t="n">
        <f aca="false">RANK(C240,$C$5:$C$432,0)</f>
        <v>305</v>
      </c>
      <c r="F240" s="7" t="n">
        <f aca="false">RANK(D240,$D$5:$D$432,0)</f>
        <v>340</v>
      </c>
      <c r="G240" s="7" t="n">
        <f aca="false">ABS(E240-F240)</f>
        <v>35</v>
      </c>
    </row>
    <row r="241" customFormat="false" ht="15" hidden="false" customHeight="false" outlineLevel="0" collapsed="false">
      <c r="A241" s="3" t="s">
        <v>899</v>
      </c>
      <c r="B241" s="3" t="s">
        <v>900</v>
      </c>
      <c r="C241" s="47" t="n">
        <f aca="false">AVERAGEIFS(malumot!$I$2:$I$3542,malumot!$B$2:$B$3542,$A241)</f>
        <v>3.84255924262924</v>
      </c>
      <c r="D241" s="47" t="n">
        <f aca="false">AVERAGEIFS(malumot!$J$2:$J$3542,malumot!$B$2:$B$3542,$A241)</f>
        <v>12.4459138552882</v>
      </c>
      <c r="E241" s="7" t="n">
        <f aca="false">RANK(C241,$C$5:$C$432,0)</f>
        <v>404</v>
      </c>
      <c r="F241" s="7" t="n">
        <f aca="false">RANK(D241,$D$5:$D$432,0)</f>
        <v>369</v>
      </c>
      <c r="G241" s="7" t="n">
        <f aca="false">ABS(E241-F241)</f>
        <v>35</v>
      </c>
    </row>
    <row r="242" customFormat="false" ht="15" hidden="false" customHeight="false" outlineLevel="0" collapsed="false">
      <c r="A242" s="3" t="s">
        <v>356</v>
      </c>
      <c r="B242" s="3" t="s">
        <v>357</v>
      </c>
      <c r="C242" s="47" t="n">
        <f aca="false">AVERAGEIFS(malumot!$I$2:$I$3542,malumot!$B$2:$B$3542,$A242)</f>
        <v>6.61603963393857</v>
      </c>
      <c r="D242" s="47" t="n">
        <f aca="false">AVERAGEIFS(malumot!$J$2:$J$3542,malumot!$B$2:$B$3542,$A242)</f>
        <v>23.40327244704</v>
      </c>
      <c r="E242" s="7" t="n">
        <f aca="false">RANK(C242,$C$5:$C$432,0)</f>
        <v>280</v>
      </c>
      <c r="F242" s="7" t="n">
        <f aca="false">RANK(D242,$D$5:$D$432,0)</f>
        <v>245</v>
      </c>
      <c r="G242" s="7" t="n">
        <f aca="false">ABS(E242-F242)</f>
        <v>35</v>
      </c>
    </row>
    <row r="243" customFormat="false" ht="15" hidden="false" customHeight="false" outlineLevel="0" collapsed="false">
      <c r="A243" s="3" t="s">
        <v>256</v>
      </c>
      <c r="B243" s="3" t="s">
        <v>257</v>
      </c>
      <c r="C243" s="47" t="n">
        <f aca="false">AVERAGEIFS(malumot!$I$2:$I$3542,malumot!$B$2:$B$3542,$A243)</f>
        <v>4.46120216571804</v>
      </c>
      <c r="D243" s="47" t="n">
        <f aca="false">AVERAGEIFS(malumot!$J$2:$J$3542,malumot!$B$2:$B$3542,$A243)</f>
        <v>14.000930569779</v>
      </c>
      <c r="E243" s="7" t="n">
        <f aca="false">RANK(C243,$C$5:$C$432,0)</f>
        <v>389</v>
      </c>
      <c r="F243" s="7" t="n">
        <f aca="false">RANK(D243,$D$5:$D$432,0)</f>
        <v>354</v>
      </c>
      <c r="G243" s="7" t="n">
        <f aca="false">ABS(E243-F243)</f>
        <v>35</v>
      </c>
    </row>
    <row r="244" customFormat="false" ht="15" hidden="false" customHeight="false" outlineLevel="0" collapsed="false">
      <c r="A244" s="3" t="s">
        <v>626</v>
      </c>
      <c r="B244" s="3" t="s">
        <v>627</v>
      </c>
      <c r="C244" s="47" t="n">
        <f aca="false">AVERAGEIFS(malumot!$I$2:$I$3542,malumot!$B$2:$B$3542,$A244)</f>
        <v>11.2463509837187</v>
      </c>
      <c r="D244" s="47" t="n">
        <f aca="false">AVERAGEIFS(malumot!$J$2:$J$3542,malumot!$B$2:$B$3542,$A244)</f>
        <v>49.6691317634911</v>
      </c>
      <c r="E244" s="7" t="n">
        <f aca="false">RANK(C244,$C$5:$C$432,0)</f>
        <v>101</v>
      </c>
      <c r="F244" s="7" t="n">
        <f aca="false">RANK(D244,$D$5:$D$432,0)</f>
        <v>67</v>
      </c>
      <c r="G244" s="7" t="n">
        <f aca="false">ABS(E244-F244)</f>
        <v>34</v>
      </c>
    </row>
    <row r="245" customFormat="false" ht="15" hidden="false" customHeight="false" outlineLevel="0" collapsed="false">
      <c r="A245" s="3" t="s">
        <v>34</v>
      </c>
      <c r="B245" s="3" t="s">
        <v>35</v>
      </c>
      <c r="C245" s="47" t="n">
        <f aca="false">AVERAGEIFS(malumot!$I$2:$I$3542,malumot!$B$2:$B$3542,$A245)</f>
        <v>9.04552643194892</v>
      </c>
      <c r="D245" s="47" t="n">
        <f aca="false">AVERAGEIFS(malumot!$J$2:$J$3542,malumot!$B$2:$B$3542,$A245)</f>
        <v>34.4523904923494</v>
      </c>
      <c r="E245" s="7" t="n">
        <f aca="false">RANK(C245,$C$5:$C$432,0)</f>
        <v>167</v>
      </c>
      <c r="F245" s="7" t="n">
        <f aca="false">RANK(D245,$D$5:$D$432,0)</f>
        <v>133</v>
      </c>
      <c r="G245" s="7" t="n">
        <f aca="false">ABS(E245-F245)</f>
        <v>34</v>
      </c>
    </row>
    <row r="246" customFormat="false" ht="15" hidden="false" customHeight="false" outlineLevel="0" collapsed="false">
      <c r="A246" s="3" t="s">
        <v>1146</v>
      </c>
      <c r="B246" s="3" t="s">
        <v>1147</v>
      </c>
      <c r="C246" s="47" t="n">
        <f aca="false">AVERAGEIFS(malumot!$I$2:$I$3542,malumot!$B$2:$B$3542,$A246)</f>
        <v>10.2101917519007</v>
      </c>
      <c r="D246" s="47" t="n">
        <f aca="false">AVERAGEIFS(malumot!$J$2:$J$3542,malumot!$B$2:$B$3542,$A246)</f>
        <v>43.0271344805426</v>
      </c>
      <c r="E246" s="7" t="n">
        <f aca="false">RANK(C246,$C$5:$C$432,0)</f>
        <v>126</v>
      </c>
      <c r="F246" s="7" t="n">
        <f aca="false">RANK(D246,$D$5:$D$432,0)</f>
        <v>92</v>
      </c>
      <c r="G246" s="7" t="n">
        <f aca="false">ABS(E246-F246)</f>
        <v>34</v>
      </c>
    </row>
    <row r="247" customFormat="false" ht="15" hidden="false" customHeight="false" outlineLevel="0" collapsed="false">
      <c r="A247" s="3" t="s">
        <v>1023</v>
      </c>
      <c r="B247" s="3" t="s">
        <v>1024</v>
      </c>
      <c r="C247" s="47" t="n">
        <f aca="false">AVERAGEIFS(malumot!$I$2:$I$3542,malumot!$B$2:$B$3542,$A247)</f>
        <v>6.87306597240368</v>
      </c>
      <c r="D247" s="47" t="n">
        <f aca="false">AVERAGEIFS(malumot!$J$2:$J$3542,malumot!$B$2:$B$3542,$A247)</f>
        <v>24.1225052688125</v>
      </c>
      <c r="E247" s="7" t="n">
        <f aca="false">RANK(C247,$C$5:$C$432,0)</f>
        <v>271</v>
      </c>
      <c r="F247" s="7" t="n">
        <f aca="false">RANK(D247,$D$5:$D$432,0)</f>
        <v>237</v>
      </c>
      <c r="G247" s="7" t="n">
        <f aca="false">ABS(E247-F247)</f>
        <v>34</v>
      </c>
    </row>
    <row r="248" customFormat="false" ht="15" hidden="false" customHeight="false" outlineLevel="0" collapsed="false">
      <c r="A248" s="3" t="s">
        <v>1014</v>
      </c>
      <c r="B248" s="3" t="s">
        <v>1015</v>
      </c>
      <c r="C248" s="47" t="n">
        <f aca="false">AVERAGEIFS(malumot!$I$2:$I$3542,malumot!$B$2:$B$3542,$A248)</f>
        <v>5.97489073158041</v>
      </c>
      <c r="D248" s="47" t="n">
        <f aca="false">AVERAGEIFS(malumot!$J$2:$J$3542,malumot!$B$2:$B$3542,$A248)</f>
        <v>19.4201557600249</v>
      </c>
      <c r="E248" s="7" t="n">
        <f aca="false">RANK(C248,$C$5:$C$432,0)</f>
        <v>319</v>
      </c>
      <c r="F248" s="7" t="n">
        <f aca="false">RANK(D248,$D$5:$D$432,0)</f>
        <v>285</v>
      </c>
      <c r="G248" s="7" t="n">
        <f aca="false">ABS(E248-F248)</f>
        <v>34</v>
      </c>
    </row>
    <row r="249" customFormat="false" ht="15" hidden="false" customHeight="false" outlineLevel="0" collapsed="false">
      <c r="A249" s="3" t="s">
        <v>460</v>
      </c>
      <c r="B249" s="3" t="s">
        <v>461</v>
      </c>
      <c r="C249" s="47" t="n">
        <f aca="false">AVERAGEIFS(malumot!$I$2:$I$3542,malumot!$B$2:$B$3542,$A249)</f>
        <v>8.27754100318472</v>
      </c>
      <c r="D249" s="47" t="n">
        <f aca="false">AVERAGEIFS(malumot!$J$2:$J$3542,malumot!$B$2:$B$3542,$A249)</f>
        <v>30.595606301025</v>
      </c>
      <c r="E249" s="7" t="n">
        <f aca="false">RANK(C249,$C$5:$C$432,0)</f>
        <v>200</v>
      </c>
      <c r="F249" s="7" t="n">
        <f aca="false">RANK(D249,$D$5:$D$432,0)</f>
        <v>167</v>
      </c>
      <c r="G249" s="7" t="n">
        <f aca="false">ABS(E249-F249)</f>
        <v>33</v>
      </c>
    </row>
    <row r="250" customFormat="false" ht="15" hidden="false" customHeight="false" outlineLevel="0" collapsed="false">
      <c r="A250" s="3" t="s">
        <v>1110</v>
      </c>
      <c r="B250" s="3" t="s">
        <v>1111</v>
      </c>
      <c r="C250" s="47" t="n">
        <f aca="false">AVERAGEIFS(malumot!$I$2:$I$3542,malumot!$B$2:$B$3542,$A250)</f>
        <v>5.78622261524142</v>
      </c>
      <c r="D250" s="47" t="n">
        <f aca="false">AVERAGEIFS(malumot!$J$2:$J$3542,malumot!$B$2:$B$3542,$A250)</f>
        <v>13.2129464341663</v>
      </c>
      <c r="E250" s="7" t="n">
        <f aca="false">RANK(C250,$C$5:$C$432,0)</f>
        <v>331</v>
      </c>
      <c r="F250" s="7" t="n">
        <f aca="false">RANK(D250,$D$5:$D$432,0)</f>
        <v>364</v>
      </c>
      <c r="G250" s="7" t="n">
        <f aca="false">ABS(E250-F250)</f>
        <v>33</v>
      </c>
    </row>
    <row r="251" customFormat="false" ht="15" hidden="false" customHeight="false" outlineLevel="0" collapsed="false">
      <c r="A251" s="3" t="s">
        <v>574</v>
      </c>
      <c r="B251" s="3" t="s">
        <v>575</v>
      </c>
      <c r="C251" s="47" t="n">
        <f aca="false">AVERAGEIFS(malumot!$I$2:$I$3542,malumot!$B$2:$B$3542,$A251)</f>
        <v>6.03031903571016</v>
      </c>
      <c r="D251" s="47" t="n">
        <f aca="false">AVERAGEIFS(malumot!$J$2:$J$3542,malumot!$B$2:$B$3542,$A251)</f>
        <v>19.4897279433596</v>
      </c>
      <c r="E251" s="7" t="n">
        <f aca="false">RANK(C251,$C$5:$C$432,0)</f>
        <v>316</v>
      </c>
      <c r="F251" s="7" t="n">
        <f aca="false">RANK(D251,$D$5:$D$432,0)</f>
        <v>283</v>
      </c>
      <c r="G251" s="7" t="n">
        <f aca="false">ABS(E251-F251)</f>
        <v>33</v>
      </c>
    </row>
    <row r="252" customFormat="false" ht="15" hidden="false" customHeight="false" outlineLevel="0" collapsed="false">
      <c r="A252" s="3" t="s">
        <v>331</v>
      </c>
      <c r="B252" s="3" t="s">
        <v>332</v>
      </c>
      <c r="C252" s="47" t="n">
        <f aca="false">AVERAGEIFS(malumot!$I$2:$I$3542,malumot!$B$2:$B$3542,$A252)</f>
        <v>5.75350989599803</v>
      </c>
      <c r="D252" s="47" t="n">
        <f aca="false">AVERAGEIFS(malumot!$J$2:$J$3542,malumot!$B$2:$B$3542,$A252)</f>
        <v>12.8426268809522</v>
      </c>
      <c r="E252" s="7" t="n">
        <f aca="false">RANK(C252,$C$5:$C$432,0)</f>
        <v>334</v>
      </c>
      <c r="F252" s="7" t="n">
        <f aca="false">RANK(D252,$D$5:$D$432,0)</f>
        <v>366</v>
      </c>
      <c r="G252" s="7" t="n">
        <f aca="false">ABS(E252-F252)</f>
        <v>32</v>
      </c>
    </row>
    <row r="253" customFormat="false" ht="15" hidden="false" customHeight="false" outlineLevel="0" collapsed="false">
      <c r="A253" s="3" t="s">
        <v>213</v>
      </c>
      <c r="B253" s="3" t="s">
        <v>214</v>
      </c>
      <c r="C253" s="47" t="n">
        <f aca="false">AVERAGEIFS(malumot!$I$2:$I$3542,malumot!$B$2:$B$3542,$A253)</f>
        <v>8.20715088665777</v>
      </c>
      <c r="D253" s="47" t="n">
        <f aca="false">AVERAGEIFS(malumot!$J$2:$J$3542,malumot!$B$2:$B$3542,$A253)</f>
        <v>29.9146421036645</v>
      </c>
      <c r="E253" s="7" t="n">
        <f aca="false">RANK(C253,$C$5:$C$432,0)</f>
        <v>207</v>
      </c>
      <c r="F253" s="7" t="n">
        <f aca="false">RANK(D253,$D$5:$D$432,0)</f>
        <v>175</v>
      </c>
      <c r="G253" s="7" t="n">
        <f aca="false">ABS(E253-F253)</f>
        <v>32</v>
      </c>
    </row>
    <row r="254" customFormat="false" ht="15" hidden="false" customHeight="false" outlineLevel="0" collapsed="false">
      <c r="A254" s="3" t="s">
        <v>189</v>
      </c>
      <c r="B254" s="3" t="s">
        <v>190</v>
      </c>
      <c r="C254" s="47" t="n">
        <f aca="false">AVERAGEIFS(malumot!$I$2:$I$3542,malumot!$B$2:$B$3542,$A254)</f>
        <v>18.4364321238693</v>
      </c>
      <c r="D254" s="47" t="n">
        <f aca="false">AVERAGEIFS(malumot!$J$2:$J$3542,malumot!$B$2:$B$3542,$A254)</f>
        <v>50.6977236295801</v>
      </c>
      <c r="E254" s="7" t="n">
        <f aca="false">RANK(C254,$C$5:$C$432,0)</f>
        <v>31</v>
      </c>
      <c r="F254" s="7" t="n">
        <f aca="false">RANK(D254,$D$5:$D$432,0)</f>
        <v>63</v>
      </c>
      <c r="G254" s="7" t="n">
        <f aca="false">ABS(E254-F254)</f>
        <v>32</v>
      </c>
    </row>
    <row r="255" customFormat="false" ht="15" hidden="false" customHeight="false" outlineLevel="0" collapsed="false">
      <c r="A255" s="3" t="s">
        <v>888</v>
      </c>
      <c r="B255" s="3" t="s">
        <v>889</v>
      </c>
      <c r="C255" s="47" t="n">
        <f aca="false">AVERAGEIFS(malumot!$I$2:$I$3542,malumot!$B$2:$B$3542,$A255)</f>
        <v>9.73536199490518</v>
      </c>
      <c r="D255" s="47" t="n">
        <f aca="false">AVERAGEIFS(malumot!$J$2:$J$3542,malumot!$B$2:$B$3542,$A255)</f>
        <v>38.4667899759282</v>
      </c>
      <c r="E255" s="7" t="n">
        <f aca="false">RANK(C255,$C$5:$C$432,0)</f>
        <v>143</v>
      </c>
      <c r="F255" s="7" t="n">
        <f aca="false">RANK(D255,$D$5:$D$432,0)</f>
        <v>111</v>
      </c>
      <c r="G255" s="7" t="n">
        <f aca="false">ABS(E255-F255)</f>
        <v>32</v>
      </c>
    </row>
    <row r="256" customFormat="false" ht="15" hidden="false" customHeight="false" outlineLevel="0" collapsed="false">
      <c r="A256" s="3" t="s">
        <v>682</v>
      </c>
      <c r="B256" s="3" t="s">
        <v>683</v>
      </c>
      <c r="C256" s="47" t="n">
        <f aca="false">AVERAGEIFS(malumot!$I$2:$I$3542,malumot!$B$2:$B$3542,$A256)</f>
        <v>4.86083492207809</v>
      </c>
      <c r="D256" s="47" t="n">
        <f aca="false">AVERAGEIFS(malumot!$J$2:$J$3542,malumot!$B$2:$B$3542,$A256)</f>
        <v>9.21975963045091</v>
      </c>
      <c r="E256" s="7" t="n">
        <f aca="false">RANK(C256,$C$5:$C$432,0)</f>
        <v>367</v>
      </c>
      <c r="F256" s="7" t="n">
        <f aca="false">RANK(D256,$D$5:$D$432,0)</f>
        <v>399</v>
      </c>
      <c r="G256" s="7" t="n">
        <f aca="false">ABS(E256-F256)</f>
        <v>32</v>
      </c>
    </row>
    <row r="257" customFormat="false" ht="15" hidden="false" customHeight="false" outlineLevel="0" collapsed="false">
      <c r="A257" s="3" t="s">
        <v>650</v>
      </c>
      <c r="B257" s="3" t="s">
        <v>651</v>
      </c>
      <c r="C257" s="47" t="n">
        <f aca="false">AVERAGEIFS(malumot!$I$2:$I$3542,malumot!$B$2:$B$3542,$A257)</f>
        <v>9.45714901563225</v>
      </c>
      <c r="D257" s="47" t="n">
        <f aca="false">AVERAGEIFS(malumot!$J$2:$J$3542,malumot!$B$2:$B$3542,$A257)</f>
        <v>28.5790151559634</v>
      </c>
      <c r="E257" s="7" t="n">
        <f aca="false">RANK(C257,$C$5:$C$432,0)</f>
        <v>158</v>
      </c>
      <c r="F257" s="7" t="n">
        <f aca="false">RANK(D257,$D$5:$D$432,0)</f>
        <v>190</v>
      </c>
      <c r="G257" s="7" t="n">
        <f aca="false">ABS(E257-F257)</f>
        <v>32</v>
      </c>
    </row>
    <row r="258" customFormat="false" ht="15" hidden="false" customHeight="false" outlineLevel="0" collapsed="false">
      <c r="A258" s="3" t="s">
        <v>583</v>
      </c>
      <c r="B258" s="3" t="s">
        <v>584</v>
      </c>
      <c r="C258" s="47" t="n">
        <f aca="false">AVERAGEIFS(malumot!$I$2:$I$3542,malumot!$B$2:$B$3542,$A258)</f>
        <v>6.68382339564507</v>
      </c>
      <c r="D258" s="47" t="n">
        <f aca="false">AVERAGEIFS(malumot!$J$2:$J$3542,malumot!$B$2:$B$3542,$A258)</f>
        <v>17.3410071741589</v>
      </c>
      <c r="E258" s="7" t="n">
        <f aca="false">RANK(C258,$C$5:$C$432,0)</f>
        <v>278</v>
      </c>
      <c r="F258" s="7" t="n">
        <f aca="false">RANK(D258,$D$5:$D$432,0)</f>
        <v>310</v>
      </c>
      <c r="G258" s="7" t="n">
        <f aca="false">ABS(E258-F258)</f>
        <v>32</v>
      </c>
    </row>
    <row r="259" customFormat="false" ht="15" hidden="false" customHeight="false" outlineLevel="0" collapsed="false">
      <c r="A259" s="3" t="s">
        <v>1035</v>
      </c>
      <c r="B259" s="3" t="s">
        <v>1033</v>
      </c>
      <c r="C259" s="47" t="n">
        <f aca="false">AVERAGEIFS(malumot!$I$2:$I$3542,malumot!$B$2:$B$3542,$A259)</f>
        <v>8.08117232551774</v>
      </c>
      <c r="D259" s="47" t="n">
        <f aca="false">AVERAGEIFS(malumot!$J$2:$J$3542,malumot!$B$2:$B$3542,$A259)</f>
        <v>28.833433900841</v>
      </c>
      <c r="E259" s="7" t="n">
        <f aca="false">RANK(C259,$C$5:$C$432,0)</f>
        <v>219</v>
      </c>
      <c r="F259" s="7" t="n">
        <f aca="false">RANK(D259,$D$5:$D$432,0)</f>
        <v>187</v>
      </c>
      <c r="G259" s="7" t="n">
        <f aca="false">ABS(E259-F259)</f>
        <v>32</v>
      </c>
    </row>
    <row r="260" customFormat="false" ht="15" hidden="false" customHeight="false" outlineLevel="0" collapsed="false">
      <c r="A260" s="3" t="s">
        <v>1080</v>
      </c>
      <c r="B260" s="3" t="s">
        <v>1081</v>
      </c>
      <c r="C260" s="47" t="n">
        <f aca="false">AVERAGEIFS(malumot!$I$2:$I$3542,malumot!$B$2:$B$3542,$A260)</f>
        <v>22.0048232192278</v>
      </c>
      <c r="D260" s="47" t="n">
        <f aca="false">AVERAGEIFS(malumot!$J$2:$J$3542,malumot!$B$2:$B$3542,$A260)</f>
        <v>58.9251793314498</v>
      </c>
      <c r="E260" s="7" t="n">
        <f aca="false">RANK(C260,$C$5:$C$432,0)</f>
        <v>19</v>
      </c>
      <c r="F260" s="7" t="n">
        <f aca="false">RANK(D260,$D$5:$D$432,0)</f>
        <v>51</v>
      </c>
      <c r="G260" s="7" t="n">
        <f aca="false">ABS(E260-F260)</f>
        <v>32</v>
      </c>
    </row>
    <row r="261" customFormat="false" ht="15" hidden="false" customHeight="false" outlineLevel="0" collapsed="false">
      <c r="A261" s="3" t="s">
        <v>1083</v>
      </c>
      <c r="B261" s="3" t="s">
        <v>1084</v>
      </c>
      <c r="C261" s="47" t="n">
        <f aca="false">AVERAGEIFS(malumot!$I$2:$I$3542,malumot!$B$2:$B$3542,$A261)</f>
        <v>7.61717290188301</v>
      </c>
      <c r="D261" s="47" t="n">
        <f aca="false">AVERAGEIFS(malumot!$J$2:$J$3542,malumot!$B$2:$B$3542,$A261)</f>
        <v>26.938036372054</v>
      </c>
      <c r="E261" s="7" t="n">
        <f aca="false">RANK(C261,$C$5:$C$432,0)</f>
        <v>237</v>
      </c>
      <c r="F261" s="7" t="n">
        <f aca="false">RANK(D261,$D$5:$D$432,0)</f>
        <v>205</v>
      </c>
      <c r="G261" s="7" t="n">
        <f aca="false">ABS(E261-F261)</f>
        <v>32</v>
      </c>
    </row>
    <row r="262" customFormat="false" ht="15" hidden="false" customHeight="false" outlineLevel="0" collapsed="false">
      <c r="A262" s="3" t="s">
        <v>699</v>
      </c>
      <c r="B262" s="3" t="s">
        <v>700</v>
      </c>
      <c r="C262" s="47" t="n">
        <f aca="false">AVERAGEIFS(malumot!$I$2:$I$3542,malumot!$B$2:$B$3542,$A262)</f>
        <v>14.6890763153284</v>
      </c>
      <c r="D262" s="47" t="n">
        <f aca="false">AVERAGEIFS(malumot!$J$2:$J$3542,malumot!$B$2:$B$3542,$A262)</f>
        <v>76.0916121049005</v>
      </c>
      <c r="E262" s="7" t="n">
        <f aca="false">RANK(C262,$C$5:$C$432,0)</f>
        <v>57</v>
      </c>
      <c r="F262" s="7" t="n">
        <f aca="false">RANK(D262,$D$5:$D$432,0)</f>
        <v>26</v>
      </c>
      <c r="G262" s="7" t="n">
        <f aca="false">ABS(E262-F262)</f>
        <v>31</v>
      </c>
    </row>
    <row r="263" customFormat="false" ht="15" hidden="false" customHeight="false" outlineLevel="0" collapsed="false">
      <c r="A263" s="3" t="s">
        <v>508</v>
      </c>
      <c r="B263" s="3" t="s">
        <v>509</v>
      </c>
      <c r="C263" s="47" t="n">
        <f aca="false">AVERAGEIFS(malumot!$I$2:$I$3542,malumot!$B$2:$B$3542,$A263)</f>
        <v>11.6299402571015</v>
      </c>
      <c r="D263" s="47" t="n">
        <f aca="false">AVERAGEIFS(malumot!$J$2:$J$3542,malumot!$B$2:$B$3542,$A263)</f>
        <v>36.4017807661627</v>
      </c>
      <c r="E263" s="7" t="n">
        <f aca="false">RANK(C263,$C$5:$C$432,0)</f>
        <v>95</v>
      </c>
      <c r="F263" s="7" t="n">
        <f aca="false">RANK(D263,$D$5:$D$432,0)</f>
        <v>126</v>
      </c>
      <c r="G263" s="7" t="n">
        <f aca="false">ABS(E263-F263)</f>
        <v>31</v>
      </c>
    </row>
    <row r="264" customFormat="false" ht="15" hidden="false" customHeight="false" outlineLevel="0" collapsed="false">
      <c r="A264" s="3" t="s">
        <v>1186</v>
      </c>
      <c r="B264" s="3" t="s">
        <v>1187</v>
      </c>
      <c r="C264" s="47" t="n">
        <f aca="false">AVERAGEIFS(malumot!$I$2:$I$3542,malumot!$B$2:$B$3542,$A264)</f>
        <v>3.76857741527264</v>
      </c>
      <c r="D264" s="47" t="n">
        <f aca="false">AVERAGEIFS(malumot!$J$2:$J$3542,malumot!$B$2:$B$3542,$A264)</f>
        <v>11.2519325266292</v>
      </c>
      <c r="E264" s="7" t="n">
        <f aca="false">RANK(C264,$C$5:$C$432,0)</f>
        <v>408</v>
      </c>
      <c r="F264" s="7" t="n">
        <f aca="false">RANK(D264,$D$5:$D$432,0)</f>
        <v>377</v>
      </c>
      <c r="G264" s="7" t="n">
        <f aca="false">ABS(E264-F264)</f>
        <v>31</v>
      </c>
    </row>
    <row r="265" customFormat="false" ht="15" hidden="false" customHeight="false" outlineLevel="0" collapsed="false">
      <c r="A265" s="3" t="s">
        <v>321</v>
      </c>
      <c r="B265" s="3" t="s">
        <v>322</v>
      </c>
      <c r="C265" s="47" t="n">
        <f aca="false">AVERAGEIFS(malumot!$I$2:$I$3542,malumot!$B$2:$B$3542,$A265)</f>
        <v>3.98617108202585</v>
      </c>
      <c r="D265" s="47" t="n">
        <f aca="false">AVERAGEIFS(malumot!$J$2:$J$3542,malumot!$B$2:$B$3542,$A265)</f>
        <v>12.1139382184465</v>
      </c>
      <c r="E265" s="7" t="n">
        <f aca="false">RANK(C265,$C$5:$C$432,0)</f>
        <v>403</v>
      </c>
      <c r="F265" s="7" t="n">
        <f aca="false">RANK(D265,$D$5:$D$432,0)</f>
        <v>372</v>
      </c>
      <c r="G265" s="7" t="n">
        <f aca="false">ABS(E265-F265)</f>
        <v>31</v>
      </c>
    </row>
    <row r="266" customFormat="false" ht="15" hidden="false" customHeight="false" outlineLevel="0" collapsed="false">
      <c r="A266" s="3" t="s">
        <v>1095</v>
      </c>
      <c r="B266" s="3" t="s">
        <v>1096</v>
      </c>
      <c r="C266" s="47" t="n">
        <f aca="false">AVERAGEIFS(malumot!$I$2:$I$3542,malumot!$B$2:$B$3542,$A266)</f>
        <v>5.51699287615725</v>
      </c>
      <c r="D266" s="47" t="n">
        <f aca="false">AVERAGEIFS(malumot!$J$2:$J$3542,malumot!$B$2:$B$3542,$A266)</f>
        <v>11.5254783324312</v>
      </c>
      <c r="E266" s="7" t="n">
        <f aca="false">RANK(C266,$C$5:$C$432,0)</f>
        <v>345</v>
      </c>
      <c r="F266" s="7" t="n">
        <f aca="false">RANK(D266,$D$5:$D$432,0)</f>
        <v>376</v>
      </c>
      <c r="G266" s="7" t="n">
        <f aca="false">ABS(E266-F266)</f>
        <v>31</v>
      </c>
    </row>
    <row r="267" customFormat="false" ht="15" hidden="false" customHeight="false" outlineLevel="0" collapsed="false">
      <c r="A267" s="3" t="s">
        <v>310</v>
      </c>
      <c r="B267" s="3" t="s">
        <v>311</v>
      </c>
      <c r="C267" s="47" t="n">
        <f aca="false">AVERAGEIFS(malumot!$I$2:$I$3542,malumot!$B$2:$B$3542,$A267)</f>
        <v>6.05971525898195</v>
      </c>
      <c r="D267" s="47" t="n">
        <f aca="false">AVERAGEIFS(malumot!$J$2:$J$3542,malumot!$B$2:$B$3542,$A267)</f>
        <v>14.8384526854154</v>
      </c>
      <c r="E267" s="7" t="n">
        <f aca="false">RANK(C267,$C$5:$C$432,0)</f>
        <v>313</v>
      </c>
      <c r="F267" s="7" t="n">
        <f aca="false">RANK(D267,$D$5:$D$432,0)</f>
        <v>344</v>
      </c>
      <c r="G267" s="7" t="n">
        <f aca="false">ABS(E267-F267)</f>
        <v>31</v>
      </c>
    </row>
    <row r="268" customFormat="false" ht="15" hidden="false" customHeight="false" outlineLevel="0" collapsed="false">
      <c r="A268" s="3" t="s">
        <v>1065</v>
      </c>
      <c r="B268" s="3" t="s">
        <v>1066</v>
      </c>
      <c r="C268" s="47" t="n">
        <f aca="false">AVERAGEIFS(malumot!$I$2:$I$3542,malumot!$B$2:$B$3542,$A268)</f>
        <v>11.4131992321417</v>
      </c>
      <c r="D268" s="47" t="n">
        <f aca="false">AVERAGEIFS(malumot!$J$2:$J$3542,malumot!$B$2:$B$3542,$A268)</f>
        <v>34.721969515959</v>
      </c>
      <c r="E268" s="7" t="n">
        <f aca="false">RANK(C268,$C$5:$C$432,0)</f>
        <v>98</v>
      </c>
      <c r="F268" s="7" t="n">
        <f aca="false">RANK(D268,$D$5:$D$432,0)</f>
        <v>129</v>
      </c>
      <c r="G268" s="7" t="n">
        <f aca="false">ABS(E268-F268)</f>
        <v>31</v>
      </c>
    </row>
    <row r="269" customFormat="false" ht="15" hidden="false" customHeight="false" outlineLevel="0" collapsed="false">
      <c r="A269" s="3" t="s">
        <v>222</v>
      </c>
      <c r="B269" s="3" t="s">
        <v>223</v>
      </c>
      <c r="C269" s="47" t="n">
        <f aca="false">AVERAGEIFS(malumot!$I$2:$I$3542,malumot!$B$2:$B$3542,$A269)</f>
        <v>15.086049787052</v>
      </c>
      <c r="D269" s="47" t="n">
        <f aca="false">AVERAGEIFS(malumot!$J$2:$J$3542,malumot!$B$2:$B$3542,$A269)</f>
        <v>84.5894819534248</v>
      </c>
      <c r="E269" s="7" t="n">
        <f aca="false">RANK(C269,$C$5:$C$432,0)</f>
        <v>50</v>
      </c>
      <c r="F269" s="7" t="n">
        <f aca="false">RANK(D269,$D$5:$D$432,0)</f>
        <v>19</v>
      </c>
      <c r="G269" s="7" t="n">
        <f aca="false">ABS(E269-F269)</f>
        <v>31</v>
      </c>
    </row>
    <row r="270" customFormat="false" ht="15" hidden="false" customHeight="false" outlineLevel="0" collapsed="false">
      <c r="A270" s="3" t="s">
        <v>505</v>
      </c>
      <c r="B270" s="3" t="s">
        <v>506</v>
      </c>
      <c r="C270" s="47" t="n">
        <f aca="false">AVERAGEIFS(malumot!$I$2:$I$3542,malumot!$B$2:$B$3542,$A270)</f>
        <v>25.5851867076021</v>
      </c>
      <c r="D270" s="47" t="n">
        <f aca="false">AVERAGEIFS(malumot!$J$2:$J$3542,malumot!$B$2:$B$3542,$A270)</f>
        <v>67.434646722644</v>
      </c>
      <c r="E270" s="7" t="n">
        <f aca="false">RANK(C270,$C$5:$C$432,0)</f>
        <v>8</v>
      </c>
      <c r="F270" s="7" t="n">
        <f aca="false">RANK(D270,$D$5:$D$432,0)</f>
        <v>39</v>
      </c>
      <c r="G270" s="7" t="n">
        <f aca="false">ABS(E270-F270)</f>
        <v>31</v>
      </c>
    </row>
    <row r="271" customFormat="false" ht="15" hidden="false" customHeight="false" outlineLevel="0" collapsed="false">
      <c r="A271" s="3" t="s">
        <v>1104</v>
      </c>
      <c r="B271" s="3" t="s">
        <v>1105</v>
      </c>
      <c r="C271" s="47" t="n">
        <f aca="false">AVERAGEIFS(malumot!$I$2:$I$3542,malumot!$B$2:$B$3542,$A271)</f>
        <v>8.61395936433102</v>
      </c>
      <c r="D271" s="47" t="n">
        <f aca="false">AVERAGEIFS(malumot!$J$2:$J$3542,malumot!$B$2:$B$3542,$A271)</f>
        <v>26.0796707180677</v>
      </c>
      <c r="E271" s="7" t="n">
        <f aca="false">RANK(C271,$C$5:$C$432,0)</f>
        <v>185</v>
      </c>
      <c r="F271" s="7" t="n">
        <f aca="false">RANK(D271,$D$5:$D$432,0)</f>
        <v>215</v>
      </c>
      <c r="G271" s="7" t="n">
        <f aca="false">ABS(E271-F271)</f>
        <v>30</v>
      </c>
    </row>
    <row r="272" customFormat="false" ht="15" hidden="false" customHeight="false" outlineLevel="0" collapsed="false">
      <c r="A272" s="3" t="s">
        <v>318</v>
      </c>
      <c r="B272" s="3" t="s">
        <v>319</v>
      </c>
      <c r="C272" s="47" t="n">
        <f aca="false">AVERAGEIFS(malumot!$I$2:$I$3542,malumot!$B$2:$B$3542,$A272)</f>
        <v>4.70902999011843</v>
      </c>
      <c r="D272" s="47" t="n">
        <f aca="false">AVERAGEIFS(malumot!$J$2:$J$3542,malumot!$B$2:$B$3542,$A272)</f>
        <v>7.31269490992312</v>
      </c>
      <c r="E272" s="7" t="n">
        <f aca="false">RANK(C272,$C$5:$C$432,0)</f>
        <v>380</v>
      </c>
      <c r="F272" s="7" t="n">
        <f aca="false">RANK(D272,$D$5:$D$432,0)</f>
        <v>410</v>
      </c>
      <c r="G272" s="7" t="n">
        <f aca="false">ABS(E272-F272)</f>
        <v>30</v>
      </c>
    </row>
    <row r="273" customFormat="false" ht="15" hidden="false" customHeight="false" outlineLevel="0" collapsed="false">
      <c r="A273" s="3" t="s">
        <v>719</v>
      </c>
      <c r="B273" s="3" t="s">
        <v>677</v>
      </c>
      <c r="C273" s="47" t="n">
        <f aca="false">AVERAGEIFS(malumot!$I$2:$I$3542,malumot!$B$2:$B$3542,$A273)</f>
        <v>16.3567414520921</v>
      </c>
      <c r="D273" s="47" t="n">
        <f aca="false">AVERAGEIFS(malumot!$J$2:$J$3542,malumot!$B$2:$B$3542,$A273)</f>
        <v>99.5563359834264</v>
      </c>
      <c r="E273" s="7" t="n">
        <f aca="false">RANK(C273,$C$5:$C$432,0)</f>
        <v>41</v>
      </c>
      <c r="F273" s="7" t="n">
        <f aca="false">RANK(D273,$D$5:$D$432,0)</f>
        <v>11</v>
      </c>
      <c r="G273" s="7" t="n">
        <f aca="false">ABS(E273-F273)</f>
        <v>30</v>
      </c>
    </row>
    <row r="274" customFormat="false" ht="15" hidden="false" customHeight="false" outlineLevel="0" collapsed="false">
      <c r="A274" s="3" t="s">
        <v>406</v>
      </c>
      <c r="B274" s="3" t="s">
        <v>407</v>
      </c>
      <c r="C274" s="47" t="n">
        <f aca="false">AVERAGEIFS(malumot!$I$2:$I$3542,malumot!$B$2:$B$3542,$A274)</f>
        <v>5.53889380724627</v>
      </c>
      <c r="D274" s="47" t="n">
        <f aca="false">AVERAGEIFS(malumot!$J$2:$J$3542,malumot!$B$2:$B$3542,$A274)</f>
        <v>11.852973443772</v>
      </c>
      <c r="E274" s="7" t="n">
        <f aca="false">RANK(C274,$C$5:$C$432,0)</f>
        <v>344</v>
      </c>
      <c r="F274" s="7" t="n">
        <f aca="false">RANK(D274,$D$5:$D$432,0)</f>
        <v>374</v>
      </c>
      <c r="G274" s="7" t="n">
        <f aca="false">ABS(E274-F274)</f>
        <v>30</v>
      </c>
    </row>
    <row r="275" customFormat="false" ht="15" hidden="false" customHeight="false" outlineLevel="0" collapsed="false">
      <c r="A275" s="3" t="s">
        <v>702</v>
      </c>
      <c r="B275" s="3" t="s">
        <v>703</v>
      </c>
      <c r="C275" s="47" t="n">
        <f aca="false">AVERAGEIFS(malumot!$I$2:$I$3542,malumot!$B$2:$B$3542,$A275)</f>
        <v>16.084406945596</v>
      </c>
      <c r="D275" s="47" t="n">
        <f aca="false">AVERAGEIFS(malumot!$J$2:$J$3542,malumot!$B$2:$B$3542,$A275)</f>
        <v>98.6432597869097</v>
      </c>
      <c r="E275" s="7" t="n">
        <f aca="false">RANK(C275,$C$5:$C$432,0)</f>
        <v>43</v>
      </c>
      <c r="F275" s="7" t="n">
        <f aca="false">RANK(D275,$D$5:$D$432,0)</f>
        <v>13</v>
      </c>
      <c r="G275" s="7" t="n">
        <f aca="false">ABS(E275-F275)</f>
        <v>30</v>
      </c>
    </row>
    <row r="276" customFormat="false" ht="15" hidden="false" customHeight="false" outlineLevel="0" collapsed="false">
      <c r="A276" s="3" t="s">
        <v>1189</v>
      </c>
      <c r="B276" s="3" t="s">
        <v>1187</v>
      </c>
      <c r="C276" s="47" t="n">
        <f aca="false">AVERAGEIFS(malumot!$I$2:$I$3542,malumot!$B$2:$B$3542,$A276)</f>
        <v>3.75853661204316</v>
      </c>
      <c r="D276" s="47" t="n">
        <f aca="false">AVERAGEIFS(malumot!$J$2:$J$3542,malumot!$B$2:$B$3542,$A276)</f>
        <v>11.0690408941036</v>
      </c>
      <c r="E276" s="7" t="n">
        <f aca="false">RANK(C276,$C$5:$C$432,0)</f>
        <v>409</v>
      </c>
      <c r="F276" s="7" t="n">
        <f aca="false">RANK(D276,$D$5:$D$432,0)</f>
        <v>379</v>
      </c>
      <c r="G276" s="7" t="n">
        <f aca="false">ABS(E276-F276)</f>
        <v>30</v>
      </c>
    </row>
    <row r="277" customFormat="false" ht="15" hidden="false" customHeight="false" outlineLevel="0" collapsed="false">
      <c r="A277" s="3" t="s">
        <v>110</v>
      </c>
      <c r="B277" s="3" t="s">
        <v>111</v>
      </c>
      <c r="C277" s="47" t="n">
        <f aca="false">AVERAGEIFS(malumot!$I$2:$I$3542,malumot!$B$2:$B$3542,$A277)</f>
        <v>16.6152841812243</v>
      </c>
      <c r="D277" s="47" t="n">
        <f aca="false">AVERAGEIFS(malumot!$J$2:$J$3542,malumot!$B$2:$B$3542,$A277)</f>
        <v>48.8428546315004</v>
      </c>
      <c r="E277" s="7" t="n">
        <f aca="false">RANK(C277,$C$5:$C$432,0)</f>
        <v>38</v>
      </c>
      <c r="F277" s="7" t="n">
        <f aca="false">RANK(D277,$D$5:$D$432,0)</f>
        <v>68</v>
      </c>
      <c r="G277" s="7" t="n">
        <f aca="false">ABS(E277-F277)</f>
        <v>30</v>
      </c>
    </row>
    <row r="278" customFormat="false" ht="15" hidden="false" customHeight="false" outlineLevel="0" collapsed="false">
      <c r="A278" s="3" t="s">
        <v>168</v>
      </c>
      <c r="B278" s="3" t="s">
        <v>169</v>
      </c>
      <c r="C278" s="47" t="n">
        <f aca="false">AVERAGEIFS(malumot!$I$2:$I$3542,malumot!$B$2:$B$3542,$A278)</f>
        <v>13.5258728404711</v>
      </c>
      <c r="D278" s="47" t="n">
        <f aca="false">AVERAGEIFS(malumot!$J$2:$J$3542,malumot!$B$2:$B$3542,$A278)</f>
        <v>68.4147929959474</v>
      </c>
      <c r="E278" s="7" t="n">
        <f aca="false">RANK(C278,$C$5:$C$432,0)</f>
        <v>67</v>
      </c>
      <c r="F278" s="7" t="n">
        <f aca="false">RANK(D278,$D$5:$D$432,0)</f>
        <v>37</v>
      </c>
      <c r="G278" s="7" t="n">
        <f aca="false">ABS(E278-F278)</f>
        <v>30</v>
      </c>
    </row>
    <row r="279" customFormat="false" ht="15" hidden="false" customHeight="false" outlineLevel="0" collapsed="false">
      <c r="A279" s="3" t="s">
        <v>150</v>
      </c>
      <c r="B279" s="3" t="s">
        <v>151</v>
      </c>
      <c r="C279" s="47" t="n">
        <f aca="false">AVERAGEIFS(malumot!$I$2:$I$3542,malumot!$B$2:$B$3542,$A279)</f>
        <v>12.8448024110285</v>
      </c>
      <c r="D279" s="47" t="n">
        <f aca="false">AVERAGEIFS(malumot!$J$2:$J$3542,malumot!$B$2:$B$3542,$A279)</f>
        <v>65.1910278900388</v>
      </c>
      <c r="E279" s="7" t="n">
        <f aca="false">RANK(C279,$C$5:$C$432,0)</f>
        <v>74</v>
      </c>
      <c r="F279" s="7" t="n">
        <f aca="false">RANK(D279,$D$5:$D$432,0)</f>
        <v>45</v>
      </c>
      <c r="G279" s="7" t="n">
        <f aca="false">ABS(E279-F279)</f>
        <v>29</v>
      </c>
    </row>
    <row r="280" customFormat="false" ht="15" hidden="false" customHeight="false" outlineLevel="0" collapsed="false">
      <c r="A280" s="3" t="s">
        <v>620</v>
      </c>
      <c r="B280" s="3" t="s">
        <v>621</v>
      </c>
      <c r="C280" s="47" t="n">
        <f aca="false">AVERAGEIFS(malumot!$I$2:$I$3542,malumot!$B$2:$B$3542,$A280)</f>
        <v>17.0522425636029</v>
      </c>
      <c r="D280" s="47" t="n">
        <f aca="false">AVERAGEIFS(malumot!$J$2:$J$3542,malumot!$B$2:$B$3542,$A280)</f>
        <v>111.22107935385</v>
      </c>
      <c r="E280" s="7" t="n">
        <f aca="false">RANK(C280,$C$5:$C$432,0)</f>
        <v>37</v>
      </c>
      <c r="F280" s="7" t="n">
        <f aca="false">RANK(D280,$D$5:$D$432,0)</f>
        <v>8</v>
      </c>
      <c r="G280" s="7" t="n">
        <f aca="false">ABS(E280-F280)</f>
        <v>29</v>
      </c>
    </row>
    <row r="281" customFormat="false" ht="15" hidden="false" customHeight="false" outlineLevel="0" collapsed="false">
      <c r="A281" s="3" t="s">
        <v>612</v>
      </c>
      <c r="B281" s="3" t="s">
        <v>602</v>
      </c>
      <c r="C281" s="47" t="n">
        <f aca="false">AVERAGEIFS(malumot!$I$2:$I$3542,malumot!$B$2:$B$3542,$A281)</f>
        <v>9.45863791188379</v>
      </c>
      <c r="D281" s="47" t="n">
        <f aca="false">AVERAGEIFS(malumot!$J$2:$J$3542,malumot!$B$2:$B$3542,$A281)</f>
        <v>35.6289756771204</v>
      </c>
      <c r="E281" s="7" t="n">
        <f aca="false">RANK(C281,$C$5:$C$432,0)</f>
        <v>156</v>
      </c>
      <c r="F281" s="7" t="n">
        <f aca="false">RANK(D281,$D$5:$D$432,0)</f>
        <v>128</v>
      </c>
      <c r="G281" s="7" t="n">
        <f aca="false">ABS(E281-F281)</f>
        <v>28</v>
      </c>
    </row>
    <row r="282" customFormat="false" ht="15" hidden="false" customHeight="false" outlineLevel="0" collapsed="false">
      <c r="A282" s="3" t="s">
        <v>1086</v>
      </c>
      <c r="B282" s="3" t="s">
        <v>1087</v>
      </c>
      <c r="C282" s="47" t="n">
        <f aca="false">AVERAGEIFS(malumot!$I$2:$I$3542,malumot!$B$2:$B$3542,$A282)</f>
        <v>11.679121659423</v>
      </c>
      <c r="D282" s="47" t="n">
        <f aca="false">AVERAGEIFS(malumot!$J$2:$J$3542,malumot!$B$2:$B$3542,$A282)</f>
        <v>50.660635978666</v>
      </c>
      <c r="E282" s="7" t="n">
        <f aca="false">RANK(C282,$C$5:$C$432,0)</f>
        <v>92</v>
      </c>
      <c r="F282" s="7" t="n">
        <f aca="false">RANK(D282,$D$5:$D$432,0)</f>
        <v>64</v>
      </c>
      <c r="G282" s="7" t="n">
        <f aca="false">ABS(E282-F282)</f>
        <v>28</v>
      </c>
    </row>
    <row r="283" customFormat="false" ht="15" hidden="false" customHeight="false" outlineLevel="0" collapsed="false">
      <c r="A283" s="3" t="s">
        <v>162</v>
      </c>
      <c r="B283" s="3" t="s">
        <v>163</v>
      </c>
      <c r="C283" s="47" t="n">
        <f aca="false">AVERAGEIFS(malumot!$I$2:$I$3542,malumot!$B$2:$B$3542,$A283)</f>
        <v>11.9398061397349</v>
      </c>
      <c r="D283" s="47" t="n">
        <f aca="false">AVERAGEIFS(malumot!$J$2:$J$3542,malumot!$B$2:$B$3542,$A283)</f>
        <v>52.0056626473265</v>
      </c>
      <c r="E283" s="7" t="n">
        <f aca="false">RANK(C283,$C$5:$C$432,0)</f>
        <v>87</v>
      </c>
      <c r="F283" s="7" t="n">
        <f aca="false">RANK(D283,$D$5:$D$432,0)</f>
        <v>59</v>
      </c>
      <c r="G283" s="7" t="n">
        <f aca="false">ABS(E283-F283)</f>
        <v>28</v>
      </c>
    </row>
    <row r="284" customFormat="false" ht="15" hidden="false" customHeight="false" outlineLevel="0" collapsed="false">
      <c r="A284" s="3" t="s">
        <v>299</v>
      </c>
      <c r="B284" s="3" t="s">
        <v>300</v>
      </c>
      <c r="C284" s="47" t="n">
        <f aca="false">AVERAGEIFS(malumot!$I$2:$I$3542,malumot!$B$2:$B$3542,$A284)</f>
        <v>8.21777001901785</v>
      </c>
      <c r="D284" s="47" t="n">
        <f aca="false">AVERAGEIFS(malumot!$J$2:$J$3542,malumot!$B$2:$B$3542,$A284)</f>
        <v>24.5395769490574</v>
      </c>
      <c r="E284" s="7" t="n">
        <f aca="false">RANK(C284,$C$5:$C$432,0)</f>
        <v>204</v>
      </c>
      <c r="F284" s="7" t="n">
        <f aca="false">RANK(D284,$D$5:$D$432,0)</f>
        <v>231</v>
      </c>
      <c r="G284" s="7" t="n">
        <f aca="false">ABS(E284-F284)</f>
        <v>27</v>
      </c>
    </row>
    <row r="285" customFormat="false" ht="15" hidden="false" customHeight="false" outlineLevel="0" collapsed="false">
      <c r="A285" s="3" t="s">
        <v>279</v>
      </c>
      <c r="B285" s="3" t="s">
        <v>280</v>
      </c>
      <c r="C285" s="47" t="n">
        <f aca="false">AVERAGEIFS(malumot!$I$2:$I$3542,malumot!$B$2:$B$3542,$A285)</f>
        <v>13.504278008524</v>
      </c>
      <c r="D285" s="47" t="n">
        <f aca="false">AVERAGEIFS(malumot!$J$2:$J$3542,malumot!$B$2:$B$3542,$A285)</f>
        <v>66.8428937777817</v>
      </c>
      <c r="E285" s="7" t="n">
        <f aca="false">RANK(C285,$C$5:$C$432,0)</f>
        <v>68</v>
      </c>
      <c r="F285" s="7" t="n">
        <f aca="false">RANK(D285,$D$5:$D$432,0)</f>
        <v>41</v>
      </c>
      <c r="G285" s="7" t="n">
        <f aca="false">ABS(E285-F285)</f>
        <v>27</v>
      </c>
    </row>
    <row r="286" customFormat="false" ht="15" hidden="false" customHeight="false" outlineLevel="0" collapsed="false">
      <c r="A286" s="3" t="s">
        <v>393</v>
      </c>
      <c r="B286" s="3" t="s">
        <v>394</v>
      </c>
      <c r="C286" s="47" t="n">
        <f aca="false">AVERAGEIFS(malumot!$I$2:$I$3542,malumot!$B$2:$B$3542,$A286)</f>
        <v>6.05144702512642</v>
      </c>
      <c r="D286" s="47" t="n">
        <f aca="false">AVERAGEIFS(malumot!$J$2:$J$3542,malumot!$B$2:$B$3542,$A286)</f>
        <v>15.0498170838139</v>
      </c>
      <c r="E286" s="7" t="n">
        <f aca="false">RANK(C286,$C$5:$C$432,0)</f>
        <v>314</v>
      </c>
      <c r="F286" s="7" t="n">
        <f aca="false">RANK(D286,$D$5:$D$432,0)</f>
        <v>341</v>
      </c>
      <c r="G286" s="7" t="n">
        <f aca="false">ABS(E286-F286)</f>
        <v>27</v>
      </c>
    </row>
    <row r="287" customFormat="false" ht="15" hidden="false" customHeight="false" outlineLevel="0" collapsed="false">
      <c r="A287" s="3" t="s">
        <v>1032</v>
      </c>
      <c r="B287" s="3" t="s">
        <v>1033</v>
      </c>
      <c r="C287" s="47" t="n">
        <f aca="false">AVERAGEIFS(malumot!$I$2:$I$3542,malumot!$B$2:$B$3542,$A287)</f>
        <v>14.511800482442</v>
      </c>
      <c r="D287" s="47" t="n">
        <f aca="false">AVERAGEIFS(malumot!$J$2:$J$3542,malumot!$B$2:$B$3542,$A287)</f>
        <v>69.5756999837657</v>
      </c>
      <c r="E287" s="7" t="n">
        <f aca="false">RANK(C287,$C$5:$C$432,0)</f>
        <v>58</v>
      </c>
      <c r="F287" s="7" t="n">
        <f aca="false">RANK(D287,$D$5:$D$432,0)</f>
        <v>32</v>
      </c>
      <c r="G287" s="7" t="n">
        <f aca="false">ABS(E287-F287)</f>
        <v>26</v>
      </c>
    </row>
    <row r="288" customFormat="false" ht="15" hidden="false" customHeight="false" outlineLevel="0" collapsed="false">
      <c r="A288" s="3" t="s">
        <v>1218</v>
      </c>
      <c r="B288" s="3" t="s">
        <v>1219</v>
      </c>
      <c r="C288" s="47" t="n">
        <f aca="false">AVERAGEIFS(malumot!$I$2:$I$3542,malumot!$B$2:$B$3542,$A288)</f>
        <v>8.03577906695099</v>
      </c>
      <c r="D288" s="47" t="n">
        <f aca="false">AVERAGEIFS(malumot!$J$2:$J$3542,malumot!$B$2:$B$3542,$A288)</f>
        <v>22.8252973257218</v>
      </c>
      <c r="E288" s="7" t="n">
        <f aca="false">RANK(C288,$C$5:$C$432,0)</f>
        <v>221</v>
      </c>
      <c r="F288" s="7" t="n">
        <f aca="false">RANK(D288,$D$5:$D$432,0)</f>
        <v>247</v>
      </c>
      <c r="G288" s="7" t="n">
        <f aca="false">ABS(E288-F288)</f>
        <v>26</v>
      </c>
    </row>
    <row r="289" customFormat="false" ht="15" hidden="false" customHeight="false" outlineLevel="0" collapsed="false">
      <c r="A289" s="3" t="s">
        <v>943</v>
      </c>
      <c r="B289" s="3" t="s">
        <v>944</v>
      </c>
      <c r="C289" s="47" t="n">
        <f aca="false">AVERAGEIFS(malumot!$I$2:$I$3542,malumot!$B$2:$B$3542,$A289)</f>
        <v>4.44186310377344</v>
      </c>
      <c r="D289" s="47" t="n">
        <f aca="false">AVERAGEIFS(malumot!$J$2:$J$3542,malumot!$B$2:$B$3542,$A289)</f>
        <v>5.16707584317682</v>
      </c>
      <c r="E289" s="7" t="n">
        <f aca="false">RANK(C289,$C$5:$C$432,0)</f>
        <v>390</v>
      </c>
      <c r="F289" s="7" t="n">
        <f aca="false">RANK(D289,$D$5:$D$432,0)</f>
        <v>416</v>
      </c>
      <c r="G289" s="7" t="n">
        <f aca="false">ABS(E289-F289)</f>
        <v>26</v>
      </c>
    </row>
    <row r="290" customFormat="false" ht="15" hidden="false" customHeight="false" outlineLevel="0" collapsed="false">
      <c r="A290" s="3" t="s">
        <v>1138</v>
      </c>
      <c r="B290" s="3" t="s">
        <v>1139</v>
      </c>
      <c r="C290" s="47" t="n">
        <f aca="false">AVERAGEIFS(malumot!$I$2:$I$3542,malumot!$B$2:$B$3542,$A290)</f>
        <v>6.60277912712459</v>
      </c>
      <c r="D290" s="47" t="n">
        <f aca="false">AVERAGEIFS(malumot!$J$2:$J$3542,malumot!$B$2:$B$3542,$A290)</f>
        <v>17.7034485127241</v>
      </c>
      <c r="E290" s="7" t="n">
        <f aca="false">RANK(C290,$C$5:$C$432,0)</f>
        <v>282</v>
      </c>
      <c r="F290" s="7" t="n">
        <f aca="false">RANK(D290,$D$5:$D$432,0)</f>
        <v>308</v>
      </c>
      <c r="G290" s="7" t="n">
        <f aca="false">ABS(E290-F290)</f>
        <v>26</v>
      </c>
    </row>
    <row r="291" customFormat="false" ht="15" hidden="false" customHeight="false" outlineLevel="0" collapsed="false">
      <c r="A291" s="3" t="s">
        <v>116</v>
      </c>
      <c r="B291" s="3" t="s">
        <v>117</v>
      </c>
      <c r="C291" s="47" t="n">
        <f aca="false">AVERAGEIFS(malumot!$I$2:$I$3542,malumot!$B$2:$B$3542,$A291)</f>
        <v>14.7920883246478</v>
      </c>
      <c r="D291" s="47" t="n">
        <f aca="false">AVERAGEIFS(malumot!$J$2:$J$3542,malumot!$B$2:$B$3542,$A291)</f>
        <v>72.2177857606136</v>
      </c>
      <c r="E291" s="7" t="n">
        <f aca="false">RANK(C291,$C$5:$C$432,0)</f>
        <v>55</v>
      </c>
      <c r="F291" s="7" t="n">
        <f aca="false">RANK(D291,$D$5:$D$432,0)</f>
        <v>30</v>
      </c>
      <c r="G291" s="7" t="n">
        <f aca="false">ABS(E291-F291)</f>
        <v>25</v>
      </c>
    </row>
    <row r="292" customFormat="false" ht="15" hidden="false" customHeight="false" outlineLevel="0" collapsed="false">
      <c r="A292" s="3" t="s">
        <v>879</v>
      </c>
      <c r="B292" s="3" t="s">
        <v>880</v>
      </c>
      <c r="C292" s="47" t="n">
        <f aca="false">AVERAGEIFS(malumot!$I$2:$I$3542,malumot!$B$2:$B$3542,$A292)</f>
        <v>8.91921628957345</v>
      </c>
      <c r="D292" s="47" t="n">
        <f aca="false">AVERAGEIFS(malumot!$J$2:$J$3542,malumot!$B$2:$B$3542,$A292)</f>
        <v>28.0440856106608</v>
      </c>
      <c r="E292" s="7" t="n">
        <f aca="false">RANK(C292,$C$5:$C$432,0)</f>
        <v>171</v>
      </c>
      <c r="F292" s="7" t="n">
        <f aca="false">RANK(D292,$D$5:$D$432,0)</f>
        <v>196</v>
      </c>
      <c r="G292" s="7" t="n">
        <f aca="false">ABS(E292-F292)</f>
        <v>25</v>
      </c>
    </row>
    <row r="293" customFormat="false" ht="15" hidden="false" customHeight="false" outlineLevel="0" collapsed="false">
      <c r="A293" s="3" t="s">
        <v>1148</v>
      </c>
      <c r="B293" s="3" t="s">
        <v>1149</v>
      </c>
      <c r="C293" s="47" t="n">
        <f aca="false">AVERAGEIFS(malumot!$I$2:$I$3542,malumot!$B$2:$B$3542,$A293)</f>
        <v>16.3639259468566</v>
      </c>
      <c r="D293" s="47" t="n">
        <f aca="false">AVERAGEIFS(malumot!$J$2:$J$3542,malumot!$B$2:$B$3542,$A293)</f>
        <v>95.376887065259</v>
      </c>
      <c r="E293" s="7" t="n">
        <f aca="false">RANK(C293,$C$5:$C$432,0)</f>
        <v>40</v>
      </c>
      <c r="F293" s="7" t="n">
        <f aca="false">RANK(D293,$D$5:$D$432,0)</f>
        <v>15</v>
      </c>
      <c r="G293" s="7" t="n">
        <f aca="false">ABS(E293-F293)</f>
        <v>25</v>
      </c>
    </row>
    <row r="294" customFormat="false" ht="15" hidden="false" customHeight="false" outlineLevel="0" collapsed="false">
      <c r="A294" s="3" t="s">
        <v>1158</v>
      </c>
      <c r="B294" s="3" t="s">
        <v>1159</v>
      </c>
      <c r="C294" s="47" t="n">
        <f aca="false">AVERAGEIFS(malumot!$I$2:$I$3542,malumot!$B$2:$B$3542,$A294)</f>
        <v>18.4640225461351</v>
      </c>
      <c r="D294" s="47" t="n">
        <f aca="false">AVERAGEIFS(malumot!$J$2:$J$3542,malumot!$B$2:$B$3542,$A294)</f>
        <v>56.4971943274928</v>
      </c>
      <c r="E294" s="7" t="n">
        <f aca="false">RANK(C294,$C$5:$C$432,0)</f>
        <v>30</v>
      </c>
      <c r="F294" s="7" t="n">
        <f aca="false">RANK(D294,$D$5:$D$432,0)</f>
        <v>55</v>
      </c>
      <c r="G294" s="7" t="n">
        <f aca="false">ABS(E294-F294)</f>
        <v>25</v>
      </c>
    </row>
    <row r="295" customFormat="false" ht="15" hidden="false" customHeight="false" outlineLevel="0" collapsed="false">
      <c r="A295" s="3" t="s">
        <v>207</v>
      </c>
      <c r="B295" s="3" t="s">
        <v>208</v>
      </c>
      <c r="C295" s="47" t="n">
        <f aca="false">AVERAGEIFS(malumot!$I$2:$I$3542,malumot!$B$2:$B$3542,$A295)</f>
        <v>19.2401494101478</v>
      </c>
      <c r="D295" s="47" t="n">
        <f aca="false">AVERAGEIFS(malumot!$J$2:$J$3542,malumot!$B$2:$B$3542,$A295)</f>
        <v>59.8657948765702</v>
      </c>
      <c r="E295" s="7" t="n">
        <f aca="false">RANK(C295,$C$5:$C$432,0)</f>
        <v>26</v>
      </c>
      <c r="F295" s="7" t="n">
        <f aca="false">RANK(D295,$D$5:$D$432,0)</f>
        <v>50</v>
      </c>
      <c r="G295" s="7" t="n">
        <f aca="false">ABS(E295-F295)</f>
        <v>24</v>
      </c>
    </row>
    <row r="296" customFormat="false" ht="15" hidden="false" customHeight="false" outlineLevel="0" collapsed="false">
      <c r="A296" s="3" t="s">
        <v>348</v>
      </c>
      <c r="B296" s="3" t="s">
        <v>349</v>
      </c>
      <c r="C296" s="47" t="n">
        <f aca="false">AVERAGEIFS(malumot!$I$2:$I$3542,malumot!$B$2:$B$3542,$A296)</f>
        <v>6.31051380988123</v>
      </c>
      <c r="D296" s="47" t="n">
        <f aca="false">AVERAGEIFS(malumot!$J$2:$J$3542,malumot!$B$2:$B$3542,$A296)</f>
        <v>19.8557036950205</v>
      </c>
      <c r="E296" s="7" t="n">
        <f aca="false">RANK(C296,$C$5:$C$432,0)</f>
        <v>298</v>
      </c>
      <c r="F296" s="7" t="n">
        <f aca="false">RANK(D296,$D$5:$D$432,0)</f>
        <v>274</v>
      </c>
      <c r="G296" s="7" t="n">
        <f aca="false">ABS(E296-F296)</f>
        <v>24</v>
      </c>
    </row>
    <row r="297" customFormat="false" ht="15" hidden="false" customHeight="false" outlineLevel="0" collapsed="false">
      <c r="A297" s="3" t="s">
        <v>870</v>
      </c>
      <c r="B297" s="3" t="s">
        <v>871</v>
      </c>
      <c r="C297" s="47" t="n">
        <f aca="false">AVERAGEIFS(malumot!$I$2:$I$3542,malumot!$B$2:$B$3542,$A297)</f>
        <v>4.18578616374071</v>
      </c>
      <c r="D297" s="47" t="n">
        <f aca="false">AVERAGEIFS(malumot!$J$2:$J$3542,malumot!$B$2:$B$3542,$A297)</f>
        <v>4.47519005460117</v>
      </c>
      <c r="E297" s="7" t="n">
        <f aca="false">RANK(C297,$C$5:$C$432,0)</f>
        <v>395</v>
      </c>
      <c r="F297" s="7" t="n">
        <f aca="false">RANK(D297,$D$5:$D$432,0)</f>
        <v>419</v>
      </c>
      <c r="G297" s="7" t="n">
        <f aca="false">ABS(E297-F297)</f>
        <v>24</v>
      </c>
    </row>
    <row r="298" customFormat="false" ht="15" hidden="false" customHeight="false" outlineLevel="0" collapsed="false">
      <c r="A298" s="3" t="s">
        <v>413</v>
      </c>
      <c r="B298" s="3" t="s">
        <v>240</v>
      </c>
      <c r="C298" s="47" t="n">
        <f aca="false">AVERAGEIFS(malumot!$I$2:$I$3542,malumot!$B$2:$B$3542,$A298)</f>
        <v>18.3279266594305</v>
      </c>
      <c r="D298" s="47" t="n">
        <f aca="false">AVERAGEIFS(malumot!$J$2:$J$3542,malumot!$B$2:$B$3542,$A298)</f>
        <v>101.94408708908</v>
      </c>
      <c r="E298" s="7" t="n">
        <f aca="false">RANK(C298,$C$5:$C$432,0)</f>
        <v>32</v>
      </c>
      <c r="F298" s="7" t="n">
        <f aca="false">RANK(D298,$D$5:$D$432,0)</f>
        <v>9</v>
      </c>
      <c r="G298" s="7" t="n">
        <f aca="false">ABS(E298-F298)</f>
        <v>23</v>
      </c>
    </row>
    <row r="299" customFormat="false" ht="15" hidden="false" customHeight="false" outlineLevel="0" collapsed="false">
      <c r="A299" s="3" t="s">
        <v>537</v>
      </c>
      <c r="B299" s="3" t="s">
        <v>538</v>
      </c>
      <c r="C299" s="47" t="n">
        <f aca="false">AVERAGEIFS(malumot!$I$2:$I$3542,malumot!$B$2:$B$3542,$A299)</f>
        <v>5.84302240697976</v>
      </c>
      <c r="D299" s="47" t="n">
        <f aca="false">AVERAGEIFS(malumot!$J$2:$J$3542,malumot!$B$2:$B$3542,$A299)</f>
        <v>18.2248281990321</v>
      </c>
      <c r="E299" s="7" t="n">
        <f aca="false">RANK(C299,$C$5:$C$432,0)</f>
        <v>328</v>
      </c>
      <c r="F299" s="7" t="n">
        <f aca="false">RANK(D299,$D$5:$D$432,0)</f>
        <v>305</v>
      </c>
      <c r="G299" s="7" t="n">
        <f aca="false">ABS(E299-F299)</f>
        <v>23</v>
      </c>
    </row>
    <row r="300" customFormat="false" ht="15" hidden="false" customHeight="false" outlineLevel="0" collapsed="false">
      <c r="A300" s="3" t="s">
        <v>847</v>
      </c>
      <c r="B300" s="3" t="s">
        <v>848</v>
      </c>
      <c r="C300" s="47" t="n">
        <f aca="false">AVERAGEIFS(malumot!$I$2:$I$3542,malumot!$B$2:$B$3542,$A300)</f>
        <v>11.6336147269934</v>
      </c>
      <c r="D300" s="47" t="n">
        <f aca="false">AVERAGEIFS(malumot!$J$2:$J$3542,malumot!$B$2:$B$3542,$A300)</f>
        <v>37.5356981769434</v>
      </c>
      <c r="E300" s="7" t="n">
        <f aca="false">RANK(C300,$C$5:$C$432,0)</f>
        <v>94</v>
      </c>
      <c r="F300" s="7" t="n">
        <f aca="false">RANK(D300,$D$5:$D$432,0)</f>
        <v>117</v>
      </c>
      <c r="G300" s="7" t="n">
        <f aca="false">ABS(E300-F300)</f>
        <v>23</v>
      </c>
    </row>
    <row r="301" customFormat="false" ht="15" hidden="false" customHeight="false" outlineLevel="0" collapsed="false">
      <c r="A301" s="3" t="s">
        <v>239</v>
      </c>
      <c r="B301" s="3" t="s">
        <v>240</v>
      </c>
      <c r="C301" s="47" t="n">
        <f aca="false">AVERAGEIFS(malumot!$I$2:$I$3542,malumot!$B$2:$B$3542,$A301)</f>
        <v>9.04116923809146</v>
      </c>
      <c r="D301" s="47" t="n">
        <f aca="false">AVERAGEIFS(malumot!$J$2:$J$3542,malumot!$B$2:$B$3542,$A301)</f>
        <v>32.73939885873</v>
      </c>
      <c r="E301" s="7" t="n">
        <f aca="false">RANK(C301,$C$5:$C$432,0)</f>
        <v>168</v>
      </c>
      <c r="F301" s="7" t="n">
        <f aca="false">RANK(D301,$D$5:$D$432,0)</f>
        <v>145</v>
      </c>
      <c r="G301" s="7" t="n">
        <f aca="false">ABS(E301-F301)</f>
        <v>23</v>
      </c>
    </row>
    <row r="302" customFormat="false" ht="15" hidden="false" customHeight="false" outlineLevel="0" collapsed="false">
      <c r="A302" s="3" t="s">
        <v>1002</v>
      </c>
      <c r="B302" s="3" t="s">
        <v>1003</v>
      </c>
      <c r="C302" s="47" t="n">
        <f aca="false">AVERAGEIFS(malumot!$I$2:$I$3542,malumot!$B$2:$B$3542,$A302)</f>
        <v>6.90248733243161</v>
      </c>
      <c r="D302" s="47" t="n">
        <f aca="false">AVERAGEIFS(malumot!$J$2:$J$3542,malumot!$B$2:$B$3542,$A302)</f>
        <v>22.7773326839977</v>
      </c>
      <c r="E302" s="7" t="n">
        <f aca="false">RANK(C302,$C$5:$C$432,0)</f>
        <v>270</v>
      </c>
      <c r="F302" s="7" t="n">
        <f aca="false">RANK(D302,$D$5:$D$432,0)</f>
        <v>248</v>
      </c>
      <c r="G302" s="7" t="n">
        <f aca="false">ABS(E302-F302)</f>
        <v>22</v>
      </c>
    </row>
    <row r="303" customFormat="false" ht="15" hidden="false" customHeight="false" outlineLevel="0" collapsed="false">
      <c r="A303" s="3" t="s">
        <v>31</v>
      </c>
      <c r="B303" s="3" t="s">
        <v>32</v>
      </c>
      <c r="C303" s="47" t="n">
        <f aca="false">AVERAGEIFS(malumot!$I$2:$I$3542,malumot!$B$2:$B$3542,$A303)</f>
        <v>6.67523328973526</v>
      </c>
      <c r="D303" s="47" t="n">
        <f aca="false">AVERAGEIFS(malumot!$J$2:$J$3542,malumot!$B$2:$B$3542,$A303)</f>
        <v>18.4480523910554</v>
      </c>
      <c r="E303" s="7" t="n">
        <f aca="false">RANK(C303,$C$5:$C$432,0)</f>
        <v>279</v>
      </c>
      <c r="F303" s="7" t="n">
        <f aca="false">RANK(D303,$D$5:$D$432,0)</f>
        <v>301</v>
      </c>
      <c r="G303" s="7" t="n">
        <f aca="false">ABS(E303-F303)</f>
        <v>22</v>
      </c>
    </row>
    <row r="304" customFormat="false" ht="15" hidden="false" customHeight="false" outlineLevel="0" collapsed="false">
      <c r="A304" s="3" t="s">
        <v>664</v>
      </c>
      <c r="B304" s="3" t="s">
        <v>665</v>
      </c>
      <c r="C304" s="47" t="n">
        <f aca="false">AVERAGEIFS(malumot!$I$2:$I$3542,malumot!$B$2:$B$3542,$A304)</f>
        <v>5.91210736785611</v>
      </c>
      <c r="D304" s="47" t="n">
        <f aca="false">AVERAGEIFS(malumot!$J$2:$J$3542,malumot!$B$2:$B$3542,$A304)</f>
        <v>14.7213220767588</v>
      </c>
      <c r="E304" s="7" t="n">
        <f aca="false">RANK(C304,$C$5:$C$432,0)</f>
        <v>324</v>
      </c>
      <c r="F304" s="7" t="n">
        <f aca="false">RANK(D304,$D$5:$D$432,0)</f>
        <v>346</v>
      </c>
      <c r="G304" s="7" t="n">
        <f aca="false">ABS(E304-F304)</f>
        <v>22</v>
      </c>
    </row>
    <row r="305" customFormat="false" ht="15" hidden="false" customHeight="false" outlineLevel="0" collapsed="false">
      <c r="A305" s="3" t="s">
        <v>768</v>
      </c>
      <c r="B305" s="3" t="s">
        <v>769</v>
      </c>
      <c r="C305" s="47" t="n">
        <f aca="false">AVERAGEIFS(malumot!$I$2:$I$3542,malumot!$B$2:$B$3542,$A305)</f>
        <v>2.45137564735254</v>
      </c>
      <c r="D305" s="47" t="n">
        <f aca="false">AVERAGEIFS(malumot!$J$2:$J$3542,malumot!$B$2:$B$3542,$A305)</f>
        <v>8.34733593618678</v>
      </c>
      <c r="E305" s="7" t="n">
        <f aca="false">RANK(C305,$C$5:$C$432,0)</f>
        <v>424</v>
      </c>
      <c r="F305" s="7" t="n">
        <f aca="false">RANK(D305,$D$5:$D$432,0)</f>
        <v>402</v>
      </c>
      <c r="G305" s="7" t="n">
        <f aca="false">ABS(E305-F305)</f>
        <v>22</v>
      </c>
    </row>
    <row r="306" customFormat="false" ht="15" hidden="false" customHeight="false" outlineLevel="0" collapsed="false">
      <c r="A306" s="3" t="s">
        <v>65</v>
      </c>
      <c r="B306" s="3" t="s">
        <v>66</v>
      </c>
      <c r="C306" s="47" t="n">
        <f aca="false">AVERAGEIFS(malumot!$I$2:$I$3542,malumot!$B$2:$B$3542,$A306)</f>
        <v>37.8400256731984</v>
      </c>
      <c r="D306" s="47" t="n">
        <f aca="false">AVERAGEIFS(malumot!$J$2:$J$3542,malumot!$B$2:$B$3542,$A306)</f>
        <v>81.6193574024489</v>
      </c>
      <c r="E306" s="7" t="n">
        <f aca="false">RANK(C306,$C$5:$C$432,0)</f>
        <v>1</v>
      </c>
      <c r="F306" s="7" t="n">
        <f aca="false">RANK(D306,$D$5:$D$432,0)</f>
        <v>22</v>
      </c>
      <c r="G306" s="7" t="n">
        <f aca="false">ABS(E306-F306)</f>
        <v>21</v>
      </c>
    </row>
    <row r="307" customFormat="false" ht="15" hidden="false" customHeight="false" outlineLevel="0" collapsed="false">
      <c r="A307" s="3" t="s">
        <v>1151</v>
      </c>
      <c r="B307" s="3" t="s">
        <v>695</v>
      </c>
      <c r="C307" s="47" t="n">
        <f aca="false">AVERAGEIFS(malumot!$I$2:$I$3542,malumot!$B$2:$B$3542,$A307)</f>
        <v>10.6180071188163</v>
      </c>
      <c r="D307" s="47" t="n">
        <f aca="false">AVERAGEIFS(malumot!$J$2:$J$3542,malumot!$B$2:$B$3542,$A307)</f>
        <v>42.3099303188159</v>
      </c>
      <c r="E307" s="7" t="n">
        <f aca="false">RANK(C307,$C$5:$C$432,0)</f>
        <v>115</v>
      </c>
      <c r="F307" s="7" t="n">
        <f aca="false">RANK(D307,$D$5:$D$432,0)</f>
        <v>94</v>
      </c>
      <c r="G307" s="7" t="n">
        <f aca="false">ABS(E307-F307)</f>
        <v>21</v>
      </c>
    </row>
    <row r="308" customFormat="false" ht="15" hidden="false" customHeight="false" outlineLevel="0" collapsed="false">
      <c r="A308" s="3" t="s">
        <v>1165</v>
      </c>
      <c r="B308" s="3" t="s">
        <v>1166</v>
      </c>
      <c r="C308" s="47" t="n">
        <f aca="false">AVERAGEIFS(malumot!$I$2:$I$3542,malumot!$B$2:$B$3542,$A308)</f>
        <v>6.08265344081369</v>
      </c>
      <c r="D308" s="47" t="n">
        <f aca="false">AVERAGEIFS(malumot!$J$2:$J$3542,malumot!$B$2:$B$3542,$A308)</f>
        <v>19.1639699709595</v>
      </c>
      <c r="E308" s="7" t="n">
        <f aca="false">RANK(C308,$C$5:$C$432,0)</f>
        <v>310</v>
      </c>
      <c r="F308" s="7" t="n">
        <f aca="false">RANK(D308,$D$5:$D$432,0)</f>
        <v>289</v>
      </c>
      <c r="G308" s="7" t="n">
        <f aca="false">ABS(E308-F308)</f>
        <v>21</v>
      </c>
    </row>
    <row r="309" customFormat="false" ht="15" hidden="false" customHeight="false" outlineLevel="0" collapsed="false">
      <c r="A309" s="3" t="s">
        <v>1180</v>
      </c>
      <c r="B309" s="3" t="s">
        <v>1181</v>
      </c>
      <c r="C309" s="47" t="n">
        <f aca="false">AVERAGEIFS(malumot!$I$2:$I$3542,malumot!$B$2:$B$3542,$A309)</f>
        <v>2.94458456337666</v>
      </c>
      <c r="D309" s="47" t="n">
        <f aca="false">AVERAGEIFS(malumot!$J$2:$J$3542,malumot!$B$2:$B$3542,$A309)</f>
        <v>9.26080499353499</v>
      </c>
      <c r="E309" s="7" t="n">
        <f aca="false">RANK(C309,$C$5:$C$432,0)</f>
        <v>418</v>
      </c>
      <c r="F309" s="7" t="n">
        <f aca="false">RANK(D309,$D$5:$D$432,0)</f>
        <v>398</v>
      </c>
      <c r="G309" s="7" t="n">
        <f aca="false">ABS(E309-F309)</f>
        <v>20</v>
      </c>
    </row>
    <row r="310" customFormat="false" ht="15" hidden="false" customHeight="false" outlineLevel="0" collapsed="false">
      <c r="A310" s="3" t="s">
        <v>38</v>
      </c>
      <c r="B310" s="3" t="s">
        <v>39</v>
      </c>
      <c r="C310" s="47" t="n">
        <f aca="false">AVERAGEIFS(malumot!$I$2:$I$3542,malumot!$B$2:$B$3542,$A310)</f>
        <v>5.33889704814352</v>
      </c>
      <c r="D310" s="47" t="n">
        <f aca="false">AVERAGEIFS(malumot!$J$2:$J$3542,malumot!$B$2:$B$3542,$A310)</f>
        <v>11.759600951429</v>
      </c>
      <c r="E310" s="7" t="n">
        <f aca="false">RANK(C310,$C$5:$C$432,0)</f>
        <v>355</v>
      </c>
      <c r="F310" s="7" t="n">
        <f aca="false">RANK(D310,$D$5:$D$432,0)</f>
        <v>375</v>
      </c>
      <c r="G310" s="7" t="n">
        <f aca="false">ABS(E310-F310)</f>
        <v>20</v>
      </c>
    </row>
    <row r="311" customFormat="false" ht="15" hidden="false" customHeight="false" outlineLevel="0" collapsed="false">
      <c r="A311" s="3" t="s">
        <v>92</v>
      </c>
      <c r="B311" s="3" t="s">
        <v>93</v>
      </c>
      <c r="C311" s="47" t="n">
        <f aca="false">AVERAGEIFS(malumot!$I$2:$I$3542,malumot!$B$2:$B$3542,$A311)</f>
        <v>20.1193274658235</v>
      </c>
      <c r="D311" s="47" t="n">
        <f aca="false">AVERAGEIFS(malumot!$J$2:$J$3542,malumot!$B$2:$B$3542,$A311)</f>
        <v>65.8453133189542</v>
      </c>
      <c r="E311" s="7" t="n">
        <f aca="false">RANK(C311,$C$5:$C$432,0)</f>
        <v>24</v>
      </c>
      <c r="F311" s="7" t="n">
        <f aca="false">RANK(D311,$D$5:$D$432,0)</f>
        <v>44</v>
      </c>
      <c r="G311" s="7" t="n">
        <f aca="false">ABS(E311-F311)</f>
        <v>20</v>
      </c>
    </row>
    <row r="312" customFormat="false" ht="15" hidden="false" customHeight="false" outlineLevel="0" collapsed="false">
      <c r="A312" s="3" t="s">
        <v>113</v>
      </c>
      <c r="B312" s="3" t="s">
        <v>114</v>
      </c>
      <c r="C312" s="47" t="n">
        <f aca="false">AVERAGEIFS(malumot!$I$2:$I$3542,malumot!$B$2:$B$3542,$A312)</f>
        <v>4.25142152361522</v>
      </c>
      <c r="D312" s="47" t="n">
        <f aca="false">AVERAGEIFS(malumot!$J$2:$J$3542,malumot!$B$2:$B$3542,$A312)</f>
        <v>6.63718818515502</v>
      </c>
      <c r="E312" s="7" t="n">
        <f aca="false">RANK(C312,$C$5:$C$432,0)</f>
        <v>393</v>
      </c>
      <c r="F312" s="7" t="n">
        <f aca="false">RANK(D312,$D$5:$D$432,0)</f>
        <v>413</v>
      </c>
      <c r="G312" s="7" t="n">
        <f aca="false">ABS(E312-F312)</f>
        <v>20</v>
      </c>
    </row>
    <row r="313" customFormat="false" ht="15" hidden="false" customHeight="false" outlineLevel="0" collapsed="false">
      <c r="A313" s="3" t="s">
        <v>225</v>
      </c>
      <c r="B313" s="3" t="s">
        <v>226</v>
      </c>
      <c r="C313" s="47" t="n">
        <f aca="false">AVERAGEIFS(malumot!$I$2:$I$3542,malumot!$B$2:$B$3542,$A313)</f>
        <v>7.41569452650251</v>
      </c>
      <c r="D313" s="47" t="n">
        <f aca="false">AVERAGEIFS(malumot!$J$2:$J$3542,malumot!$B$2:$B$3542,$A313)</f>
        <v>24.8151168295475</v>
      </c>
      <c r="E313" s="7" t="n">
        <f aca="false">RANK(C313,$C$5:$C$432,0)</f>
        <v>245</v>
      </c>
      <c r="F313" s="7" t="n">
        <f aca="false">RANK(D313,$D$5:$D$432,0)</f>
        <v>225</v>
      </c>
      <c r="G313" s="7" t="n">
        <f aca="false">ABS(E313-F313)</f>
        <v>20</v>
      </c>
    </row>
    <row r="314" customFormat="false" ht="15" hidden="false" customHeight="false" outlineLevel="0" collapsed="false">
      <c r="A314" s="3" t="s">
        <v>1068</v>
      </c>
      <c r="B314" s="3" t="s">
        <v>1069</v>
      </c>
      <c r="C314" s="47" t="n">
        <f aca="false">AVERAGEIFS(malumot!$I$2:$I$3542,malumot!$B$2:$B$3542,$A314)</f>
        <v>23.4949947968097</v>
      </c>
      <c r="D314" s="47" t="n">
        <f aca="false">AVERAGEIFS(malumot!$J$2:$J$3542,malumot!$B$2:$B$3542,$A314)</f>
        <v>69.1314690981379</v>
      </c>
      <c r="E314" s="7" t="n">
        <f aca="false">RANK(C314,$C$5:$C$432,0)</f>
        <v>13</v>
      </c>
      <c r="F314" s="7" t="n">
        <f aca="false">RANK(D314,$D$5:$D$432,0)</f>
        <v>33</v>
      </c>
      <c r="G314" s="7" t="n">
        <f aca="false">ABS(E314-F314)</f>
        <v>20</v>
      </c>
    </row>
    <row r="315" customFormat="false" ht="15" hidden="false" customHeight="false" outlineLevel="0" collapsed="false">
      <c r="A315" s="3" t="s">
        <v>725</v>
      </c>
      <c r="B315" s="3" t="s">
        <v>726</v>
      </c>
      <c r="C315" s="47" t="n">
        <f aca="false">AVERAGEIFS(malumot!$I$2:$I$3542,malumot!$B$2:$B$3542,$A315)</f>
        <v>10.6501241109833</v>
      </c>
      <c r="D315" s="47" t="n">
        <f aca="false">AVERAGEIFS(malumot!$J$2:$J$3542,malumot!$B$2:$B$3542,$A315)</f>
        <v>34.306105048968</v>
      </c>
      <c r="E315" s="7" t="n">
        <f aca="false">RANK(C315,$C$5:$C$432,0)</f>
        <v>114</v>
      </c>
      <c r="F315" s="7" t="n">
        <f aca="false">RANK(D315,$D$5:$D$432,0)</f>
        <v>134</v>
      </c>
      <c r="G315" s="7" t="n">
        <f aca="false">ABS(E315-F315)</f>
        <v>20</v>
      </c>
    </row>
    <row r="316" customFormat="false" ht="15" hidden="false" customHeight="false" outlineLevel="0" collapsed="false">
      <c r="A316" s="3" t="s">
        <v>408</v>
      </c>
      <c r="B316" s="3" t="s">
        <v>294</v>
      </c>
      <c r="C316" s="47" t="n">
        <f aca="false">AVERAGEIFS(malumot!$I$2:$I$3542,malumot!$B$2:$B$3542,$A316)</f>
        <v>8.40348551944817</v>
      </c>
      <c r="D316" s="47" t="n">
        <f aca="false">AVERAGEIFS(malumot!$J$2:$J$3542,malumot!$B$2:$B$3542,$A316)</f>
        <v>29.9895797325017</v>
      </c>
      <c r="E316" s="7" t="n">
        <f aca="false">RANK(C316,$C$5:$C$432,0)</f>
        <v>194</v>
      </c>
      <c r="F316" s="7" t="n">
        <f aca="false">RANK(D316,$D$5:$D$432,0)</f>
        <v>174</v>
      </c>
      <c r="G316" s="7" t="n">
        <f aca="false">ABS(E316-F316)</f>
        <v>20</v>
      </c>
    </row>
    <row r="317" customFormat="false" ht="15" hidden="false" customHeight="false" outlineLevel="0" collapsed="false">
      <c r="A317" s="3" t="s">
        <v>1143</v>
      </c>
      <c r="B317" s="3" t="s">
        <v>1144</v>
      </c>
      <c r="C317" s="47" t="n">
        <f aca="false">AVERAGEIFS(malumot!$I$2:$I$3542,malumot!$B$2:$B$3542,$A317)</f>
        <v>10.6616402063223</v>
      </c>
      <c r="D317" s="47" t="n">
        <f aca="false">AVERAGEIFS(malumot!$J$2:$J$3542,malumot!$B$2:$B$3542,$A317)</f>
        <v>42.6954914608076</v>
      </c>
      <c r="E317" s="7" t="n">
        <f aca="false">RANK(C317,$C$5:$C$432,0)</f>
        <v>112</v>
      </c>
      <c r="F317" s="7" t="n">
        <f aca="false">RANK(D317,$D$5:$D$432,0)</f>
        <v>93</v>
      </c>
      <c r="G317" s="7" t="n">
        <f aca="false">ABS(E317-F317)</f>
        <v>19</v>
      </c>
    </row>
    <row r="318" customFormat="false" ht="15" hidden="false" customHeight="false" outlineLevel="0" collapsed="false">
      <c r="A318" s="3" t="s">
        <v>718</v>
      </c>
      <c r="B318" s="3" t="s">
        <v>692</v>
      </c>
      <c r="C318" s="47" t="n">
        <f aca="false">AVERAGEIFS(malumot!$I$2:$I$3542,malumot!$B$2:$B$3542,$A318)</f>
        <v>18.159407599373</v>
      </c>
      <c r="D318" s="47" t="n">
        <f aca="false">AVERAGEIFS(malumot!$J$2:$J$3542,malumot!$B$2:$B$3542,$A318)</f>
        <v>97.3285319275365</v>
      </c>
      <c r="E318" s="7" t="n">
        <f aca="false">RANK(C318,$C$5:$C$432,0)</f>
        <v>33</v>
      </c>
      <c r="F318" s="7" t="n">
        <f aca="false">RANK(D318,$D$5:$D$432,0)</f>
        <v>14</v>
      </c>
      <c r="G318" s="7" t="n">
        <f aca="false">ABS(E318-F318)</f>
        <v>19</v>
      </c>
    </row>
    <row r="319" customFormat="false" ht="15" hidden="false" customHeight="false" outlineLevel="0" collapsed="false">
      <c r="A319" s="3" t="s">
        <v>478</v>
      </c>
      <c r="B319" s="3" t="s">
        <v>479</v>
      </c>
      <c r="C319" s="47" t="n">
        <f aca="false">AVERAGEIFS(malumot!$I$2:$I$3542,malumot!$B$2:$B$3542,$A319)</f>
        <v>7.15982663836267</v>
      </c>
      <c r="D319" s="47" t="n">
        <f aca="false">AVERAGEIFS(malumot!$J$2:$J$3542,malumot!$B$2:$B$3542,$A319)</f>
        <v>24.3766750045213</v>
      </c>
      <c r="E319" s="7" t="n">
        <f aca="false">RANK(C319,$C$5:$C$432,0)</f>
        <v>254</v>
      </c>
      <c r="F319" s="7" t="n">
        <f aca="false">RANK(D319,$D$5:$D$432,0)</f>
        <v>235</v>
      </c>
      <c r="G319" s="7" t="n">
        <f aca="false">ABS(E319-F319)</f>
        <v>19</v>
      </c>
    </row>
    <row r="320" customFormat="false" ht="15" hidden="false" customHeight="false" outlineLevel="0" collapsed="false">
      <c r="A320" s="3" t="s">
        <v>685</v>
      </c>
      <c r="B320" s="3" t="s">
        <v>686</v>
      </c>
      <c r="C320" s="47" t="n">
        <f aca="false">AVERAGEIFS(malumot!$I$2:$I$3542,malumot!$B$2:$B$3542,$A320)</f>
        <v>5.9448312009051</v>
      </c>
      <c r="D320" s="47" t="n">
        <f aca="false">AVERAGEIFS(malumot!$J$2:$J$3542,malumot!$B$2:$B$3542,$A320)</f>
        <v>18.4176719495462</v>
      </c>
      <c r="E320" s="7" t="n">
        <f aca="false">RANK(C320,$C$5:$C$432,0)</f>
        <v>321</v>
      </c>
      <c r="F320" s="7" t="n">
        <f aca="false">RANK(D320,$D$5:$D$432,0)</f>
        <v>302</v>
      </c>
      <c r="G320" s="7" t="n">
        <f aca="false">ABS(E320-F320)</f>
        <v>19</v>
      </c>
    </row>
    <row r="321" customFormat="false" ht="15" hidden="false" customHeight="false" outlineLevel="0" collapsed="false">
      <c r="A321" s="3" t="s">
        <v>13</v>
      </c>
      <c r="B321" s="3" t="s">
        <v>15</v>
      </c>
      <c r="C321" s="47" t="n">
        <f aca="false">AVERAGEIFS(malumot!$I$2:$I$3542,malumot!$B$2:$B$3542,$A321)</f>
        <v>7.34380534833753</v>
      </c>
      <c r="D321" s="47" t="n">
        <f aca="false">AVERAGEIFS(malumot!$J$2:$J$3542,malumot!$B$2:$B$3542,$A321)</f>
        <v>20.5086143152749</v>
      </c>
      <c r="E321" s="7" t="n">
        <f aca="false">RANK(C321,$C$5:$C$432,0)</f>
        <v>250</v>
      </c>
      <c r="F321" s="7" t="n">
        <f aca="false">RANK(D321,$D$5:$D$432,0)</f>
        <v>268</v>
      </c>
      <c r="G321" s="7" t="n">
        <f aca="false">ABS(E321-F321)</f>
        <v>18</v>
      </c>
    </row>
    <row r="322" customFormat="false" ht="15" hidden="false" customHeight="false" outlineLevel="0" collapsed="false">
      <c r="A322" s="3" t="s">
        <v>50</v>
      </c>
      <c r="B322" s="3" t="s">
        <v>51</v>
      </c>
      <c r="C322" s="47" t="n">
        <f aca="false">AVERAGEIFS(malumot!$I$2:$I$3542,malumot!$B$2:$B$3542,$A322)</f>
        <v>10.1454240481553</v>
      </c>
      <c r="D322" s="47" t="n">
        <f aca="false">AVERAGEIFS(malumot!$J$2:$J$3542,malumot!$B$2:$B$3542,$A322)</f>
        <v>37.8218284589644</v>
      </c>
      <c r="E322" s="7" t="n">
        <f aca="false">RANK(C322,$C$5:$C$432,0)</f>
        <v>131</v>
      </c>
      <c r="F322" s="7" t="n">
        <f aca="false">RANK(D322,$D$5:$D$432,0)</f>
        <v>113</v>
      </c>
      <c r="G322" s="7" t="n">
        <f aca="false">ABS(E322-F322)</f>
        <v>18</v>
      </c>
    </row>
    <row r="323" customFormat="false" ht="15" hidden="false" customHeight="false" outlineLevel="0" collapsed="false">
      <c r="A323" s="3" t="s">
        <v>565</v>
      </c>
      <c r="B323" s="3" t="s">
        <v>566</v>
      </c>
      <c r="C323" s="47" t="n">
        <f aca="false">AVERAGEIFS(malumot!$I$2:$I$3542,malumot!$B$2:$B$3542,$A323)</f>
        <v>3.20835466568547</v>
      </c>
      <c r="D323" s="47" t="n">
        <f aca="false">AVERAGEIFS(malumot!$J$2:$J$3542,malumot!$B$2:$B$3542,$A323)</f>
        <v>9.27403472214296</v>
      </c>
      <c r="E323" s="7" t="n">
        <f aca="false">RANK(C323,$C$5:$C$432,0)</f>
        <v>415</v>
      </c>
      <c r="F323" s="7" t="n">
        <f aca="false">RANK(D323,$D$5:$D$432,0)</f>
        <v>397</v>
      </c>
      <c r="G323" s="7" t="n">
        <f aca="false">ABS(E323-F323)</f>
        <v>18</v>
      </c>
    </row>
    <row r="324" customFormat="false" ht="15" hidden="false" customHeight="false" outlineLevel="0" collapsed="false">
      <c r="A324" s="3" t="s">
        <v>434</v>
      </c>
      <c r="B324" s="3" t="s">
        <v>435</v>
      </c>
      <c r="C324" s="47" t="n">
        <f aca="false">AVERAGEIFS(malumot!$I$2:$I$3542,malumot!$B$2:$B$3542,$A324)</f>
        <v>10.8402268228128</v>
      </c>
      <c r="D324" s="47" t="n">
        <f aca="false">AVERAGEIFS(malumot!$J$2:$J$3542,malumot!$B$2:$B$3542,$A324)</f>
        <v>36.369140528106</v>
      </c>
      <c r="E324" s="7" t="n">
        <f aca="false">RANK(C324,$C$5:$C$432,0)</f>
        <v>109</v>
      </c>
      <c r="F324" s="7" t="n">
        <f aca="false">RANK(D324,$D$5:$D$432,0)</f>
        <v>127</v>
      </c>
      <c r="G324" s="7" t="n">
        <f aca="false">ABS(E324-F324)</f>
        <v>18</v>
      </c>
    </row>
    <row r="325" customFormat="false" ht="15" hidden="false" customHeight="false" outlineLevel="0" collapsed="false">
      <c r="A325" s="3" t="s">
        <v>614</v>
      </c>
      <c r="B325" s="3" t="s">
        <v>615</v>
      </c>
      <c r="C325" s="47" t="n">
        <f aca="false">AVERAGEIFS(malumot!$I$2:$I$3542,malumot!$B$2:$B$3542,$A325)</f>
        <v>10.8561411922017</v>
      </c>
      <c r="D325" s="47" t="n">
        <f aca="false">AVERAGEIFS(malumot!$J$2:$J$3542,malumot!$B$2:$B$3542,$A325)</f>
        <v>43.4415184576483</v>
      </c>
      <c r="E325" s="7" t="n">
        <f aca="false">RANK(C325,$C$5:$C$432,0)</f>
        <v>108</v>
      </c>
      <c r="F325" s="7" t="n">
        <f aca="false">RANK(D325,$D$5:$D$432,0)</f>
        <v>91</v>
      </c>
      <c r="G325" s="7" t="n">
        <f aca="false">ABS(E325-F325)</f>
        <v>17</v>
      </c>
    </row>
    <row r="326" customFormat="false" ht="15" hidden="false" customHeight="false" outlineLevel="0" collapsed="false">
      <c r="A326" s="3" t="s">
        <v>797</v>
      </c>
      <c r="B326" s="3" t="s">
        <v>798</v>
      </c>
      <c r="C326" s="47" t="n">
        <f aca="false">AVERAGEIFS(malumot!$I$2:$I$3542,malumot!$B$2:$B$3542,$A326)</f>
        <v>8.15082399219129</v>
      </c>
      <c r="D326" s="47" t="n">
        <f aca="false">AVERAGEIFS(malumot!$J$2:$J$3542,malumot!$B$2:$B$3542,$A326)</f>
        <v>28.1268842907795</v>
      </c>
      <c r="E326" s="7" t="n">
        <f aca="false">RANK(C326,$C$5:$C$432,0)</f>
        <v>211</v>
      </c>
      <c r="F326" s="7" t="n">
        <f aca="false">RANK(D326,$D$5:$D$432,0)</f>
        <v>194</v>
      </c>
      <c r="G326" s="7" t="n">
        <f aca="false">ABS(E326-F326)</f>
        <v>17</v>
      </c>
    </row>
    <row r="327" customFormat="false" ht="15" hidden="false" customHeight="false" outlineLevel="0" collapsed="false">
      <c r="A327" s="3" t="s">
        <v>528</v>
      </c>
      <c r="B327" s="3" t="s">
        <v>529</v>
      </c>
      <c r="C327" s="47" t="n">
        <f aca="false">AVERAGEIFS(malumot!$I$2:$I$3542,malumot!$B$2:$B$3542,$A327)</f>
        <v>7.04759395888684</v>
      </c>
      <c r="D327" s="47" t="n">
        <f aca="false">AVERAGEIFS(malumot!$J$2:$J$3542,malumot!$B$2:$B$3542,$A327)</f>
        <v>19.5007242917791</v>
      </c>
      <c r="E327" s="7" t="n">
        <f aca="false">RANK(C327,$C$5:$C$432,0)</f>
        <v>265</v>
      </c>
      <c r="F327" s="7" t="n">
        <f aca="false">RANK(D327,$D$5:$D$432,0)</f>
        <v>282</v>
      </c>
      <c r="G327" s="7" t="n">
        <f aca="false">ABS(E327-F327)</f>
        <v>17</v>
      </c>
    </row>
    <row r="328" customFormat="false" ht="15" hidden="false" customHeight="false" outlineLevel="0" collapsed="false">
      <c r="A328" s="3" t="s">
        <v>724</v>
      </c>
      <c r="B328" s="3" t="s">
        <v>677</v>
      </c>
      <c r="C328" s="47" t="n">
        <f aca="false">AVERAGEIFS(malumot!$I$2:$I$3542,malumot!$B$2:$B$3542,$A328)</f>
        <v>18.0338963402563</v>
      </c>
      <c r="D328" s="47" t="n">
        <f aca="false">AVERAGEIFS(malumot!$J$2:$J$3542,malumot!$B$2:$B$3542,$A328)</f>
        <v>88.131312408258</v>
      </c>
      <c r="E328" s="7" t="n">
        <f aca="false">RANK(C328,$C$5:$C$432,0)</f>
        <v>34</v>
      </c>
      <c r="F328" s="7" t="n">
        <f aca="false">RANK(D328,$D$5:$D$432,0)</f>
        <v>17</v>
      </c>
      <c r="G328" s="7" t="n">
        <f aca="false">ABS(E328-F328)</f>
        <v>17</v>
      </c>
    </row>
    <row r="329" customFormat="false" ht="15" hidden="false" customHeight="false" outlineLevel="0" collapsed="false">
      <c r="A329" s="3" t="s">
        <v>98</v>
      </c>
      <c r="B329" s="3" t="s">
        <v>99</v>
      </c>
      <c r="C329" s="47" t="n">
        <f aca="false">AVERAGEIFS(malumot!$I$2:$I$3542,malumot!$B$2:$B$3542,$A329)</f>
        <v>11.4069266254662</v>
      </c>
      <c r="D329" s="47" t="n">
        <f aca="false">AVERAGEIFS(malumot!$J$2:$J$3542,malumot!$B$2:$B$3542,$A329)</f>
        <v>37.5820360230249</v>
      </c>
      <c r="E329" s="7" t="n">
        <f aca="false">RANK(C329,$C$5:$C$432,0)</f>
        <v>99</v>
      </c>
      <c r="F329" s="7" t="n">
        <f aca="false">RANK(D329,$D$5:$D$432,0)</f>
        <v>115</v>
      </c>
      <c r="G329" s="7" t="n">
        <f aca="false">ABS(E329-F329)</f>
        <v>16</v>
      </c>
    </row>
    <row r="330" customFormat="false" ht="15" hidden="false" customHeight="false" outlineLevel="0" collapsed="false">
      <c r="A330" s="3" t="s">
        <v>548</v>
      </c>
      <c r="B330" s="3" t="s">
        <v>549</v>
      </c>
      <c r="C330" s="47" t="n">
        <f aca="false">AVERAGEIFS(malumot!$I$2:$I$3542,malumot!$B$2:$B$3542,$A330)</f>
        <v>4.56706516047532</v>
      </c>
      <c r="D330" s="47" t="n">
        <f aca="false">AVERAGEIFS(malumot!$J$2:$J$3542,malumot!$B$2:$B$3542,$A330)</f>
        <v>12.3466402814112</v>
      </c>
      <c r="E330" s="7" t="n">
        <f aca="false">RANK(C330,$C$5:$C$432,0)</f>
        <v>386</v>
      </c>
      <c r="F330" s="7" t="n">
        <f aca="false">RANK(D330,$D$5:$D$432,0)</f>
        <v>370</v>
      </c>
      <c r="G330" s="7" t="n">
        <f aca="false">ABS(E330-F330)</f>
        <v>16</v>
      </c>
    </row>
    <row r="331" customFormat="false" ht="15" hidden="false" customHeight="false" outlineLevel="0" collapsed="false">
      <c r="A331" s="3" t="s">
        <v>1221</v>
      </c>
      <c r="B331" s="3" t="s">
        <v>1222</v>
      </c>
      <c r="C331" s="47" t="n">
        <f aca="false">AVERAGEIFS(malumot!$I$2:$I$3542,malumot!$B$2:$B$3542,$A331)</f>
        <v>17.0651211810716</v>
      </c>
      <c r="D331" s="47" t="n">
        <f aca="false">AVERAGEIFS(malumot!$J$2:$J$3542,malumot!$B$2:$B$3542,$A331)</f>
        <v>84.112996653177</v>
      </c>
      <c r="E331" s="7" t="n">
        <f aca="false">RANK(C331,$C$5:$C$432,0)</f>
        <v>36</v>
      </c>
      <c r="F331" s="7" t="n">
        <f aca="false">RANK(D331,$D$5:$D$432,0)</f>
        <v>20</v>
      </c>
      <c r="G331" s="7" t="n">
        <f aca="false">ABS(E331-F331)</f>
        <v>16</v>
      </c>
    </row>
    <row r="332" customFormat="false" ht="15" hidden="false" customHeight="false" outlineLevel="0" collapsed="false">
      <c r="A332" s="3" t="s">
        <v>156</v>
      </c>
      <c r="B332" s="3" t="s">
        <v>157</v>
      </c>
      <c r="C332" s="47" t="n">
        <f aca="false">AVERAGEIFS(malumot!$I$2:$I$3542,malumot!$B$2:$B$3542,$A332)</f>
        <v>18.5171787455532</v>
      </c>
      <c r="D332" s="47" t="n">
        <f aca="false">AVERAGEIFS(malumot!$J$2:$J$3542,malumot!$B$2:$B$3542,$A332)</f>
        <v>99.5064661441185</v>
      </c>
      <c r="E332" s="7" t="n">
        <f aca="false">RANK(C332,$C$5:$C$432,0)</f>
        <v>28</v>
      </c>
      <c r="F332" s="7" t="n">
        <f aca="false">RANK(D332,$D$5:$D$432,0)</f>
        <v>12</v>
      </c>
      <c r="G332" s="7" t="n">
        <f aca="false">ABS(E332-F332)</f>
        <v>16</v>
      </c>
    </row>
    <row r="333" customFormat="false" ht="15" hidden="false" customHeight="false" outlineLevel="0" collapsed="false">
      <c r="A333" s="3" t="s">
        <v>891</v>
      </c>
      <c r="B333" s="3" t="s">
        <v>892</v>
      </c>
      <c r="C333" s="47" t="n">
        <f aca="false">AVERAGEIFS(malumot!$I$2:$I$3542,malumot!$B$2:$B$3542,$A333)</f>
        <v>14.7639545826646</v>
      </c>
      <c r="D333" s="47" t="n">
        <f aca="false">AVERAGEIFS(malumot!$J$2:$J$3542,malumot!$B$2:$B$3542,$A333)</f>
        <v>66.9310358314842</v>
      </c>
      <c r="E333" s="7" t="n">
        <f aca="false">RANK(C333,$C$5:$C$432,0)</f>
        <v>56</v>
      </c>
      <c r="F333" s="7" t="n">
        <f aca="false">RANK(D333,$D$5:$D$432,0)</f>
        <v>40</v>
      </c>
      <c r="G333" s="7" t="n">
        <f aca="false">ABS(E333-F333)</f>
        <v>16</v>
      </c>
    </row>
    <row r="334" customFormat="false" ht="15" hidden="false" customHeight="false" outlineLevel="0" collapsed="false">
      <c r="A334" s="3" t="s">
        <v>127</v>
      </c>
      <c r="B334" s="3" t="s">
        <v>128</v>
      </c>
      <c r="C334" s="47" t="n">
        <f aca="false">AVERAGEIFS(malumot!$I$2:$I$3542,malumot!$B$2:$B$3542,$A334)</f>
        <v>7.94497449009479</v>
      </c>
      <c r="D334" s="47" t="n">
        <f aca="false">AVERAGEIFS(malumot!$J$2:$J$3542,malumot!$B$2:$B$3542,$A334)</f>
        <v>26.4426848599231</v>
      </c>
      <c r="E334" s="7" t="n">
        <f aca="false">RANK(C334,$C$5:$C$432,0)</f>
        <v>226</v>
      </c>
      <c r="F334" s="7" t="n">
        <f aca="false">RANK(D334,$D$5:$D$432,0)</f>
        <v>210</v>
      </c>
      <c r="G334" s="7" t="n">
        <f aca="false">ABS(E334-F334)</f>
        <v>16</v>
      </c>
    </row>
    <row r="335" customFormat="false" ht="15" hidden="false" customHeight="false" outlineLevel="0" collapsed="false">
      <c r="A335" s="3" t="s">
        <v>488</v>
      </c>
      <c r="B335" s="3" t="s">
        <v>489</v>
      </c>
      <c r="C335" s="47" t="n">
        <f aca="false">AVERAGEIFS(malumot!$I$2:$I$3542,malumot!$B$2:$B$3542,$A335)</f>
        <v>5.44841948160674</v>
      </c>
      <c r="D335" s="47" t="n">
        <f aca="false">AVERAGEIFS(malumot!$J$2:$J$3542,malumot!$B$2:$B$3542,$A335)</f>
        <v>12.9949491304031</v>
      </c>
      <c r="E335" s="7" t="n">
        <f aca="false">RANK(C335,$C$5:$C$432,0)</f>
        <v>350</v>
      </c>
      <c r="F335" s="7" t="n">
        <f aca="false">RANK(D335,$D$5:$D$432,0)</f>
        <v>365</v>
      </c>
      <c r="G335" s="7" t="n">
        <f aca="false">ABS(E335-F335)</f>
        <v>15</v>
      </c>
    </row>
    <row r="336" customFormat="false" ht="15" hidden="false" customHeight="false" outlineLevel="0" collapsed="false">
      <c r="A336" s="3" t="s">
        <v>195</v>
      </c>
      <c r="B336" s="3" t="s">
        <v>196</v>
      </c>
      <c r="C336" s="47" t="n">
        <f aca="false">AVERAGEIFS(malumot!$I$2:$I$3542,malumot!$B$2:$B$3542,$A336)</f>
        <v>10.6551594580529</v>
      </c>
      <c r="D336" s="47" t="n">
        <f aca="false">AVERAGEIFS(malumot!$J$2:$J$3542,malumot!$B$2:$B$3542,$A336)</f>
        <v>41.4755241121307</v>
      </c>
      <c r="E336" s="7" t="n">
        <f aca="false">RANK(C336,$C$5:$C$432,0)</f>
        <v>113</v>
      </c>
      <c r="F336" s="7" t="n">
        <f aca="false">RANK(D336,$D$5:$D$432,0)</f>
        <v>98</v>
      </c>
      <c r="G336" s="7" t="n">
        <f aca="false">ABS(E336-F336)</f>
        <v>15</v>
      </c>
    </row>
    <row r="337" customFormat="false" ht="15" hidden="false" customHeight="false" outlineLevel="0" collapsed="false">
      <c r="A337" s="3" t="s">
        <v>125</v>
      </c>
      <c r="B337" s="3" t="s">
        <v>126</v>
      </c>
      <c r="C337" s="47" t="n">
        <f aca="false">AVERAGEIFS(malumot!$I$2:$I$3542,malumot!$B$2:$B$3542,$A337)</f>
        <v>19.4263152623045</v>
      </c>
      <c r="D337" s="47" t="n">
        <f aca="false">AVERAGEIFS(malumot!$J$2:$J$3542,malumot!$B$2:$B$3542,$A337)</f>
        <v>100.042782597125</v>
      </c>
      <c r="E337" s="7" t="n">
        <f aca="false">RANK(C337,$C$5:$C$432,0)</f>
        <v>25</v>
      </c>
      <c r="F337" s="7" t="n">
        <f aca="false">RANK(D337,$D$5:$D$432,0)</f>
        <v>10</v>
      </c>
      <c r="G337" s="7" t="n">
        <f aca="false">ABS(E337-F337)</f>
        <v>15</v>
      </c>
    </row>
    <row r="338" customFormat="false" ht="15" hidden="false" customHeight="false" outlineLevel="0" collapsed="false">
      <c r="A338" s="3" t="s">
        <v>1118</v>
      </c>
      <c r="B338" s="3" t="s">
        <v>1119</v>
      </c>
      <c r="C338" s="47" t="n">
        <f aca="false">AVERAGEIFS(malumot!$I$2:$I$3542,malumot!$B$2:$B$3542,$A338)</f>
        <v>16.6081348129715</v>
      </c>
      <c r="D338" s="47" t="n">
        <f aca="false">AVERAGEIFS(malumot!$J$2:$J$3542,malumot!$B$2:$B$3542,$A338)</f>
        <v>81.1171780266011</v>
      </c>
      <c r="E338" s="7" t="n">
        <f aca="false">RANK(C338,$C$5:$C$432,0)</f>
        <v>39</v>
      </c>
      <c r="F338" s="7" t="n">
        <f aca="false">RANK(D338,$D$5:$D$432,0)</f>
        <v>24</v>
      </c>
      <c r="G338" s="7" t="n">
        <f aca="false">ABS(E338-F338)</f>
        <v>15</v>
      </c>
    </row>
    <row r="339" customFormat="false" ht="15" hidden="false" customHeight="false" outlineLevel="0" collapsed="false">
      <c r="A339" s="3" t="s">
        <v>691</v>
      </c>
      <c r="B339" s="3" t="s">
        <v>692</v>
      </c>
      <c r="C339" s="47" t="n">
        <f aca="false">AVERAGEIFS(malumot!$I$2:$I$3542,malumot!$B$2:$B$3542,$A339)</f>
        <v>9.79296304688578</v>
      </c>
      <c r="D339" s="47" t="n">
        <f aca="false">AVERAGEIFS(malumot!$J$2:$J$3542,malumot!$B$2:$B$3542,$A339)</f>
        <v>36.4987049628833</v>
      </c>
      <c r="E339" s="7" t="n">
        <f aca="false">RANK(C339,$C$5:$C$432,0)</f>
        <v>139</v>
      </c>
      <c r="F339" s="7" t="n">
        <f aca="false">RANK(D339,$D$5:$D$432,0)</f>
        <v>124</v>
      </c>
      <c r="G339" s="7" t="n">
        <f aca="false">ABS(E339-F339)</f>
        <v>15</v>
      </c>
    </row>
    <row r="340" customFormat="false" ht="15" hidden="false" customHeight="false" outlineLevel="0" collapsed="false">
      <c r="A340" s="3" t="s">
        <v>722</v>
      </c>
      <c r="B340" s="3" t="s">
        <v>692</v>
      </c>
      <c r="C340" s="47" t="n">
        <f aca="false">AVERAGEIFS(malumot!$I$2:$I$3542,malumot!$B$2:$B$3542,$A340)</f>
        <v>8.35464344162833</v>
      </c>
      <c r="D340" s="47" t="n">
        <f aca="false">AVERAGEIFS(malumot!$J$2:$J$3542,malumot!$B$2:$B$3542,$A340)</f>
        <v>29.2613569859774</v>
      </c>
      <c r="E340" s="7" t="n">
        <f aca="false">RANK(C340,$C$5:$C$432,0)</f>
        <v>198</v>
      </c>
      <c r="F340" s="7" t="n">
        <f aca="false">RANK(D340,$D$5:$D$432,0)</f>
        <v>183</v>
      </c>
      <c r="G340" s="7" t="n">
        <f aca="false">ABS(E340-F340)</f>
        <v>15</v>
      </c>
    </row>
    <row r="341" customFormat="false" ht="15" hidden="false" customHeight="false" outlineLevel="0" collapsed="false">
      <c r="A341" s="3" t="s">
        <v>273</v>
      </c>
      <c r="B341" s="3" t="s">
        <v>274</v>
      </c>
      <c r="C341" s="47" t="n">
        <f aca="false">AVERAGEIFS(malumot!$I$2:$I$3542,malumot!$B$2:$B$3542,$A341)</f>
        <v>4.37442271884957</v>
      </c>
      <c r="D341" s="47" t="n">
        <f aca="false">AVERAGEIFS(malumot!$J$2:$J$3542,malumot!$B$2:$B$3542,$A341)</f>
        <v>7.62003164383342</v>
      </c>
      <c r="E341" s="7" t="n">
        <f aca="false">RANK(C341,$C$5:$C$432,0)</f>
        <v>391</v>
      </c>
      <c r="F341" s="7" t="n">
        <f aca="false">RANK(D341,$D$5:$D$432,0)</f>
        <v>405</v>
      </c>
      <c r="G341" s="7" t="n">
        <f aca="false">ABS(E341-F341)</f>
        <v>14</v>
      </c>
    </row>
    <row r="342" customFormat="false" ht="15" hidden="false" customHeight="false" outlineLevel="0" collapsed="false">
      <c r="A342" s="3" t="s">
        <v>1074</v>
      </c>
      <c r="B342" s="3" t="s">
        <v>1075</v>
      </c>
      <c r="C342" s="47" t="n">
        <f aca="false">AVERAGEIFS(malumot!$I$2:$I$3542,malumot!$B$2:$B$3542,$A342)</f>
        <v>4.52688725309477</v>
      </c>
      <c r="D342" s="47" t="n">
        <f aca="false">AVERAGEIFS(malumot!$J$2:$J$3542,malumot!$B$2:$B$3542,$A342)</f>
        <v>9.07365264177952</v>
      </c>
      <c r="E342" s="7" t="n">
        <f aca="false">RANK(C342,$C$5:$C$432,0)</f>
        <v>387</v>
      </c>
      <c r="F342" s="7" t="n">
        <f aca="false">RANK(D342,$D$5:$D$432,0)</f>
        <v>401</v>
      </c>
      <c r="G342" s="7" t="n">
        <f aca="false">ABS(E342-F342)</f>
        <v>14</v>
      </c>
    </row>
    <row r="343" customFormat="false" ht="15" hidden="false" customHeight="false" outlineLevel="0" collapsed="false">
      <c r="A343" s="3" t="s">
        <v>959</v>
      </c>
      <c r="B343" s="3" t="s">
        <v>960</v>
      </c>
      <c r="C343" s="47" t="n">
        <f aca="false">AVERAGEIFS(malumot!$I$2:$I$3542,malumot!$B$2:$B$3542,$A343)</f>
        <v>5.87068539797328</v>
      </c>
      <c r="D343" s="47" t="n">
        <f aca="false">AVERAGEIFS(malumot!$J$2:$J$3542,malumot!$B$2:$B$3542,$A343)</f>
        <v>17.0338839212022</v>
      </c>
      <c r="E343" s="7" t="n">
        <f aca="false">RANK(C343,$C$5:$C$432,0)</f>
        <v>327</v>
      </c>
      <c r="F343" s="7" t="n">
        <f aca="false">RANK(D343,$D$5:$D$432,0)</f>
        <v>313</v>
      </c>
      <c r="G343" s="7" t="n">
        <f aca="false">ABS(E343-F343)</f>
        <v>14</v>
      </c>
    </row>
    <row r="344" customFormat="false" ht="15" hidden="false" customHeight="false" outlineLevel="0" collapsed="false">
      <c r="A344" s="3" t="s">
        <v>676</v>
      </c>
      <c r="B344" s="3" t="s">
        <v>677</v>
      </c>
      <c r="C344" s="47" t="n">
        <f aca="false">AVERAGEIFS(malumot!$I$2:$I$3542,malumot!$B$2:$B$3542,$A344)</f>
        <v>23.4463384323743</v>
      </c>
      <c r="D344" s="47" t="n">
        <f aca="false">AVERAGEIFS(malumot!$J$2:$J$3542,malumot!$B$2:$B$3542,$A344)</f>
        <v>234.158184216799</v>
      </c>
      <c r="E344" s="7" t="n">
        <f aca="false">RANK(C344,$C$5:$C$432,0)</f>
        <v>14</v>
      </c>
      <c r="F344" s="7" t="n">
        <f aca="false">RANK(D344,$D$5:$D$432,0)</f>
        <v>1</v>
      </c>
      <c r="G344" s="7" t="n">
        <f aca="false">ABS(E344-F344)</f>
        <v>13</v>
      </c>
    </row>
    <row r="345" customFormat="false" ht="15" hidden="false" customHeight="false" outlineLevel="0" collapsed="false">
      <c r="A345" s="3" t="s">
        <v>833</v>
      </c>
      <c r="B345" s="3" t="s">
        <v>834</v>
      </c>
      <c r="C345" s="47" t="n">
        <f aca="false">AVERAGEIFS(malumot!$I$2:$I$3542,malumot!$B$2:$B$3542,$A345)</f>
        <v>5.46004688740507</v>
      </c>
      <c r="D345" s="47" t="n">
        <f aca="false">AVERAGEIFS(malumot!$J$2:$J$3542,malumot!$B$2:$B$3542,$A345)</f>
        <v>13.322106920431</v>
      </c>
      <c r="E345" s="7" t="n">
        <f aca="false">RANK(C345,$C$5:$C$432,0)</f>
        <v>349</v>
      </c>
      <c r="F345" s="7" t="n">
        <f aca="false">RANK(D345,$D$5:$D$432,0)</f>
        <v>362</v>
      </c>
      <c r="G345" s="7" t="n">
        <f aca="false">ABS(E345-F345)</f>
        <v>13</v>
      </c>
    </row>
    <row r="346" customFormat="false" ht="15" hidden="false" customHeight="false" outlineLevel="0" collapsed="false">
      <c r="A346" s="3" t="s">
        <v>262</v>
      </c>
      <c r="B346" s="3" t="s">
        <v>263</v>
      </c>
      <c r="C346" s="47" t="n">
        <f aca="false">AVERAGEIFS(malumot!$I$2:$I$3542,malumot!$B$2:$B$3542,$A346)</f>
        <v>4.58241250941572</v>
      </c>
      <c r="D346" s="47" t="n">
        <f aca="false">AVERAGEIFS(malumot!$J$2:$J$3542,malumot!$B$2:$B$3542,$A346)</f>
        <v>9.34237315590391</v>
      </c>
      <c r="E346" s="7" t="n">
        <f aca="false">RANK(C346,$C$5:$C$432,0)</f>
        <v>384</v>
      </c>
      <c r="F346" s="7" t="n">
        <f aca="false">RANK(D346,$D$5:$D$432,0)</f>
        <v>396</v>
      </c>
      <c r="G346" s="7" t="n">
        <f aca="false">ABS(E346-F346)</f>
        <v>12</v>
      </c>
    </row>
    <row r="347" customFormat="false" ht="15" hidden="false" customHeight="false" outlineLevel="0" collapsed="false">
      <c r="A347" s="3" t="s">
        <v>178</v>
      </c>
      <c r="B347" s="3" t="s">
        <v>179</v>
      </c>
      <c r="C347" s="47" t="n">
        <f aca="false">AVERAGEIFS(malumot!$I$2:$I$3542,malumot!$B$2:$B$3542,$A347)</f>
        <v>4.00797911161697</v>
      </c>
      <c r="D347" s="47" t="n">
        <f aca="false">AVERAGEIFS(malumot!$J$2:$J$3542,malumot!$B$2:$B$3542,$A347)</f>
        <v>9.84266465948018</v>
      </c>
      <c r="E347" s="7" t="n">
        <f aca="false">RANK(C347,$C$5:$C$432,0)</f>
        <v>402</v>
      </c>
      <c r="F347" s="7" t="n">
        <f aca="false">RANK(D347,$D$5:$D$432,0)</f>
        <v>390</v>
      </c>
      <c r="G347" s="7" t="n">
        <f aca="false">ABS(E347-F347)</f>
        <v>12</v>
      </c>
    </row>
    <row r="348" customFormat="false" ht="15" hidden="false" customHeight="false" outlineLevel="0" collapsed="false">
      <c r="A348" s="3" t="s">
        <v>313</v>
      </c>
      <c r="B348" s="3" t="s">
        <v>314</v>
      </c>
      <c r="C348" s="47" t="n">
        <f aca="false">AVERAGEIFS(malumot!$I$2:$I$3542,malumot!$B$2:$B$3542,$A348)</f>
        <v>7.10138375099678</v>
      </c>
      <c r="D348" s="47" t="n">
        <f aca="false">AVERAGEIFS(malumot!$J$2:$J$3542,malumot!$B$2:$B$3542,$A348)</f>
        <v>20.2201007122772</v>
      </c>
      <c r="E348" s="7" t="n">
        <f aca="false">RANK(C348,$C$5:$C$432,0)</f>
        <v>260</v>
      </c>
      <c r="F348" s="7" t="n">
        <f aca="false">RANK(D348,$D$5:$D$432,0)</f>
        <v>272</v>
      </c>
      <c r="G348" s="7" t="n">
        <f aca="false">ABS(E348-F348)</f>
        <v>12</v>
      </c>
    </row>
    <row r="349" customFormat="false" ht="15" hidden="false" customHeight="false" outlineLevel="0" collapsed="false">
      <c r="A349" s="3" t="s">
        <v>940</v>
      </c>
      <c r="B349" s="3" t="s">
        <v>941</v>
      </c>
      <c r="C349" s="47" t="n">
        <f aca="false">AVERAGEIFS(malumot!$I$2:$I$3542,malumot!$B$2:$B$3542,$A349)</f>
        <v>5.65812998928133</v>
      </c>
      <c r="D349" s="47" t="n">
        <f aca="false">AVERAGEIFS(malumot!$J$2:$J$3542,malumot!$B$2:$B$3542,$A349)</f>
        <v>16.2824510815431</v>
      </c>
      <c r="E349" s="7" t="n">
        <f aca="false">RANK(C349,$C$5:$C$432,0)</f>
        <v>337</v>
      </c>
      <c r="F349" s="7" t="n">
        <f aca="false">RANK(D349,$D$5:$D$432,0)</f>
        <v>325</v>
      </c>
      <c r="G349" s="7" t="n">
        <f aca="false">ABS(E349-F349)</f>
        <v>12</v>
      </c>
    </row>
    <row r="350" customFormat="false" ht="15" hidden="false" customHeight="false" outlineLevel="0" collapsed="false">
      <c r="A350" s="3" t="s">
        <v>979</v>
      </c>
      <c r="B350" s="3" t="s">
        <v>980</v>
      </c>
      <c r="C350" s="47" t="n">
        <f aca="false">AVERAGEIFS(malumot!$I$2:$I$3542,malumot!$B$2:$B$3542,$A350)</f>
        <v>3.62098840786127</v>
      </c>
      <c r="D350" s="47" t="n">
        <f aca="false">AVERAGEIFS(malumot!$J$2:$J$3542,malumot!$B$2:$B$3542,$A350)</f>
        <v>3.30651335752735</v>
      </c>
      <c r="E350" s="7" t="n">
        <f aca="false">RANK(C350,$C$5:$C$432,0)</f>
        <v>410</v>
      </c>
      <c r="F350" s="7" t="n">
        <f aca="false">RANK(D350,$D$5:$D$432,0)</f>
        <v>422</v>
      </c>
      <c r="G350" s="7" t="n">
        <f aca="false">ABS(E350-F350)</f>
        <v>12</v>
      </c>
    </row>
    <row r="351" customFormat="false" ht="15" hidden="false" customHeight="false" outlineLevel="0" collapsed="false">
      <c r="A351" s="3" t="s">
        <v>1062</v>
      </c>
      <c r="B351" s="3" t="s">
        <v>1063</v>
      </c>
      <c r="C351" s="47" t="n">
        <f aca="false">AVERAGEIFS(malumot!$I$2:$I$3542,malumot!$B$2:$B$3542,$A351)</f>
        <v>17.2706925058684</v>
      </c>
      <c r="D351" s="47" t="n">
        <f aca="false">AVERAGEIFS(malumot!$J$2:$J$3542,malumot!$B$2:$B$3542,$A351)</f>
        <v>81.431761169183</v>
      </c>
      <c r="E351" s="7" t="n">
        <f aca="false">RANK(C351,$C$5:$C$432,0)</f>
        <v>35</v>
      </c>
      <c r="F351" s="7" t="n">
        <f aca="false">RANK(D351,$D$5:$D$432,0)</f>
        <v>23</v>
      </c>
      <c r="G351" s="7" t="n">
        <f aca="false">ABS(E351-F351)</f>
        <v>12</v>
      </c>
    </row>
    <row r="352" customFormat="false" ht="15" hidden="false" customHeight="false" outlineLevel="0" collapsed="false">
      <c r="A352" s="3" t="s">
        <v>592</v>
      </c>
      <c r="B352" s="3" t="s">
        <v>545</v>
      </c>
      <c r="C352" s="47" t="n">
        <f aca="false">AVERAGEIFS(malumot!$I$2:$I$3542,malumot!$B$2:$B$3542,$A352)</f>
        <v>5.0922078441345</v>
      </c>
      <c r="D352" s="47" t="n">
        <f aca="false">AVERAGEIFS(malumot!$J$2:$J$3542,malumot!$B$2:$B$3542,$A352)</f>
        <v>14.3855262761816</v>
      </c>
      <c r="E352" s="7" t="n">
        <f aca="false">RANK(C352,$C$5:$C$432,0)</f>
        <v>362</v>
      </c>
      <c r="F352" s="7" t="n">
        <f aca="false">RANK(D352,$D$5:$D$432,0)</f>
        <v>351</v>
      </c>
      <c r="G352" s="7" t="n">
        <f aca="false">ABS(E352-F352)</f>
        <v>11</v>
      </c>
    </row>
    <row r="353" customFormat="false" ht="15" hidden="false" customHeight="false" outlineLevel="0" collapsed="false">
      <c r="A353" s="3" t="s">
        <v>897</v>
      </c>
      <c r="B353" s="3" t="s">
        <v>889</v>
      </c>
      <c r="C353" s="47" t="n">
        <f aca="false">AVERAGEIFS(malumot!$I$2:$I$3542,malumot!$B$2:$B$3542,$A353)</f>
        <v>15.0874860748924</v>
      </c>
      <c r="D353" s="47" t="n">
        <f aca="false">AVERAGEIFS(malumot!$J$2:$J$3542,malumot!$B$2:$B$3542,$A353)</f>
        <v>67.7748196988857</v>
      </c>
      <c r="E353" s="7" t="n">
        <f aca="false">RANK(C353,$C$5:$C$432,0)</f>
        <v>49</v>
      </c>
      <c r="F353" s="7" t="n">
        <f aca="false">RANK(D353,$D$5:$D$432,0)</f>
        <v>38</v>
      </c>
      <c r="G353" s="7" t="n">
        <f aca="false">ABS(E353-F353)</f>
        <v>11</v>
      </c>
    </row>
    <row r="354" customFormat="false" ht="15" hidden="false" customHeight="false" outlineLevel="0" collapsed="false">
      <c r="A354" s="3" t="s">
        <v>882</v>
      </c>
      <c r="B354" s="3" t="s">
        <v>883</v>
      </c>
      <c r="C354" s="47" t="n">
        <f aca="false">AVERAGEIFS(malumot!$I$2:$I$3542,malumot!$B$2:$B$3542,$A354)</f>
        <v>10.053026741649</v>
      </c>
      <c r="D354" s="47" t="n">
        <f aca="false">AVERAGEIFS(malumot!$J$2:$J$3542,malumot!$B$2:$B$3542,$A354)</f>
        <v>36.5724673808154</v>
      </c>
      <c r="E354" s="7" t="n">
        <f aca="false">RANK(C354,$C$5:$C$432,0)</f>
        <v>134</v>
      </c>
      <c r="F354" s="7" t="n">
        <f aca="false">RANK(D354,$D$5:$D$432,0)</f>
        <v>123</v>
      </c>
      <c r="G354" s="7" t="n">
        <f aca="false">ABS(E354-F354)</f>
        <v>11</v>
      </c>
    </row>
    <row r="355" customFormat="false" ht="15" hidden="false" customHeight="false" outlineLevel="0" collapsed="false">
      <c r="A355" s="3" t="s">
        <v>384</v>
      </c>
      <c r="B355" s="3" t="s">
        <v>385</v>
      </c>
      <c r="C355" s="47" t="n">
        <f aca="false">AVERAGEIFS(malumot!$I$2:$I$3542,malumot!$B$2:$B$3542,$A355)</f>
        <v>8.50545939060373</v>
      </c>
      <c r="D355" s="47" t="n">
        <f aca="false">AVERAGEIFS(malumot!$J$2:$J$3542,malumot!$B$2:$B$3542,$A355)</f>
        <v>27.3916919569775</v>
      </c>
      <c r="E355" s="7" t="n">
        <f aca="false">RANK(C355,$C$5:$C$432,0)</f>
        <v>189</v>
      </c>
      <c r="F355" s="7" t="n">
        <f aca="false">RANK(D355,$D$5:$D$432,0)</f>
        <v>200</v>
      </c>
      <c r="G355" s="7" t="n">
        <f aca="false">ABS(E355-F355)</f>
        <v>11</v>
      </c>
    </row>
    <row r="356" customFormat="false" ht="15" hidden="false" customHeight="false" outlineLevel="0" collapsed="false">
      <c r="A356" s="3" t="s">
        <v>210</v>
      </c>
      <c r="B356" s="3" t="s">
        <v>211</v>
      </c>
      <c r="C356" s="47" t="n">
        <f aca="false">AVERAGEIFS(malumot!$I$2:$I$3542,malumot!$B$2:$B$3542,$A356)</f>
        <v>6.27959126906952</v>
      </c>
      <c r="D356" s="47" t="n">
        <f aca="false">AVERAGEIFS(malumot!$J$2:$J$3542,malumot!$B$2:$B$3542,$A356)</f>
        <v>19.0403317016396</v>
      </c>
      <c r="E356" s="7" t="n">
        <f aca="false">RANK(C356,$C$5:$C$432,0)</f>
        <v>301</v>
      </c>
      <c r="F356" s="7" t="n">
        <f aca="false">RANK(D356,$D$5:$D$432,0)</f>
        <v>290</v>
      </c>
      <c r="G356" s="7" t="n">
        <f aca="false">ABS(E356-F356)</f>
        <v>11</v>
      </c>
    </row>
    <row r="357" customFormat="false" ht="15" hidden="false" customHeight="false" outlineLevel="0" collapsed="false">
      <c r="A357" s="3" t="s">
        <v>771</v>
      </c>
      <c r="B357" s="3" t="s">
        <v>772</v>
      </c>
      <c r="C357" s="47" t="n">
        <f aca="false">AVERAGEIFS(malumot!$I$2:$I$3542,malumot!$B$2:$B$3542,$A357)</f>
        <v>11.9274779923074</v>
      </c>
      <c r="D357" s="47" t="n">
        <f aca="false">AVERAGEIFS(malumot!$J$2:$J$3542,malumot!$B$2:$B$3542,$A357)</f>
        <v>46.8651265099174</v>
      </c>
      <c r="E357" s="7" t="n">
        <f aca="false">RANK(C357,$C$5:$C$432,0)</f>
        <v>89</v>
      </c>
      <c r="F357" s="7" t="n">
        <f aca="false">RANK(D357,$D$5:$D$432,0)</f>
        <v>78</v>
      </c>
      <c r="G357" s="7" t="n">
        <f aca="false">ABS(E357-F357)</f>
        <v>11</v>
      </c>
    </row>
    <row r="358" customFormat="false" ht="15" hidden="false" customHeight="false" outlineLevel="0" collapsed="false">
      <c r="A358" s="3" t="s">
        <v>472</v>
      </c>
      <c r="B358" s="3" t="s">
        <v>473</v>
      </c>
      <c r="C358" s="47" t="n">
        <f aca="false">AVERAGEIFS(malumot!$I$2:$I$3542,malumot!$B$2:$B$3542,$A358)</f>
        <v>18.5886795125971</v>
      </c>
      <c r="D358" s="47" t="n">
        <f aca="false">AVERAGEIFS(malumot!$J$2:$J$3542,malumot!$B$2:$B$3542,$A358)</f>
        <v>89.819349034724</v>
      </c>
      <c r="E358" s="7" t="n">
        <f aca="false">RANK(C358,$C$5:$C$432,0)</f>
        <v>27</v>
      </c>
      <c r="F358" s="7" t="n">
        <f aca="false">RANK(D358,$D$5:$D$432,0)</f>
        <v>16</v>
      </c>
      <c r="G358" s="7" t="n">
        <f aca="false">ABS(E358-F358)</f>
        <v>11</v>
      </c>
    </row>
    <row r="359" customFormat="false" ht="15" hidden="false" customHeight="false" outlineLevel="0" collapsed="false">
      <c r="A359" s="3" t="s">
        <v>694</v>
      </c>
      <c r="B359" s="3" t="s">
        <v>695</v>
      </c>
      <c r="C359" s="47" t="n">
        <f aca="false">AVERAGEIFS(malumot!$I$2:$I$3542,malumot!$B$2:$B$3542,$A359)</f>
        <v>10.4330168447194</v>
      </c>
      <c r="D359" s="47" t="n">
        <f aca="false">AVERAGEIFS(malumot!$J$2:$J$3542,malumot!$B$2:$B$3542,$A359)</f>
        <v>38.9527185170537</v>
      </c>
      <c r="E359" s="7" t="n">
        <f aca="false">RANK(C359,$C$5:$C$432,0)</f>
        <v>120</v>
      </c>
      <c r="F359" s="7" t="n">
        <f aca="false">RANK(D359,$D$5:$D$432,0)</f>
        <v>109</v>
      </c>
      <c r="G359" s="7" t="n">
        <f aca="false">ABS(E359-F359)</f>
        <v>11</v>
      </c>
    </row>
    <row r="360" customFormat="false" ht="15" hidden="false" customHeight="false" outlineLevel="0" collapsed="false">
      <c r="A360" s="3" t="s">
        <v>635</v>
      </c>
      <c r="B360" s="3" t="s">
        <v>636</v>
      </c>
      <c r="C360" s="47" t="n">
        <f aca="false">AVERAGEIFS(malumot!$I$2:$I$3542,malumot!$B$2:$B$3542,$A360)</f>
        <v>7.41068482986556</v>
      </c>
      <c r="D360" s="47" t="n">
        <f aca="false">AVERAGEIFS(malumot!$J$2:$J$3542,malumot!$B$2:$B$3542,$A360)</f>
        <v>24.3190771240704</v>
      </c>
      <c r="E360" s="7" t="n">
        <f aca="false">RANK(C360,$C$5:$C$432,0)</f>
        <v>247</v>
      </c>
      <c r="F360" s="7" t="n">
        <f aca="false">RANK(D360,$D$5:$D$432,0)</f>
        <v>236</v>
      </c>
      <c r="G360" s="7" t="n">
        <f aca="false">ABS(E360-F360)</f>
        <v>11</v>
      </c>
    </row>
    <row r="361" customFormat="false" ht="15" hidden="false" customHeight="false" outlineLevel="0" collapsed="false">
      <c r="A361" s="3" t="s">
        <v>1224</v>
      </c>
      <c r="B361" s="3" t="s">
        <v>1216</v>
      </c>
      <c r="C361" s="47" t="n">
        <f aca="false">AVERAGEIFS(malumot!$I$2:$I$3542,malumot!$B$2:$B$3542,$A361)</f>
        <v>12.8804637102717</v>
      </c>
      <c r="D361" s="47" t="n">
        <f aca="false">AVERAGEIFS(malumot!$J$2:$J$3542,malumot!$B$2:$B$3542,$A361)</f>
        <v>45.0869064508115</v>
      </c>
      <c r="E361" s="7" t="n">
        <f aca="false">RANK(C361,$C$5:$C$432,0)</f>
        <v>73</v>
      </c>
      <c r="F361" s="7" t="n">
        <f aca="false">RANK(D361,$D$5:$D$432,0)</f>
        <v>83</v>
      </c>
      <c r="G361" s="7" t="n">
        <f aca="false">ABS(E361-F361)</f>
        <v>10</v>
      </c>
    </row>
    <row r="362" customFormat="false" ht="15" hidden="false" customHeight="false" outlineLevel="0" collapsed="false">
      <c r="A362" s="3" t="s">
        <v>1026</v>
      </c>
      <c r="B362" s="3" t="s">
        <v>1027</v>
      </c>
      <c r="C362" s="47" t="n">
        <f aca="false">AVERAGEIFS(malumot!$I$2:$I$3542,malumot!$B$2:$B$3542,$A362)</f>
        <v>9.23303548313421</v>
      </c>
      <c r="D362" s="47" t="n">
        <f aca="false">AVERAGEIFS(malumot!$J$2:$J$3542,malumot!$B$2:$B$3542,$A362)</f>
        <v>30.089509593541</v>
      </c>
      <c r="E362" s="7" t="n">
        <f aca="false">RANK(C362,$C$5:$C$432,0)</f>
        <v>163</v>
      </c>
      <c r="F362" s="7" t="n">
        <f aca="false">RANK(D362,$D$5:$D$432,0)</f>
        <v>173</v>
      </c>
      <c r="G362" s="7" t="n">
        <f aca="false">ABS(E362-F362)</f>
        <v>10</v>
      </c>
    </row>
    <row r="363" customFormat="false" ht="15" hidden="false" customHeight="false" outlineLevel="0" collapsed="false">
      <c r="A363" s="3" t="s">
        <v>1020</v>
      </c>
      <c r="B363" s="3" t="s">
        <v>1021</v>
      </c>
      <c r="C363" s="47" t="n">
        <f aca="false">AVERAGEIFS(malumot!$I$2:$I$3542,malumot!$B$2:$B$3542,$A363)</f>
        <v>7.99364482673022</v>
      </c>
      <c r="D363" s="47" t="n">
        <f aca="false">AVERAGEIFS(malumot!$J$2:$J$3542,malumot!$B$2:$B$3542,$A363)</f>
        <v>24.4468764013087</v>
      </c>
      <c r="E363" s="7" t="n">
        <f aca="false">RANK(C363,$C$5:$C$432,0)</f>
        <v>224</v>
      </c>
      <c r="F363" s="7" t="n">
        <f aca="false">RANK(D363,$D$5:$D$432,0)</f>
        <v>234</v>
      </c>
      <c r="G363" s="7" t="n">
        <f aca="false">ABS(E363-F363)</f>
        <v>10</v>
      </c>
    </row>
    <row r="364" customFormat="false" ht="15" hidden="false" customHeight="false" outlineLevel="0" collapsed="false">
      <c r="A364" s="3" t="s">
        <v>516</v>
      </c>
      <c r="B364" s="3" t="s">
        <v>517</v>
      </c>
      <c r="C364" s="47" t="n">
        <f aca="false">AVERAGEIFS(malumot!$I$2:$I$3542,malumot!$B$2:$B$3542,$A364)</f>
        <v>5.35566044458048</v>
      </c>
      <c r="D364" s="47" t="n">
        <f aca="false">AVERAGEIFS(malumot!$J$2:$J$3542,malumot!$B$2:$B$3542,$A364)</f>
        <v>13.2481097632577</v>
      </c>
      <c r="E364" s="7" t="n">
        <f aca="false">RANK(C364,$C$5:$C$432,0)</f>
        <v>353</v>
      </c>
      <c r="F364" s="7" t="n">
        <f aca="false">RANK(D364,$D$5:$D$432,0)</f>
        <v>363</v>
      </c>
      <c r="G364" s="7" t="n">
        <f aca="false">ABS(E364-F364)</f>
        <v>10</v>
      </c>
    </row>
    <row r="365" customFormat="false" ht="15" hidden="false" customHeight="false" outlineLevel="0" collapsed="false">
      <c r="A365" s="3" t="s">
        <v>613</v>
      </c>
      <c r="B365" s="3" t="s">
        <v>509</v>
      </c>
      <c r="C365" s="47" t="n">
        <f aca="false">AVERAGEIFS(malumot!$I$2:$I$3542,malumot!$B$2:$B$3542,$A365)</f>
        <v>3.52451177456834</v>
      </c>
      <c r="D365" s="47" t="n">
        <f aca="false">AVERAGEIFS(malumot!$J$2:$J$3542,malumot!$B$2:$B$3542,$A365)</f>
        <v>3.10712609116976</v>
      </c>
      <c r="E365" s="7" t="n">
        <f aca="false">RANK(C365,$C$5:$C$432,0)</f>
        <v>413</v>
      </c>
      <c r="F365" s="7" t="n">
        <f aca="false">RANK(D365,$D$5:$D$432,0)</f>
        <v>423</v>
      </c>
      <c r="G365" s="7" t="n">
        <f aca="false">ABS(E365-F365)</f>
        <v>10</v>
      </c>
    </row>
    <row r="366" customFormat="false" ht="15" hidden="false" customHeight="false" outlineLevel="0" collapsed="false">
      <c r="A366" s="3" t="s">
        <v>494</v>
      </c>
      <c r="B366" s="3" t="s">
        <v>495</v>
      </c>
      <c r="C366" s="47" t="n">
        <f aca="false">AVERAGEIFS(malumot!$I$2:$I$3542,malumot!$B$2:$B$3542,$A366)</f>
        <v>8.04286377226088</v>
      </c>
      <c r="D366" s="47" t="n">
        <f aca="false">AVERAGEIFS(malumot!$J$2:$J$3542,malumot!$B$2:$B$3542,$A366)</f>
        <v>24.6075050086749</v>
      </c>
      <c r="E366" s="7" t="n">
        <f aca="false">RANK(C366,$C$5:$C$432,0)</f>
        <v>220</v>
      </c>
      <c r="F366" s="7" t="n">
        <f aca="false">RANK(D366,$D$5:$D$432,0)</f>
        <v>230</v>
      </c>
      <c r="G366" s="7" t="n">
        <f aca="false">ABS(E366-F366)</f>
        <v>10</v>
      </c>
    </row>
    <row r="367" customFormat="false" ht="15" hidden="false" customHeight="false" outlineLevel="0" collapsed="false">
      <c r="A367" s="3" t="s">
        <v>915</v>
      </c>
      <c r="B367" s="3" t="s">
        <v>916</v>
      </c>
      <c r="C367" s="47" t="n">
        <f aca="false">AVERAGEIFS(malumot!$I$2:$I$3542,malumot!$B$2:$B$3542,$A367)</f>
        <v>4.81480447477163</v>
      </c>
      <c r="D367" s="47" t="n">
        <f aca="false">AVERAGEIFS(malumot!$J$2:$J$3542,malumot!$B$2:$B$3542,$A367)</f>
        <v>10.5232615198952</v>
      </c>
      <c r="E367" s="7" t="n">
        <f aca="false">RANK(C367,$C$5:$C$432,0)</f>
        <v>375</v>
      </c>
      <c r="F367" s="7" t="n">
        <f aca="false">RANK(D367,$D$5:$D$432,0)</f>
        <v>385</v>
      </c>
      <c r="G367" s="7" t="n">
        <f aca="false">ABS(E367-F367)</f>
        <v>10</v>
      </c>
    </row>
    <row r="368" customFormat="false" ht="15" hidden="false" customHeight="false" outlineLevel="0" collapsed="false">
      <c r="A368" s="3" t="s">
        <v>1183</v>
      </c>
      <c r="B368" s="3" t="s">
        <v>1184</v>
      </c>
      <c r="C368" s="47" t="n">
        <f aca="false">AVERAGEIFS(malumot!$I$2:$I$3542,malumot!$B$2:$B$3542,$A368)</f>
        <v>4.08466659254045</v>
      </c>
      <c r="D368" s="47" t="n">
        <f aca="false">AVERAGEIFS(malumot!$J$2:$J$3542,malumot!$B$2:$B$3542,$A368)</f>
        <v>9.79000724079635</v>
      </c>
      <c r="E368" s="7" t="n">
        <f aca="false">RANK(C368,$C$5:$C$432,0)</f>
        <v>400</v>
      </c>
      <c r="F368" s="7" t="n">
        <f aca="false">RANK(D368,$D$5:$D$432,0)</f>
        <v>391</v>
      </c>
      <c r="G368" s="7" t="n">
        <f aca="false">ABS(E368-F368)</f>
        <v>9</v>
      </c>
    </row>
    <row r="369" customFormat="false" ht="15" hidden="false" customHeight="false" outlineLevel="0" collapsed="false">
      <c r="A369" s="3" t="s">
        <v>546</v>
      </c>
      <c r="B369" s="3" t="s">
        <v>547</v>
      </c>
      <c r="C369" s="47" t="n">
        <f aca="false">AVERAGEIFS(malumot!$I$2:$I$3542,malumot!$B$2:$B$3542,$A369)</f>
        <v>8.56176410565118</v>
      </c>
      <c r="D369" s="47" t="n">
        <f aca="false">AVERAGEIFS(malumot!$J$2:$J$3542,malumot!$B$2:$B$3542,$A369)</f>
        <v>29.6215299910809</v>
      </c>
      <c r="E369" s="7" t="n">
        <f aca="false">RANK(C369,$C$5:$C$432,0)</f>
        <v>187</v>
      </c>
      <c r="F369" s="7" t="n">
        <f aca="false">RANK(D369,$D$5:$D$432,0)</f>
        <v>178</v>
      </c>
      <c r="G369" s="7" t="n">
        <f aca="false">ABS(E369-F369)</f>
        <v>9</v>
      </c>
    </row>
    <row r="370" customFormat="false" ht="15" hidden="false" customHeight="false" outlineLevel="0" collapsed="false">
      <c r="A370" s="3" t="s">
        <v>1177</v>
      </c>
      <c r="B370" s="3" t="s">
        <v>1178</v>
      </c>
      <c r="C370" s="47" t="n">
        <f aca="false">AVERAGEIFS(malumot!$I$2:$I$3542,malumot!$B$2:$B$3542,$A370)</f>
        <v>6.83627691847547</v>
      </c>
      <c r="D370" s="47" t="n">
        <f aca="false">AVERAGEIFS(malumot!$J$2:$J$3542,malumot!$B$2:$B$3542,$A370)</f>
        <v>20.8702675855242</v>
      </c>
      <c r="E370" s="7" t="n">
        <f aca="false">RANK(C370,$C$5:$C$432,0)</f>
        <v>273</v>
      </c>
      <c r="F370" s="7" t="n">
        <f aca="false">RANK(D370,$D$5:$D$432,0)</f>
        <v>264</v>
      </c>
      <c r="G370" s="7" t="n">
        <f aca="false">ABS(E370-F370)</f>
        <v>9</v>
      </c>
    </row>
    <row r="371" customFormat="false" ht="15" hidden="false" customHeight="false" outlineLevel="0" collapsed="false">
      <c r="A371" s="3" t="s">
        <v>1071</v>
      </c>
      <c r="B371" s="3" t="s">
        <v>1072</v>
      </c>
      <c r="C371" s="47" t="n">
        <f aca="false">AVERAGEIFS(malumot!$I$2:$I$3542,malumot!$B$2:$B$3542,$A371)</f>
        <v>12.505041457006</v>
      </c>
      <c r="D371" s="47" t="n">
        <f aca="false">AVERAGEIFS(malumot!$J$2:$J$3542,malumot!$B$2:$B$3542,$A371)</f>
        <v>48.351344713309</v>
      </c>
      <c r="E371" s="7" t="n">
        <f aca="false">RANK(C371,$C$5:$C$432,0)</f>
        <v>79</v>
      </c>
      <c r="F371" s="7" t="n">
        <f aca="false">RANK(D371,$D$5:$D$432,0)</f>
        <v>70</v>
      </c>
      <c r="G371" s="7" t="n">
        <f aca="false">ABS(E371-F371)</f>
        <v>9</v>
      </c>
    </row>
    <row r="372" customFormat="false" ht="15" hidden="false" customHeight="false" outlineLevel="0" collapsed="false">
      <c r="A372" s="3" t="s">
        <v>933</v>
      </c>
      <c r="B372" s="3" t="s">
        <v>934</v>
      </c>
      <c r="C372" s="47" t="n">
        <f aca="false">AVERAGEIFS(malumot!$I$2:$I$3542,malumot!$B$2:$B$3542,$A372)</f>
        <v>4.18722315721785</v>
      </c>
      <c r="D372" s="47" t="n">
        <f aca="false">AVERAGEIFS(malumot!$J$2:$J$3542,malumot!$B$2:$B$3542,$A372)</f>
        <v>8.21517133658982</v>
      </c>
      <c r="E372" s="7" t="n">
        <f aca="false">RANK(C372,$C$5:$C$432,0)</f>
        <v>394</v>
      </c>
      <c r="F372" s="7" t="n">
        <f aca="false">RANK(D372,$D$5:$D$432,0)</f>
        <v>403</v>
      </c>
      <c r="G372" s="7" t="n">
        <f aca="false">ABS(E372-F372)</f>
        <v>9</v>
      </c>
    </row>
    <row r="373" customFormat="false" ht="15" hidden="false" customHeight="false" outlineLevel="0" collapsed="false">
      <c r="A373" s="3" t="s">
        <v>265</v>
      </c>
      <c r="B373" s="3" t="s">
        <v>266</v>
      </c>
      <c r="C373" s="47" t="n">
        <f aca="false">AVERAGEIFS(malumot!$I$2:$I$3542,malumot!$B$2:$B$3542,$A373)</f>
        <v>12.3384176450222</v>
      </c>
      <c r="D373" s="47" t="n">
        <f aca="false">AVERAGEIFS(malumot!$J$2:$J$3542,malumot!$B$2:$B$3542,$A373)</f>
        <v>47.872490609808</v>
      </c>
      <c r="E373" s="7" t="n">
        <f aca="false">RANK(C373,$C$5:$C$432,0)</f>
        <v>81</v>
      </c>
      <c r="F373" s="7" t="n">
        <f aca="false">RANK(D373,$D$5:$D$432,0)</f>
        <v>72</v>
      </c>
      <c r="G373" s="7" t="n">
        <f aca="false">ABS(E373-F373)</f>
        <v>9</v>
      </c>
    </row>
    <row r="374" customFormat="false" ht="15" hidden="false" customHeight="false" outlineLevel="0" collapsed="false">
      <c r="A374" s="3" t="s">
        <v>902</v>
      </c>
      <c r="B374" s="3" t="s">
        <v>903</v>
      </c>
      <c r="C374" s="47" t="n">
        <f aca="false">AVERAGEIFS(malumot!$I$2:$I$3542,malumot!$B$2:$B$3542,$A374)</f>
        <v>11.762138254372</v>
      </c>
      <c r="D374" s="47" t="n">
        <f aca="false">AVERAGEIFS(malumot!$J$2:$J$3542,malumot!$B$2:$B$3542,$A374)</f>
        <v>40.7497791303767</v>
      </c>
      <c r="E374" s="7" t="n">
        <f aca="false">RANK(C374,$C$5:$C$432,0)</f>
        <v>91</v>
      </c>
      <c r="F374" s="7" t="n">
        <f aca="false">RANK(D374,$D$5:$D$432,0)</f>
        <v>99</v>
      </c>
      <c r="G374" s="7" t="n">
        <f aca="false">ABS(E374-F374)</f>
        <v>8</v>
      </c>
    </row>
    <row r="375" customFormat="false" ht="15" hidden="false" customHeight="false" outlineLevel="0" collapsed="false">
      <c r="A375" s="3" t="s">
        <v>730</v>
      </c>
      <c r="B375" s="3" t="s">
        <v>731</v>
      </c>
      <c r="C375" s="47" t="n">
        <f aca="false">AVERAGEIFS(malumot!$I$2:$I$3542,malumot!$B$2:$B$3542,$A375)</f>
        <v>15.8130708734828</v>
      </c>
      <c r="D375" s="47" t="n">
        <f aca="false">AVERAGEIFS(malumot!$J$2:$J$3542,malumot!$B$2:$B$3542,$A375)</f>
        <v>57.6008646435214</v>
      </c>
      <c r="E375" s="7" t="n">
        <f aca="false">RANK(C375,$C$5:$C$432,0)</f>
        <v>46</v>
      </c>
      <c r="F375" s="7" t="n">
        <f aca="false">RANK(D375,$D$5:$D$432,0)</f>
        <v>54</v>
      </c>
      <c r="G375" s="7" t="n">
        <f aca="false">ABS(E375-F375)</f>
        <v>8</v>
      </c>
    </row>
    <row r="376" customFormat="false" ht="15" hidden="false" customHeight="false" outlineLevel="0" collapsed="false">
      <c r="A376" s="3" t="s">
        <v>720</v>
      </c>
      <c r="B376" s="3" t="s">
        <v>692</v>
      </c>
      <c r="C376" s="47" t="n">
        <f aca="false">AVERAGEIFS(malumot!$I$2:$I$3542,malumot!$B$2:$B$3542,$A376)</f>
        <v>5.50449356335205</v>
      </c>
      <c r="D376" s="47" t="n">
        <f aca="false">AVERAGEIFS(malumot!$J$2:$J$3542,malumot!$B$2:$B$3542,$A376)</f>
        <v>13.7562718218584</v>
      </c>
      <c r="E376" s="7" t="n">
        <f aca="false">RANK(C376,$C$5:$C$432,0)</f>
        <v>348</v>
      </c>
      <c r="F376" s="7" t="n">
        <f aca="false">RANK(D376,$D$5:$D$432,0)</f>
        <v>356</v>
      </c>
      <c r="G376" s="7" t="n">
        <f aca="false">ABS(E376-F376)</f>
        <v>8</v>
      </c>
    </row>
    <row r="377" customFormat="false" ht="15" hidden="false" customHeight="false" outlineLevel="0" collapsed="false">
      <c r="A377" s="3" t="s">
        <v>381</v>
      </c>
      <c r="B377" s="3" t="s">
        <v>382</v>
      </c>
      <c r="C377" s="47" t="n">
        <f aca="false">AVERAGEIFS(malumot!$I$2:$I$3542,malumot!$B$2:$B$3542,$A377)</f>
        <v>20.6000880086679</v>
      </c>
      <c r="D377" s="47" t="n">
        <f aca="false">AVERAGEIFS(malumot!$J$2:$J$3542,malumot!$B$2:$B$3542,$A377)</f>
        <v>70.5213243876462</v>
      </c>
      <c r="E377" s="7" t="n">
        <f aca="false">RANK(C377,$C$5:$C$432,0)</f>
        <v>23</v>
      </c>
      <c r="F377" s="7" t="n">
        <f aca="false">RANK(D377,$D$5:$D$432,0)</f>
        <v>31</v>
      </c>
      <c r="G377" s="7" t="n">
        <f aca="false">ABS(E377-F377)</f>
        <v>8</v>
      </c>
    </row>
    <row r="378" customFormat="false" ht="15" hidden="false" customHeight="false" outlineLevel="0" collapsed="false">
      <c r="A378" s="3" t="s">
        <v>997</v>
      </c>
      <c r="B378" s="3" t="s">
        <v>998</v>
      </c>
      <c r="C378" s="47" t="n">
        <f aca="false">AVERAGEIFS(malumot!$I$2:$I$3542,malumot!$B$2:$B$3542,$A378)</f>
        <v>4.72210025266515</v>
      </c>
      <c r="D378" s="47" t="n">
        <f aca="false">AVERAGEIFS(malumot!$J$2:$J$3542,malumot!$B$2:$B$3542,$A378)</f>
        <v>12.2917358487245</v>
      </c>
      <c r="E378" s="7" t="n">
        <f aca="false">RANK(C378,$C$5:$C$432,0)</f>
        <v>378</v>
      </c>
      <c r="F378" s="7" t="n">
        <f aca="false">RANK(D378,$D$5:$D$432,0)</f>
        <v>371</v>
      </c>
      <c r="G378" s="7" t="n">
        <f aca="false">ABS(E378-F378)</f>
        <v>7</v>
      </c>
    </row>
    <row r="379" customFormat="false" ht="15" hidden="false" customHeight="false" outlineLevel="0" collapsed="false">
      <c r="A379" s="3" t="s">
        <v>873</v>
      </c>
      <c r="B379" s="3" t="s">
        <v>816</v>
      </c>
      <c r="C379" s="47" t="n">
        <f aca="false">AVERAGEIFS(malumot!$I$2:$I$3542,malumot!$B$2:$B$3542,$A379)</f>
        <v>7.95409546627596</v>
      </c>
      <c r="D379" s="47" t="n">
        <f aca="false">AVERAGEIFS(malumot!$J$2:$J$3542,malumot!$B$2:$B$3542,$A379)</f>
        <v>25.4805940723449</v>
      </c>
      <c r="E379" s="7" t="n">
        <f aca="false">RANK(C379,$C$5:$C$432,0)</f>
        <v>225</v>
      </c>
      <c r="F379" s="7" t="n">
        <f aca="false">RANK(D379,$D$5:$D$432,0)</f>
        <v>218</v>
      </c>
      <c r="G379" s="7" t="n">
        <f aca="false">ABS(E379-F379)</f>
        <v>7</v>
      </c>
    </row>
    <row r="380" customFormat="false" ht="15" hidden="false" customHeight="false" outlineLevel="0" collapsed="false">
      <c r="A380" s="3" t="s">
        <v>253</v>
      </c>
      <c r="B380" s="3" t="s">
        <v>254</v>
      </c>
      <c r="C380" s="47" t="n">
        <f aca="false">AVERAGEIFS(malumot!$I$2:$I$3542,malumot!$B$2:$B$3542,$A380)</f>
        <v>5.37261003976215</v>
      </c>
      <c r="D380" s="47" t="n">
        <f aca="false">AVERAGEIFS(malumot!$J$2:$J$3542,malumot!$B$2:$B$3542,$A380)</f>
        <v>14.8201593654562</v>
      </c>
      <c r="E380" s="7" t="n">
        <f aca="false">RANK(C380,$C$5:$C$432,0)</f>
        <v>352</v>
      </c>
      <c r="F380" s="7" t="n">
        <f aca="false">RANK(D380,$D$5:$D$432,0)</f>
        <v>345</v>
      </c>
      <c r="G380" s="7" t="n">
        <f aca="false">ABS(E380-F380)</f>
        <v>7</v>
      </c>
    </row>
    <row r="381" customFormat="false" ht="15" hidden="false" customHeight="false" outlineLevel="0" collapsed="false">
      <c r="A381" s="3" t="s">
        <v>937</v>
      </c>
      <c r="B381" s="3" t="s">
        <v>938</v>
      </c>
      <c r="C381" s="47" t="n">
        <f aca="false">AVERAGEIFS(malumot!$I$2:$I$3542,malumot!$B$2:$B$3542,$A381)</f>
        <v>6.19061784256874</v>
      </c>
      <c r="D381" s="47" t="n">
        <f aca="false">AVERAGEIFS(malumot!$J$2:$J$3542,malumot!$B$2:$B$3542,$A381)</f>
        <v>17.4450373838723</v>
      </c>
      <c r="E381" s="7" t="n">
        <f aca="false">RANK(C381,$C$5:$C$432,0)</f>
        <v>302</v>
      </c>
      <c r="F381" s="7" t="n">
        <f aca="false">RANK(D381,$D$5:$D$432,0)</f>
        <v>309</v>
      </c>
      <c r="G381" s="7" t="n">
        <f aca="false">ABS(E381-F381)</f>
        <v>7</v>
      </c>
    </row>
    <row r="382" customFormat="false" ht="15" hidden="false" customHeight="false" outlineLevel="0" collapsed="false">
      <c r="A382" s="3" t="s">
        <v>375</v>
      </c>
      <c r="B382" s="3" t="s">
        <v>376</v>
      </c>
      <c r="C382" s="47" t="n">
        <f aca="false">AVERAGEIFS(malumot!$I$2:$I$3542,malumot!$B$2:$B$3542,$A382)</f>
        <v>6.48472265281698</v>
      </c>
      <c r="D382" s="47" t="n">
        <f aca="false">AVERAGEIFS(malumot!$J$2:$J$3542,malumot!$B$2:$B$3542,$A382)</f>
        <v>18.7290730237072</v>
      </c>
      <c r="E382" s="7" t="n">
        <f aca="false">RANK(C382,$C$5:$C$432,0)</f>
        <v>289</v>
      </c>
      <c r="F382" s="7" t="n">
        <f aca="false">RANK(D382,$D$5:$D$432,0)</f>
        <v>296</v>
      </c>
      <c r="G382" s="7" t="n">
        <f aca="false">ABS(E382-F382)</f>
        <v>7</v>
      </c>
    </row>
    <row r="383" customFormat="false" ht="15" hidden="false" customHeight="false" outlineLevel="0" collapsed="false">
      <c r="A383" s="3" t="s">
        <v>782</v>
      </c>
      <c r="B383" s="3" t="s">
        <v>783</v>
      </c>
      <c r="C383" s="47" t="n">
        <f aca="false">AVERAGEIFS(malumot!$I$2:$I$3542,malumot!$B$2:$B$3542,$A383)</f>
        <v>16.1860743086554</v>
      </c>
      <c r="D383" s="47" t="n">
        <f aca="false">AVERAGEIFS(malumot!$J$2:$J$3542,malumot!$B$2:$B$3542,$A383)</f>
        <v>68.529465631588</v>
      </c>
      <c r="E383" s="7" t="n">
        <f aca="false">RANK(C383,$C$5:$C$432,0)</f>
        <v>42</v>
      </c>
      <c r="F383" s="7" t="n">
        <f aca="false">RANK(D383,$D$5:$D$432,0)</f>
        <v>36</v>
      </c>
      <c r="G383" s="7" t="n">
        <f aca="false">ABS(E383-F383)</f>
        <v>6</v>
      </c>
    </row>
    <row r="384" customFormat="false" ht="15" hidden="false" customHeight="false" outlineLevel="0" collapsed="false">
      <c r="A384" s="3" t="s">
        <v>230</v>
      </c>
      <c r="B384" s="3" t="s">
        <v>231</v>
      </c>
      <c r="C384" s="47" t="n">
        <f aca="false">AVERAGEIFS(malumot!$I$2:$I$3542,malumot!$B$2:$B$3542,$A384)</f>
        <v>2.66649392429958</v>
      </c>
      <c r="D384" s="47" t="n">
        <f aca="false">AVERAGEIFS(malumot!$J$2:$J$3542,malumot!$B$2:$B$3542,$A384)</f>
        <v>6.45737960513767</v>
      </c>
      <c r="E384" s="7" t="n">
        <f aca="false">RANK(C384,$C$5:$C$432,0)</f>
        <v>420</v>
      </c>
      <c r="F384" s="7" t="n">
        <f aca="false">RANK(D384,$D$5:$D$432,0)</f>
        <v>414</v>
      </c>
      <c r="G384" s="7" t="n">
        <f aca="false">ABS(E384-F384)</f>
        <v>6</v>
      </c>
    </row>
    <row r="385" customFormat="false" ht="15" hidden="false" customHeight="false" outlineLevel="0" collapsed="false">
      <c r="A385" s="3" t="s">
        <v>491</v>
      </c>
      <c r="B385" s="3" t="s">
        <v>492</v>
      </c>
      <c r="C385" s="47" t="n">
        <f aca="false">AVERAGEIFS(malumot!$I$2:$I$3542,malumot!$B$2:$B$3542,$A385)</f>
        <v>5.5752265483539</v>
      </c>
      <c r="D385" s="47" t="n">
        <f aca="false">AVERAGEIFS(malumot!$J$2:$J$3542,malumot!$B$2:$B$3542,$A385)</f>
        <v>14.543547788884</v>
      </c>
      <c r="E385" s="7" t="n">
        <f aca="false">RANK(C385,$C$5:$C$432,0)</f>
        <v>343</v>
      </c>
      <c r="F385" s="7" t="n">
        <f aca="false">RANK(D385,$D$5:$D$432,0)</f>
        <v>349</v>
      </c>
      <c r="G385" s="7" t="n">
        <f aca="false">ABS(E385-F385)</f>
        <v>6</v>
      </c>
    </row>
    <row r="386" customFormat="false" ht="15" hidden="false" customHeight="false" outlineLevel="0" collapsed="false">
      <c r="A386" s="3" t="s">
        <v>733</v>
      </c>
      <c r="B386" s="3" t="s">
        <v>734</v>
      </c>
      <c r="C386" s="47" t="n">
        <f aca="false">AVERAGEIFS(malumot!$I$2:$I$3542,malumot!$B$2:$B$3542,$A386)</f>
        <v>8.61186654835165</v>
      </c>
      <c r="D386" s="47" t="n">
        <f aca="false">AVERAGEIFS(malumot!$J$2:$J$3542,malumot!$B$2:$B$3542,$A386)</f>
        <v>28.2092022564841</v>
      </c>
      <c r="E386" s="7" t="n">
        <f aca="false">RANK(C386,$C$5:$C$432,0)</f>
        <v>186</v>
      </c>
      <c r="F386" s="7" t="n">
        <f aca="false">RANK(D386,$D$5:$D$432,0)</f>
        <v>192</v>
      </c>
      <c r="G386" s="7" t="n">
        <f aca="false">ABS(E386-F386)</f>
        <v>6</v>
      </c>
    </row>
    <row r="387" customFormat="false" ht="15" hidden="false" customHeight="false" outlineLevel="0" collapsed="false">
      <c r="A387" s="3" t="s">
        <v>101</v>
      </c>
      <c r="B387" s="3" t="s">
        <v>102</v>
      </c>
      <c r="C387" s="47" t="n">
        <f aca="false">AVERAGEIFS(malumot!$I$2:$I$3542,malumot!$B$2:$B$3542,$A387)</f>
        <v>8.88314267172667</v>
      </c>
      <c r="D387" s="47" t="n">
        <f aca="false">AVERAGEIFS(malumot!$J$2:$J$3542,malumot!$B$2:$B$3542,$A387)</f>
        <v>30.688313592756</v>
      </c>
      <c r="E387" s="7" t="n">
        <f aca="false">RANK(C387,$C$5:$C$432,0)</f>
        <v>172</v>
      </c>
      <c r="F387" s="7" t="n">
        <f aca="false">RANK(D387,$D$5:$D$432,0)</f>
        <v>166</v>
      </c>
      <c r="G387" s="7" t="n">
        <f aca="false">ABS(E387-F387)</f>
        <v>6</v>
      </c>
    </row>
    <row r="388" customFormat="false" ht="15" hidden="false" customHeight="false" outlineLevel="0" collapsed="false">
      <c r="A388" s="3" t="s">
        <v>1155</v>
      </c>
      <c r="B388" s="3" t="s">
        <v>1156</v>
      </c>
      <c r="C388" s="47" t="n">
        <f aca="false">AVERAGEIFS(malumot!$I$2:$I$3542,malumot!$B$2:$B$3542,$A388)</f>
        <v>3.60951819824235</v>
      </c>
      <c r="D388" s="47" t="n">
        <f aca="false">AVERAGEIFS(malumot!$J$2:$J$3542,malumot!$B$2:$B$3542,$A388)</f>
        <v>5.08541206284842</v>
      </c>
      <c r="E388" s="7" t="n">
        <f aca="false">RANK(C388,$C$5:$C$432,0)</f>
        <v>411</v>
      </c>
      <c r="F388" s="7" t="n">
        <f aca="false">RANK(D388,$D$5:$D$432,0)</f>
        <v>417</v>
      </c>
      <c r="G388" s="7" t="n">
        <f aca="false">ABS(E388-F388)</f>
        <v>6</v>
      </c>
    </row>
    <row r="389" customFormat="false" ht="15" hidden="false" customHeight="false" outlineLevel="0" collapsed="false">
      <c r="A389" s="3" t="s">
        <v>856</v>
      </c>
      <c r="B389" s="3" t="s">
        <v>857</v>
      </c>
      <c r="C389" s="47" t="n">
        <f aca="false">AVERAGEIFS(malumot!$I$2:$I$3542,malumot!$B$2:$B$3542,$A389)</f>
        <v>3.45827041853601</v>
      </c>
      <c r="D389" s="47" t="n">
        <f aca="false">AVERAGEIFS(malumot!$J$2:$J$3542,malumot!$B$2:$B$3542,$A389)</f>
        <v>7.50441543765161</v>
      </c>
      <c r="E389" s="7" t="n">
        <f aca="false">RANK(C389,$C$5:$C$432,0)</f>
        <v>414</v>
      </c>
      <c r="F389" s="7" t="n">
        <f aca="false">RANK(D389,$D$5:$D$432,0)</f>
        <v>408</v>
      </c>
      <c r="G389" s="7" t="n">
        <f aca="false">ABS(E389-F389)</f>
        <v>6</v>
      </c>
    </row>
    <row r="390" customFormat="false" ht="15" hidden="false" customHeight="false" outlineLevel="0" collapsed="false">
      <c r="A390" s="3" t="s">
        <v>1000</v>
      </c>
      <c r="B390" s="3" t="s">
        <v>1001</v>
      </c>
      <c r="C390" s="47" t="n">
        <f aca="false">AVERAGEIFS(malumot!$I$2:$I$3542,malumot!$B$2:$B$3542,$A390)</f>
        <v>13.9595205244538</v>
      </c>
      <c r="D390" s="47" t="n">
        <f aca="false">AVERAGEIFS(malumot!$J$2:$J$3542,malumot!$B$2:$B$3542,$A390)</f>
        <v>54.7120353975102</v>
      </c>
      <c r="E390" s="7" t="n">
        <f aca="false">RANK(C390,$C$5:$C$432,0)</f>
        <v>62</v>
      </c>
      <c r="F390" s="7" t="n">
        <f aca="false">RANK(D390,$D$5:$D$432,0)</f>
        <v>56</v>
      </c>
      <c r="G390" s="7" t="n">
        <f aca="false">ABS(E390-F390)</f>
        <v>6</v>
      </c>
    </row>
    <row r="391" customFormat="false" ht="15" hidden="false" customHeight="false" outlineLevel="0" collapsed="false">
      <c r="A391" s="3" t="s">
        <v>534</v>
      </c>
      <c r="B391" s="3" t="s">
        <v>535</v>
      </c>
      <c r="C391" s="47" t="n">
        <f aca="false">AVERAGEIFS(malumot!$I$2:$I$3542,malumot!$B$2:$B$3542,$A391)</f>
        <v>7.01696664951017</v>
      </c>
      <c r="D391" s="47" t="n">
        <f aca="false">AVERAGEIFS(malumot!$J$2:$J$3542,malumot!$B$2:$B$3542,$A391)</f>
        <v>21.3050609113409</v>
      </c>
      <c r="E391" s="7" t="n">
        <f aca="false">RANK(C391,$C$5:$C$432,0)</f>
        <v>266</v>
      </c>
      <c r="F391" s="7" t="n">
        <f aca="false">RANK(D391,$D$5:$D$432,0)</f>
        <v>261</v>
      </c>
      <c r="G391" s="7" t="n">
        <f aca="false">ABS(E391-F391)</f>
        <v>5</v>
      </c>
    </row>
    <row r="392" customFormat="false" ht="15" hidden="false" customHeight="false" outlineLevel="0" collapsed="false">
      <c r="A392" s="3" t="s">
        <v>425</v>
      </c>
      <c r="B392" s="3" t="s">
        <v>426</v>
      </c>
      <c r="C392" s="47" t="n">
        <f aca="false">AVERAGEIFS(malumot!$I$2:$I$3542,malumot!$B$2:$B$3542,$A392)</f>
        <v>5.93312873391005</v>
      </c>
      <c r="D392" s="47" t="n">
        <f aca="false">AVERAGEIFS(malumot!$J$2:$J$3542,malumot!$B$2:$B$3542,$A392)</f>
        <v>16.7572917322694</v>
      </c>
      <c r="E392" s="7" t="n">
        <f aca="false">RANK(C392,$C$5:$C$432,0)</f>
        <v>322</v>
      </c>
      <c r="F392" s="7" t="n">
        <f aca="false">RANK(D392,$D$5:$D$432,0)</f>
        <v>317</v>
      </c>
      <c r="G392" s="7" t="n">
        <f aca="false">ABS(E392-F392)</f>
        <v>5</v>
      </c>
    </row>
    <row r="393" customFormat="false" ht="15" hidden="false" customHeight="false" outlineLevel="0" collapsed="false">
      <c r="A393" s="3" t="s">
        <v>1212</v>
      </c>
      <c r="B393" s="3" t="s">
        <v>1213</v>
      </c>
      <c r="C393" s="47" t="n">
        <f aca="false">AVERAGEIFS(malumot!$I$2:$I$3542,malumot!$B$2:$B$3542,$A393)</f>
        <v>12.1197637768616</v>
      </c>
      <c r="D393" s="47" t="n">
        <f aca="false">AVERAGEIFS(malumot!$J$2:$J$3542,malumot!$B$2:$B$3542,$A393)</f>
        <v>44.368261831423</v>
      </c>
      <c r="E393" s="7" t="n">
        <f aca="false">RANK(C393,$C$5:$C$432,0)</f>
        <v>83</v>
      </c>
      <c r="F393" s="7" t="n">
        <f aca="false">RANK(D393,$D$5:$D$432,0)</f>
        <v>88</v>
      </c>
      <c r="G393" s="7" t="n">
        <f aca="false">ABS(E393-F393)</f>
        <v>5</v>
      </c>
    </row>
    <row r="394" customFormat="false" ht="15" hidden="false" customHeight="false" outlineLevel="0" collapsed="false">
      <c r="A394" s="3" t="s">
        <v>815</v>
      </c>
      <c r="B394" s="3" t="s">
        <v>816</v>
      </c>
      <c r="C394" s="47" t="n">
        <f aca="false">AVERAGEIFS(malumot!$I$2:$I$3542,malumot!$B$2:$B$3542,$A394)</f>
        <v>7.62084260659266</v>
      </c>
      <c r="D394" s="47" t="n">
        <f aca="false">AVERAGEIFS(malumot!$J$2:$J$3542,malumot!$B$2:$B$3542,$A394)</f>
        <v>23.6193995510565</v>
      </c>
      <c r="E394" s="7" t="n">
        <f aca="false">RANK(C394,$C$5:$C$432,0)</f>
        <v>236</v>
      </c>
      <c r="F394" s="7" t="n">
        <f aca="false">RANK(D394,$D$5:$D$432,0)</f>
        <v>241</v>
      </c>
      <c r="G394" s="7" t="n">
        <f aca="false">ABS(E394-F394)</f>
        <v>5</v>
      </c>
    </row>
    <row r="395" customFormat="false" ht="15" hidden="false" customHeight="false" outlineLevel="0" collapsed="false">
      <c r="A395" s="3" t="s">
        <v>401</v>
      </c>
      <c r="B395" s="3" t="s">
        <v>243</v>
      </c>
      <c r="C395" s="47" t="n">
        <f aca="false">AVERAGEIFS(malumot!$I$2:$I$3542,malumot!$B$2:$B$3542,$A395)</f>
        <v>2.40818263802381</v>
      </c>
      <c r="D395" s="47" t="n">
        <f aca="false">AVERAGEIFS(malumot!$J$2:$J$3542,malumot!$B$2:$B$3542,$A395)</f>
        <v>4.21062301237045</v>
      </c>
      <c r="E395" s="7" t="n">
        <f aca="false">RANK(C395,$C$5:$C$432,0)</f>
        <v>425</v>
      </c>
      <c r="F395" s="7" t="n">
        <f aca="false">RANK(D395,$D$5:$D$432,0)</f>
        <v>420</v>
      </c>
      <c r="G395" s="7" t="n">
        <f aca="false">ABS(E395-F395)</f>
        <v>5</v>
      </c>
    </row>
    <row r="396" customFormat="false" ht="15" hidden="false" customHeight="false" outlineLevel="0" collapsed="false">
      <c r="A396" s="3" t="s">
        <v>708</v>
      </c>
      <c r="B396" s="3" t="s">
        <v>692</v>
      </c>
      <c r="C396" s="47" t="n">
        <f aca="false">AVERAGEIFS(malumot!$I$2:$I$3542,malumot!$B$2:$B$3542,$A396)</f>
        <v>2.97340090839665</v>
      </c>
      <c r="D396" s="47" t="n">
        <f aca="false">AVERAGEIFS(malumot!$J$2:$J$3542,malumot!$B$2:$B$3542,$A396)</f>
        <v>6.70074838908273</v>
      </c>
      <c r="E396" s="7" t="n">
        <f aca="false">RANK(C396,$C$5:$C$432,0)</f>
        <v>417</v>
      </c>
      <c r="F396" s="7" t="n">
        <f aca="false">RANK(D396,$D$5:$D$432,0)</f>
        <v>412</v>
      </c>
      <c r="G396" s="7" t="n">
        <f aca="false">ABS(E396-F396)</f>
        <v>5</v>
      </c>
    </row>
    <row r="397" customFormat="false" ht="15" hidden="false" customHeight="false" outlineLevel="0" collapsed="false">
      <c r="A397" s="3" t="s">
        <v>697</v>
      </c>
      <c r="B397" s="3" t="s">
        <v>692</v>
      </c>
      <c r="C397" s="47" t="n">
        <f aca="false">AVERAGEIFS(malumot!$I$2:$I$3542,malumot!$B$2:$B$3542,$A397)</f>
        <v>4.07572990039987</v>
      </c>
      <c r="D397" s="47" t="n">
        <f aca="false">AVERAGEIFS(malumot!$J$2:$J$3542,malumot!$B$2:$B$3542,$A397)</f>
        <v>7.55079273099718</v>
      </c>
      <c r="E397" s="7" t="n">
        <f aca="false">RANK(C397,$C$5:$C$432,0)</f>
        <v>401</v>
      </c>
      <c r="F397" s="7" t="n">
        <f aca="false">RANK(D397,$D$5:$D$432,0)</f>
        <v>406</v>
      </c>
      <c r="G397" s="7" t="n">
        <f aca="false">ABS(E397-F397)</f>
        <v>5</v>
      </c>
    </row>
    <row r="398" customFormat="false" ht="15" hidden="false" customHeight="false" outlineLevel="0" collapsed="false">
      <c r="A398" s="3" t="s">
        <v>525</v>
      </c>
      <c r="B398" s="3" t="s">
        <v>526</v>
      </c>
      <c r="C398" s="47" t="n">
        <f aca="false">AVERAGEIFS(malumot!$I$2:$I$3542,malumot!$B$2:$B$3542,$A398)</f>
        <v>5.32973824521465</v>
      </c>
      <c r="D398" s="47" t="n">
        <f aca="false">AVERAGEIFS(malumot!$J$2:$J$3542,malumot!$B$2:$B$3542,$A398)</f>
        <v>14.37118669216</v>
      </c>
      <c r="E398" s="7" t="n">
        <f aca="false">RANK(C398,$C$5:$C$432,0)</f>
        <v>356</v>
      </c>
      <c r="F398" s="7" t="n">
        <f aca="false">RANK(D398,$D$5:$D$432,0)</f>
        <v>352</v>
      </c>
      <c r="G398" s="7" t="n">
        <f aca="false">ABS(E398-F398)</f>
        <v>4</v>
      </c>
    </row>
    <row r="399" customFormat="false" ht="15" hidden="false" customHeight="false" outlineLevel="0" collapsed="false">
      <c r="A399" s="3" t="s">
        <v>641</v>
      </c>
      <c r="B399" s="3" t="s">
        <v>642</v>
      </c>
      <c r="C399" s="47" t="n">
        <f aca="false">AVERAGEIFS(malumot!$I$2:$I$3542,malumot!$B$2:$B$3542,$A399)</f>
        <v>2.57094277875389</v>
      </c>
      <c r="D399" s="47" t="n">
        <f aca="false">AVERAGEIFS(malumot!$J$2:$J$3542,malumot!$B$2:$B$3542,$A399)</f>
        <v>4.90856900539027</v>
      </c>
      <c r="E399" s="7" t="n">
        <f aca="false">RANK(C399,$C$5:$C$432,0)</f>
        <v>422</v>
      </c>
      <c r="F399" s="7" t="n">
        <f aca="false">RANK(D399,$D$5:$D$432,0)</f>
        <v>418</v>
      </c>
      <c r="G399" s="7" t="n">
        <f aca="false">ABS(E399-F399)</f>
        <v>4</v>
      </c>
    </row>
    <row r="400" customFormat="false" ht="15" hidden="false" customHeight="false" outlineLevel="0" collapsed="false">
      <c r="A400" s="3" t="s">
        <v>466</v>
      </c>
      <c r="B400" s="3" t="s">
        <v>467</v>
      </c>
      <c r="C400" s="47" t="n">
        <f aca="false">AVERAGEIFS(malumot!$I$2:$I$3542,malumot!$B$2:$B$3542,$A400)</f>
        <v>25.9262675316392</v>
      </c>
      <c r="D400" s="47" t="n">
        <f aca="false">AVERAGEIFS(malumot!$J$2:$J$3542,malumot!$B$2:$B$3542,$A400)</f>
        <v>212.676580778868</v>
      </c>
      <c r="E400" s="7" t="n">
        <f aca="false">RANK(C400,$C$5:$C$432,0)</f>
        <v>7</v>
      </c>
      <c r="F400" s="7" t="n">
        <f aca="false">RANK(D400,$D$5:$D$432,0)</f>
        <v>3</v>
      </c>
      <c r="G400" s="7" t="n">
        <f aca="false">ABS(E400-F400)</f>
        <v>4</v>
      </c>
    </row>
    <row r="401" customFormat="false" ht="15" hidden="false" customHeight="false" outlineLevel="0" collapsed="false">
      <c r="A401" s="3" t="s">
        <v>1209</v>
      </c>
      <c r="B401" s="3" t="s">
        <v>1210</v>
      </c>
      <c r="C401" s="47" t="n">
        <f aca="false">AVERAGEIFS(malumot!$I$2:$I$3542,malumot!$B$2:$B$3542,$A401)</f>
        <v>24.5313937692248</v>
      </c>
      <c r="D401" s="47" t="n">
        <f aca="false">AVERAGEIFS(malumot!$J$2:$J$3542,malumot!$B$2:$B$3542,$A401)</f>
        <v>131.532015804583</v>
      </c>
      <c r="E401" s="7" t="n">
        <f aca="false">RANK(C401,$C$5:$C$432,0)</f>
        <v>10</v>
      </c>
      <c r="F401" s="7" t="n">
        <f aca="false">RANK(D401,$D$5:$D$432,0)</f>
        <v>6</v>
      </c>
      <c r="G401" s="7" t="n">
        <f aca="false">ABS(E401-F401)</f>
        <v>4</v>
      </c>
    </row>
    <row r="402" customFormat="false" ht="15" hidden="false" customHeight="false" outlineLevel="0" collapsed="false">
      <c r="A402" s="3" t="s">
        <v>1202</v>
      </c>
      <c r="B402" s="3" t="s">
        <v>1203</v>
      </c>
      <c r="C402" s="47" t="n">
        <f aca="false">AVERAGEIFS(malumot!$I$2:$I$3542,malumot!$B$2:$B$3542,$A402)</f>
        <v>4.74022078262044</v>
      </c>
      <c r="D402" s="47" t="n">
        <f aca="false">AVERAGEIFS(malumot!$J$2:$J$3542,malumot!$B$2:$B$3542,$A402)</f>
        <v>10.6536087953029</v>
      </c>
      <c r="E402" s="7" t="n">
        <f aca="false">RANK(C402,$C$5:$C$432,0)</f>
        <v>377</v>
      </c>
      <c r="F402" s="7" t="n">
        <f aca="false">RANK(D402,$D$5:$D$432,0)</f>
        <v>381</v>
      </c>
      <c r="G402" s="7" t="n">
        <f aca="false">ABS(E402-F402)</f>
        <v>4</v>
      </c>
    </row>
    <row r="403" customFormat="false" ht="15" hidden="false" customHeight="false" outlineLevel="0" collapsed="false">
      <c r="A403" s="3" t="s">
        <v>1008</v>
      </c>
      <c r="B403" s="3" t="s">
        <v>1009</v>
      </c>
      <c r="C403" s="47" t="n">
        <f aca="false">AVERAGEIFS(malumot!$I$2:$I$3542,malumot!$B$2:$B$3542,$A403)</f>
        <v>12.628082962099</v>
      </c>
      <c r="D403" s="47" t="n">
        <f aca="false">AVERAGEIFS(malumot!$J$2:$J$3542,malumot!$B$2:$B$3542,$A403)</f>
        <v>47.3036277194202</v>
      </c>
      <c r="E403" s="7" t="n">
        <f aca="false">RANK(C403,$C$5:$C$432,0)</f>
        <v>78</v>
      </c>
      <c r="F403" s="7" t="n">
        <f aca="false">RANK(D403,$D$5:$D$432,0)</f>
        <v>74</v>
      </c>
      <c r="G403" s="7" t="n">
        <f aca="false">ABS(E403-F403)</f>
        <v>4</v>
      </c>
    </row>
    <row r="404" customFormat="false" ht="15" hidden="false" customHeight="false" outlineLevel="0" collapsed="false">
      <c r="A404" s="3" t="s">
        <v>948</v>
      </c>
      <c r="B404" s="3" t="s">
        <v>949</v>
      </c>
      <c r="C404" s="47" t="n">
        <f aca="false">AVERAGEIFS(malumot!$I$2:$I$3542,malumot!$B$2:$B$3542,$A404)</f>
        <v>2.61275998039448</v>
      </c>
      <c r="D404" s="47" t="n">
        <f aca="false">AVERAGEIFS(malumot!$J$2:$J$3542,malumot!$B$2:$B$3542,$A404)</f>
        <v>2.75043492603406</v>
      </c>
      <c r="E404" s="7" t="n">
        <f aca="false">RANK(C404,$C$5:$C$432,0)</f>
        <v>421</v>
      </c>
      <c r="F404" s="7" t="n">
        <f aca="false">RANK(D404,$D$5:$D$432,0)</f>
        <v>425</v>
      </c>
      <c r="G404" s="7" t="n">
        <f aca="false">ABS(E404-F404)</f>
        <v>4</v>
      </c>
    </row>
    <row r="405" customFormat="false" ht="15" hidden="false" customHeight="false" outlineLevel="0" collapsed="false">
      <c r="A405" s="3" t="s">
        <v>463</v>
      </c>
      <c r="B405" s="3" t="s">
        <v>464</v>
      </c>
      <c r="C405" s="47" t="n">
        <f aca="false">AVERAGEIFS(malumot!$I$2:$I$3542,malumot!$B$2:$B$3542,$A405)</f>
        <v>11.8969896088848</v>
      </c>
      <c r="D405" s="47" t="n">
        <f aca="false">AVERAGEIFS(malumot!$J$2:$J$3542,malumot!$B$2:$B$3542,$A405)</f>
        <v>44.5251272761651</v>
      </c>
      <c r="E405" s="7" t="n">
        <f aca="false">RANK(C405,$C$5:$C$432,0)</f>
        <v>90</v>
      </c>
      <c r="F405" s="7" t="n">
        <f aca="false">RANK(D405,$D$5:$D$432,0)</f>
        <v>87</v>
      </c>
      <c r="G405" s="7" t="n">
        <f aca="false">ABS(E405-F405)</f>
        <v>3</v>
      </c>
    </row>
    <row r="406" customFormat="false" ht="15" hidden="false" customHeight="false" outlineLevel="0" collapsed="false">
      <c r="A406" s="3" t="s">
        <v>183</v>
      </c>
      <c r="B406" s="3" t="s">
        <v>184</v>
      </c>
      <c r="C406" s="47" t="n">
        <f aca="false">AVERAGEIFS(malumot!$I$2:$I$3542,malumot!$B$2:$B$3542,$A406)</f>
        <v>9.84848436188547</v>
      </c>
      <c r="D406" s="47" t="n">
        <f aca="false">AVERAGEIFS(malumot!$J$2:$J$3542,malumot!$B$2:$B$3542,$A406)</f>
        <v>33.4360438663406</v>
      </c>
      <c r="E406" s="7" t="n">
        <f aca="false">RANK(C406,$C$5:$C$432,0)</f>
        <v>137</v>
      </c>
      <c r="F406" s="7" t="n">
        <f aca="false">RANK(D406,$D$5:$D$432,0)</f>
        <v>140</v>
      </c>
      <c r="G406" s="7" t="n">
        <f aca="false">ABS(E406-F406)</f>
        <v>3</v>
      </c>
    </row>
    <row r="407" customFormat="false" ht="15" hidden="false" customHeight="false" outlineLevel="0" collapsed="false">
      <c r="A407" s="3" t="s">
        <v>351</v>
      </c>
      <c r="B407" s="3" t="s">
        <v>352</v>
      </c>
      <c r="C407" s="47" t="n">
        <f aca="false">AVERAGEIFS(malumot!$I$2:$I$3542,malumot!$B$2:$B$3542,$A407)</f>
        <v>4.68727818044938</v>
      </c>
      <c r="D407" s="47" t="n">
        <f aca="false">AVERAGEIFS(malumot!$J$2:$J$3542,malumot!$B$2:$B$3542,$A407)</f>
        <v>11.070883673177</v>
      </c>
      <c r="E407" s="7" t="n">
        <f aca="false">RANK(C407,$C$5:$C$432,0)</f>
        <v>381</v>
      </c>
      <c r="F407" s="7" t="n">
        <f aca="false">RANK(D407,$D$5:$D$432,0)</f>
        <v>378</v>
      </c>
      <c r="G407" s="7" t="n">
        <f aca="false">ABS(E407-F407)</f>
        <v>3</v>
      </c>
    </row>
    <row r="408" customFormat="false" ht="15" hidden="false" customHeight="false" outlineLevel="0" collapsed="false">
      <c r="A408" s="3" t="s">
        <v>907</v>
      </c>
      <c r="B408" s="3" t="s">
        <v>908</v>
      </c>
      <c r="C408" s="47" t="n">
        <f aca="false">AVERAGEIFS(malumot!$I$2:$I$3542,malumot!$B$2:$B$3542,$A408)</f>
        <v>12.9572643322315</v>
      </c>
      <c r="D408" s="47" t="n">
        <f aca="false">AVERAGEIFS(malumot!$J$2:$J$3542,malumot!$B$2:$B$3542,$A408)</f>
        <v>47.1396859160222</v>
      </c>
      <c r="E408" s="7" t="n">
        <f aca="false">RANK(C408,$C$5:$C$432,0)</f>
        <v>72</v>
      </c>
      <c r="F408" s="7" t="n">
        <f aca="false">RANK(D408,$D$5:$D$432,0)</f>
        <v>75</v>
      </c>
      <c r="G408" s="7" t="n">
        <f aca="false">ABS(E408-F408)</f>
        <v>3</v>
      </c>
    </row>
    <row r="409" customFormat="false" ht="15" hidden="false" customHeight="false" outlineLevel="0" collapsed="false">
      <c r="A409" s="3" t="s">
        <v>1129</v>
      </c>
      <c r="B409" s="3" t="s">
        <v>1130</v>
      </c>
      <c r="C409" s="47" t="n">
        <f aca="false">AVERAGEIFS(malumot!$I$2:$I$3542,malumot!$B$2:$B$3542,$A409)</f>
        <v>15.81862141828</v>
      </c>
      <c r="D409" s="47" t="n">
        <f aca="false">AVERAGEIFS(malumot!$J$2:$J$3542,malumot!$B$2:$B$3542,$A409)</f>
        <v>66.4654776734754</v>
      </c>
      <c r="E409" s="7" t="n">
        <f aca="false">RANK(C409,$C$5:$C$432,0)</f>
        <v>45</v>
      </c>
      <c r="F409" s="7" t="n">
        <f aca="false">RANK(D409,$D$5:$D$432,0)</f>
        <v>42</v>
      </c>
      <c r="G409" s="7" t="n">
        <f aca="false">ABS(E409-F409)</f>
        <v>3</v>
      </c>
    </row>
    <row r="410" customFormat="false" ht="15" hidden="false" customHeight="false" outlineLevel="0" collapsed="false">
      <c r="A410" s="3" t="s">
        <v>522</v>
      </c>
      <c r="B410" s="3" t="s">
        <v>523</v>
      </c>
      <c r="C410" s="47" t="n">
        <f aca="false">AVERAGEIFS(malumot!$I$2:$I$3542,malumot!$B$2:$B$3542,$A410)</f>
        <v>5.13303579266634</v>
      </c>
      <c r="D410" s="47" t="n">
        <f aca="false">AVERAGEIFS(malumot!$J$2:$J$3542,malumot!$B$2:$B$3542,$A410)</f>
        <v>13.6931788679525</v>
      </c>
      <c r="E410" s="7" t="n">
        <f aca="false">RANK(C410,$C$5:$C$432,0)</f>
        <v>360</v>
      </c>
      <c r="F410" s="7" t="n">
        <f aca="false">RANK(D410,$D$5:$D$432,0)</f>
        <v>357</v>
      </c>
      <c r="G410" s="7" t="n">
        <f aca="false">ABS(E410-F410)</f>
        <v>3</v>
      </c>
    </row>
    <row r="411" customFormat="false" ht="15" hidden="false" customHeight="false" outlineLevel="0" collapsed="false">
      <c r="A411" s="3" t="s">
        <v>78</v>
      </c>
      <c r="B411" s="3" t="s">
        <v>75</v>
      </c>
      <c r="C411" s="47" t="n">
        <f aca="false">AVERAGEIFS(malumot!$I$2:$I$3542,malumot!$B$2:$B$3542,$A411)</f>
        <v>37.4091825307951</v>
      </c>
      <c r="D411" s="47" t="n">
        <f aca="false">AVERAGEIFS(malumot!$J$2:$J$3542,malumot!$B$2:$B$3542,$A411)</f>
        <v>151.595360244654</v>
      </c>
      <c r="E411" s="7" t="n">
        <f aca="false">RANK(C411,$C$5:$C$432,0)</f>
        <v>2</v>
      </c>
      <c r="F411" s="7" t="n">
        <f aca="false">RANK(D411,$D$5:$D$432,0)</f>
        <v>5</v>
      </c>
      <c r="G411" s="7" t="n">
        <f aca="false">ABS(E411-F411)</f>
        <v>3</v>
      </c>
    </row>
    <row r="412" customFormat="false" ht="15" hidden="false" customHeight="false" outlineLevel="0" collapsed="false">
      <c r="A412" s="3" t="s">
        <v>107</v>
      </c>
      <c r="B412" s="3" t="s">
        <v>108</v>
      </c>
      <c r="C412" s="47" t="n">
        <f aca="false">AVERAGEIFS(malumot!$I$2:$I$3542,malumot!$B$2:$B$3542,$A412)</f>
        <v>23.0275158748363</v>
      </c>
      <c r="D412" s="47" t="n">
        <f aca="false">AVERAGEIFS(malumot!$J$2:$J$3542,malumot!$B$2:$B$3542,$A412)</f>
        <v>82.9643156970385</v>
      </c>
      <c r="E412" s="7" t="n">
        <f aca="false">RANK(C412,$C$5:$C$432,0)</f>
        <v>18</v>
      </c>
      <c r="F412" s="7" t="n">
        <f aca="false">RANK(D412,$D$5:$D$432,0)</f>
        <v>21</v>
      </c>
      <c r="G412" s="7" t="n">
        <f aca="false">ABS(E412-F412)</f>
        <v>3</v>
      </c>
    </row>
    <row r="413" customFormat="false" ht="15" hidden="false" customHeight="false" outlineLevel="0" collapsed="false">
      <c r="A413" s="3" t="s">
        <v>586</v>
      </c>
      <c r="B413" s="3" t="s">
        <v>587</v>
      </c>
      <c r="C413" s="47" t="n">
        <f aca="false">AVERAGEIFS(malumot!$I$2:$I$3542,malumot!$B$2:$B$3542,$A413)</f>
        <v>6.38794536580033</v>
      </c>
      <c r="D413" s="47" t="n">
        <f aca="false">AVERAGEIFS(malumot!$J$2:$J$3542,malumot!$B$2:$B$3542,$A413)</f>
        <v>18.9578158457219</v>
      </c>
      <c r="E413" s="7" t="n">
        <f aca="false">RANK(C413,$C$5:$C$432,0)</f>
        <v>293</v>
      </c>
      <c r="F413" s="7" t="n">
        <f aca="false">RANK(D413,$D$5:$D$432,0)</f>
        <v>291</v>
      </c>
      <c r="G413" s="7" t="n">
        <f aca="false">ABS(E413-F413)</f>
        <v>2</v>
      </c>
    </row>
    <row r="414" customFormat="false" ht="15" hidden="false" customHeight="false" outlineLevel="0" collapsed="false">
      <c r="A414" s="3" t="s">
        <v>74</v>
      </c>
      <c r="B414" s="3" t="s">
        <v>75</v>
      </c>
      <c r="C414" s="47" t="n">
        <f aca="false">AVERAGEIFS(malumot!$I$2:$I$3542,malumot!$B$2:$B$3542,$A414)</f>
        <v>30.1497299333862</v>
      </c>
      <c r="D414" s="47" t="n">
        <f aca="false">AVERAGEIFS(malumot!$J$2:$J$3542,malumot!$B$2:$B$3542,$A414)</f>
        <v>125.596400093237</v>
      </c>
      <c r="E414" s="7" t="n">
        <f aca="false">RANK(C414,$C$5:$C$432,0)</f>
        <v>5</v>
      </c>
      <c r="F414" s="7" t="n">
        <f aca="false">RANK(D414,$D$5:$D$432,0)</f>
        <v>7</v>
      </c>
      <c r="G414" s="7" t="n">
        <f aca="false">ABS(E414-F414)</f>
        <v>2</v>
      </c>
    </row>
    <row r="415" customFormat="false" ht="15" hidden="false" customHeight="false" outlineLevel="0" collapsed="false">
      <c r="A415" s="3" t="s">
        <v>104</v>
      </c>
      <c r="B415" s="3" t="s">
        <v>105</v>
      </c>
      <c r="C415" s="47" t="n">
        <f aca="false">AVERAGEIFS(malumot!$I$2:$I$3542,malumot!$B$2:$B$3542,$A415)</f>
        <v>23.1765555427766</v>
      </c>
      <c r="D415" s="47" t="n">
        <f aca="false">AVERAGEIFS(malumot!$J$2:$J$3542,malumot!$B$2:$B$3542,$A415)</f>
        <v>85.0050619507239</v>
      </c>
      <c r="E415" s="7" t="n">
        <f aca="false">RANK(C415,$C$5:$C$432,0)</f>
        <v>16</v>
      </c>
      <c r="F415" s="7" t="n">
        <f aca="false">RANK(D415,$D$5:$D$432,0)</f>
        <v>18</v>
      </c>
      <c r="G415" s="7" t="n">
        <f aca="false">ABS(E415-F415)</f>
        <v>2</v>
      </c>
    </row>
    <row r="416" customFormat="false" ht="15" hidden="false" customHeight="false" outlineLevel="0" collapsed="false">
      <c r="A416" s="3" t="s">
        <v>577</v>
      </c>
      <c r="B416" s="3" t="s">
        <v>578</v>
      </c>
      <c r="C416" s="47" t="n">
        <f aca="false">AVERAGEIFS(malumot!$I$2:$I$3542,malumot!$B$2:$B$3542,$A416)</f>
        <v>7.38844319050438</v>
      </c>
      <c r="D416" s="47" t="n">
        <f aca="false">AVERAGEIFS(malumot!$J$2:$J$3542,malumot!$B$2:$B$3542,$A416)</f>
        <v>23.2609853765989</v>
      </c>
      <c r="E416" s="7" t="n">
        <f aca="false">RANK(C416,$C$5:$C$432,0)</f>
        <v>248</v>
      </c>
      <c r="F416" s="7" t="n">
        <f aca="false">RANK(D416,$D$5:$D$432,0)</f>
        <v>246</v>
      </c>
      <c r="G416" s="7" t="n">
        <f aca="false">ABS(E416-F416)</f>
        <v>2</v>
      </c>
    </row>
    <row r="417" customFormat="false" ht="15" hidden="false" customHeight="false" outlineLevel="0" collapsed="false">
      <c r="A417" s="3" t="s">
        <v>282</v>
      </c>
      <c r="B417" s="3" t="s">
        <v>283</v>
      </c>
      <c r="C417" s="47" t="n">
        <f aca="false">AVERAGEIFS(malumot!$I$2:$I$3542,malumot!$B$2:$B$3542,$A417)</f>
        <v>5.59205677403018</v>
      </c>
      <c r="D417" s="47" t="n">
        <f aca="false">AVERAGEIFS(malumot!$J$2:$J$3542,malumot!$B$2:$B$3542,$A417)</f>
        <v>15.0056933636564</v>
      </c>
      <c r="E417" s="7" t="n">
        <f aca="false">RANK(C417,$C$5:$C$432,0)</f>
        <v>341</v>
      </c>
      <c r="F417" s="7" t="n">
        <f aca="false">RANK(D417,$D$5:$D$432,0)</f>
        <v>343</v>
      </c>
      <c r="G417" s="7" t="n">
        <f aca="false">ABS(E417-F417)</f>
        <v>2</v>
      </c>
    </row>
    <row r="418" customFormat="false" ht="15" hidden="false" customHeight="false" outlineLevel="0" collapsed="false">
      <c r="A418" s="3" t="s">
        <v>288</v>
      </c>
      <c r="B418" s="3" t="s">
        <v>289</v>
      </c>
      <c r="C418" s="47" t="n">
        <f aca="false">AVERAGEIFS(malumot!$I$2:$I$3542,malumot!$B$2:$B$3542,$A418)</f>
        <v>4.57120444298706</v>
      </c>
      <c r="D418" s="47" t="n">
        <f aca="false">AVERAGEIFS(malumot!$J$2:$J$3542,malumot!$B$2:$B$3542,$A418)</f>
        <v>10.6443420715412</v>
      </c>
      <c r="E418" s="7" t="n">
        <f aca="false">RANK(C418,$C$5:$C$432,0)</f>
        <v>385</v>
      </c>
      <c r="F418" s="7" t="n">
        <f aca="false">RANK(D418,$D$5:$D$432,0)</f>
        <v>383</v>
      </c>
      <c r="G418" s="7" t="n">
        <f aca="false">ABS(E418-F418)</f>
        <v>2</v>
      </c>
    </row>
    <row r="419" customFormat="false" ht="15" hidden="false" customHeight="false" outlineLevel="0" collapsed="false">
      <c r="A419" s="3" t="s">
        <v>502</v>
      </c>
      <c r="B419" s="3" t="s">
        <v>503</v>
      </c>
      <c r="C419" s="47" t="n">
        <f aca="false">AVERAGEIFS(malumot!$I$2:$I$3542,malumot!$B$2:$B$3542,$A419)</f>
        <v>7.11002954024974</v>
      </c>
      <c r="D419" s="47" t="n">
        <f aca="false">AVERAGEIFS(malumot!$J$2:$J$3542,malumot!$B$2:$B$3542,$A419)</f>
        <v>21.3805013156021</v>
      </c>
      <c r="E419" s="7" t="n">
        <f aca="false">RANK(C419,$C$5:$C$432,0)</f>
        <v>258</v>
      </c>
      <c r="F419" s="7" t="n">
        <f aca="false">RANK(D419,$D$5:$D$432,0)</f>
        <v>260</v>
      </c>
      <c r="G419" s="7" t="n">
        <f aca="false">ABS(E419-F419)</f>
        <v>2</v>
      </c>
    </row>
    <row r="420" customFormat="false" ht="15" hidden="false" customHeight="false" outlineLevel="0" collapsed="false">
      <c r="A420" s="3" t="s">
        <v>415</v>
      </c>
      <c r="B420" s="3" t="s">
        <v>416</v>
      </c>
      <c r="C420" s="47" t="n">
        <f aca="false">AVERAGEIFS(malumot!$I$2:$I$3542,malumot!$B$2:$B$3542,$A420)</f>
        <v>2.37245705639344</v>
      </c>
      <c r="D420" s="47" t="n">
        <f aca="false">AVERAGEIFS(malumot!$J$2:$J$3542,malumot!$B$2:$B$3542,$A420)</f>
        <v>3.08801239872719</v>
      </c>
      <c r="E420" s="7" t="n">
        <f aca="false">RANK(C420,$C$5:$C$432,0)</f>
        <v>426</v>
      </c>
      <c r="F420" s="7" t="n">
        <f aca="false">RANK(D420,$D$5:$D$432,0)</f>
        <v>424</v>
      </c>
      <c r="G420" s="7" t="n">
        <f aca="false">ABS(E420-F420)</f>
        <v>2</v>
      </c>
    </row>
    <row r="421" customFormat="false" ht="15" hidden="false" customHeight="false" outlineLevel="0" collapsed="false">
      <c r="A421" s="3" t="s">
        <v>894</v>
      </c>
      <c r="B421" s="3" t="s">
        <v>895</v>
      </c>
      <c r="C421" s="47" t="n">
        <f aca="false">AVERAGEIFS(malumot!$I$2:$I$3542,malumot!$B$2:$B$3542,$A421)</f>
        <v>14.9360823241549</v>
      </c>
      <c r="D421" s="47" t="n">
        <f aca="false">AVERAGEIFS(malumot!$J$2:$J$3542,malumot!$B$2:$B$3542,$A421)</f>
        <v>58.0634297305682</v>
      </c>
      <c r="E421" s="7" t="n">
        <f aca="false">RANK(C421,$C$5:$C$432,0)</f>
        <v>54</v>
      </c>
      <c r="F421" s="7" t="n">
        <f aca="false">RANK(D421,$D$5:$D$432,0)</f>
        <v>52</v>
      </c>
      <c r="G421" s="7" t="n">
        <f aca="false">ABS(E421-F421)</f>
        <v>2</v>
      </c>
    </row>
    <row r="422" customFormat="false" ht="15" hidden="false" customHeight="false" outlineLevel="0" collapsed="false">
      <c r="A422" s="3" t="s">
        <v>442</v>
      </c>
      <c r="B422" s="3" t="s">
        <v>443</v>
      </c>
      <c r="C422" s="47" t="n">
        <f aca="false">AVERAGEIFS(malumot!$I$2:$I$3542,malumot!$B$2:$B$3542,$A422)</f>
        <v>4.13209235879298</v>
      </c>
      <c r="D422" s="47" t="n">
        <f aca="false">AVERAGEIFS(malumot!$J$2:$J$3542,malumot!$B$2:$B$3542,$A422)</f>
        <v>9.47626220080825</v>
      </c>
      <c r="E422" s="7" t="n">
        <f aca="false">RANK(C422,$C$5:$C$432,0)</f>
        <v>397</v>
      </c>
      <c r="F422" s="7" t="n">
        <f aca="false">RANK(D422,$D$5:$D$432,0)</f>
        <v>395</v>
      </c>
      <c r="G422" s="7" t="n">
        <f aca="false">ABS(E422-F422)</f>
        <v>2</v>
      </c>
    </row>
    <row r="423" customFormat="false" ht="15" hidden="false" customHeight="false" outlineLevel="0" collapsed="false">
      <c r="A423" s="3" t="s">
        <v>878</v>
      </c>
      <c r="B423" s="3" t="s">
        <v>416</v>
      </c>
      <c r="C423" s="47" t="n">
        <f aca="false">AVERAGEIFS(malumot!$I$2:$I$3542,malumot!$B$2:$B$3542,$A423)</f>
        <v>2.55764997338388</v>
      </c>
      <c r="D423" s="47" t="n">
        <f aca="false">AVERAGEIFS(malumot!$J$2:$J$3542,malumot!$B$2:$B$3542,$A423)</f>
        <v>4.13049841467841</v>
      </c>
      <c r="E423" s="7" t="n">
        <f aca="false">RANK(C423,$C$5:$C$432,0)</f>
        <v>423</v>
      </c>
      <c r="F423" s="7" t="n">
        <f aca="false">RANK(D423,$D$5:$D$432,0)</f>
        <v>421</v>
      </c>
      <c r="G423" s="7" t="n">
        <f aca="false">ABS(E423-F423)</f>
        <v>2</v>
      </c>
    </row>
    <row r="424" customFormat="false" ht="15" hidden="false" customHeight="false" outlineLevel="0" collapsed="false">
      <c r="A424" s="3" t="s">
        <v>399</v>
      </c>
      <c r="B424" s="3" t="s">
        <v>400</v>
      </c>
      <c r="C424" s="47" t="n">
        <f aca="false">AVERAGEIFS(malumot!$I$2:$I$3542,malumot!$B$2:$B$3542,$A424)</f>
        <v>9.60353551426941</v>
      </c>
      <c r="D424" s="47" t="n">
        <f aca="false">AVERAGEIFS(malumot!$J$2:$J$3542,malumot!$B$2:$B$3542,$A424)</f>
        <v>32.1217814292411</v>
      </c>
      <c r="E424" s="7" t="n">
        <f aca="false">RANK(C424,$C$5:$C$432,0)</f>
        <v>147</v>
      </c>
      <c r="F424" s="7" t="n">
        <f aca="false">RANK(D424,$D$5:$D$432,0)</f>
        <v>149</v>
      </c>
      <c r="G424" s="7" t="n">
        <f aca="false">ABS(E424-F424)</f>
        <v>2</v>
      </c>
    </row>
    <row r="425" customFormat="false" ht="15" hidden="false" customHeight="false" outlineLevel="0" collapsed="false">
      <c r="A425" s="3" t="s">
        <v>130</v>
      </c>
      <c r="B425" s="3" t="s">
        <v>131</v>
      </c>
      <c r="C425" s="47" t="n">
        <f aca="false">AVERAGEIFS(malumot!$I$2:$I$3542,malumot!$B$2:$B$3542,$A425)</f>
        <v>36.8196157573831</v>
      </c>
      <c r="D425" s="47" t="n">
        <f aca="false">AVERAGEIFS(malumot!$J$2:$J$3542,malumot!$B$2:$B$3542,$A425)</f>
        <v>197.121022121003</v>
      </c>
      <c r="E425" s="7" t="n">
        <f aca="false">RANK(C425,$C$5:$C$432,0)</f>
        <v>3</v>
      </c>
      <c r="F425" s="7" t="n">
        <f aca="false">RANK(D425,$D$5:$D$432,0)</f>
        <v>4</v>
      </c>
      <c r="G425" s="7" t="n">
        <f aca="false">ABS(E425-F425)</f>
        <v>1</v>
      </c>
    </row>
    <row r="426" customFormat="false" ht="15" hidden="false" customHeight="false" outlineLevel="0" collapsed="false">
      <c r="A426" s="3" t="s">
        <v>427</v>
      </c>
      <c r="B426" s="3" t="s">
        <v>243</v>
      </c>
      <c r="C426" s="47" t="n">
        <f aca="false">AVERAGEIFS(malumot!$I$2:$I$3542,malumot!$B$2:$B$3542,$A426)</f>
        <v>1.85490368448422</v>
      </c>
      <c r="D426" s="47" t="n">
        <f aca="false">AVERAGEIFS(malumot!$J$2:$J$3542,malumot!$B$2:$B$3542,$A426)</f>
        <v>1.61162252372688</v>
      </c>
      <c r="E426" s="7" t="n">
        <f aca="false">RANK(C426,$C$5:$C$432,0)</f>
        <v>427</v>
      </c>
      <c r="F426" s="7" t="n">
        <f aca="false">RANK(D426,$D$5:$D$432,0)</f>
        <v>428</v>
      </c>
      <c r="G426" s="7" t="n">
        <f aca="false">ABS(E426-F426)</f>
        <v>1</v>
      </c>
    </row>
    <row r="427" customFormat="false" ht="15" hidden="false" customHeight="false" outlineLevel="0" collapsed="false">
      <c r="A427" s="3" t="s">
        <v>821</v>
      </c>
      <c r="B427" s="3" t="s">
        <v>822</v>
      </c>
      <c r="C427" s="47" t="n">
        <f aca="false">AVERAGEIFS(malumot!$I$2:$I$3542,malumot!$B$2:$B$3542,$A427)</f>
        <v>5.50899662399629</v>
      </c>
      <c r="D427" s="47" t="n">
        <f aca="false">AVERAGEIFS(malumot!$J$2:$J$3542,malumot!$B$2:$B$3542,$A427)</f>
        <v>14.5977929204539</v>
      </c>
      <c r="E427" s="7" t="n">
        <f aca="false">RANK(C427,$C$5:$C$432,0)</f>
        <v>347</v>
      </c>
      <c r="F427" s="7" t="n">
        <f aca="false">RANK(D427,$D$5:$D$432,0)</f>
        <v>348</v>
      </c>
      <c r="G427" s="7" t="n">
        <f aca="false">ABS(E427-F427)</f>
        <v>1</v>
      </c>
    </row>
    <row r="428" customFormat="false" ht="15" hidden="false" customHeight="false" outlineLevel="0" collapsed="false">
      <c r="A428" s="3" t="s">
        <v>836</v>
      </c>
      <c r="B428" s="3" t="s">
        <v>837</v>
      </c>
      <c r="C428" s="47" t="n">
        <f aca="false">AVERAGEIFS(malumot!$I$2:$I$3542,malumot!$B$2:$B$3542,$A428)</f>
        <v>8.16181108188453</v>
      </c>
      <c r="D428" s="47" t="n">
        <f aca="false">AVERAGEIFS(malumot!$J$2:$J$3542,malumot!$B$2:$B$3542,$A428)</f>
        <v>26.4357964999745</v>
      </c>
      <c r="E428" s="7" t="n">
        <f aca="false">RANK(C428,$C$5:$C$432,0)</f>
        <v>210</v>
      </c>
      <c r="F428" s="7" t="n">
        <f aca="false">RANK(D428,$D$5:$D$432,0)</f>
        <v>211</v>
      </c>
      <c r="G428" s="7" t="n">
        <f aca="false">ABS(E428-F428)</f>
        <v>1</v>
      </c>
    </row>
    <row r="429" customFormat="false" ht="15" hidden="false" customHeight="false" outlineLevel="0" collapsed="false">
      <c r="A429" s="3" t="s">
        <v>302</v>
      </c>
      <c r="B429" s="3" t="s">
        <v>303</v>
      </c>
      <c r="C429" s="47" t="n">
        <f aca="false">AVERAGEIFS(malumot!$I$2:$I$3542,malumot!$B$2:$B$3542,$A429)</f>
        <v>3.14614190900415</v>
      </c>
      <c r="D429" s="47" t="n">
        <f aca="false">AVERAGEIFS(malumot!$J$2:$J$3542,malumot!$B$2:$B$3542,$A429)</f>
        <v>6.01900192941952</v>
      </c>
      <c r="E429" s="7" t="n">
        <f aca="false">RANK(C429,$C$5:$C$432,0)</f>
        <v>416</v>
      </c>
      <c r="F429" s="7" t="n">
        <f aca="false">RANK(D429,$D$5:$D$432,0)</f>
        <v>415</v>
      </c>
      <c r="G429" s="7" t="n">
        <f aca="false">ABS(E429-F429)</f>
        <v>1</v>
      </c>
    </row>
    <row r="430" customFormat="false" ht="15" hidden="false" customHeight="false" outlineLevel="0" collapsed="false">
      <c r="A430" s="3" t="s">
        <v>936</v>
      </c>
      <c r="B430" s="3" t="s">
        <v>934</v>
      </c>
      <c r="C430" s="47" t="n">
        <f aca="false">AVERAGEIFS(malumot!$I$2:$I$3542,malumot!$B$2:$B$3542,$A430)</f>
        <v>4.09563131216348</v>
      </c>
      <c r="D430" s="47" t="n">
        <f aca="false">AVERAGEIFS(malumot!$J$2:$J$3542,malumot!$B$2:$B$3542,$A430)</f>
        <v>9.18467480446452</v>
      </c>
      <c r="E430" s="7" t="n">
        <f aca="false">RANK(C430,$C$5:$C$432,0)</f>
        <v>399</v>
      </c>
      <c r="F430" s="7" t="n">
        <f aca="false">RANK(D430,$D$5:$D$432,0)</f>
        <v>400</v>
      </c>
      <c r="G430" s="7" t="n">
        <f aca="false">ABS(E430-F430)</f>
        <v>1</v>
      </c>
    </row>
    <row r="431" customFormat="false" ht="15" hidden="false" customHeight="false" outlineLevel="0" collapsed="false">
      <c r="A431" s="3" t="s">
        <v>1199</v>
      </c>
      <c r="B431" s="3" t="s">
        <v>1200</v>
      </c>
      <c r="C431" s="47" t="n">
        <f aca="false">AVERAGEIFS(malumot!$I$2:$I$3542,malumot!$B$2:$B$3542,$A431)</f>
        <v>1.50529342097372</v>
      </c>
      <c r="D431" s="47" t="n">
        <f aca="false">AVERAGEIFS(malumot!$J$2:$J$3542,malumot!$B$2:$B$3542,$A431)</f>
        <v>1.67449670173021</v>
      </c>
      <c r="E431" s="7" t="n">
        <f aca="false">RANK(C431,$C$5:$C$432,0)</f>
        <v>428</v>
      </c>
      <c r="F431" s="7" t="n">
        <f aca="false">RANK(D431,$D$5:$D$432,0)</f>
        <v>427</v>
      </c>
      <c r="G431" s="7" t="n">
        <f aca="false">ABS(E431-F431)</f>
        <v>1</v>
      </c>
    </row>
    <row r="432" customFormat="false" ht="15" hidden="false" customHeight="false" outlineLevel="0" collapsed="false">
      <c r="A432" s="3" t="s">
        <v>499</v>
      </c>
      <c r="B432" s="3" t="s">
        <v>500</v>
      </c>
      <c r="C432" s="47" t="n">
        <f aca="false">AVERAGEIFS(malumot!$I$2:$I$3542,malumot!$B$2:$B$3542,$A432)</f>
        <v>8.33665253811447</v>
      </c>
      <c r="D432" s="47" t="n">
        <f aca="false">AVERAGEIFS(malumot!$J$2:$J$3542,malumot!$B$2:$B$3542,$A432)</f>
        <v>27.5052841477405</v>
      </c>
      <c r="E432" s="7" t="n">
        <f aca="false">RANK(C432,$C$5:$C$432,0)</f>
        <v>199</v>
      </c>
      <c r="F432" s="7" t="n">
        <f aca="false">RANK(D432,$D$5:$D$432,0)</f>
        <v>199</v>
      </c>
      <c r="G432" s="7" t="n">
        <f aca="false">ABS(E432-F432)</f>
        <v>0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2026-09-06T05:34:26Z</dcterms:created>
  <dc:creator>openpyxl</dc:creator>
  <dc:description/>
  <dc:language>en-US</dc:language>
  <cp:lastModifiedBy/>
  <dcterms:modified xsi:type="dcterms:W3CDTF">2026-09-06T05:35:21Z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